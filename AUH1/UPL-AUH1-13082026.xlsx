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W:\Shared With Me\AUH1\DMD-AUH1\2026\Aug\"/>
    </mc:Choice>
  </mc:AlternateContent>
  <xr:revisionPtr revIDLastSave="0" documentId="13_ncr:1_{70D78EFC-1D41-4982-909B-BCEA030705C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shboard" sheetId="2" r:id="rId1"/>
    <sheet name="Roster" sheetId="1" r:id="rId2"/>
  </sheets>
  <externalReferences>
    <externalReference r:id="rId3"/>
  </externalReferences>
  <definedNames>
    <definedName name="_xlnm._FilterDatabase" localSheetId="0" hidden="1">Dashboard!$A$11:$Q$28</definedName>
    <definedName name="_xlnm._FilterDatabase" localSheetId="1" hidden="1">Roster!$Q$1:$S$4</definedName>
    <definedName name="HCDa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77" i="1" l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AL18" i="2" l="1"/>
  <c r="I16" i="2" l="1"/>
  <c r="C1" i="1"/>
  <c r="AL12" i="2" l="1"/>
  <c r="AL6" i="2"/>
  <c r="AL8" i="2"/>
  <c r="AL14" i="2"/>
  <c r="F24" i="2" l="1"/>
  <c r="H26" i="2" l="1"/>
  <c r="L28" i="2"/>
  <c r="A4" i="2" l="1"/>
  <c r="AO9" i="2" l="1"/>
  <c r="F6" i="2" l="1"/>
  <c r="F7" i="2"/>
  <c r="F8" i="2"/>
  <c r="F20" i="2"/>
  <c r="V3" i="2"/>
  <c r="D3" i="2"/>
  <c r="X24" i="2"/>
  <c r="T24" i="2"/>
  <c r="T23" i="2"/>
  <c r="U3" i="2"/>
  <c r="C3" i="2"/>
  <c r="AG3" i="2"/>
  <c r="F25" i="2"/>
  <c r="AL13" i="2"/>
  <c r="AL7" i="2"/>
  <c r="X23" i="2"/>
  <c r="X19" i="2"/>
  <c r="X18" i="2"/>
  <c r="X14" i="2"/>
  <c r="X12" i="2"/>
  <c r="X13" i="2"/>
  <c r="X8" i="2"/>
  <c r="X7" i="2"/>
  <c r="X6" i="2"/>
  <c r="F26" i="2"/>
  <c r="F22" i="2"/>
  <c r="F21" i="2"/>
  <c r="F18" i="2"/>
  <c r="F17" i="2"/>
  <c r="F16" i="2"/>
  <c r="F12" i="2"/>
  <c r="F13" i="2"/>
  <c r="F14" i="2"/>
  <c r="AF4" i="2"/>
  <c r="S4" i="2"/>
  <c r="B6" i="2"/>
  <c r="AG8" i="2"/>
  <c r="AG7" i="2"/>
  <c r="AG6" i="2"/>
  <c r="AI3" i="2"/>
  <c r="AH3" i="2"/>
  <c r="T8" i="2"/>
  <c r="T7" i="2"/>
  <c r="T6" i="2"/>
  <c r="B8" i="2"/>
  <c r="B7" i="2"/>
  <c r="AI7" i="2"/>
  <c r="B3" i="2"/>
  <c r="T3" i="2"/>
  <c r="E3" i="2" l="1"/>
  <c r="X9" i="2"/>
  <c r="C24" i="2"/>
  <c r="F19" i="2"/>
  <c r="G20" i="2"/>
  <c r="G14" i="2"/>
  <c r="H13" i="2"/>
  <c r="I14" i="2"/>
  <c r="H17" i="2"/>
  <c r="G22" i="2"/>
  <c r="H14" i="2"/>
  <c r="I18" i="2"/>
  <c r="H20" i="2"/>
  <c r="I20" i="2"/>
  <c r="I12" i="2"/>
  <c r="E12" i="2"/>
  <c r="H24" i="2"/>
  <c r="H18" i="2"/>
  <c r="C12" i="2"/>
  <c r="I17" i="2"/>
  <c r="I25" i="2"/>
  <c r="E13" i="2"/>
  <c r="E20" i="2"/>
  <c r="D24" i="2"/>
  <c r="C17" i="2"/>
  <c r="G16" i="2"/>
  <c r="G13" i="2"/>
  <c r="D16" i="2"/>
  <c r="I26" i="2"/>
  <c r="H16" i="2"/>
  <c r="D12" i="2"/>
  <c r="C21" i="2"/>
  <c r="G26" i="2"/>
  <c r="I13" i="2"/>
  <c r="H12" i="2"/>
  <c r="G12" i="2"/>
  <c r="I21" i="2"/>
  <c r="H21" i="2"/>
  <c r="E21" i="2"/>
  <c r="W23" i="2"/>
  <c r="E24" i="2"/>
  <c r="D17" i="2"/>
  <c r="C16" i="2"/>
  <c r="C25" i="2"/>
  <c r="H25" i="2"/>
  <c r="I22" i="2"/>
  <c r="I24" i="2"/>
  <c r="D14" i="2"/>
  <c r="AH14" i="2"/>
  <c r="AL15" i="2"/>
  <c r="AL16" i="2" s="1"/>
  <c r="X20" i="2"/>
  <c r="E18" i="2"/>
  <c r="Y23" i="2"/>
  <c r="U23" i="2"/>
  <c r="C22" i="2"/>
  <c r="E17" i="2"/>
  <c r="C20" i="2"/>
  <c r="C18" i="2"/>
  <c r="D20" i="2"/>
  <c r="G18" i="2"/>
  <c r="Y13" i="2"/>
  <c r="D25" i="2"/>
  <c r="V13" i="2"/>
  <c r="U7" i="2" s="1"/>
  <c r="D18" i="2"/>
  <c r="E14" i="2"/>
  <c r="AA13" i="2"/>
  <c r="D21" i="2"/>
  <c r="E16" i="2"/>
  <c r="C14" i="2"/>
  <c r="E26" i="2"/>
  <c r="AJ14" i="2"/>
  <c r="AJ8" i="2" s="1"/>
  <c r="G17" i="2"/>
  <c r="D13" i="2"/>
  <c r="G25" i="2"/>
  <c r="E22" i="2"/>
  <c r="G21" i="2"/>
  <c r="H22" i="2"/>
  <c r="C26" i="2"/>
  <c r="U13" i="2"/>
  <c r="AH13" i="2"/>
  <c r="D22" i="2"/>
  <c r="E25" i="2"/>
  <c r="W13" i="2"/>
  <c r="W7" i="2" s="1"/>
  <c r="AK13" i="2"/>
  <c r="U14" i="2"/>
  <c r="AA14" i="2"/>
  <c r="Z13" i="2"/>
  <c r="AM14" i="2"/>
  <c r="AN13" i="2"/>
  <c r="AI14" i="2"/>
  <c r="AH8" i="2" s="1"/>
  <c r="D26" i="2"/>
  <c r="AJ12" i="2"/>
  <c r="AJ6" i="2" s="1"/>
  <c r="AN14" i="2"/>
  <c r="Z18" i="2"/>
  <c r="V18" i="2"/>
  <c r="W14" i="2"/>
  <c r="W8" i="2" s="1"/>
  <c r="AJ13" i="2"/>
  <c r="AJ7" i="2" s="1"/>
  <c r="AM12" i="2"/>
  <c r="AA19" i="2"/>
  <c r="W19" i="2"/>
  <c r="Y24" i="2"/>
  <c r="V14" i="2"/>
  <c r="U8" i="2" s="1"/>
  <c r="AN12" i="2"/>
  <c r="AM13" i="2"/>
  <c r="AI12" i="2"/>
  <c r="V19" i="2"/>
  <c r="AA18" i="2"/>
  <c r="U19" i="2"/>
  <c r="Y14" i="2"/>
  <c r="Z12" i="2"/>
  <c r="AK14" i="2"/>
  <c r="AH12" i="2"/>
  <c r="Y12" i="2"/>
  <c r="U18" i="2"/>
  <c r="W18" i="2"/>
  <c r="Z19" i="2"/>
  <c r="W24" i="2"/>
  <c r="U12" i="2"/>
  <c r="AI13" i="2"/>
  <c r="AH7" i="2" s="1"/>
  <c r="AK12" i="2"/>
  <c r="Z14" i="2"/>
  <c r="U24" i="2"/>
  <c r="Y19" i="2"/>
  <c r="Y18" i="2"/>
  <c r="G24" i="2"/>
  <c r="AA12" i="2"/>
  <c r="V12" i="2"/>
  <c r="U6" i="2" s="1"/>
  <c r="W12" i="2"/>
  <c r="W6" i="2" s="1"/>
  <c r="AJ3" i="2"/>
  <c r="AK3" i="2" s="1"/>
  <c r="F9" i="2"/>
  <c r="F15" i="2"/>
  <c r="F27" i="2"/>
  <c r="AL9" i="2"/>
  <c r="T9" i="2"/>
  <c r="F23" i="2"/>
  <c r="X15" i="2"/>
  <c r="B9" i="2"/>
  <c r="AG9" i="2"/>
  <c r="W3" i="2"/>
  <c r="G8" i="2" l="1"/>
  <c r="G6" i="2"/>
  <c r="X3" i="2"/>
  <c r="Y3" i="2" s="1"/>
  <c r="N13" i="2"/>
  <c r="F3" i="2"/>
  <c r="J14" i="2"/>
  <c r="H15" i="2"/>
  <c r="G23" i="2"/>
  <c r="AA20" i="2"/>
  <c r="C15" i="2"/>
  <c r="G15" i="2"/>
  <c r="I15" i="2"/>
  <c r="H19" i="2"/>
  <c r="I19" i="2"/>
  <c r="H27" i="2"/>
  <c r="J12" i="2"/>
  <c r="J17" i="2"/>
  <c r="K17" i="2" s="1"/>
  <c r="M17" i="2" s="1"/>
  <c r="D19" i="2"/>
  <c r="I27" i="2"/>
  <c r="I23" i="2"/>
  <c r="C6" i="2"/>
  <c r="G7" i="2"/>
  <c r="E7" i="2"/>
  <c r="E23" i="2"/>
  <c r="J16" i="2"/>
  <c r="K16" i="2" s="1"/>
  <c r="M16" i="2" s="1"/>
  <c r="J21" i="2"/>
  <c r="K21" i="2" s="1"/>
  <c r="M21" i="2" s="1"/>
  <c r="D23" i="2"/>
  <c r="C19" i="2"/>
  <c r="E19" i="2"/>
  <c r="J20" i="2"/>
  <c r="K20" i="2" s="1"/>
  <c r="M20" i="2" s="1"/>
  <c r="C27" i="2"/>
  <c r="E27" i="2"/>
  <c r="C23" i="2"/>
  <c r="J18" i="2"/>
  <c r="K18" i="2" s="1"/>
  <c r="M18" i="2" s="1"/>
  <c r="G19" i="2"/>
  <c r="D27" i="2"/>
  <c r="E6" i="2"/>
  <c r="J25" i="2"/>
  <c r="K25" i="2" s="1"/>
  <c r="M25" i="2" s="1"/>
  <c r="AB13" i="2"/>
  <c r="W9" i="2"/>
  <c r="AH15" i="2"/>
  <c r="AH16" i="2" s="1"/>
  <c r="Y7" i="2"/>
  <c r="G27" i="2"/>
  <c r="AA15" i="2"/>
  <c r="AL3" i="2"/>
  <c r="AK7" i="2"/>
  <c r="AM7" i="2" s="1"/>
  <c r="AN7" i="2" s="1"/>
  <c r="AP7" i="2" s="1"/>
  <c r="C7" i="2"/>
  <c r="E15" i="2"/>
  <c r="J22" i="2"/>
  <c r="K22" i="2" s="1"/>
  <c r="H23" i="2"/>
  <c r="AM15" i="2"/>
  <c r="AM16" i="2" s="1"/>
  <c r="J13" i="2"/>
  <c r="W15" i="2"/>
  <c r="E8" i="2"/>
  <c r="D15" i="2"/>
  <c r="AK8" i="2"/>
  <c r="U15" i="2"/>
  <c r="AO14" i="2"/>
  <c r="AP14" i="2" s="1"/>
  <c r="AQ14" i="2" s="1"/>
  <c r="AO12" i="2"/>
  <c r="AP12" i="2" s="1"/>
  <c r="V20" i="2"/>
  <c r="U20" i="2"/>
  <c r="AN15" i="2"/>
  <c r="AN16" i="2" s="1"/>
  <c r="AJ9" i="2"/>
  <c r="AK6" i="2"/>
  <c r="AB19" i="2"/>
  <c r="AC19" i="2" s="1"/>
  <c r="V24" i="2" s="1"/>
  <c r="W20" i="2"/>
  <c r="AJ15" i="2"/>
  <c r="AJ16" i="2" s="1"/>
  <c r="AK15" i="2"/>
  <c r="AK16" i="2" s="1"/>
  <c r="Y15" i="2"/>
  <c r="Y6" i="2"/>
  <c r="AB14" i="2"/>
  <c r="AB12" i="2"/>
  <c r="AC12" i="2" s="1"/>
  <c r="V15" i="2"/>
  <c r="Z15" i="2"/>
  <c r="U9" i="2"/>
  <c r="Z20" i="2"/>
  <c r="Y8" i="2"/>
  <c r="J26" i="2"/>
  <c r="K26" i="2" s="1"/>
  <c r="Y20" i="2"/>
  <c r="AB18" i="2"/>
  <c r="AC18" i="2" s="1"/>
  <c r="J24" i="2"/>
  <c r="K24" i="2" s="1"/>
  <c r="M24" i="2" s="1"/>
  <c r="AO13" i="2"/>
  <c r="AP13" i="2" s="1"/>
  <c r="AQ13" i="2" s="1"/>
  <c r="AH6" i="2"/>
  <c r="AH9" i="2" s="1"/>
  <c r="AI15" i="2"/>
  <c r="AI16" i="2" s="1"/>
  <c r="C8" i="2"/>
  <c r="F28" i="2"/>
  <c r="G9" i="2" l="1"/>
  <c r="M26" i="2"/>
  <c r="M22" i="2"/>
  <c r="P15" i="2"/>
  <c r="Z24" i="2"/>
  <c r="AA24" i="2" s="1"/>
  <c r="N26" i="2"/>
  <c r="N24" i="2"/>
  <c r="N20" i="2"/>
  <c r="N18" i="2"/>
  <c r="N21" i="2"/>
  <c r="P27" i="2"/>
  <c r="P23" i="2"/>
  <c r="N22" i="2"/>
  <c r="N25" i="2"/>
  <c r="P19" i="2"/>
  <c r="N16" i="2"/>
  <c r="N17" i="2"/>
  <c r="G3" i="2"/>
  <c r="AC13" i="2"/>
  <c r="AD13" i="2" s="1"/>
  <c r="AC14" i="2"/>
  <c r="AD14" i="2" s="1"/>
  <c r="K12" i="2"/>
  <c r="M12" i="2" s="1"/>
  <c r="K13" i="2"/>
  <c r="K14" i="2"/>
  <c r="D8" i="2" s="1"/>
  <c r="K19" i="2"/>
  <c r="N19" i="2" s="1"/>
  <c r="H28" i="2"/>
  <c r="I28" i="2"/>
  <c r="C28" i="2"/>
  <c r="G28" i="2"/>
  <c r="E28" i="2"/>
  <c r="J19" i="2"/>
  <c r="E9" i="2"/>
  <c r="D28" i="2"/>
  <c r="Y9" i="2"/>
  <c r="AK9" i="2"/>
  <c r="C9" i="2"/>
  <c r="AD19" i="2"/>
  <c r="J23" i="2"/>
  <c r="J15" i="2"/>
  <c r="AB20" i="2"/>
  <c r="AI8" i="2"/>
  <c r="AM8" i="2" s="1"/>
  <c r="AN8" i="2" s="1"/>
  <c r="AP8" i="2" s="1"/>
  <c r="AD12" i="2"/>
  <c r="AB15" i="2"/>
  <c r="V6" i="2"/>
  <c r="Z6" i="2" s="1"/>
  <c r="J27" i="2"/>
  <c r="AO15" i="2"/>
  <c r="AO16" i="2" s="1"/>
  <c r="V23" i="2"/>
  <c r="AC20" i="2"/>
  <c r="AD18" i="2"/>
  <c r="AP15" i="2"/>
  <c r="AP16" i="2" s="1"/>
  <c r="AQ12" i="2"/>
  <c r="AI6" i="2"/>
  <c r="K27" i="2"/>
  <c r="N27" i="2" s="1"/>
  <c r="M19" i="2" l="1"/>
  <c r="M13" i="2"/>
  <c r="D7" i="2"/>
  <c r="H7" i="2" s="1"/>
  <c r="I7" i="2" s="1"/>
  <c r="K7" i="2" s="1"/>
  <c r="M27" i="2"/>
  <c r="Z23" i="2"/>
  <c r="AA23" i="2" s="1"/>
  <c r="AC24" i="2"/>
  <c r="M14" i="2"/>
  <c r="N14" i="2"/>
  <c r="N12" i="2"/>
  <c r="P28" i="2"/>
  <c r="O27" i="2"/>
  <c r="Q27" i="2" s="1"/>
  <c r="O19" i="2"/>
  <c r="Q19" i="2" s="1"/>
  <c r="AC15" i="2"/>
  <c r="V8" i="2"/>
  <c r="V7" i="2"/>
  <c r="Z7" i="2" s="1"/>
  <c r="AA7" i="2" s="1"/>
  <c r="AC7" i="2" s="1"/>
  <c r="K15" i="2"/>
  <c r="M15" i="2" s="1"/>
  <c r="D6" i="2"/>
  <c r="K23" i="2"/>
  <c r="M23" i="2" s="1"/>
  <c r="J28" i="2"/>
  <c r="AI9" i="2"/>
  <c r="AM6" i="2"/>
  <c r="AA6" i="2"/>
  <c r="AC6" i="2" s="1"/>
  <c r="N23" i="2" l="1"/>
  <c r="Z8" i="2"/>
  <c r="AA8" i="2" s="1"/>
  <c r="AC8" i="2" s="1"/>
  <c r="AC23" i="2"/>
  <c r="N15" i="2"/>
  <c r="O15" i="2"/>
  <c r="Q15" i="2" s="1"/>
  <c r="O23" i="2"/>
  <c r="Q23" i="2" s="1"/>
  <c r="H6" i="2"/>
  <c r="I6" i="2" s="1"/>
  <c r="H8" i="2"/>
  <c r="I8" i="2" s="1"/>
  <c r="K8" i="2" s="1"/>
  <c r="V9" i="2"/>
  <c r="K28" i="2"/>
  <c r="D9" i="2"/>
  <c r="AN6" i="2"/>
  <c r="AP6" i="2" s="1"/>
  <c r="AM9" i="2"/>
  <c r="AN9" i="2" s="1"/>
  <c r="AP9" i="2" s="1"/>
  <c r="Z9" i="2" l="1"/>
  <c r="AA9" i="2" s="1"/>
  <c r="N28" i="2"/>
  <c r="M28" i="2"/>
  <c r="O28" i="2"/>
  <c r="Q28" i="2" s="1"/>
  <c r="K6" i="2"/>
  <c r="H9" i="2"/>
  <c r="AC9" i="2" l="1"/>
  <c r="I9" i="2"/>
  <c r="K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Akuffo, Henry</author>
    <author>Zia, Mohammed</author>
    <author>Ur Rehman, Ibad</author>
  </authors>
  <commentList>
    <comment ref="J617" authorId="0" shapeId="0" xr:uid="{4CE9A40E-E359-4BF7-872C-7E33057849B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43" authorId="0" shapeId="0" xr:uid="{F03DA4F2-415B-4F49-8F70-4582B9B085AC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88" authorId="0" shapeId="0" xr:uid="{124C0F58-DB92-46BF-8D73-B96F0E1FDBA8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692" authorId="0" shapeId="0" xr:uid="{3A997125-4414-4651-9B67-1E58EAD3DE6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3" authorId="0" shapeId="0" xr:uid="{91650422-6033-4C2B-989E-D01419EB581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714" authorId="0" shapeId="0" xr:uid="{C025FEC7-42C8-4DDD-B5AD-E1D28697ED2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14" authorId="0" shapeId="0" xr:uid="{93931052-E699-4844-B507-5DD6A5034C87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33" authorId="0" shapeId="0" xr:uid="{2B8BC7E5-6DF5-4663-A749-FB53A30A279B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50" authorId="0" shapeId="0" xr:uid="{B8A6C427-FA08-4B3C-AB13-CB81B9E2FD3E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2" authorId="0" shapeId="0" xr:uid="{519FFD75-A7F6-4F7B-BE52-A653B9AF261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4" authorId="0" shapeId="0" xr:uid="{F6DA014F-97D0-4AA5-899D-06B88EDFB81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69" authorId="0" shapeId="0" xr:uid="{57018EB4-D8AE-4C18-B4EA-81FC483B1D95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876" authorId="0" shapeId="0" xr:uid="{18BF8236-FC82-49BC-A1E5-7B99344B90FA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0" authorId="0" shapeId="0" xr:uid="{59CCC2D7-4330-4C19-A67F-0232A78C4944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901" authorId="0" shapeId="0" xr:uid="{3E623C1C-D445-48DD-9D89-9056DC1643E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75" authorId="1" shapeId="0" xr:uid="{293A852D-8FF1-496B-BA13-F3D43330C698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 moving to DS from 4th Mar-26</t>
        </r>
      </text>
    </comment>
    <comment ref="J1276" authorId="0" shapeId="0" xr:uid="{E45A254F-8D3B-4CFB-994F-B191B71DE5D1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80" authorId="2" shapeId="0" xr:uid="{93136DCA-F24C-4113-BA88-DF050A084B35}">
      <text>
        <r>
          <rPr>
            <b/>
            <sz val="9"/>
            <color indexed="81"/>
            <rFont val="Tahoma"/>
            <family val="2"/>
          </rPr>
          <t>Ur Rehman, Ibad:</t>
        </r>
        <r>
          <rPr>
            <sz val="9"/>
            <color indexed="81"/>
            <rFont val="Tahoma"/>
            <family val="2"/>
          </rPr>
          <t xml:space="preserve">
Moving to NS from 2nd Dec-25</t>
        </r>
      </text>
    </comment>
    <comment ref="J1281" authorId="1" shapeId="0" xr:uid="{FE8D2D9E-152F-4242-86C6-7CA84A58D5D1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MS 5th Mar-26</t>
        </r>
      </text>
    </comment>
    <comment ref="J1282" authorId="0" shapeId="0" xr:uid="{19363591-5AE7-4B00-ADF1-5D3CECE41F29}">
      <text>
        <r>
          <rPr>
            <b/>
            <sz val="9"/>
            <color indexed="81"/>
            <rFont val="Tahoma"/>
            <family val="2"/>
          </rPr>
          <t>Akuffo, Henry:</t>
        </r>
        <r>
          <rPr>
            <sz val="9"/>
            <color indexed="81"/>
            <rFont val="Tahoma"/>
            <family val="2"/>
          </rPr>
          <t xml:space="preserve">
Mid Shift mapped under night shift</t>
        </r>
      </text>
    </comment>
    <comment ref="J1286" authorId="1" shapeId="0" xr:uid="{C07A115B-8930-439A-88E5-FA9049774EBF}">
      <text>
        <r>
          <rPr>
            <b/>
            <sz val="9"/>
            <color indexed="81"/>
            <rFont val="Tahoma"/>
            <family val="2"/>
          </rPr>
          <t>Zia, Mohammed:</t>
        </r>
        <r>
          <rPr>
            <sz val="9"/>
            <color indexed="81"/>
            <rFont val="Tahoma"/>
            <family val="2"/>
          </rPr>
          <t xml:space="preserve">
Moving to DS 5th Mar-26</t>
        </r>
      </text>
    </comment>
  </commentList>
</comments>
</file>

<file path=xl/sharedStrings.xml><?xml version="1.0" encoding="utf-8"?>
<sst xmlns="http://schemas.openxmlformats.org/spreadsheetml/2006/main" count="24996" uniqueCount="2939">
  <si>
    <t>Date</t>
  </si>
  <si>
    <t>P</t>
  </si>
  <si>
    <t>Present</t>
  </si>
  <si>
    <t>SL</t>
  </si>
  <si>
    <t>AB</t>
  </si>
  <si>
    <t>Absent</t>
  </si>
  <si>
    <t>EL</t>
  </si>
  <si>
    <t>PL</t>
  </si>
  <si>
    <t>Any Planned Leave</t>
  </si>
  <si>
    <t>ABWI</t>
  </si>
  <si>
    <t>OFF</t>
  </si>
  <si>
    <t>Weekly Off</t>
  </si>
  <si>
    <t>S.No</t>
  </si>
  <si>
    <t>Psoft No</t>
  </si>
  <si>
    <t>AMZ ID</t>
  </si>
  <si>
    <t>EMP Name</t>
  </si>
  <si>
    <t>DOJ</t>
  </si>
  <si>
    <t>Employment Type</t>
  </si>
  <si>
    <t>Building</t>
  </si>
  <si>
    <t>Cost Center</t>
  </si>
  <si>
    <t>Shift</t>
  </si>
  <si>
    <t>OFF1</t>
  </si>
  <si>
    <t>OFF2</t>
  </si>
  <si>
    <t>Job Title</t>
  </si>
  <si>
    <t>Department</t>
  </si>
  <si>
    <t>Process Path</t>
  </si>
  <si>
    <t>Type</t>
  </si>
  <si>
    <t>3P</t>
  </si>
  <si>
    <t>Line Manager Login</t>
  </si>
  <si>
    <t>Line Manager</t>
  </si>
  <si>
    <t>Remarks</t>
  </si>
  <si>
    <t>Temporary</t>
  </si>
  <si>
    <t>Day Shift</t>
  </si>
  <si>
    <t>ICQA</t>
  </si>
  <si>
    <t>Regular</t>
  </si>
  <si>
    <t>Inbound</t>
  </si>
  <si>
    <t>OT</t>
  </si>
  <si>
    <t>Outbound</t>
  </si>
  <si>
    <t>Mid Shift</t>
  </si>
  <si>
    <t>Night Shift</t>
  </si>
  <si>
    <t>Previous Day HC</t>
  </si>
  <si>
    <t>L3 Ops Supervisors</t>
  </si>
  <si>
    <t>FTE HC</t>
  </si>
  <si>
    <t>NFTE HC</t>
  </si>
  <si>
    <t>Today's HC</t>
  </si>
  <si>
    <t>HC LM Target</t>
  </si>
  <si>
    <t>Achievement %</t>
  </si>
  <si>
    <t>Total HC</t>
  </si>
  <si>
    <t>Unscheduled</t>
  </si>
  <si>
    <t>Schedule to Work</t>
  </si>
  <si>
    <t>UPL</t>
  </si>
  <si>
    <t>Present %</t>
  </si>
  <si>
    <t>LM Target</t>
  </si>
  <si>
    <t>Target Achievement</t>
  </si>
  <si>
    <t>Grand Total</t>
  </si>
  <si>
    <t>AB/ABWI</t>
  </si>
  <si>
    <t>Scheduled</t>
  </si>
  <si>
    <t>ICQA Total</t>
  </si>
  <si>
    <t>Outbound Total</t>
  </si>
  <si>
    <t>SC Total</t>
  </si>
  <si>
    <t>%</t>
  </si>
  <si>
    <t>Country</t>
  </si>
  <si>
    <t>LOB</t>
  </si>
  <si>
    <t>Shift Difference</t>
  </si>
  <si>
    <t>AUH1</t>
  </si>
  <si>
    <t>AUH3</t>
  </si>
  <si>
    <t>DAD1</t>
  </si>
  <si>
    <t>CRET</t>
  </si>
  <si>
    <t>Warehouse Deals</t>
  </si>
  <si>
    <t>CRET Total</t>
  </si>
  <si>
    <t>Inbound Total</t>
  </si>
  <si>
    <t>Present % (without OT)</t>
  </si>
  <si>
    <t>Target</t>
  </si>
  <si>
    <t>Present(Including OT)</t>
  </si>
  <si>
    <t>UAE</t>
  </si>
  <si>
    <t>FC</t>
  </si>
  <si>
    <t>NA</t>
  </si>
  <si>
    <t>Saturday</t>
  </si>
  <si>
    <t>Sunday</t>
  </si>
  <si>
    <t>Warehouse Associate 12M</t>
  </si>
  <si>
    <t>Direct</t>
  </si>
  <si>
    <t>Fastlink</t>
  </si>
  <si>
    <t>aanso</t>
  </si>
  <si>
    <t>labcamar</t>
  </si>
  <si>
    <t>Tuesday</t>
  </si>
  <si>
    <t>Wednesday</t>
  </si>
  <si>
    <t>Warehouse Associate 24M</t>
  </si>
  <si>
    <t>Quesscorp</t>
  </si>
  <si>
    <t>Thursday</t>
  </si>
  <si>
    <t>Warehouse Associate 8W</t>
  </si>
  <si>
    <t>Dulsco</t>
  </si>
  <si>
    <t>iddabdud</t>
  </si>
  <si>
    <t>Monday</t>
  </si>
  <si>
    <t>rosadamu</t>
  </si>
  <si>
    <t>Adams,Rose</t>
  </si>
  <si>
    <t>Friday</t>
  </si>
  <si>
    <t>EFS</t>
  </si>
  <si>
    <t>FC Associate III</t>
  </si>
  <si>
    <t>Blue Badge</t>
  </si>
  <si>
    <t>Adecco</t>
  </si>
  <si>
    <t>galeowus</t>
  </si>
  <si>
    <t>berchimh</t>
  </si>
  <si>
    <t>brerubay</t>
  </si>
  <si>
    <t>ybbright</t>
  </si>
  <si>
    <t>ndanzyco</t>
  </si>
  <si>
    <t>daniboah</t>
  </si>
  <si>
    <t>daangmor</t>
  </si>
  <si>
    <t>dlacap</t>
  </si>
  <si>
    <t>FC Associate I</t>
  </si>
  <si>
    <t>kadelias</t>
  </si>
  <si>
    <t>emmafian</t>
  </si>
  <si>
    <t>emmanhme</t>
  </si>
  <si>
    <t>everxmil</t>
  </si>
  <si>
    <t>asiamahb</t>
  </si>
  <si>
    <t>jglakuma</t>
  </si>
  <si>
    <t>goodeuge</t>
  </si>
  <si>
    <t>hishkutt</t>
  </si>
  <si>
    <t>conteiby</t>
  </si>
  <si>
    <t>jafarsab</t>
  </si>
  <si>
    <t>sessijam</t>
  </si>
  <si>
    <t>mwiiroja</t>
  </si>
  <si>
    <t>joaagyek</t>
  </si>
  <si>
    <t>pmwauraj</t>
  </si>
  <si>
    <t>karugaba</t>
  </si>
  <si>
    <t>jonztutu</t>
  </si>
  <si>
    <t>josdohmo</t>
  </si>
  <si>
    <t>ananjosp</t>
  </si>
  <si>
    <t>julieoky</t>
  </si>
  <si>
    <t>skyeseli</t>
  </si>
  <si>
    <t>Kyerewaa,Selina</t>
  </si>
  <si>
    <t>lamissia</t>
  </si>
  <si>
    <t>kofileon</t>
  </si>
  <si>
    <t>mwrmarti</t>
  </si>
  <si>
    <t>namutmar</t>
  </si>
  <si>
    <t>musakmwe</t>
  </si>
  <si>
    <t>murdnase</t>
  </si>
  <si>
    <t>akonelso</t>
  </si>
  <si>
    <t>adarkwno</t>
  </si>
  <si>
    <t>ntongopo</t>
  </si>
  <si>
    <t>onacisbr</t>
  </si>
  <si>
    <t>otooemml</t>
  </si>
  <si>
    <t>Otoo,Emmanuel</t>
  </si>
  <si>
    <t>princeor</t>
  </si>
  <si>
    <t>RVEETIL</t>
  </si>
  <si>
    <t>thosanjq</t>
  </si>
  <si>
    <t>mosaselv</t>
  </si>
  <si>
    <t>senncube</t>
  </si>
  <si>
    <t>psharonc</t>
  </si>
  <si>
    <t>ncusilet</t>
  </si>
  <si>
    <t>ngwesola</t>
  </si>
  <si>
    <t>owususol</t>
  </si>
  <si>
    <t>sudqsonu</t>
  </si>
  <si>
    <t>THATTYOD</t>
  </si>
  <si>
    <t>Thattyodan,Sarang</t>
  </si>
  <si>
    <t>bihveraf</t>
  </si>
  <si>
    <t>ovirajan</t>
  </si>
  <si>
    <t>kombabep</t>
  </si>
  <si>
    <t>Abel Bayelema Kombat</t>
  </si>
  <si>
    <t>oppongla</t>
  </si>
  <si>
    <t>ABRAHAM SENIOR OPPONG</t>
  </si>
  <si>
    <t>kebedeed</t>
  </si>
  <si>
    <t>danjuali</t>
  </si>
  <si>
    <t>Ali Muhammad Danjuma</t>
  </si>
  <si>
    <t>vmustapa</t>
  </si>
  <si>
    <t>Aminatu Korkor Mustapha</t>
  </si>
  <si>
    <t>tumwgben</t>
  </si>
  <si>
    <t>BENSON TUMWINE</t>
  </si>
  <si>
    <t>cmaforun</t>
  </si>
  <si>
    <t>CHANTAL MAFOR UNABI</t>
  </si>
  <si>
    <t>ayumuwdo</t>
  </si>
  <si>
    <t>Doreen Demor Ayumu</t>
  </si>
  <si>
    <t>nyeineb</t>
  </si>
  <si>
    <t>Ei Ei Nyein</t>
  </si>
  <si>
    <t>emmaabug</t>
  </si>
  <si>
    <t>Emmanuel Abugri</t>
  </si>
  <si>
    <t>xcemmanu</t>
  </si>
  <si>
    <t>Emmanuel Cudjoe</t>
  </si>
  <si>
    <t>uemodoom</t>
  </si>
  <si>
    <t>Emmanuel Odoom</t>
  </si>
  <si>
    <t>timfelig</t>
  </si>
  <si>
    <t>FELICIA TIMAH</t>
  </si>
  <si>
    <t>amaduga</t>
  </si>
  <si>
    <t>Ganiu Amadu</t>
  </si>
  <si>
    <t>moghazy</t>
  </si>
  <si>
    <t>Ghazy,Mohamed </t>
  </si>
  <si>
    <t>boamhenr</t>
  </si>
  <si>
    <t>Henry Asiamah Boamah</t>
  </si>
  <si>
    <t>jemaisen</t>
  </si>
  <si>
    <t>Jemaisen Hermano Plaza</t>
  </si>
  <si>
    <t>kaijudit</t>
  </si>
  <si>
    <t>JUDITH KABUGHO</t>
  </si>
  <si>
    <t>kmmohami</t>
  </si>
  <si>
    <t>K M Mohamed Imran</t>
  </si>
  <si>
    <t>qkhinmek</t>
  </si>
  <si>
    <t>Khin Me Me Ko</t>
  </si>
  <si>
    <t>tuleoleo</t>
  </si>
  <si>
    <t>Leo Leonardo Tumay</t>
  </si>
  <si>
    <t>maryabua</t>
  </si>
  <si>
    <t>Mary Abudu</t>
  </si>
  <si>
    <t>kyawqmin</t>
  </si>
  <si>
    <t>Min Khant Kyaw</t>
  </si>
  <si>
    <t>mkhlim</t>
  </si>
  <si>
    <t>Muhammad Khalid</t>
  </si>
  <si>
    <t>firstmup</t>
  </si>
  <si>
    <t>Mupetiwa,First</t>
  </si>
  <si>
    <t>dprincer</t>
  </si>
  <si>
    <t>PRINCE RICHARD DARKO SRAHA</t>
  </si>
  <si>
    <t>pyaeomau</t>
  </si>
  <si>
    <t>Pyae Phyo Maung</t>
  </si>
  <si>
    <t>roedieme</t>
  </si>
  <si>
    <t>Roland Ediemejang Muankume</t>
  </si>
  <si>
    <t>ansahfsa</t>
  </si>
  <si>
    <t xml:space="preserve">Samuel Kwesi Ansah </t>
  </si>
  <si>
    <t>tabifors</t>
  </si>
  <si>
    <t>Sergeo Tabifor</t>
  </si>
  <si>
    <t>thxnakop</t>
  </si>
  <si>
    <t>Theresa Nako Petiafo</t>
  </si>
  <si>
    <t>pyaminso</t>
  </si>
  <si>
    <t>Yamin Kyaw Soe</t>
  </si>
  <si>
    <t>minooxye</t>
  </si>
  <si>
    <t>Ye Min Oo</t>
  </si>
  <si>
    <t>fzizinga</t>
  </si>
  <si>
    <t>Zizinga Faizal</t>
  </si>
  <si>
    <t>ajmalaa</t>
  </si>
  <si>
    <t>Abdul Qadir Muhammad Ajmal</t>
  </si>
  <si>
    <t>pparsin</t>
  </si>
  <si>
    <t>nnahla</t>
  </si>
  <si>
    <t>Nahla,Fathimathul</t>
  </si>
  <si>
    <t>abhiybab</t>
  </si>
  <si>
    <t>ABHITH KUTTI PUNATHIL THAZHA BABU</t>
  </si>
  <si>
    <t>chinaabo</t>
  </si>
  <si>
    <t>ABOUH CHINARINE EFEUTLAKA</t>
  </si>
  <si>
    <t>vkkatyal</t>
  </si>
  <si>
    <t>tiacquah</t>
  </si>
  <si>
    <t>agnestwu</t>
  </si>
  <si>
    <t>AGNES TWUMWAA</t>
  </si>
  <si>
    <t>manoajay</t>
  </si>
  <si>
    <t>AJAY MANOHAR</t>
  </si>
  <si>
    <t>kodataks</t>
  </si>
  <si>
    <t>AKSHAY KODATHAMVALLY</t>
  </si>
  <si>
    <t>jospalbi</t>
  </si>
  <si>
    <t>ALBIN JOSE</t>
  </si>
  <si>
    <t>mpandeal</t>
  </si>
  <si>
    <t>ALEX MPANDE</t>
  </si>
  <si>
    <t>nkrumaai</t>
  </si>
  <si>
    <t>Alex Nkrumah</t>
  </si>
  <si>
    <t>alhajban</t>
  </si>
  <si>
    <t>Alhaji Amara Rahman Bangura</t>
  </si>
  <si>
    <t>alhaslis</t>
  </si>
  <si>
    <t>ALHASSAN ISSAKA</t>
  </si>
  <si>
    <t>alusikor</t>
  </si>
  <si>
    <t>ALUSINE KOROMA</t>
  </si>
  <si>
    <t>roambili</t>
  </si>
  <si>
    <t>bamehami</t>
  </si>
  <si>
    <t>AMINATA BAMEH MARAH</t>
  </si>
  <si>
    <t>amoakviw</t>
  </si>
  <si>
    <t>Amoako Vida</t>
  </si>
  <si>
    <t>yankeant</t>
  </si>
  <si>
    <t>ANTHONY YANKEY</t>
  </si>
  <si>
    <t>kukulago</t>
  </si>
  <si>
    <t>Anusha Dilrukshi Gunathilake</t>
  </si>
  <si>
    <t>arshshaj</t>
  </si>
  <si>
    <t>ARSHAD  SHAJAHAN</t>
  </si>
  <si>
    <t>hbabuaru</t>
  </si>
  <si>
    <t>ARUN BABU</t>
  </si>
  <si>
    <t>stelasar</t>
  </si>
  <si>
    <t>Asare,Stella Nyarko</t>
  </si>
  <si>
    <t>sarpoatt</t>
  </si>
  <si>
    <t>zauguaug</t>
  </si>
  <si>
    <t>AUGUSTIN AUGUSTIN</t>
  </si>
  <si>
    <t>myasaung</t>
  </si>
  <si>
    <t>Aung Kaung Myat</t>
  </si>
  <si>
    <t>aungphy</t>
  </si>
  <si>
    <t>Aung Thu Ya Phyo</t>
  </si>
  <si>
    <t>fuseawal</t>
  </si>
  <si>
    <t>AWAL FUSEINI</t>
  </si>
  <si>
    <t>noeliayo</t>
  </si>
  <si>
    <t>Ayong,Noeline Nuck</t>
  </si>
  <si>
    <t>sedbakoh</t>
  </si>
  <si>
    <t>Bakoh,Sedoline Ndongo</t>
  </si>
  <si>
    <t>bwamoako</t>
  </si>
  <si>
    <t>Benjamin Kwarteng Amoako</t>
  </si>
  <si>
    <t>hbinepal</t>
  </si>
  <si>
    <t>BIKASH NEPALI</t>
  </si>
  <si>
    <t>bisophij</t>
  </si>
  <si>
    <t>Bio,Sophia</t>
  </si>
  <si>
    <t>bismopok</t>
  </si>
  <si>
    <t>Bismark Opoku</t>
  </si>
  <si>
    <t>sarpbism</t>
  </si>
  <si>
    <t>BISMARK SARPONG</t>
  </si>
  <si>
    <t>blesndu</t>
  </si>
  <si>
    <t>Blessing Anya Ndu</t>
  </si>
  <si>
    <t>kabbrigg</t>
  </si>
  <si>
    <t>Briggs Mudiwa Kabaya</t>
  </si>
  <si>
    <t>adufbrig</t>
  </si>
  <si>
    <t>Bright Adu</t>
  </si>
  <si>
    <t>brigtawu</t>
  </si>
  <si>
    <t>cathprom</t>
  </si>
  <si>
    <t>vachampa</t>
  </si>
  <si>
    <t>Champagne Vanessa Djaba</t>
  </si>
  <si>
    <t>chicharf</t>
  </si>
  <si>
    <t>CHARLES CHIBINDI</t>
  </si>
  <si>
    <t>chaoseip</t>
  </si>
  <si>
    <t>achungak</t>
  </si>
  <si>
    <t>Chelsea Achu Ngako</t>
  </si>
  <si>
    <t>chrbaid</t>
  </si>
  <si>
    <t>Christian Ampofo Baiden</t>
  </si>
  <si>
    <t>ashiegbi</t>
  </si>
  <si>
    <t>Clemence Ashiegbi</t>
  </si>
  <si>
    <t>ananecle</t>
  </si>
  <si>
    <t>CLEMENT ANANE GEYI</t>
  </si>
  <si>
    <t>abiadcon</t>
  </si>
  <si>
    <t>Constance Abiadoo Bentum</t>
  </si>
  <si>
    <t>dhobhada</t>
  </si>
  <si>
    <t>Dadirai Dhobha</t>
  </si>
  <si>
    <t>ridadzid</t>
  </si>
  <si>
    <t>Dadzie,Richard</t>
  </si>
  <si>
    <t>danabuak</t>
  </si>
  <si>
    <t>Daniel Abu Akparibo</t>
  </si>
  <si>
    <t>dangbaso</t>
  </si>
  <si>
    <t>Daniel Basonege</t>
  </si>
  <si>
    <t>pdavadom</t>
  </si>
  <si>
    <t>David Benjamin Adom</t>
  </si>
  <si>
    <t>denniaap</t>
  </si>
  <si>
    <t>Dennis Kwabena Appau</t>
  </si>
  <si>
    <t>inkooder</t>
  </si>
  <si>
    <t>Derrick Inkoom</t>
  </si>
  <si>
    <t>diclklin</t>
  </si>
  <si>
    <t>Dickson Kojo Klinogo</t>
  </si>
  <si>
    <t>dimohanr</t>
  </si>
  <si>
    <t>DineshKumar Mohanraj</t>
  </si>
  <si>
    <t>tsadorca</t>
  </si>
  <si>
    <t>Dorcas Sakyiamah</t>
  </si>
  <si>
    <t>dorasare</t>
  </si>
  <si>
    <t>Dorothy Asare</t>
  </si>
  <si>
    <t>durodori</t>
  </si>
  <si>
    <t>Durowaa,Doris</t>
  </si>
  <si>
    <t>soebenep</t>
  </si>
  <si>
    <t>Ebenezer Somiah</t>
  </si>
  <si>
    <t>twumeben</t>
  </si>
  <si>
    <t>Ebenezer Twumasi</t>
  </si>
  <si>
    <t>BENTEROE</t>
  </si>
  <si>
    <t>Edito Bentero</t>
  </si>
  <si>
    <t>biyeahe</t>
  </si>
  <si>
    <t>EDWIN BIYEAH</t>
  </si>
  <si>
    <t>eliavony</t>
  </si>
  <si>
    <t>ELIZABETH ABENA AVONYO</t>
  </si>
  <si>
    <t>remmanai</t>
  </si>
  <si>
    <t>Emmanuel Aidoo</t>
  </si>
  <si>
    <t>enanemma</t>
  </si>
  <si>
    <t>Emmanuel Enang Nkwonji</t>
  </si>
  <si>
    <t>agyeieem</t>
  </si>
  <si>
    <t>Emmanuel Yeboah Agyei</t>
  </si>
  <si>
    <t>geoppong</t>
  </si>
  <si>
    <t>Enoch Oppong</t>
  </si>
  <si>
    <t>abongger</t>
  </si>
  <si>
    <t>Erica Abong Ghogah</t>
  </si>
  <si>
    <t>uernesme</t>
  </si>
  <si>
    <t>Ernest Mensah Awudi</t>
  </si>
  <si>
    <t>kamaesth</t>
  </si>
  <si>
    <t>Esther Wairimu Kamau</t>
  </si>
  <si>
    <t>evanasam</t>
  </si>
  <si>
    <t>Evans Asamoah</t>
  </si>
  <si>
    <t>alfazan</t>
  </si>
  <si>
    <t>Faizan Ali</t>
  </si>
  <si>
    <t>chepfanc</t>
  </si>
  <si>
    <t>FANCY CHEPKEMOI</t>
  </si>
  <si>
    <t>fatawabd</t>
  </si>
  <si>
    <t>Fataw Abdulai</t>
  </si>
  <si>
    <t>festusnd</t>
  </si>
  <si>
    <t>Festus Nii Darko</t>
  </si>
  <si>
    <t>francpam</t>
  </si>
  <si>
    <t>Francis Ampong</t>
  </si>
  <si>
    <t>frimpofr</t>
  </si>
  <si>
    <t>Francis Owusu Frimpong</t>
  </si>
  <si>
    <t>frgontra</t>
  </si>
  <si>
    <t>Francois C Gontran Gbekonsi</t>
  </si>
  <si>
    <t>iahfrank</t>
  </si>
  <si>
    <t>FRANK AHEN</t>
  </si>
  <si>
    <t>kamargib</t>
  </si>
  <si>
    <t>Gibrilla Kamara</t>
  </si>
  <si>
    <t>alusgidf</t>
  </si>
  <si>
    <t>gikwameg</t>
  </si>
  <si>
    <t>Gideon Kwame Gyasi</t>
  </si>
  <si>
    <t>andohogi</t>
  </si>
  <si>
    <t>Gifty Andoh</t>
  </si>
  <si>
    <t>takpalgo</t>
  </si>
  <si>
    <t>GODWIN AKPALU</t>
  </si>
  <si>
    <t>wiafgord</t>
  </si>
  <si>
    <t>Gordon Wiafe</t>
  </si>
  <si>
    <t>asargrav</t>
  </si>
  <si>
    <t>Grace Asare</t>
  </si>
  <si>
    <t>honoadan</t>
  </si>
  <si>
    <t>Honorine Eyandong Adang</t>
  </si>
  <si>
    <t>isaankru</t>
  </si>
  <si>
    <t>Isaac Kwame Nkrumah</t>
  </si>
  <si>
    <t>masinois</t>
  </si>
  <si>
    <t>ISAAC MASINDE</t>
  </si>
  <si>
    <t>samlisaa</t>
  </si>
  <si>
    <t>Isaac Sam</t>
  </si>
  <si>
    <t>aivamule</t>
  </si>
  <si>
    <t>IVAN MULEMA</t>
  </si>
  <si>
    <t>agyarjac</t>
  </si>
  <si>
    <t>jescmapu</t>
  </si>
  <si>
    <t>Jescar Mapuranga</t>
  </si>
  <si>
    <t>cjoheyia</t>
  </si>
  <si>
    <t>John Eyiah</t>
  </si>
  <si>
    <t>xjonyank</t>
  </si>
  <si>
    <t>JOHN NYANKEY</t>
  </si>
  <si>
    <t>johnyoky</t>
  </si>
  <si>
    <t>John Okyere</t>
  </si>
  <si>
    <t>kamarjoy</t>
  </si>
  <si>
    <t>John Philip Kamara</t>
  </si>
  <si>
    <t>agorgije</t>
  </si>
  <si>
    <t>Jonathan Agorgi</t>
  </si>
  <si>
    <t>vjoasare</t>
  </si>
  <si>
    <t>Josep Asare Yalley</t>
  </si>
  <si>
    <t>joagyeku</t>
  </si>
  <si>
    <t>Joseph Agyekum</t>
  </si>
  <si>
    <t>ndedjose</t>
  </si>
  <si>
    <t>Joseph Ndede</t>
  </si>
  <si>
    <t>uknijosh</t>
  </si>
  <si>
    <t>Joshua Chuchuboy Knight</t>
  </si>
  <si>
    <t>jospatie</t>
  </si>
  <si>
    <t>Joso,Patience Nganje</t>
  </si>
  <si>
    <t>ofosuhjo</t>
  </si>
  <si>
    <t>Joyce Ofosuhene</t>
  </si>
  <si>
    <t>tchuinok</t>
  </si>
  <si>
    <t>Julienne Tchuino Kamche</t>
  </si>
  <si>
    <t>appiajul</t>
  </si>
  <si>
    <t>Juliet Appiah</t>
  </si>
  <si>
    <t>qkejulie</t>
  </si>
  <si>
    <t>JULIET KENEMA</t>
  </si>
  <si>
    <t>aliikama</t>
  </si>
  <si>
    <t>KAMARA,ALIE</t>
  </si>
  <si>
    <t>pkamhuru</t>
  </si>
  <si>
    <t>kahermaj</t>
  </si>
  <si>
    <t>KAMOGA HERMAN</t>
  </si>
  <si>
    <t>umarkas</t>
  </si>
  <si>
    <t>Kassim Umar</t>
  </si>
  <si>
    <t>twenewka</t>
  </si>
  <si>
    <t>vkaunght</t>
  </si>
  <si>
    <t>Kaung Htet</t>
  </si>
  <si>
    <t>ikeharsa</t>
  </si>
  <si>
    <t>Kehar Sing Sarki</t>
  </si>
  <si>
    <t>kkecarls</t>
  </si>
  <si>
    <t>Kendang,Carlson Esah</t>
  </si>
  <si>
    <t>appiakin</t>
  </si>
  <si>
    <t>Kingsley Appiah</t>
  </si>
  <si>
    <t>kwaaboag</t>
  </si>
  <si>
    <t>Kwabena Aboagye-Acheampong</t>
  </si>
  <si>
    <t>kyeqeben</t>
  </si>
  <si>
    <t>lajlawso</t>
  </si>
  <si>
    <t>Late Flynn Lawson</t>
  </si>
  <si>
    <t>letiowus</t>
  </si>
  <si>
    <t>Leticia Owusu</t>
  </si>
  <si>
    <t>lydiawwa</t>
  </si>
  <si>
    <t>makaflor</t>
  </si>
  <si>
    <t>Makamure,Florence Ottilia Tsitsi</t>
  </si>
  <si>
    <t>naemalla</t>
  </si>
  <si>
    <t>Malladi, NagaBhushananm</t>
  </si>
  <si>
    <t>mambflor</t>
  </si>
  <si>
    <t>Mambo,Flora Nde</t>
  </si>
  <si>
    <t>omamudka</t>
  </si>
  <si>
    <t>mangondi</t>
  </si>
  <si>
    <t>Mangondili,Lilac Jayawon</t>
  </si>
  <si>
    <t>markumek</t>
  </si>
  <si>
    <t>MARTIN KUMEKPE</t>
  </si>
  <si>
    <t>marvingx</t>
  </si>
  <si>
    <t>Marvinge Mokabe Akanang</t>
  </si>
  <si>
    <t>mmensahf</t>
  </si>
  <si>
    <t>Mary Mensah</t>
  </si>
  <si>
    <t>mercyema</t>
  </si>
  <si>
    <t>Masuka,Mercy</t>
  </si>
  <si>
    <t>maththum</t>
  </si>
  <si>
    <t>Mathe,Thumelo Ethan</t>
  </si>
  <si>
    <t>ayematil</t>
  </si>
  <si>
    <t>Matilda Ayesu</t>
  </si>
  <si>
    <t>alamavis</t>
  </si>
  <si>
    <t>Mavis Akua Alabila</t>
  </si>
  <si>
    <t>maxtokpr</t>
  </si>
  <si>
    <t>Maxwell Tokpor</t>
  </si>
  <si>
    <t>tanakasm</t>
  </si>
  <si>
    <t>Mbawa,Tanaka Shantel</t>
  </si>
  <si>
    <t>mdutygwe</t>
  </si>
  <si>
    <t>Mdutshulwa,Gwendoline</t>
  </si>
  <si>
    <t>mensacon</t>
  </si>
  <si>
    <t>Mensah,Confidence</t>
  </si>
  <si>
    <t>darkwamj</t>
  </si>
  <si>
    <t>Michael Darkwah</t>
  </si>
  <si>
    <t>qmichtut</t>
  </si>
  <si>
    <t>Michael Osei Tutu</t>
  </si>
  <si>
    <t>minkhine</t>
  </si>
  <si>
    <t>Min Thway Khine</t>
  </si>
  <si>
    <t>nrahamoh</t>
  </si>
  <si>
    <t>Mohammad Abdul Rahaman</t>
  </si>
  <si>
    <t>shahidgm</t>
  </si>
  <si>
    <t>MOHAMMAD SARFARAZ ANSARI SHAHID</t>
  </si>
  <si>
    <t>amizmoha</t>
  </si>
  <si>
    <t>Mohammed Aminu</t>
  </si>
  <si>
    <t>moshareb</t>
  </si>
  <si>
    <t>MOHAMMED SHAREEF KUTTILA VALAPPIL</t>
  </si>
  <si>
    <t>maxmrith</t>
  </si>
  <si>
    <t xml:space="preserve">Mrithul Maxy </t>
  </si>
  <si>
    <t>mugandrn</t>
  </si>
  <si>
    <t>MUGISHA,ANDREW</t>
  </si>
  <si>
    <t>oafmuham</t>
  </si>
  <si>
    <t>Muhammad Farhan</t>
  </si>
  <si>
    <t>irfmali</t>
  </si>
  <si>
    <t>Muhammad,Malik</t>
  </si>
  <si>
    <t>muhathod</t>
  </si>
  <si>
    <t>MUHAMMED FAYIS PATER</t>
  </si>
  <si>
    <t>veetmuha</t>
  </si>
  <si>
    <t>MUHAMMED MIKTHATH NOTTAM VEETTIL</t>
  </si>
  <si>
    <t>nymunemw</t>
  </si>
  <si>
    <t>Munemo,Nyasha Millicent</t>
  </si>
  <si>
    <t>munisuku</t>
  </si>
  <si>
    <t>Munish Kumar</t>
  </si>
  <si>
    <t>PIT Operator 24M</t>
  </si>
  <si>
    <t>muriipau</t>
  </si>
  <si>
    <t>Muriithi Pauline</t>
  </si>
  <si>
    <t>wgracech</t>
  </si>
  <si>
    <t>Nhau,Grace Chido</t>
  </si>
  <si>
    <t>nichwtak</t>
  </si>
  <si>
    <t>Nicholas Takyi</t>
  </si>
  <si>
    <t>nyabuniv</t>
  </si>
  <si>
    <t>Nivah Moraa Nyabuto</t>
  </si>
  <si>
    <t>nyasnoah</t>
  </si>
  <si>
    <t>yenorber</t>
  </si>
  <si>
    <t>Norbert Yeboah</t>
  </si>
  <si>
    <t>nyanahte</t>
  </si>
  <si>
    <t>Nyan Lin Htet</t>
  </si>
  <si>
    <t>nyikadzp</t>
  </si>
  <si>
    <t>Nyikadzino,Patson</t>
  </si>
  <si>
    <t>alberokr</t>
  </si>
  <si>
    <t>Okrah,Alberta Yuwaah</t>
  </si>
  <si>
    <t>PRASADOP</t>
  </si>
  <si>
    <t>Omprakash Prasad</t>
  </si>
  <si>
    <t>tchaosei</t>
  </si>
  <si>
    <t>OSEI,CHARLES</t>
  </si>
  <si>
    <t>oserichm</t>
  </si>
  <si>
    <t>Osei,Richmond</t>
  </si>
  <si>
    <t>bibrahio</t>
  </si>
  <si>
    <t>Osman Ibrahim</t>
  </si>
  <si>
    <t>owusukda</t>
  </si>
  <si>
    <t>OWUSU,DAVID</t>
  </si>
  <si>
    <t>pechikoz</t>
  </si>
  <si>
    <t>gprincsi</t>
  </si>
  <si>
    <t>PRINCEPAL SINGH</t>
  </si>
  <si>
    <t>eprisbmo</t>
  </si>
  <si>
    <t>Prisbetty Moyo</t>
  </si>
  <si>
    <t>anniipro</t>
  </si>
  <si>
    <t>PROSPER ANNI</t>
  </si>
  <si>
    <t>gamprosp</t>
  </si>
  <si>
    <t>Prosper Gamah</t>
  </si>
  <si>
    <t>proskwak</t>
  </si>
  <si>
    <t>Prosper Kwaku Boateng</t>
  </si>
  <si>
    <t>ramsemap</t>
  </si>
  <si>
    <t>RAMDHAN SEMAJONGI</t>
  </si>
  <si>
    <t>kinenray</t>
  </si>
  <si>
    <t>Raymond Kinene</t>
  </si>
  <si>
    <t>rejinaae</t>
  </si>
  <si>
    <t>Regina Aba Annan</t>
  </si>
  <si>
    <t>drichani</t>
  </si>
  <si>
    <t>RICHARD ANIM</t>
  </si>
  <si>
    <t>mbvirapf</t>
  </si>
  <si>
    <t>Rogers Francis Mbvira Pfouma</t>
  </si>
  <si>
    <t>roabatab</t>
  </si>
  <si>
    <t>Roland Aba Taboh</t>
  </si>
  <si>
    <t>romemetu</t>
  </si>
  <si>
    <t>Romeo Mesape Metuge</t>
  </si>
  <si>
    <t>rosethea</t>
  </si>
  <si>
    <t>Rose Thea</t>
  </si>
  <si>
    <t>sadatayu</t>
  </si>
  <si>
    <t>Sadat Ayuba</t>
  </si>
  <si>
    <t>zsagramd</t>
  </si>
  <si>
    <t>Sagar Ramdan</t>
  </si>
  <si>
    <t>sunashir</t>
  </si>
  <si>
    <t>Samsudeen Nashiru</t>
  </si>
  <si>
    <t>msanmyin</t>
  </si>
  <si>
    <t>San Myint</t>
  </si>
  <si>
    <t>fynsarah</t>
  </si>
  <si>
    <t>Sarah Fynn Arthur</t>
  </si>
  <si>
    <t>nardsa</t>
  </si>
  <si>
    <t xml:space="preserve">Saw lwe Nar </t>
  </si>
  <si>
    <t>ayukakos</t>
  </si>
  <si>
    <t>SCHOLASTIKA AYUK AKO</t>
  </si>
  <si>
    <t>kkengtis</t>
  </si>
  <si>
    <t>SCOLITITH KENG TIBA</t>
  </si>
  <si>
    <t>seugrace</t>
  </si>
  <si>
    <t>Serwaa,Grace</t>
  </si>
  <si>
    <t>uakatuks</t>
  </si>
  <si>
    <t>Sheila Precious Akatukunda</t>
  </si>
  <si>
    <t>janarsre</t>
  </si>
  <si>
    <t>SREEKUTTAN KOTTUKKALPARAMBU
 JANARDHANAN</t>
  </si>
  <si>
    <t>stepagye</t>
  </si>
  <si>
    <t>wiafstep</t>
  </si>
  <si>
    <t>Stephen Wiafe</t>
  </si>
  <si>
    <t>kabalisu</t>
  </si>
  <si>
    <t>SULAIT KABALI</t>
  </si>
  <si>
    <t>osnganga</t>
  </si>
  <si>
    <t>SUSAN WANJIKU NG'ANG'A</t>
  </si>
  <si>
    <t>meswsylv</t>
  </si>
  <si>
    <t>Sylvia Jelagat Meswo</t>
  </si>
  <si>
    <t>talenzim</t>
  </si>
  <si>
    <t>Talent Zimbuma</t>
  </si>
  <si>
    <t>ciliatan</t>
  </si>
  <si>
    <t>TANDU CILIA NAMA</t>
  </si>
  <si>
    <t>tamanyet</t>
  </si>
  <si>
    <t>Tariro Manyetu</t>
  </si>
  <si>
    <t>netofikz</t>
  </si>
  <si>
    <t>umaymusa</t>
  </si>
  <si>
    <t>unainalu</t>
  </si>
  <si>
    <t>UNAIS NALUPURAPPATTIL</t>
  </si>
  <si>
    <t>madhavau</t>
  </si>
  <si>
    <t>Valiyaparambil Madhavan,Unnikrishnan</t>
  </si>
  <si>
    <t>ivashimk</t>
  </si>
  <si>
    <t>Vashim Khan</t>
  </si>
  <si>
    <t>vingohma</t>
  </si>
  <si>
    <t>Violet Ngoh Mayah</t>
  </si>
  <si>
    <t>vislrave</t>
  </si>
  <si>
    <t>VISHNU KIZHAKKERIKAL RAVEENDRAN</t>
  </si>
  <si>
    <t>sibwelli</t>
  </si>
  <si>
    <t>Wellington Sibanda</t>
  </si>
  <si>
    <t>kouwilfr</t>
  </si>
  <si>
    <t>WILFRIED MANGA KOUNGOU</t>
  </si>
  <si>
    <t>wrkilama</t>
  </si>
  <si>
    <t>WILLIAM KILAMA</t>
  </si>
  <si>
    <t>bizthoma</t>
  </si>
  <si>
    <t>Thomas,Binil</t>
  </si>
  <si>
    <t>abdalomc</t>
  </si>
  <si>
    <t>ABDALLA OMAR</t>
  </si>
  <si>
    <t>scariav</t>
  </si>
  <si>
    <t>Scaria,Varghese</t>
  </si>
  <si>
    <t>xaboppon</t>
  </si>
  <si>
    <t>Abdul Aziz Oppong</t>
  </si>
  <si>
    <t>diddabdu</t>
  </si>
  <si>
    <t>Abdul Hadi Iddrisu</t>
  </si>
  <si>
    <t>abdababa</t>
  </si>
  <si>
    <t>Abdulai Babah Turay</t>
  </si>
  <si>
    <t>sidamra</t>
  </si>
  <si>
    <t>amoahabe</t>
  </si>
  <si>
    <t>Abednego Amoah</t>
  </si>
  <si>
    <t>elrashid,Hassan</t>
  </si>
  <si>
    <t>kjoseabi</t>
  </si>
  <si>
    <t>ABIN JOSEPH JOSE</t>
  </si>
  <si>
    <t>abraalfo</t>
  </si>
  <si>
    <t>Abrahim AL Fofana</t>
  </si>
  <si>
    <t>amanmish</t>
  </si>
  <si>
    <t>abfsesay</t>
  </si>
  <si>
    <t>Abu Sesay</t>
  </si>
  <si>
    <t>abrighta</t>
  </si>
  <si>
    <t>Adu,Bright Adu </t>
  </si>
  <si>
    <t>naimejes</t>
  </si>
  <si>
    <t>Aime Jesus Nkurunziza</t>
  </si>
  <si>
    <t>devisain</t>
  </si>
  <si>
    <t xml:space="preserve">Ainembabazi Devis </t>
  </si>
  <si>
    <t>tuajenic</t>
  </si>
  <si>
    <t>Ajenical Baby Tucker</t>
  </si>
  <si>
    <t>joakhili</t>
  </si>
  <si>
    <t>Akhil Joy</t>
  </si>
  <si>
    <t>noreeaku</t>
  </si>
  <si>
    <t xml:space="preserve">Akullu Noreen </t>
  </si>
  <si>
    <t>mugabeoa</t>
  </si>
  <si>
    <t>ALEX MUGABE</t>
  </si>
  <si>
    <t>etugalex</t>
  </si>
  <si>
    <t>Alexander Etuge</t>
  </si>
  <si>
    <t>alirfanv</t>
  </si>
  <si>
    <t>Ali,Irfan Ali Muhammad</t>
  </si>
  <si>
    <t>achemuta</t>
  </si>
  <si>
    <t>ALICE CHEMUTAI</t>
  </si>
  <si>
    <t>darelall</t>
  </si>
  <si>
    <t>Allen Andrey D. Arellano</t>
  </si>
  <si>
    <t>amosbeko</t>
  </si>
  <si>
    <t>Amos Atta Bekoe</t>
  </si>
  <si>
    <t>turinawa</t>
  </si>
  <si>
    <t>AMOS TURINAWE</t>
  </si>
  <si>
    <t>lsseandr</t>
  </si>
  <si>
    <t>ANDREW SSEBUGGWAWO</t>
  </si>
  <si>
    <t>ANVISHNU</t>
  </si>
  <si>
    <t>Ani,Vishnu</t>
  </si>
  <si>
    <t>anvtharu</t>
  </si>
  <si>
    <t>Anish Tharu</t>
  </si>
  <si>
    <t>anndila</t>
  </si>
  <si>
    <t>ANN NDILA KIKUNG'A</t>
  </si>
  <si>
    <t>kajannab</t>
  </si>
  <si>
    <t>Annabel Kalumba</t>
  </si>
  <si>
    <t>aninanur</t>
  </si>
  <si>
    <t>Anurag Kambrath Anilan</t>
  </si>
  <si>
    <t>huawais</t>
  </si>
  <si>
    <t>Arif Hussain,Awais Ali</t>
  </si>
  <si>
    <t>abasarud</t>
  </si>
  <si>
    <t>Asarudeen Abdul Razak</t>
  </si>
  <si>
    <t>agthanka</t>
  </si>
  <si>
    <t>Ashil Thankachan</t>
  </si>
  <si>
    <t>auguszad</t>
  </si>
  <si>
    <t>Augustine Adjei</t>
  </si>
  <si>
    <t>yeaunga</t>
  </si>
  <si>
    <t>Aung Ye</t>
  </si>
  <si>
    <t>avinkorm</t>
  </si>
  <si>
    <t>Avinash Korukonda Seshagiri Rao</t>
  </si>
  <si>
    <t>sahaviny</t>
  </si>
  <si>
    <t>AVINASH KUMAR SAH</t>
  </si>
  <si>
    <t>awaisido</t>
  </si>
  <si>
    <t>Awa Isidore Kum</t>
  </si>
  <si>
    <t>yawunsam</t>
  </si>
  <si>
    <t>AWUNI,SAMUEL</t>
  </si>
  <si>
    <t>mohaaziv</t>
  </si>
  <si>
    <t>Azizuddin Mohammed</t>
  </si>
  <si>
    <t>sbabucan</t>
  </si>
  <si>
    <t>Babucarr Sowe</t>
  </si>
  <si>
    <t>namukaba</t>
  </si>
  <si>
    <t>Barbra Christine NAMUKASA</t>
  </si>
  <si>
    <t>obiarrey</t>
  </si>
  <si>
    <t>Benedict Obi Arrey</t>
  </si>
  <si>
    <t>benesaah</t>
  </si>
  <si>
    <t>Benedict Saah Camille</t>
  </si>
  <si>
    <t>benjanko</t>
  </si>
  <si>
    <t>Benjamin Ankomahene</t>
  </si>
  <si>
    <t>asamoahq</t>
  </si>
  <si>
    <t>BENJAMIN ASAMOAH</t>
  </si>
  <si>
    <t>enyanvbe</t>
  </si>
  <si>
    <t>Benjamin Enyan</t>
  </si>
  <si>
    <t>bethomam</t>
  </si>
  <si>
    <t>Benjamin Yaw Thomas</t>
  </si>
  <si>
    <t>rberinea</t>
  </si>
  <si>
    <t>Berine Amoh Lanyang</t>
  </si>
  <si>
    <t>yendbism</t>
  </si>
  <si>
    <t>Bismark Yendaw</t>
  </si>
  <si>
    <t>blamoyam</t>
  </si>
  <si>
    <t>Blama Yamah</t>
  </si>
  <si>
    <t>yblankso</t>
  </si>
  <si>
    <t>Blankson Yeboah</t>
  </si>
  <si>
    <t>bradonku</t>
  </si>
  <si>
    <t>Bradon Bin Kum</t>
  </si>
  <si>
    <t>brmusanz</t>
  </si>
  <si>
    <t>Brenda Musanzika</t>
  </si>
  <si>
    <t>bimbrend</t>
  </si>
  <si>
    <t>Brenda Nkuo Bih</t>
  </si>
  <si>
    <t>qcatampa</t>
  </si>
  <si>
    <t>Carintine Tampa</t>
  </si>
  <si>
    <t>carkorir</t>
  </si>
  <si>
    <t>CAROLINE JELIMO KORIR</t>
  </si>
  <si>
    <t>tendoc</t>
  </si>
  <si>
    <t>Cedrick Nkemju Tendongmo</t>
  </si>
  <si>
    <t>chancink</t>
  </si>
  <si>
    <t>CHANCELINE INKIE MBI</t>
  </si>
  <si>
    <t>chatthud</t>
  </si>
  <si>
    <t>Chathurika Sewwandi Thushari</t>
  </si>
  <si>
    <t>mureiche</t>
  </si>
  <si>
    <t>CHEPTOO ORBA MUREI</t>
  </si>
  <si>
    <t>atuahech</t>
  </si>
  <si>
    <t>Christiana Atuahene</t>
  </si>
  <si>
    <t>chrafful</t>
  </si>
  <si>
    <t>Christopher Afful</t>
  </si>
  <si>
    <t>clarfien</t>
  </si>
  <si>
    <t>Clarise Fienmbu</t>
  </si>
  <si>
    <t>mbehclau</t>
  </si>
  <si>
    <t>Claudette Nkobo Mbeh</t>
  </si>
  <si>
    <t>gbenclem</t>
  </si>
  <si>
    <t>Clement Kwetey Gbenatey</t>
  </si>
  <si>
    <t>dwomclif</t>
  </si>
  <si>
    <t>Clifford Dwomoh</t>
  </si>
  <si>
    <t>fuhnclov</t>
  </si>
  <si>
    <t>CLOVIS FUH NEBA</t>
  </si>
  <si>
    <t>ucoasant</t>
  </si>
  <si>
    <t>Comfort Asante</t>
  </si>
  <si>
    <t>curtgonl</t>
  </si>
  <si>
    <t>Curtis Gonluee Scell</t>
  </si>
  <si>
    <t>damiakat</t>
  </si>
  <si>
    <t>DAMIANO KATO</t>
  </si>
  <si>
    <t>daatinga</t>
  </si>
  <si>
    <t>DANIEL DOK ATINGA</t>
  </si>
  <si>
    <t>ujstanle</t>
  </si>
  <si>
    <t>DEGLE JOSHUA Staniley</t>
  </si>
  <si>
    <t>odelap</t>
  </si>
  <si>
    <t>Dela Pane,Orbes</t>
  </si>
  <si>
    <t>derwardz</t>
  </si>
  <si>
    <t>Derrick Brew Ward</t>
  </si>
  <si>
    <t>derriatt</t>
  </si>
  <si>
    <t>Derrickson Attipoe</t>
  </si>
  <si>
    <t>dilwinja</t>
  </si>
  <si>
    <t>DILWIN JOSE</t>
  </si>
  <si>
    <t>gautaldi</t>
  </si>
  <si>
    <t>DIPESH GAUTAM</t>
  </si>
  <si>
    <t>mensdorc</t>
  </si>
  <si>
    <t>Dorcas Mensah</t>
  </si>
  <si>
    <t>ebenfbra</t>
  </si>
  <si>
    <t>Ebenezer Brabi</t>
  </si>
  <si>
    <t>jebenowu</t>
  </si>
  <si>
    <t>Ebenezer Owusu</t>
  </si>
  <si>
    <t>edtwinam</t>
  </si>
  <si>
    <t>EDGAR TWINAMATSIKO</t>
  </si>
  <si>
    <t>edinakye</t>
  </si>
  <si>
    <t>Edina kyeremaa</t>
  </si>
  <si>
    <t>achedith</t>
  </si>
  <si>
    <t>EDITH ACHEAMPONG</t>
  </si>
  <si>
    <t>ayenedid</t>
  </si>
  <si>
    <t>Edith Ayengo</t>
  </si>
  <si>
    <t>elagabae</t>
  </si>
  <si>
    <t>ELIJAH AGABA</t>
  </si>
  <si>
    <t>frimptel</t>
  </si>
  <si>
    <t>Elijah Frimpong</t>
  </si>
  <si>
    <t>amoelish</t>
  </si>
  <si>
    <t xml:space="preserve">Elisha Kena Amoako </t>
  </si>
  <si>
    <t>temmaaku</t>
  </si>
  <si>
    <t>Emmanuel Akuffo</t>
  </si>
  <si>
    <t>amankemq</t>
  </si>
  <si>
    <t>Emmanuel Amankwah Buabeng</t>
  </si>
  <si>
    <t>femamoan</t>
  </si>
  <si>
    <t>Emmanuel Amoanyi</t>
  </si>
  <si>
    <t>emmqamuz</t>
  </si>
  <si>
    <t>Emmanuel Amuzu</t>
  </si>
  <si>
    <t>dasaemma</t>
  </si>
  <si>
    <t>Emmanuel Asante</t>
  </si>
  <si>
    <t>boademma</t>
  </si>
  <si>
    <t>Emmanuel Boadi</t>
  </si>
  <si>
    <t>remmanda</t>
  </si>
  <si>
    <t>Emmanuel Dapaa</t>
  </si>
  <si>
    <t>gemmanua</t>
  </si>
  <si>
    <t>Emmanuel Kobina Arthur</t>
  </si>
  <si>
    <t>entettey</t>
  </si>
  <si>
    <t>ENOCK TETTEY</t>
  </si>
  <si>
    <t>emensahg</t>
  </si>
  <si>
    <t>ERIC MENSAH</t>
  </si>
  <si>
    <t>nkhonesn</t>
  </si>
  <si>
    <t>Esnart Khonje</t>
  </si>
  <si>
    <t>evkwarte</t>
  </si>
  <si>
    <t>Evans Kwarteng</t>
  </si>
  <si>
    <t>addevely</t>
  </si>
  <si>
    <t>Evelyn Addo</t>
  </si>
  <si>
    <t>fakiyumr</t>
  </si>
  <si>
    <t>FAIZAL,KIYEMBA</t>
  </si>
  <si>
    <t>favalapp</t>
  </si>
  <si>
    <t>Farhan Mohammed Kodakkattu Valappil</t>
  </si>
  <si>
    <t>kpafatma</t>
  </si>
  <si>
    <t>Fatmata Kpaka</t>
  </si>
  <si>
    <t>noufalf</t>
  </si>
  <si>
    <t>Faziludeen,Noufal</t>
  </si>
  <si>
    <t>fodaigak</t>
  </si>
  <si>
    <t>Fongoh Daiga Kingsly</t>
  </si>
  <si>
    <t>fosovict</t>
  </si>
  <si>
    <t>FOSSOH VICTOR PRISO</t>
  </si>
  <si>
    <t>kufranc</t>
  </si>
  <si>
    <t>Francis Kuma</t>
  </si>
  <si>
    <t>ansafraz</t>
  </si>
  <si>
    <t>Francis Owusu Ansah</t>
  </si>
  <si>
    <t>frsagyem</t>
  </si>
  <si>
    <t>Freda Agyemang</t>
  </si>
  <si>
    <t>agyemafy</t>
  </si>
  <si>
    <t>Freduah Agyemang</t>
  </si>
  <si>
    <t>kimufrid</t>
  </si>
  <si>
    <t>FRIDAH JEPTEBKWENY KIMUNJOS</t>
  </si>
  <si>
    <t>earthurg</t>
  </si>
  <si>
    <t>Georgina Arthur</t>
  </si>
  <si>
    <t>geradink</t>
  </si>
  <si>
    <t>Geradine Lumafor</t>
  </si>
  <si>
    <t>musingge</t>
  </si>
  <si>
    <t>GERALD MUSINGUZI</t>
  </si>
  <si>
    <t>prempegi</t>
  </si>
  <si>
    <t>Gifty Prempeh</t>
  </si>
  <si>
    <t>larbiygl</t>
  </si>
  <si>
    <t>Gloria Larbi Yeboah</t>
  </si>
  <si>
    <t>kodugraf</t>
  </si>
  <si>
    <t>GRACE Kodua</t>
  </si>
  <si>
    <t>gwangari</t>
  </si>
  <si>
    <t>GRACE WANJIRU WANGARI</t>
  </si>
  <si>
    <t>grahamuc</t>
  </si>
  <si>
    <t>Graham Muchinikila</t>
  </si>
  <si>
    <t>jarrahad</t>
  </si>
  <si>
    <t>Haddijatou Jarra</t>
  </si>
  <si>
    <t>hamzmohp</t>
  </si>
  <si>
    <t>Hamza Mohammed</t>
  </si>
  <si>
    <t>apodehan</t>
  </si>
  <si>
    <t>Hans Apodei Agudey</t>
  </si>
  <si>
    <t>hnkansah</t>
  </si>
  <si>
    <t>Harriet Anto Nkansah</t>
  </si>
  <si>
    <t>hamumuni</t>
  </si>
  <si>
    <t>Hassana Mumuni</t>
  </si>
  <si>
    <t>oseithay</t>
  </si>
  <si>
    <t>HAYFORD OSEI</t>
  </si>
  <si>
    <t>mensathe</t>
  </si>
  <si>
    <t>Henry Mensah</t>
  </si>
  <si>
    <t>henredws</t>
  </si>
  <si>
    <t>Henry Nii Yemoh Edwards</t>
  </si>
  <si>
    <t>koseihen</t>
  </si>
  <si>
    <t>Henry Osei</t>
  </si>
  <si>
    <t>lhuzesay</t>
  </si>
  <si>
    <t>Huzefa Yusuf Sayed</t>
  </si>
  <si>
    <t>mfatorib</t>
  </si>
  <si>
    <t>Ibrahim Fatorma Dakowa</t>
  </si>
  <si>
    <t>otooibra</t>
  </si>
  <si>
    <t>Ibrahim Otoo</t>
  </si>
  <si>
    <t>sekamdib</t>
  </si>
  <si>
    <t>IBRAHIM SEKAMWA</t>
  </si>
  <si>
    <t>tanguimm</t>
  </si>
  <si>
    <t>Immaculate Wiysanyuy Tangu</t>
  </si>
  <si>
    <t>isabarim</t>
  </si>
  <si>
    <t>ISAAC BARIMAH TWUM</t>
  </si>
  <si>
    <t>itawiah</t>
  </si>
  <si>
    <t>Isaac Tilor Tawiah</t>
  </si>
  <si>
    <t>turaisha</t>
  </si>
  <si>
    <t>ISHA Turay</t>
  </si>
  <si>
    <t>musthais</t>
  </si>
  <si>
    <t>ISMAIL THEKKE KUNNUMMAL MUSTHAFA</t>
  </si>
  <si>
    <t>mustissi</t>
  </si>
  <si>
    <t>ISSIFU MUSTAPHA</t>
  </si>
  <si>
    <t>ivankatl</t>
  </si>
  <si>
    <t>IVAN KATO</t>
  </si>
  <si>
    <t>nkamivan</t>
  </si>
  <si>
    <t>IVAN NKAMUHABWA</t>
  </si>
  <si>
    <t>jeawcruz</t>
  </si>
  <si>
    <t>Jearic B . Dela Cruz</t>
  </si>
  <si>
    <t>okumarje</t>
  </si>
  <si>
    <t>Jeevan Kumar VIJAY KUMAR</t>
  </si>
  <si>
    <t>wlajeffr</t>
  </si>
  <si>
    <t>Jeffrey Laryea Kwei Kumah</t>
  </si>
  <si>
    <t>earbajen</t>
  </si>
  <si>
    <t>Jennifer Arbah</t>
  </si>
  <si>
    <t>ABERIAJ</t>
  </si>
  <si>
    <t>Jennifer Bacsa Aberia</t>
  </si>
  <si>
    <t>jephttwe</t>
  </si>
  <si>
    <t>JEPHTER Twenie</t>
  </si>
  <si>
    <t>jedaisyt</t>
  </si>
  <si>
    <t>Jepkurui,Daisy</t>
  </si>
  <si>
    <t>jqkumars</t>
  </si>
  <si>
    <t>JITENDRA KUMAR SHARMA</t>
  </si>
  <si>
    <t>amanyjog</t>
  </si>
  <si>
    <t>JOAB AMANYA</t>
  </si>
  <si>
    <t>joboateq</t>
  </si>
  <si>
    <t>John Boateng Opoku</t>
  </si>
  <si>
    <t>nasasjoh</t>
  </si>
  <si>
    <t>JOHN NASASIRA</t>
  </si>
  <si>
    <t>njomajoh</t>
  </si>
  <si>
    <t>JOHNSON ANTONY JOMAN</t>
  </si>
  <si>
    <t>ssjonatm</t>
  </si>
  <si>
    <t>Jonathan Ssali</t>
  </si>
  <si>
    <t>mjosepad</t>
  </si>
  <si>
    <t>JOSEPH ADDO</t>
  </si>
  <si>
    <t>atuajose</t>
  </si>
  <si>
    <t>JOSEPH ATUAHENE</t>
  </si>
  <si>
    <t>boamejos</t>
  </si>
  <si>
    <t>JOSEPH BOAME</t>
  </si>
  <si>
    <t>jodansoe</t>
  </si>
  <si>
    <t>JOSEPH KOFI DANSO YEBOAH</t>
  </si>
  <si>
    <t>ykwadwoj</t>
  </si>
  <si>
    <t>Joseph Sunkwa Kwadwo</t>
  </si>
  <si>
    <t>jwanjird</t>
  </si>
  <si>
    <t>Joy wanjiru</t>
  </si>
  <si>
    <t>judibaba</t>
  </si>
  <si>
    <t>Judith Atampoka Baba</t>
  </si>
  <si>
    <t>justicyi</t>
  </si>
  <si>
    <t>Justice Mimba Yin</t>
  </si>
  <si>
    <t>sesakadi</t>
  </si>
  <si>
    <t>Kadiatu Sesay</t>
  </si>
  <si>
    <t>masifkas</t>
  </si>
  <si>
    <t>KASHIF MASIH</t>
  </si>
  <si>
    <t>nmpakkas</t>
  </si>
  <si>
    <t>Kassim Hija Mpaka</t>
  </si>
  <si>
    <t>kakimera</t>
  </si>
  <si>
    <t>KATO IVAN KIMERA</t>
  </si>
  <si>
    <t>kawenahm</t>
  </si>
  <si>
    <t>KAWENJA SWADIQ AHMED</t>
  </si>
  <si>
    <t>marahkel</t>
  </si>
  <si>
    <t>Kelly Hassan Marah</t>
  </si>
  <si>
    <t>kibkenet</t>
  </si>
  <si>
    <t>KENETH KIBIRIGE</t>
  </si>
  <si>
    <t>dumsekeh</t>
  </si>
  <si>
    <t>Keng,Dumse Mannette</t>
  </si>
  <si>
    <t>nsamkeri</t>
  </si>
  <si>
    <t>Kerim Nsambimana</t>
  </si>
  <si>
    <t>kevndung</t>
  </si>
  <si>
    <t>Kevin Ndungu Kosgei</t>
  </si>
  <si>
    <t>kssekale</t>
  </si>
  <si>
    <t>kevin ssekalegga</t>
  </si>
  <si>
    <t>kingklik</t>
  </si>
  <si>
    <t>Kingsford Kliko</t>
  </si>
  <si>
    <t>kiifiank</t>
  </si>
  <si>
    <t>Kingsley Ohene Fianko</t>
  </si>
  <si>
    <t>kojoache</t>
  </si>
  <si>
    <t>KOJO ACHEAMPONG,FRANCIS</t>
  </si>
  <si>
    <t>korkwaku</t>
  </si>
  <si>
    <t>Koranteng Joseph Kwaku</t>
  </si>
  <si>
    <t>KRAFANTH</t>
  </si>
  <si>
    <t>Kraft,Anthony Del Rosario</t>
  </si>
  <si>
    <t>gueudjog</t>
  </si>
  <si>
    <t>Kwayep,Gueudjo Giresse Franklin</t>
  </si>
  <si>
    <t>haykweat</t>
  </si>
  <si>
    <t>Kweatey Tetteh Hayford</t>
  </si>
  <si>
    <t>lalaxbab</t>
  </si>
  <si>
    <t>Lalaine Zabala Babas</t>
  </si>
  <si>
    <t>kodjolaw</t>
  </si>
  <si>
    <t>Lawson Kodjo Osabutey</t>
  </si>
  <si>
    <t>lleonakw</t>
  </si>
  <si>
    <t>Leonard Liwiekwo Kwamogha</t>
  </si>
  <si>
    <t>enleopol</t>
  </si>
  <si>
    <t>Leopold Ntong</t>
  </si>
  <si>
    <t>appialet</t>
  </si>
  <si>
    <t>Leticia Appiah</t>
  </si>
  <si>
    <t>lintawia</t>
  </si>
  <si>
    <t>Linda Tawiah</t>
  </si>
  <si>
    <t>ndablins</t>
  </si>
  <si>
    <t>Linsabezinhle Ndaba</t>
  </si>
  <si>
    <t>livinbes</t>
  </si>
  <si>
    <t>LIVING BESIGYE</t>
  </si>
  <si>
    <t>chepkoil</t>
  </si>
  <si>
    <t>LOICE CHEPKOIR</t>
  </si>
  <si>
    <t>matilove</t>
  </si>
  <si>
    <t>Lovejoy Matika</t>
  </si>
  <si>
    <t>aoselydi</t>
  </si>
  <si>
    <t>Lydia Osei</t>
  </si>
  <si>
    <t>ganymaid</t>
  </si>
  <si>
    <t>Maidei Ganyata</t>
  </si>
  <si>
    <t>malkmaha</t>
  </si>
  <si>
    <t>MALIK MAHAMA</t>
  </si>
  <si>
    <t>CRAYMANA</t>
  </si>
  <si>
    <t>Manalo,Christian Ray Joshua</t>
  </si>
  <si>
    <t>mensmarg</t>
  </si>
  <si>
    <t>Margaret Mensah</t>
  </si>
  <si>
    <t>samargrl</t>
  </si>
  <si>
    <t>Margretta Teta Saytue</t>
  </si>
  <si>
    <t>marietch</t>
  </si>
  <si>
    <t>Mariette Gran Cheken</t>
  </si>
  <si>
    <t>rkatumma</t>
  </si>
  <si>
    <t>Mark Katumwa</t>
  </si>
  <si>
    <t>maragbev</t>
  </si>
  <si>
    <t>Mary Agbeviade</t>
  </si>
  <si>
    <t>rumauree</t>
  </si>
  <si>
    <t>MAUREEN JEPCHUMBA RUTTO</t>
  </si>
  <si>
    <t>sumahmba</t>
  </si>
  <si>
    <t>MBALU Sumah</t>
  </si>
  <si>
    <t>avmdshah</t>
  </si>
  <si>
    <t>Md Shahid Ansari</t>
  </si>
  <si>
    <t>memercyo</t>
  </si>
  <si>
    <t>Mercy Ofori</t>
  </si>
  <si>
    <t>ncubemic</t>
  </si>
  <si>
    <t>Michael Chrispen Ncube</t>
  </si>
  <si>
    <t>mitabifo</t>
  </si>
  <si>
    <t>MICHAEL TABIFOR</t>
  </si>
  <si>
    <t>mohkfaro</t>
  </si>
  <si>
    <t>Mohamed Farook</t>
  </si>
  <si>
    <t>kingwaym</t>
  </si>
  <si>
    <t>Mohamed Kingway Barrie</t>
  </si>
  <si>
    <t>noamohav</t>
  </si>
  <si>
    <t>Mohamed Noah</t>
  </si>
  <si>
    <t>mohamkav</t>
  </si>
  <si>
    <t>Mohamed S. Kamara</t>
  </si>
  <si>
    <t>wmohshak</t>
  </si>
  <si>
    <t>Mohamed Shakir</t>
  </si>
  <si>
    <t>moabo</t>
  </si>
  <si>
    <t>Mohammed Abdullah</t>
  </si>
  <si>
    <t>mohanjhp</t>
  </si>
  <si>
    <t>MOHAN KUMAR JHA</t>
  </si>
  <si>
    <t>muhmohas</t>
  </si>
  <si>
    <t>Mohasin Muhammad</t>
  </si>
  <si>
    <t>mbockari</t>
  </si>
  <si>
    <t>Moinya Bockarie</t>
  </si>
  <si>
    <t>rokrumon</t>
  </si>
  <si>
    <t>MONIKA OKRU</t>
  </si>
  <si>
    <t>kamorash</t>
  </si>
  <si>
    <t>Moras KAMAL</t>
  </si>
  <si>
    <t>immasere</t>
  </si>
  <si>
    <t>MORIS MASEREKA</t>
  </si>
  <si>
    <t>muckorom</t>
  </si>
  <si>
    <t>Muctarr Koroma</t>
  </si>
  <si>
    <t>mugisric</t>
  </si>
  <si>
    <t>MUGISHA,RICHARD</t>
  </si>
  <si>
    <t>arsmuhar</t>
  </si>
  <si>
    <t>Muhammad Ali Arshad</t>
  </si>
  <si>
    <t>mnarshad</t>
  </si>
  <si>
    <t>muhwasej</t>
  </si>
  <si>
    <t>Muhammad Boota, Waseem Haider</t>
  </si>
  <si>
    <t>mulatifx</t>
  </si>
  <si>
    <t>Muhammad Nauman Latif</t>
  </si>
  <si>
    <t>jumail</t>
  </si>
  <si>
    <t>Muhammed Jumail</t>
  </si>
  <si>
    <t>mukrisho</t>
  </si>
  <si>
    <t>MUKRI,SHOAIB SHAUKAT Shaukat</t>
  </si>
  <si>
    <t>muniiive</t>
  </si>
  <si>
    <t>Muniina Ivan</t>
  </si>
  <si>
    <t>muramuny</t>
  </si>
  <si>
    <t>Munyaradzi Muranga</t>
  </si>
  <si>
    <t>painmyat</t>
  </si>
  <si>
    <t>Myat Nay Paing</t>
  </si>
  <si>
    <t>mkamarau</t>
  </si>
  <si>
    <t>Mybo Kamara</t>
  </si>
  <si>
    <t>valapnab</t>
  </si>
  <si>
    <t>Nabeel Thazhath</t>
  </si>
  <si>
    <t>wasnades</t>
  </si>
  <si>
    <t>Nadesh Wase Ndiena</t>
  </si>
  <si>
    <t>owunanie</t>
  </si>
  <si>
    <t>NANIES OWUSU ANSAH</t>
  </si>
  <si>
    <t>naoyuohg</t>
  </si>
  <si>
    <t>NAOMI YUOH GHEA</t>
  </si>
  <si>
    <t>pallikna</t>
  </si>
  <si>
    <t>Nasarudheen Pallikka</t>
  </si>
  <si>
    <t>katumbnb</t>
  </si>
  <si>
    <t>Nasib Katumba</t>
  </si>
  <si>
    <t>nawahbes</t>
  </si>
  <si>
    <t>Nawah Bestman Saye</t>
  </si>
  <si>
    <t>ekndapem</t>
  </si>
  <si>
    <t>Ndape Mabel Ekume</t>
  </si>
  <si>
    <t>nejaryee</t>
  </si>
  <si>
    <t>Nehemiah jaryee</t>
  </si>
  <si>
    <t>aetelahf</t>
  </si>
  <si>
    <t>Ngwemah Etelah</t>
  </si>
  <si>
    <t>kallbnik</t>
  </si>
  <si>
    <t>Nikhil Kallingal</t>
  </si>
  <si>
    <t>waltunoa</t>
  </si>
  <si>
    <t xml:space="preserve">Noah Walt Kwaku Amoaben </t>
  </si>
  <si>
    <t>nsosteph</t>
  </si>
  <si>
    <t>NSOM STEPHANIE NABO</t>
  </si>
  <si>
    <t>kntalekr</t>
  </si>
  <si>
    <t>NTALE KIMBUGWE,KIM</t>
  </si>
  <si>
    <t>nurudalh</t>
  </si>
  <si>
    <t>Nurudeen Alhassan</t>
  </si>
  <si>
    <t>ibranuru</t>
  </si>
  <si>
    <t>Nurudeen Ibrahim</t>
  </si>
  <si>
    <t>nyasuflo</t>
  </si>
  <si>
    <t>Nyasu Florence Ladu Ezbon</t>
  </si>
  <si>
    <t>reginodj</t>
  </si>
  <si>
    <t>Odjam Regina Narkie</t>
  </si>
  <si>
    <t>oemaxwel</t>
  </si>
  <si>
    <t>OFORI,MAXWELL</t>
  </si>
  <si>
    <t>owebabig</t>
  </si>
  <si>
    <t>OWEN BABIGUMIRA</t>
  </si>
  <si>
    <t>kunopatr</t>
  </si>
  <si>
    <t>Patricia Kundu</t>
  </si>
  <si>
    <t>lanshapa</t>
  </si>
  <si>
    <t>Paul Taping Lansha</t>
  </si>
  <si>
    <t>pauwkona</t>
  </si>
  <si>
    <t>PAULINA KONAMAH BOATENG</t>
  </si>
  <si>
    <t>kwaasipe</t>
  </si>
  <si>
    <t>Peter Kwaasi Aswireng</t>
  </si>
  <si>
    <t>pemagezi</t>
  </si>
  <si>
    <t>PETER RICKY MAGEZI</t>
  </si>
  <si>
    <t>elliepet</t>
  </si>
  <si>
    <t>Peter Sahr Ellie</t>
  </si>
  <si>
    <t>tarkopet</t>
  </si>
  <si>
    <t>Peterson Tarko</t>
  </si>
  <si>
    <t>kudapinj</t>
  </si>
  <si>
    <t>Pinjisi,Kudakwashe Ernest</t>
  </si>
  <si>
    <t>poifrimp</t>
  </si>
  <si>
    <t>Polycarp Junior Frimpong</t>
  </si>
  <si>
    <t>ekyeipor</t>
  </si>
  <si>
    <t>PORTIA KYEI</t>
  </si>
  <si>
    <t>pradegug</t>
  </si>
  <si>
    <t>PRADEEP KUMAR GUPTA</t>
  </si>
  <si>
    <t>shrehpra</t>
  </si>
  <si>
    <t>PRADHUMNA SHRESTHA</t>
  </si>
  <si>
    <t>adjahpri</t>
  </si>
  <si>
    <t>Prince Adjah</t>
  </si>
  <si>
    <t>pagyeiok</t>
  </si>
  <si>
    <t>Prince Agyei Okai</t>
  </si>
  <si>
    <t>lprinced</t>
  </si>
  <si>
    <t>Prince Dramani</t>
  </si>
  <si>
    <t>adusahpr</t>
  </si>
  <si>
    <t>Prince Kwako Adusah</t>
  </si>
  <si>
    <t>oforbpri</t>
  </si>
  <si>
    <t>PRINCE OFORI</t>
  </si>
  <si>
    <t>fprinceo</t>
  </si>
  <si>
    <t>PRINCE OPOKU FRIMPONG</t>
  </si>
  <si>
    <t>aprinceo</t>
  </si>
  <si>
    <t>PRINCE OWUSU ANIM</t>
  </si>
  <si>
    <t>prisarpo</t>
  </si>
  <si>
    <t>PRINCE SARPONG</t>
  </si>
  <si>
    <t>priszmaw</t>
  </si>
  <si>
    <t>Priscilla Mawusi</t>
  </si>
  <si>
    <t>prosarth</t>
  </si>
  <si>
    <t>Prosper Arthur</t>
  </si>
  <si>
    <t>puchebiw</t>
  </si>
  <si>
    <t>PURITY CHEBIWOT</t>
  </si>
  <si>
    <t>qamzamur</t>
  </si>
  <si>
    <t>Qamar,Zamurd Abbas</t>
  </si>
  <si>
    <t>adorrabq</t>
  </si>
  <si>
    <t>Rabbi Ador</t>
  </si>
  <si>
    <t>drabimah</t>
  </si>
  <si>
    <t>RABIN MAHARJAN</t>
  </si>
  <si>
    <t>etamarac</t>
  </si>
  <si>
    <t>Rachael Motto Etama</t>
  </si>
  <si>
    <t>rachmoya</t>
  </si>
  <si>
    <t>RACHEAL MOYAKO DIALE</t>
  </si>
  <si>
    <t>rtinoten</t>
  </si>
  <si>
    <t>Ralph Tinotenda Maindidze</t>
  </si>
  <si>
    <t>ramjbang</t>
  </si>
  <si>
    <t>Ramatu Bangura</t>
  </si>
  <si>
    <t>osumrama</t>
  </si>
  <si>
    <t>Ramatu Osumanu</t>
  </si>
  <si>
    <t>randniia</t>
  </si>
  <si>
    <t>RANDY NII ARYEETY</t>
  </si>
  <si>
    <t>kakramen</t>
  </si>
  <si>
    <t>Ransford Kakra Mensah</t>
  </si>
  <si>
    <t>piraviki</t>
  </si>
  <si>
    <t>Ravi Kiran Pidatala</t>
  </si>
  <si>
    <t>remahlun</t>
  </si>
  <si>
    <t>Rebecca Mahlunge</t>
  </si>
  <si>
    <t>reginkum</t>
  </si>
  <si>
    <t>Regina Afua Kumi</t>
  </si>
  <si>
    <t>hrenneaa</t>
  </si>
  <si>
    <t>Renne Assah Assah</t>
  </si>
  <si>
    <t>mbatchar</t>
  </si>
  <si>
    <t>Richard Blais Mbatcha</t>
  </si>
  <si>
    <t>dabarich</t>
  </si>
  <si>
    <t>Richard Boateng Ababio</t>
  </si>
  <si>
    <t>ricowusp</t>
  </si>
  <si>
    <t>Richard Owusu</t>
  </si>
  <si>
    <t>risahrmb</t>
  </si>
  <si>
    <t>Richard Sahr M'Bayo</t>
  </si>
  <si>
    <t>sakycric</t>
  </si>
  <si>
    <t>Richard Sakyi</t>
  </si>
  <si>
    <t>rkyeboah</t>
  </si>
  <si>
    <t>Richard Yeboah</t>
  </si>
  <si>
    <t>ampritac</t>
  </si>
  <si>
    <t>Rita Abbiw Amponsah</t>
  </si>
  <si>
    <t>ritakawe</t>
  </si>
  <si>
    <t>Rita Kawe Nformi</t>
  </si>
  <si>
    <t>xainorog</t>
  </si>
  <si>
    <t>ROGERS AINOMUGISHA</t>
  </si>
  <si>
    <t>rmundakk</t>
  </si>
  <si>
    <t>ROHIT KRISHANA MUNDAKKALIL</t>
  </si>
  <si>
    <t>mwesiron</t>
  </si>
  <si>
    <t>Ronnie Mwesigwa Matovu</t>
  </si>
  <si>
    <t>jrosenyw</t>
  </si>
  <si>
    <t>ROSE NYANCHERA JAIRUS</t>
  </si>
  <si>
    <t>prerosel</t>
  </si>
  <si>
    <t>ROSELYN PRECIOUS KULIMA</t>
  </si>
  <si>
    <t>rustukhs</t>
  </si>
  <si>
    <t>Rustum Khan</t>
  </si>
  <si>
    <t>rutenmat</t>
  </si>
  <si>
    <t>Rutendo Beaulla Mateyo</t>
  </si>
  <si>
    <t>thusaidu</t>
  </si>
  <si>
    <t>Saidu Brima Thullah</t>
  </si>
  <si>
    <t>jsalmmoh</t>
  </si>
  <si>
    <t xml:space="preserve">Salman Mohammad </t>
  </si>
  <si>
    <t>saberhet</t>
  </si>
  <si>
    <t>SAMIAL BERHE TEKLEHAYMANOT</t>
  </si>
  <si>
    <t>sankosam</t>
  </si>
  <si>
    <t>Sampha Sankoh</t>
  </si>
  <si>
    <t>samnuama</t>
  </si>
  <si>
    <t>Sampson Nuamah</t>
  </si>
  <si>
    <t>eamosamu</t>
  </si>
  <si>
    <t>Samuel Amoako</t>
  </si>
  <si>
    <t>samutofo</t>
  </si>
  <si>
    <t>Samuel Ofori</t>
  </si>
  <si>
    <t>osalwant</t>
  </si>
  <si>
    <t>Sanjana SALWANT MASIH</t>
  </si>
  <si>
    <t>sakuttan</t>
  </si>
  <si>
    <t>Sanoj Kuttan</t>
  </si>
  <si>
    <t>bashsaql</t>
  </si>
  <si>
    <t>Saqlain Bashir</t>
  </si>
  <si>
    <t>sadubeas</t>
  </si>
  <si>
    <t>Sarah Adubea</t>
  </si>
  <si>
    <t>sarshcha</t>
  </si>
  <si>
    <t>SARSHAN CHARLES CHARLES</t>
  </si>
  <si>
    <t>chashaav</t>
  </si>
  <si>
    <t>Shaavan Chauhan</t>
  </si>
  <si>
    <t>boashadr</t>
  </si>
  <si>
    <t>Shadrack Boakye</t>
  </si>
  <si>
    <t>shadrkwa</t>
  </si>
  <si>
    <t>Shadrack Kwarteng</t>
  </si>
  <si>
    <t>shamumbe</t>
  </si>
  <si>
    <t>SHAFFI MUMBERE</t>
  </si>
  <si>
    <t>javshahi</t>
  </si>
  <si>
    <t>Shahid Javeed</t>
  </si>
  <si>
    <t>sharmugw</t>
  </si>
  <si>
    <t>Sharif Ali</t>
  </si>
  <si>
    <t>habimsha</t>
  </si>
  <si>
    <t>Sharif Habimana</t>
  </si>
  <si>
    <t>cshingai</t>
  </si>
  <si>
    <t>Shingai Chinaa</t>
  </si>
  <si>
    <t>shrrabib</t>
  </si>
  <si>
    <t>SHRESTHA,RABIN</t>
  </si>
  <si>
    <t>roycshub</t>
  </si>
  <si>
    <t>Shubhadeep Roy</t>
  </si>
  <si>
    <t>sonsiamj</t>
  </si>
  <si>
    <t>Sia Sonsiama</t>
  </si>
  <si>
    <t>nagwsimz</t>
  </si>
  <si>
    <t>Simon Nagwaka</t>
  </si>
  <si>
    <t>appsolom</t>
  </si>
  <si>
    <t>Solomon Appiah Kubi</t>
  </si>
  <si>
    <t>solokorz</t>
  </si>
  <si>
    <t>Solomon Koranteng Nyarko</t>
  </si>
  <si>
    <t>kanyesst</t>
  </si>
  <si>
    <t>Steven Kanyesigye</t>
  </si>
  <si>
    <t>alisalsu</t>
  </si>
  <si>
    <t>Suleiman Ali Saleh</t>
  </si>
  <si>
    <t>adjsusan</t>
  </si>
  <si>
    <t>Susana Adjei</t>
  </si>
  <si>
    <t>takmorri</t>
  </si>
  <si>
    <t>Takudzwa Morris</t>
  </si>
  <si>
    <t>cctakund</t>
  </si>
  <si>
    <t>Takundanashe Irvine Chagwedera</t>
  </si>
  <si>
    <t>Tanveer Khan</t>
  </si>
  <si>
    <t>troychim</t>
  </si>
  <si>
    <t>Tatenda Lee Roy Chimunda</t>
  </si>
  <si>
    <t>bundtenl</t>
  </si>
  <si>
    <t>Tengbeh Bundoo</t>
  </si>
  <si>
    <t>folithel</t>
  </si>
  <si>
    <t>Thelma Esinam Foli</t>
  </si>
  <si>
    <t>vaduyebo</t>
  </si>
  <si>
    <t>Theresa Adu Yeboah</t>
  </si>
  <si>
    <t>tshomuzh</t>
  </si>
  <si>
    <t>THERESA SHOMUZHANGA</t>
  </si>
  <si>
    <t>thoppasi</t>
  </si>
  <si>
    <t>Thopparasu Sivakumar</t>
  </si>
  <si>
    <t>scarktin</t>
  </si>
  <si>
    <t>Tino Scaria</t>
  </si>
  <si>
    <t>lmathewt</t>
  </si>
  <si>
    <t>Tom Mathew</t>
  </si>
  <si>
    <t>adutwumt</t>
  </si>
  <si>
    <t>Tony Adutwum Duah</t>
  </si>
  <si>
    <t>wmuhumai</t>
  </si>
  <si>
    <t>Umair,Muhammad Muhammad</t>
  </si>
  <si>
    <t>musmmuha</t>
  </si>
  <si>
    <t>Usman Ghani</t>
  </si>
  <si>
    <t>puthanvv</t>
  </si>
  <si>
    <t>Vibin Puthanpurakkal</t>
  </si>
  <si>
    <t>muwvicen</t>
  </si>
  <si>
    <t>VICENT MUWONGE</t>
  </si>
  <si>
    <t>victooju</t>
  </si>
  <si>
    <t>VICTOR OJUMA</t>
  </si>
  <si>
    <t>viappiat</t>
  </si>
  <si>
    <t>VIDA APPIAH</t>
  </si>
  <si>
    <t>visdasab</t>
  </si>
  <si>
    <t>Vishnu Nelloolipadikkal Dasan</t>
  </si>
  <si>
    <t>vivekper</t>
  </si>
  <si>
    <t>Vivek Perumandla</t>
  </si>
  <si>
    <t>waltuffo</t>
  </si>
  <si>
    <t>Wallace Agyemang-Tuffour</t>
  </si>
  <si>
    <t>wilesing</t>
  </si>
  <si>
    <t>William SINGARA</t>
  </si>
  <si>
    <t>winashcr</t>
  </si>
  <si>
    <t>Winston Desmond Adesumi Ashcroft</t>
  </si>
  <si>
    <t>xmakeyak</t>
  </si>
  <si>
    <t>Yakta Koffi Makedjene</t>
  </si>
  <si>
    <t>yusufoke</t>
  </si>
  <si>
    <t>YUSUF OKELLO</t>
  </si>
  <si>
    <t>muzahidk</t>
  </si>
  <si>
    <t>Zahid Khan,Muhammad</t>
  </si>
  <si>
    <t>SC</t>
  </si>
  <si>
    <t>Hub Supervisor</t>
  </si>
  <si>
    <t>abigasar</t>
  </si>
  <si>
    <t>Abigail Asare</t>
  </si>
  <si>
    <t>nelstche</t>
  </si>
  <si>
    <t>Tche Fru,Nelson</t>
  </si>
  <si>
    <t>foabutap</t>
  </si>
  <si>
    <t>Abu Talib Fofanah</t>
  </si>
  <si>
    <t>mavhunga</t>
  </si>
  <si>
    <t>Admire Mavhunga</t>
  </si>
  <si>
    <t>abaoalid</t>
  </si>
  <si>
    <t>Alidu Abass</t>
  </si>
  <si>
    <t>antowusb</t>
  </si>
  <si>
    <t>Anthony Owusu</t>
  </si>
  <si>
    <t>asgizaza</t>
  </si>
  <si>
    <t>Ashiraf Gizaza</t>
  </si>
  <si>
    <t>beryllin</t>
  </si>
  <si>
    <t>Berylline Naa Ayeley Okine</t>
  </si>
  <si>
    <t>cgeddam</t>
  </si>
  <si>
    <t>Chiranjeevi Geddam</t>
  </si>
  <si>
    <t>nclearan</t>
  </si>
  <si>
    <t>Clarence Forbit</t>
  </si>
  <si>
    <t>owusucle</t>
  </si>
  <si>
    <t>Clement Owusu</t>
  </si>
  <si>
    <t>adomdani</t>
  </si>
  <si>
    <t>dcutand</t>
  </si>
  <si>
    <t>Dennis Anon Cutanda</t>
  </si>
  <si>
    <t>larteydo</t>
  </si>
  <si>
    <t>ekkonad</t>
  </si>
  <si>
    <t>Emmanuel Konadu</t>
  </si>
  <si>
    <t>awesmail</t>
  </si>
  <si>
    <t>eluckpal</t>
  </si>
  <si>
    <t>Essossimna Luc Kpalou</t>
  </si>
  <si>
    <t>senesthe</t>
  </si>
  <si>
    <t>Esther Edem Senahey</t>
  </si>
  <si>
    <t>kmintahe</t>
  </si>
  <si>
    <t>Evans Mintah</t>
  </si>
  <si>
    <t>fsseyar</t>
  </si>
  <si>
    <t>Farrukh Seyar Muhammad Seyar</t>
  </si>
  <si>
    <t>frimpofe</t>
  </si>
  <si>
    <t>Felix Frimpong</t>
  </si>
  <si>
    <t>fotsigeo</t>
  </si>
  <si>
    <t>villaraz</t>
  </si>
  <si>
    <t>Francis-Benedict Ubeda Villaraza</t>
  </si>
  <si>
    <t>dadziekg</t>
  </si>
  <si>
    <t xml:space="preserve">Gifty Dadzie </t>
  </si>
  <si>
    <t>dgodfnsi</t>
  </si>
  <si>
    <t>Godfred Kwaku Nsiah</t>
  </si>
  <si>
    <t>nuhpiddr</t>
  </si>
  <si>
    <t>Iddrisu Nuhu</t>
  </si>
  <si>
    <t>jemuelc</t>
  </si>
  <si>
    <t>JEMUEL CORTEZ</t>
  </si>
  <si>
    <t>juntataw</t>
  </si>
  <si>
    <t>Junita Mejumeh Tataw</t>
  </si>
  <si>
    <t>ndugakue</t>
  </si>
  <si>
    <t>Kelvin Anankeng Azem Ndugakue</t>
  </si>
  <si>
    <t>kmokube</t>
  </si>
  <si>
    <t>Kingsley Mokube Ikoe</t>
  </si>
  <si>
    <t>skoromal</t>
  </si>
  <si>
    <t xml:space="preserve">Lans Koroma </t>
  </si>
  <si>
    <t>dzlawson</t>
  </si>
  <si>
    <t>Lawson Dzesa</t>
  </si>
  <si>
    <t>loventia</t>
  </si>
  <si>
    <t>LOVELACE NTIAMOAH</t>
  </si>
  <si>
    <t>acheamma</t>
  </si>
  <si>
    <t>Mary Acheampong</t>
  </si>
  <si>
    <t>munibmoh</t>
  </si>
  <si>
    <t>Mohammed,Muniru</t>
  </si>
  <si>
    <t>mosseruv</t>
  </si>
  <si>
    <t>MOSES SSERUWUJJO</t>
  </si>
  <si>
    <t>nichasii</t>
  </si>
  <si>
    <t>NICHOLAS ASIIMWE</t>
  </si>
  <si>
    <t>onebarug</t>
  </si>
  <si>
    <t>ONESMUS BARUGAHARE</t>
  </si>
  <si>
    <t>ochanapa</t>
  </si>
  <si>
    <t>PATRICK OCHANA</t>
  </si>
  <si>
    <t>kadyamus</t>
  </si>
  <si>
    <t>Phoebe Kadyamusuma</t>
  </si>
  <si>
    <t>aposas</t>
  </si>
  <si>
    <t>Posas,Alexandro Delacueva</t>
  </si>
  <si>
    <t>priokyer</t>
  </si>
  <si>
    <t>Priscilla Aboagyewaa Okyere</t>
  </si>
  <si>
    <t>aboagyra</t>
  </si>
  <si>
    <t>Raphael Osei Aboagye</t>
  </si>
  <si>
    <t>sboatrob</t>
  </si>
  <si>
    <t>Robert Boateng Agyei</t>
  </si>
  <si>
    <t>atenrock</t>
  </si>
  <si>
    <t>ROCKSON ATENSU</t>
  </si>
  <si>
    <t>rggeroni</t>
  </si>
  <si>
    <t>Roland Magpantay Geronimo</t>
  </si>
  <si>
    <t>rikoe</t>
  </si>
  <si>
    <t>Rudolf Ikoe Itoe</t>
  </si>
  <si>
    <t>sasalifu</t>
  </si>
  <si>
    <t>SADICK SALIFU AZUMAH</t>
  </si>
  <si>
    <t>ocshadra</t>
  </si>
  <si>
    <t>Shadrack Otoo</t>
  </si>
  <si>
    <t>ampsheil</t>
  </si>
  <si>
    <t>Sheila Yeboah Ampene</t>
  </si>
  <si>
    <t>simontwe</t>
  </si>
  <si>
    <t>Simon Twene</t>
  </si>
  <si>
    <t>ddommban</t>
  </si>
  <si>
    <t>Stanley Dom Mbang</t>
  </si>
  <si>
    <t>stepheof</t>
  </si>
  <si>
    <t>skayikka</t>
  </si>
  <si>
    <t>Sudheer Kumar Ayikkara Valappil</t>
  </si>
  <si>
    <t>umerr</t>
  </si>
  <si>
    <t>Umer Rasheed Ur Rehman Rasheed</t>
  </si>
  <si>
    <t>wisacola</t>
  </si>
  <si>
    <t>parungao</t>
  </si>
  <si>
    <t>Parungao,Priscila Montejo</t>
  </si>
  <si>
    <t>Administrative Support III</t>
  </si>
  <si>
    <t>Support</t>
  </si>
  <si>
    <t>ammarhak</t>
  </si>
  <si>
    <t>AbdElhakim,Ammar</t>
  </si>
  <si>
    <t>Facilities Coordinator III</t>
  </si>
  <si>
    <t>Facility</t>
  </si>
  <si>
    <t>akumkapa</t>
  </si>
  <si>
    <t>Raaz,Anantth</t>
  </si>
  <si>
    <t>nayabadh</t>
  </si>
  <si>
    <t>Adhikari,Nayab</t>
  </si>
  <si>
    <t>atvinoth</t>
  </si>
  <si>
    <t>AR,Vinoth</t>
  </si>
  <si>
    <t>vvsatish</t>
  </si>
  <si>
    <t>CHILUKURI SATISH</t>
  </si>
  <si>
    <t>jgania</t>
  </si>
  <si>
    <t>Gania,Jeehan</t>
  </si>
  <si>
    <t>amjkamal</t>
  </si>
  <si>
    <t>Mahamood,Kamal</t>
  </si>
  <si>
    <t>rizvamoh</t>
  </si>
  <si>
    <t>Mohamed Rizvan</t>
  </si>
  <si>
    <t>hareepo</t>
  </si>
  <si>
    <t>POGALA,HAREESH</t>
  </si>
  <si>
    <t>ajithrak</t>
  </si>
  <si>
    <t>Rajendran,Ajith Kumar</t>
  </si>
  <si>
    <t>vadirama</t>
  </si>
  <si>
    <t>ramadoss,vadivel</t>
  </si>
  <si>
    <t>karthiqv</t>
  </si>
  <si>
    <t>Ravi,Karthi</t>
  </si>
  <si>
    <t>shineray</t>
  </si>
  <si>
    <t>Raynold,Shine</t>
  </si>
  <si>
    <t>hkhwabdu</t>
  </si>
  <si>
    <t>Abdul Hanan Khwaja</t>
  </si>
  <si>
    <t>Adecco - Vendor POC</t>
  </si>
  <si>
    <t>HR</t>
  </si>
  <si>
    <t>HR Assistant II</t>
  </si>
  <si>
    <t>elizbaku</t>
  </si>
  <si>
    <t>Akuoko,Elizbeth</t>
  </si>
  <si>
    <t>Dulsco - Vendor POC</t>
  </si>
  <si>
    <t>faresoal</t>
  </si>
  <si>
    <t>Al Khalifi,Fares Omar Mohammed</t>
  </si>
  <si>
    <t>amnajami</t>
  </si>
  <si>
    <t>AMNA JAMIL</t>
  </si>
  <si>
    <t>anasomoh</t>
  </si>
  <si>
    <t>Anas Mohammad Habeeb,Mohammad</t>
  </si>
  <si>
    <t>Fastlink - Vendor POC</t>
  </si>
  <si>
    <t>kanuprly</t>
  </si>
  <si>
    <t>Kalaiselvan Kalaiselvan,Anuprlya</t>
  </si>
  <si>
    <t>manavedk</t>
  </si>
  <si>
    <t>Maqdoom khan,Naved Khan</t>
  </si>
  <si>
    <t>vajeermo</t>
  </si>
  <si>
    <t>MOHAMED.A,VAJEER</t>
  </si>
  <si>
    <t>Quesscorp - Vendor POC</t>
  </si>
  <si>
    <t>shomuzha</t>
  </si>
  <si>
    <t>Shomuzhanga,Lissa</t>
  </si>
  <si>
    <t>javmuhak</t>
  </si>
  <si>
    <t>Usman,Muhammad</t>
  </si>
  <si>
    <t>mhamreh</t>
  </si>
  <si>
    <t>Zia,Mohammed</t>
  </si>
  <si>
    <t>ponnormx</t>
  </si>
  <si>
    <t>Norman Reyes Ponce</t>
  </si>
  <si>
    <t>tunayj</t>
  </si>
  <si>
    <t>Tunay,Jayson Torres</t>
  </si>
  <si>
    <t>jilug</t>
  </si>
  <si>
    <t>George,Jilu</t>
  </si>
  <si>
    <t>IT Support Technician</t>
  </si>
  <si>
    <t>IT</t>
  </si>
  <si>
    <t>aantonyg</t>
  </si>
  <si>
    <t>Antony,Arun</t>
  </si>
  <si>
    <t>fkashifm</t>
  </si>
  <si>
    <t>Kashif,Mirza</t>
  </si>
  <si>
    <t>safalpan</t>
  </si>
  <si>
    <t>Safal Panta</t>
  </si>
  <si>
    <t>aimansh</t>
  </si>
  <si>
    <t>Aiman Shadab Khan</t>
  </si>
  <si>
    <t>Learning Associate</t>
  </si>
  <si>
    <t>L&amp;D</t>
  </si>
  <si>
    <t>stanoium</t>
  </si>
  <si>
    <t>hudamm</t>
  </si>
  <si>
    <t>moazzam,huda</t>
  </si>
  <si>
    <t>madaoud</t>
  </si>
  <si>
    <t>Mohamed Daoud</t>
  </si>
  <si>
    <t>rajaniu</t>
  </si>
  <si>
    <t>Rajani U</t>
  </si>
  <si>
    <t>alreena</t>
  </si>
  <si>
    <t>Sharmilee,Alexander Reena</t>
  </si>
  <si>
    <t>stephjov</t>
  </si>
  <si>
    <t>Stephy Joseph</t>
  </si>
  <si>
    <t>swavishw</t>
  </si>
  <si>
    <t>Swapna Vishwakarma</t>
  </si>
  <si>
    <t>cmuhamak</t>
  </si>
  <si>
    <t>Akhtar,Muhammad Zohaib</t>
  </si>
  <si>
    <t>Loss Prevention Coordinator</t>
  </si>
  <si>
    <t>LP</t>
  </si>
  <si>
    <t>yumangm</t>
  </si>
  <si>
    <t>Mike Yumang</t>
  </si>
  <si>
    <t>Procurement</t>
  </si>
  <si>
    <t>ridat</t>
  </si>
  <si>
    <t>Tolentino,Rida</t>
  </si>
  <si>
    <t>Safety</t>
  </si>
  <si>
    <t>kumardic</t>
  </si>
  <si>
    <t>Kumar,Arun</t>
  </si>
  <si>
    <t>NUJUMUDDIN,NEJED</t>
  </si>
  <si>
    <t>hansonay</t>
  </si>
  <si>
    <t>Ayonghe Fusoh Hanson</t>
  </si>
  <si>
    <t>ansereem</t>
  </si>
  <si>
    <t>Emmanuel Ansere</t>
  </si>
  <si>
    <t>amoahgid</t>
  </si>
  <si>
    <t>Gideon Kwabena Amoah</t>
  </si>
  <si>
    <t>kuffourg</t>
  </si>
  <si>
    <t>Grace Kuffour</t>
  </si>
  <si>
    <t>tettjenn</t>
  </si>
  <si>
    <t>Jennifer Tetteh</t>
  </si>
  <si>
    <t>joshatta</t>
  </si>
  <si>
    <t>Joshua Attam</t>
  </si>
  <si>
    <t>maxweoaw</t>
  </si>
  <si>
    <t>Maxwell Awu</t>
  </si>
  <si>
    <t>mohehsaf</t>
  </si>
  <si>
    <t>Mohsin Ehsan Ehsan Ullah</t>
  </si>
  <si>
    <t>boanoami</t>
  </si>
  <si>
    <t>Noami Boateng</t>
  </si>
  <si>
    <t>solnuako</t>
  </si>
  <si>
    <t>Nuako Solomon</t>
  </si>
  <si>
    <t>powusuaa</t>
  </si>
  <si>
    <t>Owusuaa Priscilla</t>
  </si>
  <si>
    <t>tmukunal</t>
  </si>
  <si>
    <t>Tanya Mukuna</t>
  </si>
  <si>
    <t>Customer Returns</t>
  </si>
  <si>
    <t>IC/QA/CS</t>
  </si>
  <si>
    <t>IB Problem Solve</t>
  </si>
  <si>
    <t>Inbound Prep</t>
  </si>
  <si>
    <t>Vendor Receive</t>
  </si>
  <si>
    <t>Inbound Stow</t>
  </si>
  <si>
    <t>Receive Dock</t>
  </si>
  <si>
    <t>IB Lead/PA</t>
  </si>
  <si>
    <t>Pack - Batch</t>
  </si>
  <si>
    <t>Picking</t>
  </si>
  <si>
    <t>Sort - Batch</t>
  </si>
  <si>
    <t>Pack - Single</t>
  </si>
  <si>
    <t>OB Problem Solve</t>
  </si>
  <si>
    <t>OB Lead/PA</t>
  </si>
  <si>
    <t>Facilities</t>
  </si>
  <si>
    <t>Admin/HR/IT</t>
  </si>
  <si>
    <t>Training</t>
  </si>
  <si>
    <t>Actual (without  OT)</t>
  </si>
  <si>
    <t>DENNIS JOE GICHUHI</t>
  </si>
  <si>
    <t>ASHISH RAJINDER KUMAR</t>
  </si>
  <si>
    <t>MAC TYSON ANCHE NGWAFONG</t>
  </si>
  <si>
    <t>Ssebamobe Mike</t>
  </si>
  <si>
    <t>PILATE YISIKIBA MBENKUM</t>
  </si>
  <si>
    <t>Fridah Kwamboka</t>
  </si>
  <si>
    <t>djoegich</t>
  </si>
  <si>
    <t>ashrajin</t>
  </si>
  <si>
    <t>tysonasm</t>
  </si>
  <si>
    <t>ssebamom</t>
  </si>
  <si>
    <t>pyisikib</t>
  </si>
  <si>
    <t>nyfridax</t>
  </si>
  <si>
    <t>janewanm</t>
  </si>
  <si>
    <t>chirviol</t>
  </si>
  <si>
    <t>oahabdi</t>
  </si>
  <si>
    <t>Faith cherono</t>
  </si>
  <si>
    <t>Faith Jepkirui</t>
  </si>
  <si>
    <t>Ceciliah omwando</t>
  </si>
  <si>
    <t>Sheila jepchumba yator</t>
  </si>
  <si>
    <t>MERCY JERUTO</t>
  </si>
  <si>
    <t>Mercy jemutai</t>
  </si>
  <si>
    <t>Erica Afful</t>
  </si>
  <si>
    <t>fcherono</t>
  </si>
  <si>
    <t>jepkirtf</t>
  </si>
  <si>
    <t>omwcecil</t>
  </si>
  <si>
    <t>ysheilaj</t>
  </si>
  <si>
    <t>jermercy</t>
  </si>
  <si>
    <t>jemutmer</t>
  </si>
  <si>
    <t>ericaffg</t>
  </si>
  <si>
    <t>khaztanv</t>
  </si>
  <si>
    <t>Actual 
(with OT)</t>
  </si>
  <si>
    <t>HC As per Target %</t>
  </si>
  <si>
    <t>Actual  HC Achived Without OT</t>
  </si>
  <si>
    <t>Delta</t>
  </si>
  <si>
    <t>LAURA AMBIRAKUM ANJOYONG</t>
  </si>
  <si>
    <t xml:space="preserve">MARTHA APOLOT </t>
  </si>
  <si>
    <t>CARINE AYONG BIH</t>
  </si>
  <si>
    <t>WENDY POKUAAH</t>
  </si>
  <si>
    <t xml:space="preserve">GLORIA ADU </t>
  </si>
  <si>
    <t>CECILIA CHISHIMBA</t>
  </si>
  <si>
    <t>ANITA OFORIWAA ADU</t>
  </si>
  <si>
    <t>JOYCE AMA ABBAN</t>
  </si>
  <si>
    <t>OSEI ERNEST</t>
  </si>
  <si>
    <t>KEZIAH OYE</t>
  </si>
  <si>
    <t>Christiana Asamoah Boatemaa</t>
  </si>
  <si>
    <t>Veronica Tetteh</t>
  </si>
  <si>
    <t>kisaeliz</t>
  </si>
  <si>
    <t>Elizabeth,Kisakye</t>
  </si>
  <si>
    <t>BOATENG JOSEPH</t>
  </si>
  <si>
    <t>OWUSU ANSAH PRINCE</t>
  </si>
  <si>
    <t>Eric Opoku</t>
  </si>
  <si>
    <t>Ann Murugi</t>
  </si>
  <si>
    <t>Shams Nagagire</t>
  </si>
  <si>
    <t>jboatenv</t>
  </si>
  <si>
    <t>ansahpro</t>
  </si>
  <si>
    <t>opokderi</t>
  </si>
  <si>
    <t>hannmuru</t>
  </si>
  <si>
    <t>ndagirsh</t>
  </si>
  <si>
    <t>cchrisas</t>
  </si>
  <si>
    <t>oykeziah</t>
  </si>
  <si>
    <t>tewveron</t>
  </si>
  <si>
    <t>anitofoc</t>
  </si>
  <si>
    <t>ayoncari</t>
  </si>
  <si>
    <t>cecchish</t>
  </si>
  <si>
    <t>glortadu</t>
  </si>
  <si>
    <t>joycamaa</t>
  </si>
  <si>
    <t>ambirlau</t>
  </si>
  <si>
    <t>maapolot</t>
  </si>
  <si>
    <t>kerneose</t>
  </si>
  <si>
    <t>wendpoku</t>
  </si>
  <si>
    <t>bwalhell</t>
  </si>
  <si>
    <t>opariyar</t>
  </si>
  <si>
    <t>sahajame</t>
  </si>
  <si>
    <t>jfsheila</t>
  </si>
  <si>
    <t>conteeun</t>
  </si>
  <si>
    <t>nyazacha</t>
  </si>
  <si>
    <t>esiraben</t>
  </si>
  <si>
    <t>BENEDICTA ESI RAMSON</t>
  </si>
  <si>
    <t>embaziir</t>
  </si>
  <si>
    <t>EMMANUEL MBAZIIRA</t>
  </si>
  <si>
    <t>lestanak</t>
  </si>
  <si>
    <t>TANAKA LESLIE NYAMVURA</t>
  </si>
  <si>
    <t>ialoalex</t>
  </si>
  <si>
    <t>ALORO ALEX</t>
  </si>
  <si>
    <t>ijameasa</t>
  </si>
  <si>
    <t>ASABA JAMES</t>
  </si>
  <si>
    <t>nestherm</t>
  </si>
  <si>
    <t>ESTHER MUMBE NZOMO</t>
  </si>
  <si>
    <t>modhadij</t>
  </si>
  <si>
    <t>HADIJA MOHAMMED</t>
  </si>
  <si>
    <t>chepkoge</t>
  </si>
  <si>
    <t>JELSY CHEPKOGEY</t>
  </si>
  <si>
    <t>jgichuhi</t>
  </si>
  <si>
    <t>jeniffer wanjiku</t>
  </si>
  <si>
    <t>brikalib</t>
  </si>
  <si>
    <t>KALIBBALA BRIAN</t>
  </si>
  <si>
    <t>raskkalu</t>
  </si>
  <si>
    <t>KALULE RASHID</t>
  </si>
  <si>
    <t>kibujame</t>
  </si>
  <si>
    <t>KIBUUKA JAMES</t>
  </si>
  <si>
    <t>jokisolo</t>
  </si>
  <si>
    <t>KISOLO JOHN</t>
  </si>
  <si>
    <t>iankiwee</t>
  </si>
  <si>
    <t>KIWEESI IAN</t>
  </si>
  <si>
    <t>marimudi</t>
  </si>
  <si>
    <t>milldboa</t>
  </si>
  <si>
    <t>MILLICENT BOADI</t>
  </si>
  <si>
    <t>muhimbis</t>
  </si>
  <si>
    <t>MUHIMBISE JACKSON</t>
  </si>
  <si>
    <t>kunorahk</t>
  </si>
  <si>
    <t>sabenjau</t>
  </si>
  <si>
    <t>SANDE BENJAMIN</t>
  </si>
  <si>
    <t>nsaluall</t>
  </si>
  <si>
    <t xml:space="preserve">SALUDO DIMAFELIX,ALLYZA ASHLEY </t>
  </si>
  <si>
    <t>tamawand</t>
  </si>
  <si>
    <t>nabaeria</t>
  </si>
  <si>
    <t>nejed</t>
  </si>
  <si>
    <t>MARTINE MUDIMI WONIALA</t>
  </si>
  <si>
    <t>khaliuus</t>
  </si>
  <si>
    <t>Usman Khalid</t>
  </si>
  <si>
    <t>Malemuhg</t>
  </si>
  <si>
    <t>getaMale</t>
  </si>
  <si>
    <t>mugwanas</t>
  </si>
  <si>
    <t>SALIMU MUGWANA</t>
  </si>
  <si>
    <t>xaijueli</t>
  </si>
  <si>
    <t xml:space="preserve">AIJUKA ELIYA </t>
  </si>
  <si>
    <t>zkasabda</t>
  </si>
  <si>
    <t xml:space="preserve">ABDALLAH KASSIM </t>
  </si>
  <si>
    <t>asantimb</t>
  </si>
  <si>
    <t>ASANTIANO MICHAEL MWANGULE</t>
  </si>
  <si>
    <t>ramaafid</t>
  </si>
  <si>
    <t>AFIDHU SWAMADU RAMADHANI</t>
  </si>
  <si>
    <t>emmanajo</t>
  </si>
  <si>
    <t>EMMANUEL JOSEPH KALEMBO</t>
  </si>
  <si>
    <t>xfunhami</t>
  </si>
  <si>
    <t>HAMISI FUNDI MUSSA</t>
  </si>
  <si>
    <t>bakabdal</t>
  </si>
  <si>
    <t>ABDALLAH ABDALLAH ISSA</t>
  </si>
  <si>
    <t>zinrakib</t>
  </si>
  <si>
    <t>RAKIB ZINGIRA</t>
  </si>
  <si>
    <t>ddumalla</t>
  </si>
  <si>
    <t>ALLAN DDUMBA SSENTAMU</t>
  </si>
  <si>
    <t>kiyimash</t>
  </si>
  <si>
    <t>ASHIRAF KIYIMBA</t>
  </si>
  <si>
    <t>afrbakun</t>
  </si>
  <si>
    <t>FRED BAKUNDANA</t>
  </si>
  <si>
    <t>KABOGGOZA JORAM</t>
  </si>
  <si>
    <t>mugenkag</t>
  </si>
  <si>
    <t>KAAWA MUGENYI</t>
  </si>
  <si>
    <t>roberkig</t>
  </si>
  <si>
    <t>ROBERT KIGGUNDU</t>
  </si>
  <si>
    <t>tubwebag</t>
  </si>
  <si>
    <t>TUBWEBAZE GILBERT</t>
  </si>
  <si>
    <t>ssekanje</t>
  </si>
  <si>
    <t>JOSEPH SSEKANDI</t>
  </si>
  <si>
    <t>dogfranc</t>
  </si>
  <si>
    <t>Francis Yaw Dogli</t>
  </si>
  <si>
    <t>QuessCorp</t>
  </si>
  <si>
    <t>faroukyj</t>
  </si>
  <si>
    <t>FAROUK KYOBE</t>
  </si>
  <si>
    <t>kalugerk</t>
  </si>
  <si>
    <t>KALULE GERALD</t>
  </si>
  <si>
    <t>ocpjohnc</t>
  </si>
  <si>
    <t>OCHOM JOHN CHARLES</t>
  </si>
  <si>
    <t>alphaatk</t>
  </si>
  <si>
    <t>ALPHA ATHANASIO KINYAPALA</t>
  </si>
  <si>
    <t>CATHERINE PROMISE NAMale</t>
  </si>
  <si>
    <t>Katyal,Varun</t>
  </si>
  <si>
    <t>mtsagued</t>
  </si>
  <si>
    <t>MAIVA TSAGUE DONFACK EPSE NDONGO</t>
  </si>
  <si>
    <t>ahiakosa</t>
  </si>
  <si>
    <t>SANDRA AHIAKOR</t>
  </si>
  <si>
    <t>magdanya</t>
  </si>
  <si>
    <t>MAGDALENE NYARKOA ASANT</t>
  </si>
  <si>
    <t>ferawerk</t>
  </si>
  <si>
    <t>FERAND WERENGA AMANG</t>
  </si>
  <si>
    <t>hekibuuk</t>
  </si>
  <si>
    <t>HERMAN KIBUUKA</t>
  </si>
  <si>
    <t>samukasz</t>
  </si>
  <si>
    <t>SAMUEL KASSAH</t>
  </si>
  <si>
    <t>elimukis</t>
  </si>
  <si>
    <t>ELIJAH MUKISA WABWIRE</t>
  </si>
  <si>
    <t>turyaric</t>
  </si>
  <si>
    <t>RICHARD TURYASINGURA</t>
  </si>
  <si>
    <t>ramugeny</t>
  </si>
  <si>
    <t>MUGENYI RAYMOND</t>
  </si>
  <si>
    <t>naralexu</t>
  </si>
  <si>
    <t>ALEXANDER NARTEY KUSI</t>
  </si>
  <si>
    <t>melvprin</t>
  </si>
  <si>
    <t>PRINCESS MELVINA YALLEY</t>
  </si>
  <si>
    <t>lkofhenr</t>
  </si>
  <si>
    <t>HENRY KOFI</t>
  </si>
  <si>
    <t>umarmabi</t>
  </si>
  <si>
    <t>UMARUH MABIRIZI</t>
  </si>
  <si>
    <t>paswellx</t>
  </si>
  <si>
    <t>PASWELL GYAMFI</t>
  </si>
  <si>
    <t>gmikesse</t>
  </si>
  <si>
    <t>GONZAGA MIKE SSEBUTINDE</t>
  </si>
  <si>
    <t>valdezfo</t>
  </si>
  <si>
    <t>FON VALDEZ TAMSANG</t>
  </si>
  <si>
    <t>jurutapi</t>
  </si>
  <si>
    <t>TAPIWA JURU</t>
  </si>
  <si>
    <t>ganifran</t>
  </si>
  <si>
    <t>FRANCIS ANIM</t>
  </si>
  <si>
    <t>alicewan</t>
  </si>
  <si>
    <t>ALICE NJAMBI WANJIKU</t>
  </si>
  <si>
    <t>jerutaum</t>
  </si>
  <si>
    <t>AUDIA JERUTO</t>
  </si>
  <si>
    <t>faitdngi</t>
  </si>
  <si>
    <t>FAITH JEPNGETICH NGIROIN</t>
  </si>
  <si>
    <t>jerodfai</t>
  </si>
  <si>
    <t>FAITH JEROTICH</t>
  </si>
  <si>
    <t>Mishra,Aman</t>
  </si>
  <si>
    <t>mubirura</t>
  </si>
  <si>
    <t>Mubiru Rajeshi</t>
  </si>
  <si>
    <t>akaminno</t>
  </si>
  <si>
    <t>Innocent Akampa</t>
  </si>
  <si>
    <t>bakisurf</t>
  </si>
  <si>
    <t>Fred Bakisula</t>
  </si>
  <si>
    <t>ashiraab</t>
  </si>
  <si>
    <t>Ashiraf Abu</t>
  </si>
  <si>
    <t>mssemjul</t>
  </si>
  <si>
    <t>Julius Ssemakula</t>
  </si>
  <si>
    <t>imkinobe</t>
  </si>
  <si>
    <t>Muhammad Kinobe</t>
  </si>
  <si>
    <t>isamutub</t>
  </si>
  <si>
    <t>Isaya Mutuba</t>
  </si>
  <si>
    <t>gismaiki</t>
  </si>
  <si>
    <t>Ismail Kiweewa</t>
  </si>
  <si>
    <t>davawaya</t>
  </si>
  <si>
    <t>Davis Wayabira</t>
  </si>
  <si>
    <t>mikssonk</t>
  </si>
  <si>
    <t>Ssonko Mike</t>
  </si>
  <si>
    <t>hamuzawa</t>
  </si>
  <si>
    <t>Wandera Hamuza</t>
  </si>
  <si>
    <t>btugumea</t>
  </si>
  <si>
    <t>Tugume Brian</t>
  </si>
  <si>
    <t>etusasir</t>
  </si>
  <si>
    <t>Emmanuel Tusasirwe</t>
  </si>
  <si>
    <t>mosekiiz</t>
  </si>
  <si>
    <t>Kiiza Moses</t>
  </si>
  <si>
    <t>muliivan</t>
  </si>
  <si>
    <t>Ivan Muliika</t>
  </si>
  <si>
    <t>nkrfelix</t>
  </si>
  <si>
    <t>FELIX MENSAH NKRUMAH</t>
  </si>
  <si>
    <t>jepkirja</t>
  </si>
  <si>
    <t>Jane Jepkirui</t>
  </si>
  <si>
    <t>jepchval</t>
  </si>
  <si>
    <t>JEPCHIRCHIR VALENTINE</t>
  </si>
  <si>
    <t>kipchumn</t>
  </si>
  <si>
    <t>Brian Kipchumba</t>
  </si>
  <si>
    <t>bmaximki</t>
  </si>
  <si>
    <t>MAXIMILAR JEPCHUM</t>
  </si>
  <si>
    <t>merabelf</t>
  </si>
  <si>
    <t>MERABEL FENIBEE</t>
  </si>
  <si>
    <t>memiheso</t>
  </si>
  <si>
    <t>MERCY JERUTO MIHESO</t>
  </si>
  <si>
    <t>micmusun</t>
  </si>
  <si>
    <t>MICHELLE MUSUNGU</t>
  </si>
  <si>
    <t>mokkwedh</t>
  </si>
  <si>
    <t>MOKA EKWALLA KWEDI</t>
  </si>
  <si>
    <t>asarpate</t>
  </si>
  <si>
    <t>PATRICIA ASARE</t>
  </si>
  <si>
    <t>bittorut</t>
  </si>
  <si>
    <t>RUTH JEMUTAI BITTOK</t>
  </si>
  <si>
    <t>rutjepke</t>
  </si>
  <si>
    <t>RUTH JEPKERMBOI</t>
  </si>
  <si>
    <t>jeplerut</t>
  </si>
  <si>
    <t>RUTH JEPLETING</t>
  </si>
  <si>
    <t>schelanw</t>
  </si>
  <si>
    <t>SHARON CHELANGAT</t>
  </si>
  <si>
    <t>jepsharo</t>
  </si>
  <si>
    <t>Sharon Jepkemboi</t>
  </si>
  <si>
    <t>agsamue</t>
  </si>
  <si>
    <t>Agyemang,Samuel</t>
  </si>
  <si>
    <t>niwjames</t>
  </si>
  <si>
    <t>JAMES NIWARINDA</t>
  </si>
  <si>
    <t>kavumauu</t>
  </si>
  <si>
    <t>UKACHA KAVUMA</t>
  </si>
  <si>
    <t>sserusro</t>
  </si>
  <si>
    <t>RONALD SSERUKEERA</t>
  </si>
  <si>
    <t>muzamirm</t>
  </si>
  <si>
    <t>MUZAMIRU MWANJE</t>
  </si>
  <si>
    <t>mugerwsi</t>
  </si>
  <si>
    <t>SIMON MUGERWA</t>
  </si>
  <si>
    <t>kivuanto</t>
  </si>
  <si>
    <t>ANTONY KAVNUNBI LUTAAYA</t>
  </si>
  <si>
    <t>frmayeng</t>
  </si>
  <si>
    <t>FRANK MAYENGO</t>
  </si>
  <si>
    <t>habertmu</t>
  </si>
  <si>
    <t>HABERT MUHINDO</t>
  </si>
  <si>
    <t>yamikani</t>
  </si>
  <si>
    <t>YAMIKANI CHRIS KAYUNI</t>
  </si>
  <si>
    <t>tchilemb</t>
  </si>
  <si>
    <t>JOSEPH CHILEMBA</t>
  </si>
  <si>
    <t>blewyson</t>
  </si>
  <si>
    <t>WYSON BLESSINGS MULINGA</t>
  </si>
  <si>
    <t>winthala</t>
  </si>
  <si>
    <t>WILLIAM NTHALA</t>
  </si>
  <si>
    <t>odurfraa</t>
  </si>
  <si>
    <t>FRANCIS ODURO</t>
  </si>
  <si>
    <t>lngongch</t>
  </si>
  <si>
    <t>LEONARD NGONG CHACK</t>
  </si>
  <si>
    <t>abeltaan</t>
  </si>
  <si>
    <t>ANESU ABEL TAKARUVA</t>
  </si>
  <si>
    <t>edwitane</t>
  </si>
  <si>
    <t>EDWIN TANETSWA MPOFU</t>
  </si>
  <si>
    <t>gideboak</t>
  </si>
  <si>
    <t>GIDEON BOAKYE ABABIO</t>
  </si>
  <si>
    <t>sselugya</t>
  </si>
  <si>
    <t>SADAT SSELUGYA</t>
  </si>
  <si>
    <t>vwillgeo</t>
  </si>
  <si>
    <t>GEORGE WILLIAM SSEBUMPENJE</t>
  </si>
  <si>
    <t>banjatab</t>
  </si>
  <si>
    <t>BANJATA B JAH</t>
  </si>
  <si>
    <t>wafulakv</t>
  </si>
  <si>
    <t>EMMANUEL WAFULA KHAMILA</t>
  </si>
  <si>
    <t>Vincent Amati</t>
  </si>
  <si>
    <t>Derrick Kabuye</t>
  </si>
  <si>
    <t>Francis Afema</t>
  </si>
  <si>
    <t>Quraish Ssematimba</t>
  </si>
  <si>
    <t>Henry Kahunde</t>
  </si>
  <si>
    <t>otchaste</t>
  </si>
  <si>
    <t>vincphir</t>
  </si>
  <si>
    <t>ngraciou</t>
  </si>
  <si>
    <t>frasernk</t>
  </si>
  <si>
    <t>almsukwf</t>
  </si>
  <si>
    <t>ssqurais</t>
  </si>
  <si>
    <t>kahuhenx</t>
  </si>
  <si>
    <t>Steven Bills Otchan</t>
  </si>
  <si>
    <t>Vincent Phiri</t>
  </si>
  <si>
    <t>Gracious Pamhwanya Nyirenda</t>
  </si>
  <si>
    <t>Fraser Nkosana</t>
  </si>
  <si>
    <t>Alex Msukwa</t>
  </si>
  <si>
    <t>amativin</t>
  </si>
  <si>
    <t>derrkabu</t>
  </si>
  <si>
    <t>frapafem</t>
  </si>
  <si>
    <t>AHMEDRASHIDABDI</t>
  </si>
  <si>
    <t>AmbiliaRop</t>
  </si>
  <si>
    <t>BrightBonah</t>
  </si>
  <si>
    <t>BRIGHTONTAWUYANARGWO</t>
  </si>
  <si>
    <t>CHARLESOSEI-POKU</t>
  </si>
  <si>
    <t>CongratesMoforkengNdanze</t>
  </si>
  <si>
    <t>DanielBoahen</t>
  </si>
  <si>
    <t>DanielTeye-KwasiAngmortey</t>
  </si>
  <si>
    <t>DerickLacapDayrit</t>
  </si>
  <si>
    <t>EliasKaduwa</t>
  </si>
  <si>
    <t>EmmanuelMensah</t>
  </si>
  <si>
    <t>GoodluckEugenShiyo</t>
  </si>
  <si>
    <t>HishamhashimHashimonEssaKutty</t>
  </si>
  <si>
    <t>IbrahimAConteh</t>
  </si>
  <si>
    <t>JACOBELAGYARE</t>
  </si>
  <si>
    <t>JafarAbdallah</t>
  </si>
  <si>
    <t>JamilatuSessie</t>
  </si>
  <si>
    <t>Janewanguiwambui</t>
  </si>
  <si>
    <t>JaneWanjikuMwiiro</t>
  </si>
  <si>
    <t>JoanaAliceAgyekum</t>
  </si>
  <si>
    <t>JohnNdung'UMwaura</t>
  </si>
  <si>
    <t>JohnpaulJeckinzKarugaba</t>
  </si>
  <si>
    <t>JonnathanOseiTutu</t>
  </si>
  <si>
    <t>JosephGanaDohmovat</t>
  </si>
  <si>
    <t>JOSEPHOBLIEANANG</t>
  </si>
  <si>
    <t>JulietOkyere</t>
  </si>
  <si>
    <t>Kamhuru,SharonShingirirai</t>
  </si>
  <si>
    <t>KATETWENEWAA</t>
  </si>
  <si>
    <t>KYEMSTEPHENEBENEZER</t>
  </si>
  <si>
    <t>LamissiAbatala</t>
  </si>
  <si>
    <t>LydiaWangari</t>
  </si>
  <si>
    <t>MAMUDUKASSIM</t>
  </si>
  <si>
    <t>MARTINMWANGU</t>
  </si>
  <si>
    <t>MaryNamutebi</t>
  </si>
  <si>
    <t>MawandaAndrewKasagga</t>
  </si>
  <si>
    <t>MUHAMMEDKIWANUKAMale</t>
  </si>
  <si>
    <t>MusaNkataMwebe</t>
  </si>
  <si>
    <t>NabasaEriah</t>
  </si>
  <si>
    <t>NaserianNaiponiMurdaa</t>
  </si>
  <si>
    <t>NELSONNDIMAKO</t>
  </si>
  <si>
    <t>NOAHADARKWAH</t>
  </si>
  <si>
    <t>NOAHNYASHABUNU</t>
  </si>
  <si>
    <t>NoemiTongoPosas</t>
  </si>
  <si>
    <t>OnacisBrew</t>
  </si>
  <si>
    <t>PeterMwakuniChikodza</t>
  </si>
  <si>
    <t>PrinceOhenebaJackson</t>
  </si>
  <si>
    <t>RafeekTheruvathVeettil</t>
  </si>
  <si>
    <t>SabinaPariyar</t>
  </si>
  <si>
    <t>SAHRELISHAJAMES</t>
  </si>
  <si>
    <t>SANJUTHOMAS</t>
  </si>
  <si>
    <t>SELVAK.M.MOSAS</t>
  </si>
  <si>
    <t>SenzoNcube</t>
  </si>
  <si>
    <t>SharonCheronoPsaima</t>
  </si>
  <si>
    <t>SheilahKuttohJeptoo</t>
  </si>
  <si>
    <t>SilethembaNcube</t>
  </si>
  <si>
    <t>SolangeSombongNgwemukum</t>
  </si>
  <si>
    <t>SolomonOwusu</t>
  </si>
  <si>
    <t>SONUKRISHNASUDHA</t>
  </si>
  <si>
    <t>STEPHENAGYEI</t>
  </si>
  <si>
    <t>TofikNegash</t>
  </si>
  <si>
    <t>UMARUMUSAMUBI</t>
  </si>
  <si>
    <t>UNISAA.CONTEH</t>
  </si>
  <si>
    <t>VeraAnyangweBih</t>
  </si>
  <si>
    <t>Violachepkemboichirchir</t>
  </si>
  <si>
    <t>VISHNURAJBABYRAJAN</t>
  </si>
  <si>
    <t>ZachariaNyaosiNyang</t>
  </si>
  <si>
    <t>DanielKwabenaAdoma</t>
  </si>
  <si>
    <t>DorcasLarteleyLartey</t>
  </si>
  <si>
    <t>EdwardTaMale</t>
  </si>
  <si>
    <t>Fotsing,GeorgyOmerDorian</t>
  </si>
  <si>
    <t>NORAHKULUDHI</t>
  </si>
  <si>
    <t>STEPHENNYADUOFORI</t>
  </si>
  <si>
    <t>WISDOMDELEACOLATSE</t>
  </si>
  <si>
    <t>jkaboggo</t>
  </si>
  <si>
    <t>Abdourahamane Camara</t>
  </si>
  <si>
    <t>ABDULMALIK IDDRISU</t>
  </si>
  <si>
    <t>ACQUAH TIMOTHY</t>
  </si>
  <si>
    <t>ATTA AGYEKUM SARPONG</t>
  </si>
  <si>
    <t>Bernadette Tarrio Chimhau</t>
  </si>
  <si>
    <t>Alex Owusu</t>
  </si>
  <si>
    <t>Lilian Njuguna</t>
  </si>
  <si>
    <t>Maxmillila Jeruto</t>
  </si>
  <si>
    <t>Traicy Chebet Maina</t>
  </si>
  <si>
    <t>Venick Kemuma Mokua</t>
  </si>
  <si>
    <t>musittez</t>
  </si>
  <si>
    <t>annwamum</t>
  </si>
  <si>
    <t>wadianan</t>
  </si>
  <si>
    <t>jeropfar</t>
  </si>
  <si>
    <t>basmagan</t>
  </si>
  <si>
    <t>huzamita</t>
  </si>
  <si>
    <t>awudkale</t>
  </si>
  <si>
    <t>mwakagod</t>
  </si>
  <si>
    <t>MUSITAFA TEZIKUBA</t>
  </si>
  <si>
    <t>ANN WAMBUI MUHIAH</t>
  </si>
  <si>
    <t>DIANA NDULU WAMBUA</t>
  </si>
  <si>
    <t>BASHIR MAGANDA</t>
  </si>
  <si>
    <t>HUZAIFAH MITALA</t>
  </si>
  <si>
    <t>AWUDU KALENZI</t>
  </si>
  <si>
    <t>GODWIN MWAKA</t>
  </si>
  <si>
    <t>Transfer Out</t>
  </si>
  <si>
    <t>njugulil</t>
  </si>
  <si>
    <t>maxmijer</t>
  </si>
  <si>
    <t>utraicym</t>
  </si>
  <si>
    <t>venemoku</t>
  </si>
  <si>
    <t>Wendy Wanja KINYAGA</t>
  </si>
  <si>
    <t>Breda chepkmoi Koech</t>
  </si>
  <si>
    <t>SUSAN RUGURU WANJIKU</t>
  </si>
  <si>
    <t>Violah Chepkirui</t>
  </si>
  <si>
    <t>Winfred Wayua</t>
  </si>
  <si>
    <t>Audrey Rael Naliaka</t>
  </si>
  <si>
    <t>Brenda Wambui Karerah</t>
  </si>
  <si>
    <t>Diana Jerono Kimutai</t>
  </si>
  <si>
    <t>Elise Nyatuka Colonel</t>
  </si>
  <si>
    <t>Eunice Muthoni</t>
  </si>
  <si>
    <t>Faith Jepkoech</t>
  </si>
  <si>
    <t>Jane Wangari Maina</t>
  </si>
  <si>
    <t>Joan Chepngetich</t>
  </si>
  <si>
    <t>Edwin Kiplimo Bomet</t>
  </si>
  <si>
    <t>Elizabeth Njeri Mungai</t>
  </si>
  <si>
    <t>James Ochieng</t>
  </si>
  <si>
    <t>Joseph Wekesa</t>
  </si>
  <si>
    <t>Lawrencious Mutindi Mbeneka</t>
  </si>
  <si>
    <t>MARIAM KAGOYA NAMUDIRA</t>
  </si>
  <si>
    <t>SSEMAKULA SAM</t>
  </si>
  <si>
    <t>pbmateke</t>
  </si>
  <si>
    <t>BRIAN MATEKE</t>
  </si>
  <si>
    <t xml:space="preserve">NSUBUGA ARNOLD AMOS </t>
  </si>
  <si>
    <t>CHAWEZI GERESHOM HARAWA</t>
  </si>
  <si>
    <t>HETHERWICK SAKA NJATI</t>
  </si>
  <si>
    <t>ALI WAILAGALA</t>
  </si>
  <si>
    <t>GODFREY SSENTUMBWE</t>
  </si>
  <si>
    <t>MUDASHIRU NSAAMU</t>
  </si>
  <si>
    <t>ANDREW MUTUNGI</t>
  </si>
  <si>
    <t>DANIEL KAMWATHENDO</t>
  </si>
  <si>
    <t>fsangula</t>
  </si>
  <si>
    <t>FREDO SANGULAYA</t>
  </si>
  <si>
    <t>JOSUA CHISAMBA</t>
  </si>
  <si>
    <t>JONATHAN MWESIGWA KIBUYE</t>
  </si>
  <si>
    <t>MARTIN GOSHEN LWANGA</t>
  </si>
  <si>
    <t>Paul Magembe</t>
  </si>
  <si>
    <t>asante namacha</t>
  </si>
  <si>
    <t>andleemu</t>
  </si>
  <si>
    <t>Lee Muriuki Ndeke</t>
  </si>
  <si>
    <t>jacobkip</t>
  </si>
  <si>
    <t>Jacob Kipketer</t>
  </si>
  <si>
    <t>shadraat</t>
  </si>
  <si>
    <t>Shadrack Atela</t>
  </si>
  <si>
    <t>rmuthosi</t>
  </si>
  <si>
    <t>SIMON KINYANJUI Muthoni</t>
  </si>
  <si>
    <t>kipkosgj</t>
  </si>
  <si>
    <t>MATHEW KIMELI KIPKOSGEI</t>
  </si>
  <si>
    <t>kengachu</t>
  </si>
  <si>
    <t>Kennedy Maina Gachui</t>
  </si>
  <si>
    <t>kimutcol</t>
  </si>
  <si>
    <t>Collins Kimutai</t>
  </si>
  <si>
    <t>jhabshai</t>
  </si>
  <si>
    <t>Habeeb Shaik</t>
  </si>
  <si>
    <t>islmehez</t>
  </si>
  <si>
    <t>Mehebub Islam</t>
  </si>
  <si>
    <t>eindrakr</t>
  </si>
  <si>
    <t>Indra Kumar Ray</t>
  </si>
  <si>
    <t>sanjajev</t>
  </si>
  <si>
    <t>SANJAY JERALD</t>
  </si>
  <si>
    <t>kiremkel</t>
  </si>
  <si>
    <t>Kelvin Munene Kirema</t>
  </si>
  <si>
    <t>damatile</t>
  </si>
  <si>
    <t>Tilesh Damai</t>
  </si>
  <si>
    <t>denmbium</t>
  </si>
  <si>
    <t>Dennis Mbiu</t>
  </si>
  <si>
    <t>lewmaina</t>
  </si>
  <si>
    <t>Lewis Maina</t>
  </si>
  <si>
    <t>ukipetej</t>
  </si>
  <si>
    <t>JORAM KIPETER</t>
  </si>
  <si>
    <t>boickelv</t>
  </si>
  <si>
    <t>KELVIN KIMUTAI BOIT</t>
  </si>
  <si>
    <t>shadraob</t>
  </si>
  <si>
    <t>Shadrack Obi</t>
  </si>
  <si>
    <t>hossamdj</t>
  </si>
  <si>
    <t>MD Monir Hossain</t>
  </si>
  <si>
    <t>muhzirfa</t>
  </si>
  <si>
    <t xml:space="preserve">Irfan,Muhammad </t>
  </si>
  <si>
    <t>kinyawen</t>
  </si>
  <si>
    <t>bredacko</t>
  </si>
  <si>
    <t>suwanjik</t>
  </si>
  <si>
    <t>chepkvio</t>
  </si>
  <si>
    <t>winwayua</t>
  </si>
  <si>
    <t>nalhaudr</t>
  </si>
  <si>
    <t>karerahb</t>
  </si>
  <si>
    <t>dianajek</t>
  </si>
  <si>
    <t>elisenco</t>
  </si>
  <si>
    <t>mueunice</t>
  </si>
  <si>
    <t>faitjepk</t>
  </si>
  <si>
    <t>maijanew</t>
  </si>
  <si>
    <t>chepjoan</t>
  </si>
  <si>
    <t>bfedwink</t>
  </si>
  <si>
    <t>elizmunu</t>
  </si>
  <si>
    <t>ochijame</t>
  </si>
  <si>
    <t>wekejose</t>
  </si>
  <si>
    <t>lmbeneka</t>
  </si>
  <si>
    <t>namudirq</t>
  </si>
  <si>
    <t>samssema</t>
  </si>
  <si>
    <t>arnonsub</t>
  </si>
  <si>
    <t>chawezih</t>
  </si>
  <si>
    <t>hethesak</t>
  </si>
  <si>
    <t>ssentumg</t>
  </si>
  <si>
    <t>munsaamu</t>
  </si>
  <si>
    <t>andmutun</t>
  </si>
  <si>
    <t>kamwadan</t>
  </si>
  <si>
    <t>chijosua</t>
  </si>
  <si>
    <t>ukijonat</t>
  </si>
  <si>
    <t>lwangazm</t>
  </si>
  <si>
    <t>magepaul</t>
  </si>
  <si>
    <t>qnamacha</t>
  </si>
  <si>
    <t>abdallhg</t>
  </si>
  <si>
    <t>Abdallah Haza</t>
  </si>
  <si>
    <t>briaglil</t>
  </si>
  <si>
    <t>Brian Lilan</t>
  </si>
  <si>
    <t>brkiprut</t>
  </si>
  <si>
    <t>BRENDA KIPRUTO KIPRUTO</t>
  </si>
  <si>
    <t>bocollns</t>
  </si>
  <si>
    <t>COLLNS KIPCHIRCHIR BORGUTT</t>
  </si>
  <si>
    <t>kipruthc</t>
  </si>
  <si>
    <t>Ruth Chepkemboi Kipchirchir</t>
  </si>
  <si>
    <t>namasara</t>
  </si>
  <si>
    <t>Namakula,Sarah</t>
  </si>
  <si>
    <t>dachepkv</t>
  </si>
  <si>
    <t>CHEPKOECH,DAISY</t>
  </si>
  <si>
    <t>yrotichc</t>
  </si>
  <si>
    <t>ROTICH,CYNTHIA JEPKOSGEI</t>
  </si>
  <si>
    <t>jingekwa</t>
  </si>
  <si>
    <t>JINA MOSINGA EKWALLA</t>
  </si>
  <si>
    <t>elviskyl</t>
  </si>
  <si>
    <t>ELVIS KYLE KAYEMBA</t>
  </si>
  <si>
    <t>abubodon</t>
  </si>
  <si>
    <t>ABUBAKAESWIDIQ ODONGO</t>
  </si>
  <si>
    <t>odekjohn</t>
  </si>
  <si>
    <t>JOHN ODEKE</t>
  </si>
  <si>
    <t>alemuyom</t>
  </si>
  <si>
    <t>ALEX MUYOMBA</t>
  </si>
  <si>
    <t>mogumusi</t>
  </si>
  <si>
    <t>MOSES GUMUSIRIZA</t>
  </si>
  <si>
    <t>dxogwang</t>
  </si>
  <si>
    <t>DAVID OGWANG</t>
  </si>
  <si>
    <t>simwtimo</t>
  </si>
  <si>
    <t>TIMOTHY SIMWENDE</t>
  </si>
  <si>
    <t>devssebb</t>
  </si>
  <si>
    <t>DEVIS SSEBBUGGA</t>
  </si>
  <si>
    <t>muhbrigh</t>
  </si>
  <si>
    <t>BRIGHTON MUHEREZA</t>
  </si>
  <si>
    <t>kellkama</t>
  </si>
  <si>
    <t>KELLY WAMBUI KAMAU</t>
  </si>
  <si>
    <t>kialicew</t>
  </si>
  <si>
    <t>Alice Wanjiru Kinyanjui</t>
  </si>
  <si>
    <t>meahyema</t>
  </si>
  <si>
    <t>Mercy Ahyemang</t>
  </si>
  <si>
    <t>jeptoonf</t>
  </si>
  <si>
    <t>Nancy Jeptoo</t>
  </si>
  <si>
    <t>gkanelly</t>
  </si>
  <si>
    <t>Nelly katthambi</t>
  </si>
  <si>
    <t>xsamkhat</t>
  </si>
  <si>
    <t>Samina Khatoon</t>
  </si>
  <si>
    <t>chepkosh</t>
  </si>
  <si>
    <t>Sheila Chepkoech</t>
  </si>
  <si>
    <t>mohasopj</t>
  </si>
  <si>
    <t>Sophia Andaiyi Mohammed</t>
  </si>
  <si>
    <t>susanwak</t>
  </si>
  <si>
    <t>Susan Waruguru Kanyi</t>
  </si>
  <si>
    <t>kwailaga</t>
  </si>
  <si>
    <t>dianahje</t>
  </si>
  <si>
    <t>AGUI,DIANAH JEROTICH</t>
  </si>
  <si>
    <t>allanmub</t>
  </si>
  <si>
    <t>ALLAN MUBANGIZI</t>
  </si>
  <si>
    <t>jkusasir</t>
  </si>
  <si>
    <t>JOSEPHATE KUSASIRA</t>
  </si>
  <si>
    <t xml:space="preserve">JEROP FAITH </t>
  </si>
  <si>
    <t>ukargjoh</t>
  </si>
  <si>
    <t>JOHN KARGBO</t>
  </si>
  <si>
    <t>ibrnafig</t>
  </si>
  <si>
    <t>Nafiu Ibrahim</t>
  </si>
  <si>
    <t>HELLEN tanasho BWALYA</t>
  </si>
  <si>
    <t>anrdhj</t>
  </si>
  <si>
    <t>thembik</t>
  </si>
  <si>
    <t>Kuchicha,Thembi</t>
  </si>
  <si>
    <t>ykkoffi</t>
  </si>
  <si>
    <t>Koffi,Yao Pacome</t>
  </si>
  <si>
    <t>canudamo</t>
  </si>
  <si>
    <t>Damodaran,Anu</t>
  </si>
  <si>
    <t>EFS - Vendor POC</t>
  </si>
  <si>
    <t>kyeisolo</t>
  </si>
  <si>
    <t>aomali</t>
  </si>
  <si>
    <t>Ahmed,Ali</t>
  </si>
  <si>
    <t>chachabf</t>
  </si>
  <si>
    <t>Makenge,Brian Chacha</t>
  </si>
  <si>
    <t>michbawa</t>
  </si>
  <si>
    <t>Michael Assibid Bawa</t>
  </si>
  <si>
    <t>njitaria</t>
  </si>
  <si>
    <t>Abdel Koudous Njitari Mah</t>
  </si>
  <si>
    <t>kiwanuab</t>
  </si>
  <si>
    <t>ABDURASHID KIWANUKA</t>
  </si>
  <si>
    <t>ahmeumef</t>
  </si>
  <si>
    <t>Ahmed Tidjan Mefire Nchankou</t>
  </si>
  <si>
    <t>jalanssh</t>
  </si>
  <si>
    <t>ALAN SHIJU SHIJU</t>
  </si>
  <si>
    <t>alectilo</t>
  </si>
  <si>
    <t>AlecTilowakuti</t>
  </si>
  <si>
    <t>aliallaf</t>
  </si>
  <si>
    <t>Allafha Ali</t>
  </si>
  <si>
    <t>amkkamar</t>
  </si>
  <si>
    <t>AMIDU KAMARA</t>
  </si>
  <si>
    <t>bjemuasc</t>
  </si>
  <si>
    <t>gbnyiren</t>
  </si>
  <si>
    <t>BRENDANYIRENDASINGINI</t>
  </si>
  <si>
    <t>okrahcha</t>
  </si>
  <si>
    <t>CHARLESOKRAH</t>
  </si>
  <si>
    <t>chsampan</t>
  </si>
  <si>
    <t>ChristianaYamigmahSampana</t>
  </si>
  <si>
    <t>tamahdan</t>
  </si>
  <si>
    <t>DanielKwekuTamah</t>
  </si>
  <si>
    <t>bowusuda</t>
  </si>
  <si>
    <t>DanielOwusu</t>
  </si>
  <si>
    <t>emmbrobb</t>
  </si>
  <si>
    <t>opoemman</t>
  </si>
  <si>
    <t>cenocasa</t>
  </si>
  <si>
    <t>EnockAsante</t>
  </si>
  <si>
    <t>bericyaw</t>
  </si>
  <si>
    <t>EricYawBruku</t>
  </si>
  <si>
    <t>owuevely</t>
  </si>
  <si>
    <t>chepkodf</t>
  </si>
  <si>
    <t>mambbfra</t>
  </si>
  <si>
    <t>franokai</t>
  </si>
  <si>
    <t>germubir</t>
  </si>
  <si>
    <t>RAJUGHIM</t>
  </si>
  <si>
    <t>Ghimire,Raju</t>
  </si>
  <si>
    <t>manjegra</t>
  </si>
  <si>
    <t>GraceManjengwa</t>
  </si>
  <si>
    <t>harickda</t>
  </si>
  <si>
    <t>HARICKDANSO</t>
  </si>
  <si>
    <t>ikomhari</t>
  </si>
  <si>
    <t xml:space="preserve">Ikome Mbah,Harikia </t>
  </si>
  <si>
    <t>nbalakji</t>
  </si>
  <si>
    <t>JISHNUKIDANGAYATHBALAKRISHNAN</t>
  </si>
  <si>
    <t>johnngek</t>
  </si>
  <si>
    <t>Johnngerekiarie</t>
  </si>
  <si>
    <t>fnjuliet</t>
  </si>
  <si>
    <t>JulietNanyombi</t>
  </si>
  <si>
    <t>leeyntem</t>
  </si>
  <si>
    <t>LeeyntengMarienette</t>
  </si>
  <si>
    <t>abwlinda</t>
  </si>
  <si>
    <t>LindaSallyAbit</t>
  </si>
  <si>
    <t>quayeell</t>
  </si>
  <si>
    <t>LloydQuaye</t>
  </si>
  <si>
    <t>agabamag</t>
  </si>
  <si>
    <t>MARTINAGABA</t>
  </si>
  <si>
    <t>essummau</t>
  </si>
  <si>
    <t>MaryEssumang</t>
  </si>
  <si>
    <t>chingmel</t>
  </si>
  <si>
    <t>MelodyChingore</t>
  </si>
  <si>
    <t>abedmkas</t>
  </si>
  <si>
    <t>MkasiMwalimuAbedi</t>
  </si>
  <si>
    <t>ADIMUHAM</t>
  </si>
  <si>
    <t>MuhammadAdil</t>
  </si>
  <si>
    <t>nmbella</t>
  </si>
  <si>
    <t>NdutuMbellaGilbert</t>
  </si>
  <si>
    <t>nurenisd</t>
  </si>
  <si>
    <t>NureniSalifu</t>
  </si>
  <si>
    <t>bpetenti</t>
  </si>
  <si>
    <t>PeterNti</t>
  </si>
  <si>
    <t>phumuzin</t>
  </si>
  <si>
    <t>PhumuzileNdlovu</t>
  </si>
  <si>
    <t>rahanraj</t>
  </si>
  <si>
    <t>RAHANRAJRAJEEVAN</t>
  </si>
  <si>
    <t>ribnyame</t>
  </si>
  <si>
    <t>RichmondNyame</t>
  </si>
  <si>
    <t>jrockson</t>
  </si>
  <si>
    <t>RocksonAwusiJunior</t>
  </si>
  <si>
    <t>ruteshun</t>
  </si>
  <si>
    <t>RuthJacklineEshun</t>
  </si>
  <si>
    <t>vsadimoh</t>
  </si>
  <si>
    <t>SADIQMOHAMMED</t>
  </si>
  <si>
    <t>sandrtka</t>
  </si>
  <si>
    <t>SandrtaNalubegaKasozi</t>
  </si>
  <si>
    <t>sentshaf</t>
  </si>
  <si>
    <t>ShafikSentongo</t>
  </si>
  <si>
    <t>ksesteph</t>
  </si>
  <si>
    <t>STEPHENSEETA</t>
  </si>
  <si>
    <t>ustemain</t>
  </si>
  <si>
    <t>STEVEMBUGUAMAINA</t>
  </si>
  <si>
    <t>tabtabi</t>
  </si>
  <si>
    <t>TabiPeterTabi</t>
  </si>
  <si>
    <t>taatinde</t>
  </si>
  <si>
    <t>TabithaMonicaAtinde</t>
  </si>
  <si>
    <t>gittabit</t>
  </si>
  <si>
    <t>TABITHAWANJIRAGITAU</t>
  </si>
  <si>
    <t>tashindu</t>
  </si>
  <si>
    <t>TashingaWiddyDumba</t>
  </si>
  <si>
    <t>thtorgbo</t>
  </si>
  <si>
    <t>TheophilusTorgbor</t>
  </si>
  <si>
    <t>totuhais</t>
  </si>
  <si>
    <t>TOMTUHAISE</t>
  </si>
  <si>
    <t>vicwquay</t>
  </si>
  <si>
    <t>VICTORIAQUAYSON</t>
  </si>
  <si>
    <t>ivinceas</t>
  </si>
  <si>
    <t>VINCENTASHITEY</t>
  </si>
  <si>
    <t>SMUHAMA</t>
  </si>
  <si>
    <t>Muhammad Shahzad</t>
  </si>
  <si>
    <t>ashifzah</t>
  </si>
  <si>
    <t>AHAMED,ASHIF</t>
  </si>
  <si>
    <t>arathikx</t>
  </si>
  <si>
    <t>KARICHERY,ARATHI </t>
  </si>
  <si>
    <t>thomtonp</t>
  </si>
  <si>
    <t>THOMAS JOSEPH,TONY</t>
  </si>
  <si>
    <t>frategek</t>
  </si>
  <si>
    <t>FRANCIS ATEGEKA</t>
  </si>
  <si>
    <t>kalyange</t>
  </si>
  <si>
    <t>GERALD KALYANGO</t>
  </si>
  <si>
    <t>qmukalaz</t>
  </si>
  <si>
    <t>JACOB MUKALAZI</t>
  </si>
  <si>
    <t>mugirich</t>
  </si>
  <si>
    <t>RICHARD MUGISHA</t>
  </si>
  <si>
    <t>musisrop</t>
  </si>
  <si>
    <t>ROBERT MUSISI</t>
  </si>
  <si>
    <t>juesaidi</t>
  </si>
  <si>
    <t>SAIDI JUNIOR LUBEGA</t>
  </si>
  <si>
    <t>siasiimw</t>
  </si>
  <si>
    <t>Simon Asimwe</t>
  </si>
  <si>
    <t>akufhenv</t>
  </si>
  <si>
    <t>Akuffo,Henry</t>
  </si>
  <si>
    <t>abdwaak</t>
  </si>
  <si>
    <t>ABDUL WAAKO</t>
  </si>
  <si>
    <t>ndiranio</t>
  </si>
  <si>
    <t>Diranie Buteh Omah</t>
  </si>
  <si>
    <t>josompau</t>
  </si>
  <si>
    <t>JOSHUA MPAULO</t>
  </si>
  <si>
    <t>momukisa</t>
  </si>
  <si>
    <t>MOSES MUKISA</t>
  </si>
  <si>
    <t>dronkate</t>
  </si>
  <si>
    <t>RONALD KATENDE</t>
  </si>
  <si>
    <t>ronalsse</t>
  </si>
  <si>
    <t>RONALD SSEBUKYU</t>
  </si>
  <si>
    <t>rssemand</t>
  </si>
  <si>
    <t>RONALD SSEMANDA</t>
  </si>
  <si>
    <t>Solomon Kyei</t>
  </si>
  <si>
    <t>halzaabi</t>
  </si>
  <si>
    <t>Alzaabi,Hamad</t>
  </si>
  <si>
    <t>denjeria</t>
  </si>
  <si>
    <t>Denin Jeril</t>
  </si>
  <si>
    <t>gautasu</t>
  </si>
  <si>
    <t>Suresh Gautam</t>
  </si>
  <si>
    <t>stephsuh</t>
  </si>
  <si>
    <t>Stephen Tante</t>
  </si>
  <si>
    <t>abdxmulu</t>
  </si>
  <si>
    <t>Abdulhakim Mulumba</t>
  </si>
  <si>
    <t>aboaerne</t>
  </si>
  <si>
    <t>ABOAGYE ERNEST</t>
  </si>
  <si>
    <t>sserutua</t>
  </si>
  <si>
    <t>Adam Sserutuka</t>
  </si>
  <si>
    <t>akanbria</t>
  </si>
  <si>
    <t>Akankwatsa Brian</t>
  </si>
  <si>
    <t>annojust</t>
  </si>
  <si>
    <t>ANNOBIL,JUSTICE</t>
  </si>
  <si>
    <t>arinasap</t>
  </si>
  <si>
    <t>ASAPH ARINAITWE</t>
  </si>
  <si>
    <t>shrashif</t>
  </si>
  <si>
    <t>ASHISH SHRESTHA</t>
  </si>
  <si>
    <t>babismar</t>
  </si>
  <si>
    <t>BAAH,BISMARK</t>
  </si>
  <si>
    <t>daviboag</t>
  </si>
  <si>
    <t>BOATENG DAVID</t>
  </si>
  <si>
    <t>vbulawre</t>
  </si>
  <si>
    <t>Buggo Lawrence</t>
  </si>
  <si>
    <t>tibainhd</t>
  </si>
  <si>
    <t>DAN TIBAINGANA</t>
  </si>
  <si>
    <t>dekiwanu</t>
  </si>
  <si>
    <t>DERRICK KIWANUKA</t>
  </si>
  <si>
    <t>edsomweb</t>
  </si>
  <si>
    <t>EDSON MWEBESA</t>
  </si>
  <si>
    <t>emmamusi</t>
  </si>
  <si>
    <t>EMMANUEL MUSIIME</t>
  </si>
  <si>
    <t>museriya</t>
  </si>
  <si>
    <t>ERIYA MUSOKE</t>
  </si>
  <si>
    <t>faroukki</t>
  </si>
  <si>
    <t>FAROUK KIBALAMA</t>
  </si>
  <si>
    <t>kibgasto</t>
  </si>
  <si>
    <t>GASTON KIBUGA</t>
  </si>
  <si>
    <t>isaackwa</t>
  </si>
  <si>
    <t>ISAAC KWADWO YEBOAH</t>
  </si>
  <si>
    <t>yijamer</t>
  </si>
  <si>
    <t>JAMES YIGA</t>
  </si>
  <si>
    <t>tsindijo</t>
  </si>
  <si>
    <t>Jockus Tsindika</t>
  </si>
  <si>
    <t>kubiandr</t>
  </si>
  <si>
    <t>KUBI,ANDREWS APPIAH </t>
  </si>
  <si>
    <t>douglakw</t>
  </si>
  <si>
    <t>KWAYIE,DOUGLAS</t>
  </si>
  <si>
    <t>nuwallat</t>
  </si>
  <si>
    <t>LATIB NUWALIMANYA</t>
  </si>
  <si>
    <t>kampmesh</t>
  </si>
  <si>
    <t>MESHACH KAMPAME</t>
  </si>
  <si>
    <t>mukakooz</t>
  </si>
  <si>
    <t>MUSA KAKOOZA</t>
  </si>
  <si>
    <t>pamoesse</t>
  </si>
  <si>
    <t>Prince Amo Essel</t>
  </si>
  <si>
    <t>bowusura</t>
  </si>
  <si>
    <t>RABBI OWUSU</t>
  </si>
  <si>
    <t>rictorac</t>
  </si>
  <si>
    <t>RICHARD AKENA TORACH</t>
  </si>
  <si>
    <t>kigsamso</t>
  </si>
  <si>
    <t>SAMSON KIGULI</t>
  </si>
  <si>
    <t>luswatst</t>
  </si>
  <si>
    <t>STEPHEN LUSWATA</t>
  </si>
  <si>
    <t>sulaamar</t>
  </si>
  <si>
    <t>SULAIMAN JAY AMARA</t>
  </si>
  <si>
    <t>kswamadu</t>
  </si>
  <si>
    <t>Swamadu Bukenya Kirya</t>
  </si>
  <si>
    <t>ssewante</t>
  </si>
  <si>
    <t>TONNY SSEWANTE</t>
  </si>
  <si>
    <t>kintuyac</t>
  </si>
  <si>
    <t>Yahaya Kintu</t>
  </si>
  <si>
    <t>adombill</t>
  </si>
  <si>
    <t>ADOMBILLA AWINIMI</t>
  </si>
  <si>
    <t>ategefre</t>
  </si>
  <si>
    <t>ATEGEKA FREDRICK</t>
  </si>
  <si>
    <t>kemeelij</t>
  </si>
  <si>
    <t>ELIJAH KEMEI</t>
  </si>
  <si>
    <t>kezirkis</t>
  </si>
  <si>
    <t>KISOLO KEZIRON ISAAC</t>
  </si>
  <si>
    <t>dngafred</t>
  </si>
  <si>
    <t>NGABIRANO FRED</t>
  </si>
  <si>
    <t>patrisir</t>
  </si>
  <si>
    <t>Patrick BARZILAI SIRGOI</t>
  </si>
  <si>
    <t>muhpinha</t>
  </si>
  <si>
    <t>PINHAS MUHUTHIA</t>
  </si>
  <si>
    <t>ssecharl</t>
  </si>
  <si>
    <t>SSEMUGAGGA CHARLES</t>
  </si>
  <si>
    <t>emmfofie</t>
  </si>
  <si>
    <t>osjosepf</t>
  </si>
  <si>
    <t>JosephOsei</t>
  </si>
  <si>
    <t>hissahza</t>
  </si>
  <si>
    <t>Zainab Issah</t>
  </si>
  <si>
    <t>Attendance</t>
  </si>
  <si>
    <t>alizhma</t>
  </si>
  <si>
    <t>Ahmad Ali Muhammad Anwar</t>
  </si>
  <si>
    <t>fairoowk</t>
  </si>
  <si>
    <t>khader,Fairoose Abdul</t>
  </si>
  <si>
    <t>kmadhusr</t>
  </si>
  <si>
    <t>Kandala Madhusudhan Rao</t>
  </si>
  <si>
    <t>ediradim</t>
  </si>
  <si>
    <t xml:space="preserve">Geo,Edilbert Geo Antony </t>
  </si>
  <si>
    <t>abaaamon</t>
  </si>
  <si>
    <t>AMON ABAASA</t>
  </si>
  <si>
    <t>anssenku</t>
  </si>
  <si>
    <t>ANDREW SSENKUNJA</t>
  </si>
  <si>
    <t>wmasolwi</t>
  </si>
  <si>
    <t>WILLIAMMASOLE</t>
  </si>
  <si>
    <t>abonekay</t>
  </si>
  <si>
    <t>YAKUBUABONEKA</t>
  </si>
  <si>
    <t>Night shift</t>
  </si>
  <si>
    <t>ngabirco</t>
  </si>
  <si>
    <t>CosmaNgabirano</t>
  </si>
  <si>
    <t>emekweni</t>
  </si>
  <si>
    <t>EmmanuelObaseEkweni</t>
  </si>
  <si>
    <t>erameng</t>
  </si>
  <si>
    <t>kipngehi</t>
  </si>
  <si>
    <t>Hillary kipropkipngetich</t>
  </si>
  <si>
    <t>nanziril</t>
  </si>
  <si>
    <t>LillianNanziri</t>
  </si>
  <si>
    <t>mavconte</t>
  </si>
  <si>
    <t>MARIONCONTEH</t>
  </si>
  <si>
    <t>nyanprin</t>
  </si>
  <si>
    <t>PrinceNyanson</t>
  </si>
  <si>
    <t>musahrap</t>
  </si>
  <si>
    <t>RaphaelMusah</t>
  </si>
  <si>
    <t>mwansamw</t>
  </si>
  <si>
    <t>SamwelMwangiKamau</t>
  </si>
  <si>
    <t>folisuzw</t>
  </si>
  <si>
    <t>SuzzyFoli</t>
  </si>
  <si>
    <t>abanebar</t>
  </si>
  <si>
    <t>ABAHO,NEBART</t>
  </si>
  <si>
    <t>kasasabd</t>
  </si>
  <si>
    <t>ABDUL,KASASA</t>
  </si>
  <si>
    <t>abkasawu</t>
  </si>
  <si>
    <t>ABDUMALIK KASAWULI</t>
  </si>
  <si>
    <t>abrajnse</t>
  </si>
  <si>
    <t>ABRAHAM NSENGIUNVA</t>
  </si>
  <si>
    <t>ullazasa</t>
  </si>
  <si>
    <t>asad ullah</t>
  </si>
  <si>
    <t>mukamaay</t>
  </si>
  <si>
    <t>Ayubu Mukama</t>
  </si>
  <si>
    <t>bakawesa</t>
  </si>
  <si>
    <t>Bashiri Kawesa</t>
  </si>
  <si>
    <t>andebayi</t>
  </si>
  <si>
    <t>Bayingana Anderson</t>
  </si>
  <si>
    <t>btayebwe</t>
  </si>
  <si>
    <t>Benon Tayebwe</t>
  </si>
  <si>
    <t>bogerabd</t>
  </si>
  <si>
    <t>BOGERE ABDU</t>
  </si>
  <si>
    <t>braimuha</t>
  </si>
  <si>
    <t>BRAIN CHOSEN MUHUMUZA</t>
  </si>
  <si>
    <t>sattabob</t>
  </si>
  <si>
    <t>BRIGHT ATTA BOAHENE</t>
  </si>
  <si>
    <t>mainaoso</t>
  </si>
  <si>
    <t>Charles Maina Osora</t>
  </si>
  <si>
    <t>zchowusu</t>
  </si>
  <si>
    <t>CHARLES TONTO OWUSU</t>
  </si>
  <si>
    <t>cokipchu</t>
  </si>
  <si>
    <t>Cosmas Kipchumba</t>
  </si>
  <si>
    <t>mukaderi</t>
  </si>
  <si>
    <t>DERICK MUKAMA</t>
  </si>
  <si>
    <t>douglalx</t>
  </si>
  <si>
    <t>DOUGLAS ALEXANDA BIYUNGU</t>
  </si>
  <si>
    <t>edwamans</t>
  </si>
  <si>
    <t>Edward Ibrahim Mansaray</t>
  </si>
  <si>
    <t>okisakye</t>
  </si>
  <si>
    <t>EDWARD SSEMPIJJA KISAKYE</t>
  </si>
  <si>
    <t>obwemman</t>
  </si>
  <si>
    <t>EMMANUEL OBWANA</t>
  </si>
  <si>
    <t>koomsoer</t>
  </si>
  <si>
    <t>ERIC KUM KOOMSON</t>
  </si>
  <si>
    <t>evermbul</t>
  </si>
  <si>
    <t>EVERLYNE MBULA</t>
  </si>
  <si>
    <t>florndis</t>
  </si>
  <si>
    <t>Florence Nzulya Ndijya</t>
  </si>
  <si>
    <t>kasobfra</t>
  </si>
  <si>
    <t>Francis Kasobya</t>
  </si>
  <si>
    <t>geoekiye</t>
  </si>
  <si>
    <t>GEORGE KIYEMBA</t>
  </si>
  <si>
    <t>geokiwan</t>
  </si>
  <si>
    <t>GEORGE WILLIAM KIWANUKA</t>
  </si>
  <si>
    <t>ssegilbe</t>
  </si>
  <si>
    <t>Gilbert Ssembogga</t>
  </si>
  <si>
    <t>gumoshab</t>
  </si>
  <si>
    <t>GUMOSHABE JONAN</t>
  </si>
  <si>
    <t>kabhenry</t>
  </si>
  <si>
    <t>HENRY PETER KABANDA</t>
  </si>
  <si>
    <t>obanhuss</t>
  </si>
  <si>
    <t>HUSSEIN OBANDYO</t>
  </si>
  <si>
    <t>ibratuha</t>
  </si>
  <si>
    <t>Ibrahim Atuhairwe</t>
  </si>
  <si>
    <t>ainisaac</t>
  </si>
  <si>
    <t>ISAAC AINEBYONA</t>
  </si>
  <si>
    <t>isandyam</t>
  </si>
  <si>
    <t>Isaac ndyamuhaki</t>
  </si>
  <si>
    <t>mukujung</t>
  </si>
  <si>
    <t>ISAAH MUKUJUNGU</t>
  </si>
  <si>
    <t>ssemuyai</t>
  </si>
  <si>
    <t>IVAN SSEMUYABA</t>
  </si>
  <si>
    <t>adnjames</t>
  </si>
  <si>
    <t>JAMES ADADE</t>
  </si>
  <si>
    <t>asiimwja</t>
  </si>
  <si>
    <t>James Asiimwe</t>
  </si>
  <si>
    <t>javahmai</t>
  </si>
  <si>
    <t>Javanes Kingori Maina</t>
  </si>
  <si>
    <t>katojavi</t>
  </si>
  <si>
    <t>JAVIIRA,KATO</t>
  </si>
  <si>
    <t>javiramu</t>
  </si>
  <si>
    <t>JAVIRA MUTEBI</t>
  </si>
  <si>
    <t>jobubolo</t>
  </si>
  <si>
    <t>Joel Bubolo</t>
  </si>
  <si>
    <t>joolubeg</t>
  </si>
  <si>
    <t>JOHN LUBEGA</t>
  </si>
  <si>
    <t>thembjos</t>
  </si>
  <si>
    <t>JOSEPH MUNEYI THEMBO</t>
  </si>
  <si>
    <t>wasjustu</t>
  </si>
  <si>
    <t>Justus Wasswa Kakulu</t>
  </si>
  <si>
    <t>jkissawk</t>
  </si>
  <si>
    <t>KASIM KISSAW</t>
  </si>
  <si>
    <t>kayimose</t>
  </si>
  <si>
    <t>KAYIRA MOSES</t>
  </si>
  <si>
    <t>kazibwas</t>
  </si>
  <si>
    <t>KAZIBWA SIRAGI</t>
  </si>
  <si>
    <t>kufkamid</t>
  </si>
  <si>
    <t>KUFAM AMIDU</t>
  </si>
  <si>
    <t>abkwaben</t>
  </si>
  <si>
    <t>KWABENA ABOBIRE</t>
  </si>
  <si>
    <t>lameckoe</t>
  </si>
  <si>
    <t>LAMECK KIPKURGAT KOECH</t>
  </si>
  <si>
    <t>zluwunge</t>
  </si>
  <si>
    <t>LUWUNGE JAMES</t>
  </si>
  <si>
    <t>daudmaji</t>
  </si>
  <si>
    <t>MAJID DAUDA</t>
  </si>
  <si>
    <t>malingum</t>
  </si>
  <si>
    <t>Malingumu Jackson</t>
  </si>
  <si>
    <t>momatovu</t>
  </si>
  <si>
    <t>MATOVUMOHAMMAD</t>
  </si>
  <si>
    <t>mikegalc</t>
  </si>
  <si>
    <t>MIKE GALIWANGO</t>
  </si>
  <si>
    <t>misaelst</t>
  </si>
  <si>
    <t>MISAEL STEVEN BULIANI</t>
  </si>
  <si>
    <t>damisuse</t>
  </si>
  <si>
    <t>MISUSERA DAVID LUBWAMA</t>
  </si>
  <si>
    <t>moiddris</t>
  </si>
  <si>
    <t>MOHAMMED,IDDRISS</t>
  </si>
  <si>
    <t>ibramoro</t>
  </si>
  <si>
    <t>MORO IBRAHIM</t>
  </si>
  <si>
    <t>tugumemo</t>
  </si>
  <si>
    <t>MORRIS TUGUME</t>
  </si>
  <si>
    <t>twasmose</t>
  </si>
  <si>
    <t>MOSES WASSWA</t>
  </si>
  <si>
    <t>muhapibr</t>
  </si>
  <si>
    <t>MUHAMMED IBRAHIM</t>
  </si>
  <si>
    <t>muhanrod</t>
  </si>
  <si>
    <t>Muhangi Rodgers</t>
  </si>
  <si>
    <t>murssesa</t>
  </si>
  <si>
    <t>MURSHID SSESANGA</t>
  </si>
  <si>
    <t>issakmuz</t>
  </si>
  <si>
    <t>MUSTAPHA SABIT ISSAKA</t>
  </si>
  <si>
    <t>muwofaha</t>
  </si>
  <si>
    <t>MUWONGE,FAHAD</t>
  </si>
  <si>
    <t>rpnahabw</t>
  </si>
  <si>
    <t>NAHABWE RODGERS</t>
  </si>
  <si>
    <t>sharrifn</t>
  </si>
  <si>
    <t>NAJJIBU SHARRIFU</t>
  </si>
  <si>
    <t>znambusa</t>
  </si>
  <si>
    <t>NATHAN BAGHENDA MBUSA</t>
  </si>
  <si>
    <t>ukimtani</t>
  </si>
  <si>
    <t>NICHOLAS KIRWA KIMTAI</t>
  </si>
  <si>
    <t>freokelc</t>
  </si>
  <si>
    <t>OKELLO FRED</t>
  </si>
  <si>
    <t>petekamu</t>
  </si>
  <si>
    <t>PETER KAMULEGEYA</t>
  </si>
  <si>
    <t>ssettinp</t>
  </si>
  <si>
    <t>PETER SSETTINBA</t>
  </si>
  <si>
    <t>posiblji</t>
  </si>
  <si>
    <t>POSIBLE JINGO</t>
  </si>
  <si>
    <t>aglagopr</t>
  </si>
  <si>
    <t>PRINCE AGLAGOVI</t>
  </si>
  <si>
    <t>adebugar</t>
  </si>
  <si>
    <t>Rahumata Adebuga</t>
  </si>
  <si>
    <t>ssereaga</t>
  </si>
  <si>
    <t>REAGAN MAGUNGA SSEMBAJJWE</t>
  </si>
  <si>
    <t>keizokre</t>
  </si>
  <si>
    <t>Reuben Keizo Kisembo</t>
  </si>
  <si>
    <t>robembug</t>
  </si>
  <si>
    <t>ROBERT MBUGHEKI</t>
  </si>
  <si>
    <t>jsamuean</t>
  </si>
  <si>
    <t>SAMUEL ANNOR BOAITEY</t>
  </si>
  <si>
    <t>selaryea</t>
  </si>
  <si>
    <t>SETH LARYEA</t>
  </si>
  <si>
    <t>shafinda</t>
  </si>
  <si>
    <t>SHAFIK KYAZE NDAWULA</t>
  </si>
  <si>
    <t>sillahei</t>
  </si>
  <si>
    <t>SILLAH,IDRISSA</t>
  </si>
  <si>
    <t>kwlsimon</t>
  </si>
  <si>
    <t>SIMON KWAO</t>
  </si>
  <si>
    <t>huslssen</t>
  </si>
  <si>
    <t>SSENYONGA,HUSAMA</t>
  </si>
  <si>
    <t>muhwebst</t>
  </si>
  <si>
    <t>STEVEN MUHWEZI</t>
  </si>
  <si>
    <t>lubsulah</t>
  </si>
  <si>
    <t>SULAH LUBWAMA</t>
  </si>
  <si>
    <t>sagsumaq</t>
  </si>
  <si>
    <t>SUMAN SAG</t>
  </si>
  <si>
    <t>kisssylv</t>
  </si>
  <si>
    <t>SYLVESTER KISSEIH</t>
  </si>
  <si>
    <t>tadekizi</t>
  </si>
  <si>
    <t>Tadeo Kizito</t>
  </si>
  <si>
    <t>tumufran</t>
  </si>
  <si>
    <t>Tumusiime Frank</t>
  </si>
  <si>
    <t>twinamas</t>
  </si>
  <si>
    <t>TWINAMASIKO,COLLINS</t>
  </si>
  <si>
    <t>tysnabas</t>
  </si>
  <si>
    <t>TYSON NABASA</t>
  </si>
  <si>
    <t>kadumbul</t>
  </si>
  <si>
    <t>William Kadumbula</t>
  </si>
  <si>
    <t>mavuzaid</t>
  </si>
  <si>
    <t>ZAIDI MAVUGA</t>
  </si>
  <si>
    <t>kizmehth</t>
  </si>
  <si>
    <t>KIZHAKAYIL KARABIL,MEHTHAB HUSSAN</t>
  </si>
  <si>
    <t>sheshame</t>
  </si>
  <si>
    <t>Shameer,Sheikh Muhammad</t>
  </si>
  <si>
    <t>PURAKKAL</t>
  </si>
  <si>
    <t xml:space="preserve"> </t>
  </si>
  <si>
    <t>lmohsyed</t>
  </si>
  <si>
    <t>Ajeem,Syed</t>
  </si>
  <si>
    <t>AscaJemutai</t>
  </si>
  <si>
    <t>BrendaRubaya</t>
  </si>
  <si>
    <t>SUNDARAD</t>
  </si>
  <si>
    <t>DhakshinamoorthySundaramoorthy</t>
  </si>
  <si>
    <t>EmmanuelBrobbey</t>
  </si>
  <si>
    <t>EmmanuelFianu</t>
  </si>
  <si>
    <t>EmmanuelFofie</t>
  </si>
  <si>
    <t>EmmanuelGyamfiOpoku</t>
  </si>
  <si>
    <t>EricAmengor</t>
  </si>
  <si>
    <t>EsmailaChambanAwawou</t>
  </si>
  <si>
    <t>EVELYNOWUSUAMENSAH</t>
  </si>
  <si>
    <t>EverlyneMills</t>
  </si>
  <si>
    <t>FaithChepkosgei</t>
  </si>
  <si>
    <t>FrancisMambwe</t>
  </si>
  <si>
    <t>FrancisOkai</t>
  </si>
  <si>
    <t>GeorginaAsiamah</t>
  </si>
  <si>
    <t>GERALDMUBIRU</t>
  </si>
  <si>
    <t>GideonAlusineMannah</t>
  </si>
  <si>
    <t>GloryAkumawah</t>
  </si>
  <si>
    <t>JAYPEEL</t>
  </si>
  <si>
    <t>JaypeeLopez</t>
  </si>
  <si>
    <t>LeonardKofie</t>
  </si>
  <si>
    <t>MuhammedPurakkal</t>
  </si>
  <si>
    <t>bavameer</t>
  </si>
  <si>
    <t>Meera,Bava Bahrudeen</t>
  </si>
  <si>
    <t>Sohail,Anis</t>
  </si>
  <si>
    <t>Dinberu,Eden</t>
  </si>
  <si>
    <t>Singh,Pardeep</t>
  </si>
  <si>
    <t>Lakkireddy,Sai Raghavendra Reddy</t>
  </si>
  <si>
    <t>Narshad,Muhammad</t>
  </si>
  <si>
    <t>Siddiqui,Amra Kausar Abdul Sajid</t>
  </si>
  <si>
    <t>helrashd</t>
  </si>
  <si>
    <t>gylrdg</t>
  </si>
  <si>
    <t>De Guzman,Gaylord Baliwag</t>
  </si>
  <si>
    <t>guyonl</t>
  </si>
  <si>
    <t>GUYON,Loubna</t>
  </si>
  <si>
    <t>neeruamz</t>
  </si>
  <si>
    <t>Sachdeva,Neeraj</t>
  </si>
  <si>
    <t>Joshi,Anirudh</t>
  </si>
  <si>
    <t>smmanojl</t>
  </si>
  <si>
    <t>Adamachi,Maria</t>
  </si>
  <si>
    <t>abdalgho</t>
  </si>
  <si>
    <t>El Ghoul,Abdallah</t>
  </si>
  <si>
    <t>Safety Coordinator</t>
  </si>
  <si>
    <t>Adecco - WFS Admin</t>
  </si>
  <si>
    <t>Workforce Staffing Coordinator</t>
  </si>
  <si>
    <t>Non-Inventory Receiver (NIR)</t>
  </si>
  <si>
    <t>yadamsad</t>
  </si>
  <si>
    <t>ADAMS SADICK</t>
  </si>
  <si>
    <t>emuhamia</t>
  </si>
  <si>
    <t>AHMED,MUHAMIN</t>
  </si>
  <si>
    <t xml:space="preserve">Mishra,Aman </t>
  </si>
  <si>
    <t>charmakp</t>
  </si>
  <si>
    <t>AKPAKA,CHARLES</t>
  </si>
  <si>
    <t>Warehouse Associate 6W</t>
  </si>
  <si>
    <t>andssema</t>
  </si>
  <si>
    <t>ANDREW DASILVER SSEMANDA</t>
  </si>
  <si>
    <t>andrmulv</t>
  </si>
  <si>
    <t>ANDREW MULUUTA</t>
  </si>
  <si>
    <t>ankinew</t>
  </si>
  <si>
    <t>ANKIT NEWAR</t>
  </si>
  <si>
    <t>Muhammad Narshad</t>
  </si>
  <si>
    <t>ashrnkwa</t>
  </si>
  <si>
    <t>ASHRAF ASHRO NKWANGA</t>
  </si>
  <si>
    <t>affulben</t>
  </si>
  <si>
    <t>BENJAMIN AFFUL</t>
  </si>
  <si>
    <t>dpbikram</t>
  </si>
  <si>
    <t>BIKRAM DHAKAL</t>
  </si>
  <si>
    <t>biseswak</t>
  </si>
  <si>
    <t>BISESWAR KUMAR THAKUR</t>
  </si>
  <si>
    <t>ahabwebi</t>
  </si>
  <si>
    <t>Bismark Ahabwe</t>
  </si>
  <si>
    <t>sundabru</t>
  </si>
  <si>
    <t>Bruce sunday</t>
  </si>
  <si>
    <t>rzcolema</t>
  </si>
  <si>
    <t>COLEMAN,ROBERT</t>
  </si>
  <si>
    <t>danaaoda</t>
  </si>
  <si>
    <t>DANAA,DAVID</t>
  </si>
  <si>
    <t>emwanamb</t>
  </si>
  <si>
    <t>Emma Wanabwa</t>
  </si>
  <si>
    <t>harthufr</t>
  </si>
  <si>
    <t>FRANCIS ARTHUR</t>
  </si>
  <si>
    <t>cudjoeif</t>
  </si>
  <si>
    <t>FRANCIS CUDJOE</t>
  </si>
  <si>
    <t>nuwafrag</t>
  </si>
  <si>
    <t>FRANK NUWAHEREZA</t>
  </si>
  <si>
    <t>ssegeoff</t>
  </si>
  <si>
    <t>GEOFFREY SSEMPA</t>
  </si>
  <si>
    <t>kkibehar</t>
  </si>
  <si>
    <t>HARUNAH KIBENGO</t>
  </si>
  <si>
    <t>innamany</t>
  </si>
  <si>
    <t>INNOCENT CLINTON AMANYA</t>
  </si>
  <si>
    <t>otiinnoc</t>
  </si>
  <si>
    <t>INNOCENT OTIM</t>
  </si>
  <si>
    <t>nabonisa</t>
  </si>
  <si>
    <t>ISAAC NABONGO</t>
  </si>
  <si>
    <t>katamgjo</t>
  </si>
  <si>
    <t>JOHN KATAMBA</t>
  </si>
  <si>
    <t>jothembo</t>
  </si>
  <si>
    <t>JOHN THEMBO</t>
  </si>
  <si>
    <t>henrjora</t>
  </si>
  <si>
    <t>JORAM HENRY WONIALA</t>
  </si>
  <si>
    <t>joshirum</t>
  </si>
  <si>
    <t>JOSHUA IRUMBA</t>
  </si>
  <si>
    <t>okulyjos</t>
  </si>
  <si>
    <t>JOSHUA OKULA</t>
  </si>
  <si>
    <t>tkalfran</t>
  </si>
  <si>
    <t>KALULE,FRANK</t>
  </si>
  <si>
    <t>auguskam</t>
  </si>
  <si>
    <t>KAMANDA,AUGUSTINE</t>
  </si>
  <si>
    <t>mukailka</t>
  </si>
  <si>
    <t>KASSIM,MUKAILA</t>
  </si>
  <si>
    <t>kennenav</t>
  </si>
  <si>
    <t>KENNETH NAYEBARE</t>
  </si>
  <si>
    <t>turykenn</t>
  </si>
  <si>
    <t>KENNETH TURYAMUREBA</t>
  </si>
  <si>
    <t>kulmika</t>
  </si>
  <si>
    <t>KULE,MIKA MUSIME</t>
  </si>
  <si>
    <t>weermich</t>
  </si>
  <si>
    <t>MICHEAL WEERE</t>
  </si>
  <si>
    <t>razaxmo</t>
  </si>
  <si>
    <t>Mohammad Khalid Raza</t>
  </si>
  <si>
    <t>mukalash</t>
  </si>
  <si>
    <t>MUKALAZI,SHAFIC</t>
  </si>
  <si>
    <t>abigaboi</t>
  </si>
  <si>
    <t>ONESMAS ABIGABA</t>
  </si>
  <si>
    <t>gyamfinp</t>
  </si>
  <si>
    <t>PHILIP GYAMFI</t>
  </si>
  <si>
    <t>shaandhk</t>
  </si>
  <si>
    <t>SHAFIC ANDHI</t>
  </si>
  <si>
    <t>ayshedra</t>
  </si>
  <si>
    <t>SHEDRACK AYEBAZIBWE</t>
  </si>
  <si>
    <t>aijsimoj</t>
  </si>
  <si>
    <t>SIMON AIJUKA</t>
  </si>
  <si>
    <t>tesadamu</t>
  </si>
  <si>
    <t>TEBIGWAYO SADAMU</t>
  </si>
  <si>
    <t>timokino</t>
  </si>
  <si>
    <t>TIMOTHY KINONGO</t>
  </si>
  <si>
    <t>wilmande</t>
  </si>
  <si>
    <t>WILSON MANDELA</t>
  </si>
  <si>
    <t>wimumber</t>
  </si>
  <si>
    <t>WILSON MUMBERE</t>
  </si>
  <si>
    <t>sgiftyaw</t>
  </si>
  <si>
    <t>Gifty Awuah Ghanaian</t>
  </si>
  <si>
    <t>elizmung</t>
  </si>
  <si>
    <t>ELIZABETH NDUNGE MUNGUTI</t>
  </si>
  <si>
    <t>kyeicynt</t>
  </si>
  <si>
    <t>CYNTHIA KYEI BAFFOUR</t>
  </si>
  <si>
    <t>chkwinni</t>
  </si>
  <si>
    <t>Winnie Chepchichir</t>
  </si>
  <si>
    <t>depporah</t>
  </si>
  <si>
    <t>Depporah Nyamusi</t>
  </si>
  <si>
    <t>kwartnao</t>
  </si>
  <si>
    <t>NAOMI KWARTENG</t>
  </si>
  <si>
    <t>araalfra</t>
  </si>
  <si>
    <t>FRANCIS ARAALI MUTEGEKI</t>
  </si>
  <si>
    <t>agyeklin</t>
  </si>
  <si>
    <t>KLINSMAN AGYEI</t>
  </si>
  <si>
    <t>kamalize</t>
  </si>
  <si>
    <t>Emmanuel Kamalizeni</t>
  </si>
  <si>
    <t>lraghava</t>
  </si>
  <si>
    <t>ansammar</t>
  </si>
  <si>
    <t>Ansari,Ammar Abdullah</t>
  </si>
  <si>
    <t>ismchasy</t>
  </si>
  <si>
    <t>Ismail,Syed</t>
  </si>
  <si>
    <t>bbenjowu</t>
  </si>
  <si>
    <t>OWUSU,BENJAMIN</t>
  </si>
  <si>
    <t>wilfwood</t>
  </si>
  <si>
    <t>WOODE BROWN,WILFRED</t>
  </si>
  <si>
    <t>eliasabu</t>
  </si>
  <si>
    <t>ABUBAKARI,ELIASU</t>
  </si>
  <si>
    <t>cynttanu</t>
  </si>
  <si>
    <t>Tanui,Cynthia Jepkoech</t>
  </si>
  <si>
    <t>jumakamb</t>
  </si>
  <si>
    <t>Jogi,Juma Kambi</t>
  </si>
  <si>
    <t>bremwang</t>
  </si>
  <si>
    <t>Mwangi,Brenda Wangui</t>
  </si>
  <si>
    <t>maurrono</t>
  </si>
  <si>
    <t>Rono,Maureen Chebet</t>
  </si>
  <si>
    <t>mumonicv</t>
  </si>
  <si>
    <t>MUTUA,MONICA MUEN</t>
  </si>
  <si>
    <t>ngcicilx</t>
  </si>
  <si>
    <t>Ngethe,Cicilia Wairimu</t>
  </si>
  <si>
    <t>marymubw</t>
  </si>
  <si>
    <t>WAUSI,MARY MUTIO</t>
  </si>
  <si>
    <t>appiador</t>
  </si>
  <si>
    <t>Appiah,Dorcas Niamah</t>
  </si>
  <si>
    <t>fanqgise</t>
  </si>
  <si>
    <t>Fang,Giselle Fuen</t>
  </si>
  <si>
    <t>ssaamike</t>
  </si>
  <si>
    <t>Ssaabwe,Mike</t>
  </si>
  <si>
    <t>jeptanui</t>
  </si>
  <si>
    <t>Jeptanui,Violah</t>
  </si>
  <si>
    <t>catelenw</t>
  </si>
  <si>
    <t>MUCHERU,CATELEN WANJIRA</t>
  </si>
  <si>
    <t>busnabuw</t>
  </si>
  <si>
    <t>NABUWEMBO,BUSHILAH</t>
  </si>
  <si>
    <t>kibevely</t>
  </si>
  <si>
    <t>KIBAGE,EVELYN</t>
  </si>
  <si>
    <t>Manojlovic,Sandra</t>
  </si>
  <si>
    <t>DUFIE MARY</t>
  </si>
  <si>
    <t>GIDEON WANJALA WEYAULA</t>
  </si>
  <si>
    <t>CYRIL DELA AMAVIE</t>
  </si>
  <si>
    <t>FATU F SARCKOH BONARWOLO</t>
  </si>
  <si>
    <t>Kinuthia,Caroline Wachera</t>
  </si>
  <si>
    <t>margdufi</t>
  </si>
  <si>
    <t>gideopwa</t>
  </si>
  <si>
    <t>vdelacyr</t>
  </si>
  <si>
    <t>fsarckoh</t>
  </si>
  <si>
    <t>tckinuth</t>
  </si>
  <si>
    <t>Annual Leave</t>
  </si>
  <si>
    <t>aloielia</t>
  </si>
  <si>
    <t>ALOI,ELIAS</t>
  </si>
  <si>
    <t>chakkumm</t>
  </si>
  <si>
    <t>Chakkumkandath,Midhun</t>
  </si>
  <si>
    <t>6th Day OT</t>
  </si>
  <si>
    <t>Missed SOS</t>
  </si>
  <si>
    <t>Maternity Leave</t>
  </si>
  <si>
    <t>mjjepkem</t>
  </si>
  <si>
    <t>MERCY JEPKEMBOI</t>
  </si>
  <si>
    <t>ALICE KORWOR</t>
  </si>
  <si>
    <t>FRIDA BATE ENOW</t>
  </si>
  <si>
    <t>GARVIN MARK ALIGAWEESA</t>
  </si>
  <si>
    <t>SAMUEL OSAE ASHONG</t>
  </si>
  <si>
    <t>WISDOM ARTIGAH</t>
  </si>
  <si>
    <t>Anolyne Atukwatse</t>
  </si>
  <si>
    <t>Chanceline Fongwi Muluh</t>
  </si>
  <si>
    <t>FRANCIS OKECHI MAUTI</t>
  </si>
  <si>
    <t>Jane Njeri Gitau</t>
  </si>
  <si>
    <t>NANCY JEPTOO KIBET</t>
  </si>
  <si>
    <t>Peter Njoroge Chuchi</t>
  </si>
  <si>
    <t>SANDRA NAMARA</t>
  </si>
  <si>
    <t>Sharon Chebet</t>
  </si>
  <si>
    <t xml:space="preserve">Sunday </t>
  </si>
  <si>
    <t>DAY1 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</si>
</sst>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yyyy\-mm\-dd;@"/>
    <numFmt numFmtId="165" formatCode="[$-409]d\-mmm\-yy;@"/>
    <numFmt numFmtId="166" formatCode="[$-F400]h:mm:ss\ AM/PM"/>
    <numFmt numFmtId="167" formatCode="[$-409]dd\-mmm\-yy;@"/>
    <numFmt numFmtId="168" formatCode="0.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rgb="FF000000"/>
      <name val="Calibri"/>
      <family val="2"/>
      <scheme val="minor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3" fillId="0" borderId="0"/>
    <xf numFmtId="0" fontId="1" fillId="0" borderId="0" applyBorder="0"/>
    <xf numFmtId="43" fontId="1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173">
    <xf numFmtId="0" fontId="0" fillId="0" borderId="0" xfId="0"/>
    <xf numFmtId="0" fontId="2" fillId="3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0" fontId="2" fillId="0" borderId="1" xfId="1" applyNumberFormat="1" applyFont="1" applyBorder="1" applyAlignment="1" applyProtection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10" fontId="2" fillId="0" borderId="1" xfId="1" applyNumberFormat="1" applyFont="1" applyBorder="1" applyAlignment="1" applyProtection="1">
      <alignment horizontal="center"/>
    </xf>
    <xf numFmtId="9" fontId="2" fillId="0" borderId="12" xfId="1" applyFont="1" applyBorder="1" applyAlignment="1" applyProtection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11" xfId="0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 vertical="center"/>
      <protection locked="0"/>
    </xf>
    <xf numFmtId="10" fontId="2" fillId="2" borderId="1" xfId="1" applyNumberFormat="1" applyFont="1" applyFill="1" applyBorder="1" applyAlignment="1" applyProtection="1">
      <alignment horizontal="center"/>
      <protection locked="0"/>
    </xf>
    <xf numFmtId="0" fontId="6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9" fontId="5" fillId="7" borderId="12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9" fontId="2" fillId="0" borderId="22" xfId="1" applyFont="1" applyBorder="1" applyAlignment="1" applyProtection="1">
      <alignment horizontal="center"/>
    </xf>
    <xf numFmtId="9" fontId="2" fillId="0" borderId="24" xfId="1" applyFont="1" applyBorder="1" applyAlignment="1" applyProtection="1">
      <alignment horizontal="center"/>
    </xf>
    <xf numFmtId="9" fontId="2" fillId="0" borderId="23" xfId="1" applyFont="1" applyBorder="1" applyAlignment="1" applyProtection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  <xf numFmtId="10" fontId="6" fillId="9" borderId="1" xfId="1" applyNumberFormat="1" applyFont="1" applyFill="1" applyBorder="1" applyAlignment="1" applyProtection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  <xf numFmtId="10" fontId="6" fillId="9" borderId="1" xfId="1" applyNumberFormat="1" applyFont="1" applyFill="1" applyBorder="1" applyAlignment="1" applyProtection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7" fillId="9" borderId="21" xfId="0" applyFont="1" applyFill="1" applyBorder="1" applyAlignment="1">
      <alignment horizontal="center" vertical="center" wrapText="1"/>
    </xf>
    <xf numFmtId="165" fontId="4" fillId="8" borderId="11" xfId="0" applyNumberFormat="1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5" fontId="8" fillId="8" borderId="3" xfId="0" applyNumberFormat="1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/>
    </xf>
    <xf numFmtId="10" fontId="2" fillId="0" borderId="0" xfId="1" applyNumberFormat="1" applyFont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10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/>
    </xf>
    <xf numFmtId="0" fontId="2" fillId="0" borderId="1" xfId="1" applyNumberFormat="1" applyFont="1" applyBorder="1" applyAlignment="1" applyProtection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/>
    </xf>
    <xf numFmtId="169" fontId="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 vertical="center"/>
    </xf>
    <xf numFmtId="10" fontId="6" fillId="7" borderId="1" xfId="0" applyNumberFormat="1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 wrapText="1"/>
    </xf>
    <xf numFmtId="10" fontId="2" fillId="0" borderId="5" xfId="1" applyNumberFormat="1" applyFont="1" applyBorder="1" applyAlignment="1" applyProtection="1">
      <alignment horizontal="center" vertical="center"/>
    </xf>
    <xf numFmtId="0" fontId="2" fillId="0" borderId="5" xfId="1" applyNumberFormat="1" applyFont="1" applyBorder="1" applyAlignment="1" applyProtection="1">
      <alignment horizontal="center" vertical="center"/>
    </xf>
    <xf numFmtId="10" fontId="6" fillId="9" borderId="5" xfId="1" applyNumberFormat="1" applyFont="1" applyFill="1" applyBorder="1" applyAlignment="1" applyProtection="1">
      <alignment horizontal="center" vertical="center"/>
    </xf>
    <xf numFmtId="10" fontId="2" fillId="0" borderId="1" xfId="1" applyNumberFormat="1" applyFont="1" applyBorder="1" applyAlignment="1">
      <alignment horizontal="center" vertical="center"/>
    </xf>
    <xf numFmtId="10" fontId="6" fillId="7" borderId="1" xfId="1" applyNumberFormat="1" applyFont="1" applyFill="1" applyBorder="1" applyAlignment="1">
      <alignment horizontal="center" vertical="center"/>
    </xf>
    <xf numFmtId="10" fontId="7" fillId="9" borderId="1" xfId="1" applyNumberFormat="1" applyFont="1" applyFill="1" applyBorder="1" applyAlignment="1" applyProtection="1">
      <alignment horizontal="center" vertical="center" wrapText="1"/>
    </xf>
    <xf numFmtId="10" fontId="2" fillId="10" borderId="1" xfId="1" applyNumberFormat="1" applyFont="1" applyFill="1" applyBorder="1" applyAlignment="1" applyProtection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66" fontId="10" fillId="0" borderId="27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164" fontId="2" fillId="0" borderId="27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6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2" fontId="2" fillId="0" borderId="0" xfId="1" applyNumberFormat="1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1" fontId="6" fillId="7" borderId="1" xfId="0" applyNumberFormat="1" applyFont="1" applyFill="1" applyBorder="1" applyAlignment="1">
      <alignment horizontal="center" vertical="center"/>
    </xf>
    <xf numFmtId="168" fontId="6" fillId="7" borderId="1" xfId="0" applyNumberFormat="1" applyFont="1" applyFill="1" applyBorder="1" applyAlignment="1">
      <alignment horizontal="center" vertical="center"/>
    </xf>
    <xf numFmtId="166" fontId="10" fillId="10" borderId="1" xfId="0" applyNumberFormat="1" applyFont="1" applyFill="1" applyBorder="1" applyAlignment="1">
      <alignment horizontal="center" vertical="center"/>
    </xf>
    <xf numFmtId="166" fontId="10" fillId="2" borderId="1" xfId="0" applyNumberFormat="1" applyFont="1" applyFill="1" applyBorder="1" applyAlignment="1">
      <alignment horizontal="center" vertical="center"/>
    </xf>
    <xf numFmtId="9" fontId="2" fillId="0" borderId="1" xfId="1" applyFont="1" applyBorder="1" applyAlignment="1">
      <alignment horizontal="center" vertical="center"/>
    </xf>
    <xf numFmtId="9" fontId="10" fillId="0" borderId="1" xfId="1" applyFont="1" applyBorder="1" applyAlignment="1">
      <alignment horizontal="center" vertical="center"/>
    </xf>
    <xf numFmtId="9" fontId="2" fillId="0" borderId="1" xfId="1" applyFont="1" applyBorder="1" applyAlignment="1">
      <alignment horizontal="center"/>
    </xf>
    <xf numFmtId="9" fontId="2" fillId="0" borderId="27" xfId="1" applyFont="1" applyBorder="1" applyAlignment="1">
      <alignment horizontal="center" vertical="center"/>
    </xf>
    <xf numFmtId="0" fontId="2" fillId="0" borderId="1" xfId="1" applyNumberFormat="1" applyFont="1" applyBorder="1" applyAlignment="1">
      <alignment horizontal="center"/>
    </xf>
    <xf numFmtId="43" fontId="2" fillId="0" borderId="1" xfId="5" applyFont="1" applyBorder="1" applyAlignment="1">
      <alignment horizontal="center" vertical="center"/>
    </xf>
    <xf numFmtId="43" fontId="2" fillId="0" borderId="1" xfId="5" applyFont="1" applyBorder="1" applyAlignment="1">
      <alignment horizontal="center" vertical="center" wrapText="1"/>
    </xf>
    <xf numFmtId="43" fontId="2" fillId="0" borderId="27" xfId="5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1" applyNumberFormat="1" applyFont="1" applyBorder="1" applyAlignment="1" applyProtection="1">
      <alignment horizontal="center" vertical="center"/>
    </xf>
    <xf numFmtId="1" fontId="2" fillId="10" borderId="1" xfId="1" applyNumberFormat="1" applyFont="1" applyFill="1" applyBorder="1" applyAlignment="1" applyProtection="1">
      <alignment horizontal="center" vertical="center"/>
    </xf>
    <xf numFmtId="1" fontId="2" fillId="0" borderId="29" xfId="0" applyNumberFormat="1" applyFont="1" applyBorder="1" applyAlignment="1">
      <alignment horizontal="center" vertical="center"/>
    </xf>
    <xf numFmtId="43" fontId="2" fillId="0" borderId="29" xfId="5" applyFont="1" applyBorder="1" applyAlignment="1">
      <alignment horizontal="center" vertical="center"/>
    </xf>
    <xf numFmtId="166" fontId="10" fillId="0" borderId="5" xfId="0" applyNumberFormat="1" applyFont="1" applyBorder="1" applyAlignment="1">
      <alignment horizontal="center" vertical="center"/>
    </xf>
    <xf numFmtId="167" fontId="2" fillId="0" borderId="27" xfId="0" applyNumberFormat="1" applyFont="1" applyBorder="1" applyAlignment="1">
      <alignment horizontal="center" vertical="center"/>
    </xf>
    <xf numFmtId="9" fontId="2" fillId="0" borderId="1" xfId="1" applyFont="1" applyFill="1" applyBorder="1" applyAlignment="1">
      <alignment horizontal="center" vertical="center"/>
    </xf>
    <xf numFmtId="9" fontId="10" fillId="0" borderId="1" xfId="1" applyFont="1" applyFill="1" applyBorder="1" applyAlignment="1">
      <alignment horizontal="center" vertical="center"/>
    </xf>
    <xf numFmtId="9" fontId="2" fillId="0" borderId="27" xfId="1" applyFont="1" applyBorder="1" applyAlignment="1">
      <alignment horizontal="center"/>
    </xf>
    <xf numFmtId="9" fontId="10" fillId="0" borderId="27" xfId="1" applyFont="1" applyBorder="1" applyAlignment="1">
      <alignment horizontal="center" vertical="center"/>
    </xf>
    <xf numFmtId="9" fontId="2" fillId="0" borderId="1" xfId="1" applyFont="1" applyBorder="1"/>
    <xf numFmtId="49" fontId="2" fillId="0" borderId="0" xfId="1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27" xfId="1" applyNumberFormat="1" applyFont="1" applyFill="1" applyBorder="1" applyAlignment="1">
      <alignment horizontal="center" vertical="center"/>
    </xf>
    <xf numFmtId="9" fontId="2" fillId="0" borderId="27" xfId="1" applyFont="1" applyFill="1" applyBorder="1" applyAlignment="1">
      <alignment horizontal="center" vertical="center"/>
    </xf>
    <xf numFmtId="166" fontId="10" fillId="0" borderId="27" xfId="1" applyNumberFormat="1" applyFont="1" applyFill="1" applyBorder="1" applyAlignment="1">
      <alignment horizontal="center" vertical="center"/>
    </xf>
    <xf numFmtId="167" fontId="10" fillId="0" borderId="27" xfId="1" applyNumberFormat="1" applyFont="1" applyFill="1" applyBorder="1" applyAlignment="1">
      <alignment horizontal="center" vertical="center"/>
    </xf>
    <xf numFmtId="166" fontId="10" fillId="0" borderId="30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Fill="1" applyBorder="1" applyAlignment="1">
      <alignment horizontal="center" vertical="center"/>
    </xf>
    <xf numFmtId="167" fontId="10" fillId="0" borderId="1" xfId="1" applyNumberFormat="1" applyFont="1" applyFill="1" applyBorder="1" applyAlignment="1">
      <alignment horizontal="center" vertical="center"/>
    </xf>
    <xf numFmtId="1" fontId="2" fillId="0" borderId="27" xfId="1" applyNumberFormat="1" applyFont="1" applyFill="1" applyBorder="1" applyAlignment="1">
      <alignment horizontal="center" vertical="center"/>
    </xf>
    <xf numFmtId="1" fontId="2" fillId="0" borderId="27" xfId="5" applyNumberFormat="1" applyFont="1" applyFill="1" applyBorder="1" applyAlignment="1">
      <alignment horizontal="center" vertical="center"/>
    </xf>
    <xf numFmtId="1" fontId="2" fillId="0" borderId="1" xfId="1" applyNumberFormat="1" applyFont="1" applyFill="1" applyBorder="1" applyAlignment="1">
      <alignment horizontal="center" vertical="center"/>
    </xf>
    <xf numFmtId="1" fontId="2" fillId="0" borderId="1" xfId="5" applyNumberFormat="1" applyFont="1" applyFill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166" fontId="10" fillId="0" borderId="5" xfId="1" applyNumberFormat="1" applyFont="1" applyFill="1" applyBorder="1" applyAlignment="1">
      <alignment horizontal="center" vertical="center"/>
    </xf>
    <xf numFmtId="1" fontId="16" fillId="0" borderId="1" xfId="1" applyNumberFormat="1" applyFont="1" applyFill="1" applyBorder="1" applyAlignment="1">
      <alignment horizontal="center" vertical="center"/>
    </xf>
    <xf numFmtId="1" fontId="16" fillId="0" borderId="1" xfId="5" applyNumberFormat="1" applyFont="1" applyFill="1" applyBorder="1" applyAlignment="1">
      <alignment horizontal="center" vertical="center"/>
    </xf>
    <xf numFmtId="43" fontId="16" fillId="0" borderId="1" xfId="5" applyFont="1" applyFill="1" applyBorder="1" applyAlignment="1">
      <alignment horizontal="center" vertical="center"/>
    </xf>
    <xf numFmtId="1" fontId="16" fillId="0" borderId="27" xfId="1" applyNumberFormat="1" applyFont="1" applyFill="1" applyBorder="1" applyAlignment="1">
      <alignment horizontal="center" vertical="center"/>
    </xf>
    <xf numFmtId="1" fontId="16" fillId="0" borderId="27" xfId="5" applyNumberFormat="1" applyFont="1" applyFill="1" applyBorder="1" applyAlignment="1">
      <alignment horizontal="center" vertical="center"/>
    </xf>
    <xf numFmtId="43" fontId="16" fillId="0" borderId="27" xfId="5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0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7" borderId="16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9" fontId="6" fillId="7" borderId="22" xfId="0" applyNumberFormat="1" applyFont="1" applyFill="1" applyBorder="1" applyAlignment="1">
      <alignment horizontal="center"/>
    </xf>
    <xf numFmtId="9" fontId="6" fillId="7" borderId="23" xfId="0" applyNumberFormat="1" applyFont="1" applyFill="1" applyBorder="1" applyAlignment="1">
      <alignment horizontal="center"/>
    </xf>
    <xf numFmtId="0" fontId="6" fillId="7" borderId="11" xfId="0" applyFont="1" applyFill="1" applyBorder="1" applyAlignment="1">
      <alignment horizontal="center" vertical="center"/>
    </xf>
    <xf numFmtId="0" fontId="6" fillId="9" borderId="12" xfId="0" applyFont="1" applyFill="1" applyBorder="1" applyAlignment="1">
      <alignment horizontal="center" vertical="center" wrapText="1"/>
    </xf>
    <xf numFmtId="0" fontId="6" fillId="7" borderId="11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7" fillId="9" borderId="13" xfId="0" applyFont="1" applyFill="1" applyBorder="1" applyAlignment="1">
      <alignment horizontal="center" vertical="center" wrapText="1"/>
    </xf>
    <xf numFmtId="0" fontId="7" fillId="9" borderId="14" xfId="0" applyFont="1" applyFill="1" applyBorder="1" applyAlignment="1">
      <alignment horizontal="center" vertical="center" wrapText="1"/>
    </xf>
  </cellXfs>
  <cellStyles count="7">
    <cellStyle name="Comma" xfId="5" builtinId="3"/>
    <cellStyle name="Comma 2" xfId="6" xr:uid="{B48DB623-84EF-47FB-B5D5-5E48194FB578}"/>
    <cellStyle name="Normal" xfId="0" builtinId="0"/>
    <cellStyle name="Normal 2" xfId="2" xr:uid="{054E91FE-AF1F-4BEB-9EE7-B890776E87C7}"/>
    <cellStyle name="Normal 3" xfId="3" xr:uid="{BDA3982A-1972-4C47-90CA-DFB743AEFAEA}"/>
    <cellStyle name="Normal 4" xfId="4" xr:uid="{319551B5-D651-4071-971C-86368CC7DE48}"/>
    <cellStyle name="Percent" xfId="1" builtinId="5"/>
  </cellStyles>
  <dxfs count="857"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-0.499984740745262"/>
        </patternFill>
      </fill>
    </dxf>
    <dxf>
      <fill>
        <patternFill>
          <bgColor rgb="FF7030A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4" tint="-0.499984740745262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7" formatCode="[$-409]dd\-m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66" formatCode="[$-F400]h:mm:ss\ AM/PM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64" formatCode="yyyy\-mm\-dd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name val="Calibri"/>
        <family val="2"/>
        <scheme val="minor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numFmt numFmtId="19" formatCode="m/d/yyyy"/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DEBDFF"/>
        </patternFill>
      </fill>
    </dxf>
    <dxf>
      <fill>
        <patternFill>
          <bgColor rgb="FF7030A0"/>
        </patternFill>
      </fill>
    </dxf>
    <dxf>
      <fill>
        <patternFill>
          <bgColor rgb="FFCC99FF"/>
        </patternFill>
      </fill>
    </dxf>
  </dxfs>
  <tableStyles count="2" defaultTableStyle="TableStyleMedium2" defaultPivotStyle="PivotStyleLight16">
    <tableStyle name="Table Style 1" pivot="0" count="1" xr9:uid="{BAE5DEBB-BF4A-4C5B-AF50-DA3E12808DD0}">
      <tableStyleElement type="firstRowStripe" dxfId="856"/>
    </tableStyle>
    <tableStyle name="Table Style 2" pivot="0" count="2" xr9:uid="{18C1CFA2-D327-418D-9CE3-705B1B857C1A}">
      <tableStyleElement type="headerRow" dxfId="855"/>
      <tableStyleElement type="firstRowStripe" dxfId="854"/>
    </tableStyle>
  </tableStyles>
  <colors>
    <mruColors>
      <color rgb="FFCC99FF"/>
      <color rgb="FFCC66FF"/>
      <color rgb="FF9900CC"/>
      <color rgb="FFDEB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%20With%20Me\AUH%20HC%20list\2026\Aug\AUH1-0108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M vs roster validation"/>
      <sheetName val="HC split"/>
      <sheetName val="Roster"/>
      <sheetName val="Released"/>
      <sheetName val="Adj OFF &amp; Shift Roster changes"/>
      <sheetName val="Transferred"/>
      <sheetName val="Management"/>
      <sheetName val="Termination Types-Reasons"/>
      <sheetName val="Termination codes"/>
    </sheetNames>
    <sheetDataSet>
      <sheetData sheetId="0"/>
      <sheetData sheetId="1"/>
      <sheetData sheetId="2">
        <row r="2">
          <cell r="C2">
            <v>206875258</v>
          </cell>
          <cell r="D2" t="str">
            <v>bakabdal</v>
          </cell>
        </row>
        <row r="3">
          <cell r="C3">
            <v>206873715</v>
          </cell>
          <cell r="D3" t="str">
            <v>zkasabda</v>
          </cell>
        </row>
        <row r="4">
          <cell r="C4">
            <v>203679309</v>
          </cell>
          <cell r="D4" t="str">
            <v>njitaria</v>
          </cell>
        </row>
        <row r="5">
          <cell r="C5">
            <v>204864408</v>
          </cell>
          <cell r="D5" t="str">
            <v>iddabdud</v>
          </cell>
        </row>
        <row r="6">
          <cell r="C6">
            <v>203800376</v>
          </cell>
          <cell r="D6" t="str">
            <v>kiwanuab</v>
          </cell>
        </row>
        <row r="7">
          <cell r="C7">
            <v>206953791</v>
          </cell>
          <cell r="D7" t="str">
            <v>abubodon</v>
          </cell>
        </row>
        <row r="8">
          <cell r="C8">
            <v>205608373</v>
          </cell>
          <cell r="D8" t="str">
            <v>tiacquah</v>
          </cell>
        </row>
        <row r="9">
          <cell r="C9">
            <v>204869098</v>
          </cell>
          <cell r="D9" t="str">
            <v>rosadamu</v>
          </cell>
        </row>
        <row r="10">
          <cell r="C10">
            <v>206875144</v>
          </cell>
          <cell r="D10" t="str">
            <v>ramaafid</v>
          </cell>
        </row>
        <row r="11">
          <cell r="C11">
            <v>204299542</v>
          </cell>
          <cell r="D11" t="str">
            <v>ahmeumef</v>
          </cell>
        </row>
        <row r="12">
          <cell r="C12">
            <v>206873708</v>
          </cell>
          <cell r="D12" t="str">
            <v>xaijueli</v>
          </cell>
        </row>
        <row r="13">
          <cell r="C13">
            <v>107117478</v>
          </cell>
          <cell r="D13" t="str">
            <v>lmohsyed</v>
          </cell>
        </row>
        <row r="14">
          <cell r="C14">
            <v>204403651</v>
          </cell>
          <cell r="D14" t="str">
            <v>jalanssh</v>
          </cell>
        </row>
        <row r="15">
          <cell r="C15">
            <v>204299562</v>
          </cell>
          <cell r="D15" t="str">
            <v>alectilo</v>
          </cell>
        </row>
        <row r="16">
          <cell r="C16">
            <v>206949071</v>
          </cell>
          <cell r="D16" t="str">
            <v>alemuyom</v>
          </cell>
        </row>
        <row r="17">
          <cell r="C17">
            <v>203083928</v>
          </cell>
          <cell r="D17" t="str">
            <v>galeowus</v>
          </cell>
        </row>
        <row r="18">
          <cell r="C18">
            <v>206926473</v>
          </cell>
          <cell r="D18" t="str">
            <v>kwailaga</v>
          </cell>
        </row>
        <row r="19">
          <cell r="C19">
            <v>203469072</v>
          </cell>
          <cell r="D19" t="str">
            <v>aliallaf</v>
          </cell>
        </row>
        <row r="20">
          <cell r="C20">
            <v>206875142</v>
          </cell>
          <cell r="D20" t="str">
            <v>ddumalla</v>
          </cell>
        </row>
        <row r="21">
          <cell r="C21">
            <v>206953811</v>
          </cell>
          <cell r="D21" t="str">
            <v>allanmub</v>
          </cell>
        </row>
        <row r="22">
          <cell r="C22">
            <v>206875146</v>
          </cell>
          <cell r="D22" t="str">
            <v>alphaatk</v>
          </cell>
        </row>
        <row r="23">
          <cell r="C23">
            <v>205496017</v>
          </cell>
          <cell r="D23" t="str">
            <v>roambili</v>
          </cell>
        </row>
        <row r="24">
          <cell r="C24">
            <v>206294541</v>
          </cell>
          <cell r="D24" t="str">
            <v>amkkamar</v>
          </cell>
        </row>
        <row r="25">
          <cell r="C25">
            <v>203800382</v>
          </cell>
          <cell r="D25" t="str">
            <v>abaaamon</v>
          </cell>
        </row>
        <row r="26">
          <cell r="C26">
            <v>206930700</v>
          </cell>
          <cell r="D26" t="str">
            <v>andmutun</v>
          </cell>
        </row>
        <row r="27">
          <cell r="C27">
            <v>203995362</v>
          </cell>
          <cell r="D27" t="str">
            <v>anssenku</v>
          </cell>
        </row>
        <row r="28">
          <cell r="C28">
            <v>206953786</v>
          </cell>
          <cell r="D28" t="str">
            <v>qnamacha</v>
          </cell>
        </row>
        <row r="29">
          <cell r="C29">
            <v>206875143</v>
          </cell>
          <cell r="D29" t="str">
            <v>asantimb</v>
          </cell>
        </row>
        <row r="30">
          <cell r="C30">
            <v>205647826</v>
          </cell>
          <cell r="D30" t="str">
            <v>bjemuasc</v>
          </cell>
        </row>
        <row r="31">
          <cell r="C31">
            <v>206875148</v>
          </cell>
          <cell r="D31" t="str">
            <v>kiyimash</v>
          </cell>
        </row>
        <row r="32">
          <cell r="C32">
            <v>205609430</v>
          </cell>
          <cell r="D32" t="str">
            <v>sarpoatt</v>
          </cell>
        </row>
        <row r="33">
          <cell r="C33">
            <v>203555399</v>
          </cell>
          <cell r="D33" t="str">
            <v>berchimh</v>
          </cell>
        </row>
        <row r="34">
          <cell r="C34">
            <v>205997628</v>
          </cell>
          <cell r="D34" t="str">
            <v>gbnyiren</v>
          </cell>
        </row>
        <row r="35">
          <cell r="C35">
            <v>203555402</v>
          </cell>
          <cell r="D35" t="str">
            <v>brerubay</v>
          </cell>
        </row>
        <row r="36">
          <cell r="C36">
            <v>206953810</v>
          </cell>
          <cell r="D36" t="str">
            <v>pbmateke</v>
          </cell>
        </row>
        <row r="37">
          <cell r="C37">
            <v>204299899</v>
          </cell>
          <cell r="D37" t="str">
            <v>ybbright</v>
          </cell>
        </row>
        <row r="38">
          <cell r="C38">
            <v>206953815</v>
          </cell>
          <cell r="D38" t="str">
            <v>muhbrigh</v>
          </cell>
        </row>
        <row r="39">
          <cell r="C39">
            <v>206016551</v>
          </cell>
          <cell r="D39" t="str">
            <v>brigtawu</v>
          </cell>
        </row>
        <row r="40">
          <cell r="C40">
            <v>203741547</v>
          </cell>
          <cell r="D40" t="str">
            <v>okrahcha</v>
          </cell>
        </row>
        <row r="41">
          <cell r="C41">
            <v>205608617</v>
          </cell>
          <cell r="D41" t="str">
            <v>chaoseip</v>
          </cell>
        </row>
        <row r="42">
          <cell r="C42">
            <v>206953974</v>
          </cell>
          <cell r="D42" t="str">
            <v>chawezih</v>
          </cell>
        </row>
        <row r="43">
          <cell r="C43">
            <v>203555403</v>
          </cell>
          <cell r="D43" t="str">
            <v>chsampan</v>
          </cell>
        </row>
        <row r="44">
          <cell r="C44">
            <v>203469458</v>
          </cell>
          <cell r="D44" t="str">
            <v>ndanzyco</v>
          </cell>
        </row>
        <row r="45">
          <cell r="C45">
            <v>206072867</v>
          </cell>
          <cell r="D45" t="str">
            <v>ngabirco</v>
          </cell>
        </row>
        <row r="46">
          <cell r="C46">
            <v>206953984</v>
          </cell>
          <cell r="D46" t="str">
            <v>kamwadan</v>
          </cell>
        </row>
        <row r="47">
          <cell r="C47">
            <v>203469449</v>
          </cell>
          <cell r="D47" t="str">
            <v>daniboah</v>
          </cell>
        </row>
        <row r="48">
          <cell r="C48">
            <v>204299548</v>
          </cell>
          <cell r="D48" t="str">
            <v>tamahdan</v>
          </cell>
        </row>
        <row r="49">
          <cell r="C49">
            <v>203469051</v>
          </cell>
          <cell r="D49" t="str">
            <v>bowusuda</v>
          </cell>
        </row>
        <row r="50">
          <cell r="C50">
            <v>204299544</v>
          </cell>
          <cell r="D50" t="str">
            <v>daangmor</v>
          </cell>
        </row>
        <row r="51">
          <cell r="C51">
            <v>206949308</v>
          </cell>
          <cell r="D51" t="str">
            <v>dxogwang</v>
          </cell>
        </row>
        <row r="52">
          <cell r="C52">
            <v>102981727</v>
          </cell>
          <cell r="D52" t="str">
            <v>dlacap</v>
          </cell>
        </row>
        <row r="53">
          <cell r="C53">
            <v>206949309</v>
          </cell>
          <cell r="D53" t="str">
            <v>devssebb</v>
          </cell>
        </row>
        <row r="54">
          <cell r="C54">
            <v>102207650</v>
          </cell>
          <cell r="D54" t="str">
            <v>SUNDARAD</v>
          </cell>
        </row>
        <row r="55">
          <cell r="C55">
            <v>204095444</v>
          </cell>
          <cell r="D55" t="str">
            <v>larteydo</v>
          </cell>
        </row>
        <row r="56">
          <cell r="C56">
            <v>206348021</v>
          </cell>
          <cell r="D56" t="str">
            <v>getaMale</v>
          </cell>
        </row>
        <row r="57">
          <cell r="C57">
            <v>206957735</v>
          </cell>
          <cell r="D57" t="str">
            <v>bfedwink</v>
          </cell>
        </row>
        <row r="58">
          <cell r="C58">
            <v>203679313</v>
          </cell>
          <cell r="D58" t="str">
            <v>kadelias</v>
          </cell>
        </row>
        <row r="59">
          <cell r="C59">
            <v>206957724</v>
          </cell>
          <cell r="D59" t="str">
            <v>elizmunu</v>
          </cell>
        </row>
        <row r="60">
          <cell r="C60">
            <v>206954239</v>
          </cell>
          <cell r="D60" t="str">
            <v>elviskyl</v>
          </cell>
        </row>
        <row r="61">
          <cell r="C61">
            <v>206875150</v>
          </cell>
          <cell r="D61" t="str">
            <v>emmanajo</v>
          </cell>
        </row>
        <row r="62">
          <cell r="C62">
            <v>203469452</v>
          </cell>
          <cell r="D62" t="str">
            <v>emmbrobb</v>
          </cell>
        </row>
        <row r="63">
          <cell r="C63">
            <v>203850929</v>
          </cell>
          <cell r="D63" t="str">
            <v>emmafian</v>
          </cell>
        </row>
        <row r="64">
          <cell r="C64">
            <v>204299903</v>
          </cell>
          <cell r="D64" t="str">
            <v>emmfofie</v>
          </cell>
        </row>
        <row r="65">
          <cell r="C65">
            <v>204299902</v>
          </cell>
          <cell r="D65" t="str">
            <v>opoemman</v>
          </cell>
        </row>
        <row r="66">
          <cell r="C66">
            <v>204319462</v>
          </cell>
          <cell r="D66" t="str">
            <v>emmanhme</v>
          </cell>
        </row>
        <row r="67">
          <cell r="C67">
            <v>204299911</v>
          </cell>
          <cell r="D67" t="str">
            <v>emekweni</v>
          </cell>
        </row>
        <row r="68">
          <cell r="C68">
            <v>203679308</v>
          </cell>
          <cell r="D68" t="str">
            <v>cenocasa</v>
          </cell>
        </row>
        <row r="69">
          <cell r="C69">
            <v>206072869</v>
          </cell>
          <cell r="D69" t="str">
            <v>erameng</v>
          </cell>
        </row>
        <row r="70">
          <cell r="C70">
            <v>204299913</v>
          </cell>
          <cell r="D70" t="str">
            <v>bericyaw</v>
          </cell>
        </row>
        <row r="71">
          <cell r="C71">
            <v>203635601</v>
          </cell>
          <cell r="D71" t="str">
            <v>awesmail</v>
          </cell>
        </row>
        <row r="72">
          <cell r="C72">
            <v>206953385</v>
          </cell>
          <cell r="D72" t="str">
            <v>mueunice</v>
          </cell>
        </row>
        <row r="73">
          <cell r="C73">
            <v>206015572</v>
          </cell>
          <cell r="D73" t="str">
            <v>owuevely</v>
          </cell>
        </row>
        <row r="74">
          <cell r="C74">
            <v>203469399</v>
          </cell>
          <cell r="D74" t="str">
            <v>everxmil</v>
          </cell>
        </row>
        <row r="75">
          <cell r="C75">
            <v>206953383</v>
          </cell>
          <cell r="D75" t="str">
            <v>faitjepk</v>
          </cell>
        </row>
        <row r="76">
          <cell r="C76">
            <v>205647827</v>
          </cell>
          <cell r="D76" t="str">
            <v>chepkodf</v>
          </cell>
        </row>
        <row r="77">
          <cell r="C77">
            <v>206873779</v>
          </cell>
          <cell r="D77" t="str">
            <v>faroukyj</v>
          </cell>
        </row>
        <row r="78">
          <cell r="C78">
            <v>203635497</v>
          </cell>
          <cell r="D78" t="str">
            <v>fotsigeo</v>
          </cell>
        </row>
        <row r="79">
          <cell r="C79">
            <v>204246172</v>
          </cell>
          <cell r="D79" t="str">
            <v>dogfranc</v>
          </cell>
        </row>
        <row r="80">
          <cell r="C80">
            <v>206296189</v>
          </cell>
          <cell r="D80" t="str">
            <v>mambbfra</v>
          </cell>
        </row>
        <row r="81">
          <cell r="C81">
            <v>203682331</v>
          </cell>
          <cell r="D81" t="str">
            <v>franokai</v>
          </cell>
        </row>
        <row r="82">
          <cell r="C82">
            <v>206846113</v>
          </cell>
          <cell r="D82" t="str">
            <v>afrbakun</v>
          </cell>
        </row>
        <row r="83">
          <cell r="C83">
            <v>206953981</v>
          </cell>
          <cell r="D83" t="str">
            <v>fsangula</v>
          </cell>
        </row>
        <row r="84">
          <cell r="C84">
            <v>203555400</v>
          </cell>
          <cell r="D84" t="str">
            <v>asiamahb</v>
          </cell>
        </row>
        <row r="85">
          <cell r="C85">
            <v>203800483</v>
          </cell>
          <cell r="D85" t="str">
            <v>germubir</v>
          </cell>
        </row>
        <row r="86">
          <cell r="C86">
            <v>103476446</v>
          </cell>
          <cell r="D86" t="str">
            <v>RAJUGHIM</v>
          </cell>
        </row>
        <row r="87">
          <cell r="C87">
            <v>206065204</v>
          </cell>
          <cell r="D87" t="str">
            <v>alusgidf</v>
          </cell>
        </row>
        <row r="88">
          <cell r="C88">
            <v>203469400</v>
          </cell>
          <cell r="D88" t="str">
            <v>jglakuma</v>
          </cell>
        </row>
        <row r="89">
          <cell r="C89">
            <v>206926477</v>
          </cell>
          <cell r="D89" t="str">
            <v>ssentumg</v>
          </cell>
        </row>
        <row r="90">
          <cell r="C90">
            <v>203679317</v>
          </cell>
          <cell r="D90" t="str">
            <v>goodeuge</v>
          </cell>
        </row>
        <row r="91">
          <cell r="C91">
            <v>203469060</v>
          </cell>
          <cell r="D91" t="str">
            <v>manjegra</v>
          </cell>
        </row>
        <row r="92">
          <cell r="C92">
            <v>206875152</v>
          </cell>
          <cell r="D92" t="str">
            <v>xfunhami</v>
          </cell>
        </row>
        <row r="93">
          <cell r="C93">
            <v>206174727</v>
          </cell>
          <cell r="D93" t="str">
            <v>harickda</v>
          </cell>
        </row>
        <row r="94">
          <cell r="C94">
            <v>206296194</v>
          </cell>
          <cell r="D94" t="str">
            <v>bwalhell</v>
          </cell>
        </row>
        <row r="95">
          <cell r="C95">
            <v>206937730</v>
          </cell>
          <cell r="D95" t="str">
            <v>hethesak</v>
          </cell>
        </row>
        <row r="96">
          <cell r="C96">
            <v>206192253</v>
          </cell>
          <cell r="D96" t="str">
            <v>kipngehi</v>
          </cell>
        </row>
        <row r="97">
          <cell r="C97">
            <v>204373675</v>
          </cell>
          <cell r="D97" t="str">
            <v>hishkutt</v>
          </cell>
        </row>
        <row r="98">
          <cell r="C98">
            <v>204319464</v>
          </cell>
          <cell r="D98" t="str">
            <v>conteiby</v>
          </cell>
        </row>
        <row r="99">
          <cell r="C99">
            <v>206015673</v>
          </cell>
          <cell r="D99" t="str">
            <v>ikomhari</v>
          </cell>
        </row>
        <row r="100">
          <cell r="C100">
            <v>206006079</v>
          </cell>
          <cell r="D100" t="str">
            <v>agyarjac</v>
          </cell>
        </row>
        <row r="101">
          <cell r="C101">
            <v>204373628</v>
          </cell>
          <cell r="D101" t="str">
            <v>jafarsab</v>
          </cell>
        </row>
        <row r="102">
          <cell r="C102">
            <v>206957730</v>
          </cell>
          <cell r="D102" t="str">
            <v>ochijame</v>
          </cell>
        </row>
        <row r="103">
          <cell r="C103">
            <v>201456034</v>
          </cell>
          <cell r="D103" t="str">
            <v>sessijam</v>
          </cell>
        </row>
        <row r="104">
          <cell r="C104">
            <v>206953803</v>
          </cell>
          <cell r="D104" t="str">
            <v>maijanew</v>
          </cell>
        </row>
        <row r="105">
          <cell r="C105">
            <v>206192268</v>
          </cell>
          <cell r="D105" t="str">
            <v>janewanm</v>
          </cell>
        </row>
        <row r="106">
          <cell r="C106">
            <v>203469395</v>
          </cell>
          <cell r="D106" t="str">
            <v>mwiiroja</v>
          </cell>
        </row>
        <row r="107">
          <cell r="C107">
            <v>102582334</v>
          </cell>
          <cell r="D107" t="str">
            <v>JAYPEEL</v>
          </cell>
        </row>
        <row r="108">
          <cell r="C108">
            <v>203687851</v>
          </cell>
          <cell r="D108" t="str">
            <v>nbalakji</v>
          </cell>
        </row>
        <row r="109">
          <cell r="C109">
            <v>206953570</v>
          </cell>
          <cell r="D109" t="str">
            <v>chepjoan</v>
          </cell>
        </row>
        <row r="110">
          <cell r="C110">
            <v>203469053</v>
          </cell>
          <cell r="D110" t="str">
            <v>joaagyek</v>
          </cell>
        </row>
        <row r="111">
          <cell r="C111">
            <v>206949312</v>
          </cell>
          <cell r="D111" t="str">
            <v>odekjohn</v>
          </cell>
        </row>
        <row r="112">
          <cell r="C112">
            <v>203469401</v>
          </cell>
          <cell r="D112" t="str">
            <v>pmwauraj</v>
          </cell>
        </row>
        <row r="113">
          <cell r="C113">
            <v>206192274</v>
          </cell>
          <cell r="D113" t="str">
            <v>johnngek</v>
          </cell>
        </row>
        <row r="114">
          <cell r="C114">
            <v>203469078</v>
          </cell>
          <cell r="D114" t="str">
            <v>karugaba</v>
          </cell>
        </row>
        <row r="115">
          <cell r="C115">
            <v>206953972</v>
          </cell>
          <cell r="D115" t="str">
            <v>ukijonat</v>
          </cell>
        </row>
        <row r="116">
          <cell r="C116">
            <v>203469052</v>
          </cell>
          <cell r="D116" t="str">
            <v>jonztutu</v>
          </cell>
        </row>
        <row r="117">
          <cell r="C117">
            <v>206875598</v>
          </cell>
          <cell r="D117" t="str">
            <v>ssekanje</v>
          </cell>
        </row>
        <row r="118">
          <cell r="C118">
            <v>206957734</v>
          </cell>
          <cell r="D118" t="str">
            <v>wekejose</v>
          </cell>
        </row>
        <row r="119">
          <cell r="C119">
            <v>202199024</v>
          </cell>
          <cell r="D119" t="str">
            <v>josdohmo</v>
          </cell>
        </row>
        <row r="120">
          <cell r="C120">
            <v>203817155</v>
          </cell>
          <cell r="D120" t="str">
            <v>ananjosp</v>
          </cell>
        </row>
        <row r="121">
          <cell r="C121">
            <v>203679319</v>
          </cell>
          <cell r="D121" t="str">
            <v>osjosepf</v>
          </cell>
        </row>
        <row r="122">
          <cell r="C122">
            <v>206953967</v>
          </cell>
          <cell r="D122" t="str">
            <v>chijosua</v>
          </cell>
        </row>
        <row r="123">
          <cell r="C123">
            <v>206174652</v>
          </cell>
          <cell r="D123" t="str">
            <v>fnjuliet</v>
          </cell>
        </row>
        <row r="124">
          <cell r="C124">
            <v>203679318</v>
          </cell>
          <cell r="D124" t="str">
            <v>julieoky</v>
          </cell>
        </row>
        <row r="125">
          <cell r="C125">
            <v>206853664</v>
          </cell>
          <cell r="D125" t="str">
            <v>mugenkag</v>
          </cell>
        </row>
        <row r="126">
          <cell r="C126">
            <v>206875332</v>
          </cell>
          <cell r="D126" t="str">
            <v>jkaboggo</v>
          </cell>
        </row>
        <row r="127">
          <cell r="C127">
            <v>206873877</v>
          </cell>
          <cell r="D127" t="str">
            <v>kalugerk</v>
          </cell>
        </row>
        <row r="128">
          <cell r="C128">
            <v>204883244</v>
          </cell>
          <cell r="D128" t="str">
            <v>pkamhuru</v>
          </cell>
        </row>
        <row r="129">
          <cell r="C129">
            <v>203594431</v>
          </cell>
          <cell r="D129" t="str">
            <v>twenewka</v>
          </cell>
        </row>
        <row r="130">
          <cell r="C130">
            <v>206962042</v>
          </cell>
          <cell r="D130" t="str">
            <v>kellkama</v>
          </cell>
        </row>
        <row r="131">
          <cell r="C131">
            <v>205608624</v>
          </cell>
          <cell r="D131" t="str">
            <v>kyeqeben</v>
          </cell>
        </row>
        <row r="132">
          <cell r="C132">
            <v>204869091</v>
          </cell>
          <cell r="D132" t="str">
            <v>skyeseli</v>
          </cell>
        </row>
        <row r="133">
          <cell r="C133">
            <v>203850779</v>
          </cell>
          <cell r="D133" t="str">
            <v>lamissia</v>
          </cell>
        </row>
        <row r="134">
          <cell r="C134">
            <v>206958279</v>
          </cell>
          <cell r="D134" t="str">
            <v>lmbeneka</v>
          </cell>
        </row>
        <row r="135">
          <cell r="C135">
            <v>203555407</v>
          </cell>
          <cell r="D135" t="str">
            <v>leeyntem</v>
          </cell>
        </row>
        <row r="136">
          <cell r="C136">
            <v>206175159</v>
          </cell>
          <cell r="D136" t="str">
            <v>nanziril</v>
          </cell>
        </row>
        <row r="137">
          <cell r="C137">
            <v>203850775</v>
          </cell>
          <cell r="D137" t="str">
            <v>abwlinda</v>
          </cell>
        </row>
        <row r="138">
          <cell r="C138">
            <v>203469169</v>
          </cell>
          <cell r="D138" t="str">
            <v>quayeell</v>
          </cell>
        </row>
        <row r="139">
          <cell r="C139">
            <v>205502952</v>
          </cell>
          <cell r="D139" t="str">
            <v>lydiawwa</v>
          </cell>
        </row>
        <row r="140">
          <cell r="C140">
            <v>205608619</v>
          </cell>
          <cell r="D140" t="str">
            <v>omamudka</v>
          </cell>
        </row>
        <row r="141">
          <cell r="C141">
            <v>206953989</v>
          </cell>
          <cell r="D141" t="str">
            <v>lomaneno</v>
          </cell>
        </row>
        <row r="142">
          <cell r="C142">
            <v>202219229</v>
          </cell>
          <cell r="D142" t="str">
            <v>mavconte</v>
          </cell>
        </row>
        <row r="143">
          <cell r="C143">
            <v>206953971</v>
          </cell>
          <cell r="D143" t="str">
            <v>lwangazm</v>
          </cell>
        </row>
        <row r="144">
          <cell r="C144">
            <v>203800602</v>
          </cell>
          <cell r="D144" t="str">
            <v>agabamag</v>
          </cell>
        </row>
        <row r="145">
          <cell r="C145">
            <v>203800375</v>
          </cell>
          <cell r="D145" t="str">
            <v>mwrmarti</v>
          </cell>
        </row>
        <row r="146">
          <cell r="C146">
            <v>203555405</v>
          </cell>
          <cell r="D146" t="str">
            <v>essummau</v>
          </cell>
        </row>
        <row r="147">
          <cell r="C147">
            <v>203469396</v>
          </cell>
          <cell r="D147" t="str">
            <v>namutmar</v>
          </cell>
        </row>
        <row r="148">
          <cell r="C148">
            <v>206514852</v>
          </cell>
          <cell r="D148" t="str">
            <v>tamawand</v>
          </cell>
        </row>
        <row r="149">
          <cell r="C149">
            <v>203555401</v>
          </cell>
          <cell r="D149" t="str">
            <v>chingmel</v>
          </cell>
        </row>
        <row r="150">
          <cell r="C150">
            <v>205647583</v>
          </cell>
          <cell r="D150" t="str">
            <v>abedmkas</v>
          </cell>
        </row>
        <row r="151">
          <cell r="C151">
            <v>206949318</v>
          </cell>
          <cell r="D151" t="str">
            <v>mogumusi</v>
          </cell>
        </row>
        <row r="152">
          <cell r="C152">
            <v>206934491</v>
          </cell>
          <cell r="D152" t="str">
            <v>munsaamu</v>
          </cell>
        </row>
        <row r="153">
          <cell r="C153">
            <v>103775146</v>
          </cell>
          <cell r="D153" t="str">
            <v>SMUHAMA</v>
          </cell>
        </row>
        <row r="154">
          <cell r="C154">
            <v>102206211</v>
          </cell>
          <cell r="D154" t="str">
            <v>ADIMUHAM</v>
          </cell>
        </row>
        <row r="155">
          <cell r="C155">
            <v>203816296</v>
          </cell>
          <cell r="D155" t="str">
            <v>Malemuhg</v>
          </cell>
        </row>
        <row r="156">
          <cell r="C156">
            <v>102205456</v>
          </cell>
          <cell r="D156" t="str">
            <v>PURAKKAL</v>
          </cell>
        </row>
        <row r="157">
          <cell r="C157">
            <v>203469404</v>
          </cell>
          <cell r="D157" t="str">
            <v>musakmwe</v>
          </cell>
        </row>
        <row r="158">
          <cell r="C158">
            <v>206873781</v>
          </cell>
          <cell r="D158" t="str">
            <v>bfranmut</v>
          </cell>
        </row>
        <row r="159">
          <cell r="C159">
            <v>206514788</v>
          </cell>
          <cell r="D159" t="str">
            <v>nabaeria</v>
          </cell>
        </row>
        <row r="160">
          <cell r="C160">
            <v>205647581</v>
          </cell>
          <cell r="D160" t="str">
            <v>murdnase</v>
          </cell>
        </row>
        <row r="161">
          <cell r="C161">
            <v>102981768</v>
          </cell>
          <cell r="D161" t="str">
            <v>nmbella</v>
          </cell>
        </row>
        <row r="162">
          <cell r="C162">
            <v>203801393</v>
          </cell>
          <cell r="D162" t="str">
            <v>akonelso</v>
          </cell>
        </row>
        <row r="163">
          <cell r="C163">
            <v>204864416</v>
          </cell>
          <cell r="D163" t="str">
            <v>adarkwno</v>
          </cell>
        </row>
        <row r="164">
          <cell r="C164">
            <v>206016552</v>
          </cell>
          <cell r="D164" t="str">
            <v>nyasnoah</v>
          </cell>
        </row>
        <row r="165">
          <cell r="C165">
            <v>204403811</v>
          </cell>
          <cell r="D165" t="str">
            <v>ntongopo</v>
          </cell>
        </row>
        <row r="166">
          <cell r="C166">
            <v>206348053</v>
          </cell>
          <cell r="D166" t="str">
            <v>kunorahk</v>
          </cell>
        </row>
        <row r="167">
          <cell r="C167">
            <v>206915011</v>
          </cell>
          <cell r="D167" t="str">
            <v>arnonsub</v>
          </cell>
        </row>
        <row r="168">
          <cell r="C168">
            <v>203850788</v>
          </cell>
          <cell r="D168" t="str">
            <v>nurenisd</v>
          </cell>
        </row>
        <row r="169">
          <cell r="C169">
            <v>206873785</v>
          </cell>
          <cell r="D169" t="str">
            <v>ocpjohnc</v>
          </cell>
        </row>
        <row r="170">
          <cell r="C170">
            <v>204319468</v>
          </cell>
          <cell r="D170" t="str">
            <v>onacisbr</v>
          </cell>
        </row>
        <row r="171">
          <cell r="C171">
            <v>204868856</v>
          </cell>
          <cell r="D171" t="str">
            <v>otooemml</v>
          </cell>
        </row>
        <row r="172">
          <cell r="C172">
            <v>206953812</v>
          </cell>
          <cell r="D172" t="str">
            <v>magepaul</v>
          </cell>
        </row>
        <row r="173">
          <cell r="C173">
            <v>205495602</v>
          </cell>
          <cell r="D173" t="str">
            <v>pechikoz</v>
          </cell>
        </row>
        <row r="174">
          <cell r="C174">
            <v>204299909</v>
          </cell>
          <cell r="D174" t="str">
            <v>bpetenti</v>
          </cell>
        </row>
        <row r="175">
          <cell r="C175">
            <v>203850935</v>
          </cell>
          <cell r="D175" t="str">
            <v>phumuzin</v>
          </cell>
        </row>
        <row r="176">
          <cell r="C176">
            <v>203679325</v>
          </cell>
          <cell r="D176" t="str">
            <v>nyanprin</v>
          </cell>
        </row>
        <row r="177">
          <cell r="C177">
            <v>202238249</v>
          </cell>
          <cell r="D177" t="str">
            <v>princeor</v>
          </cell>
        </row>
        <row r="178">
          <cell r="C178">
            <v>102207652</v>
          </cell>
          <cell r="D178" t="str">
            <v>RVEETIL</v>
          </cell>
        </row>
        <row r="179">
          <cell r="C179">
            <v>203813085</v>
          </cell>
          <cell r="D179" t="str">
            <v>rahanraj</v>
          </cell>
        </row>
        <row r="180">
          <cell r="C180">
            <v>206875145</v>
          </cell>
          <cell r="D180" t="str">
            <v>zinrakib</v>
          </cell>
        </row>
        <row r="181">
          <cell r="C181">
            <v>206136724</v>
          </cell>
          <cell r="D181" t="str">
            <v>musahrap</v>
          </cell>
        </row>
        <row r="182">
          <cell r="C182">
            <v>204329123</v>
          </cell>
          <cell r="D182" t="str">
            <v>ribnyame</v>
          </cell>
        </row>
        <row r="183">
          <cell r="C183">
            <v>206851163</v>
          </cell>
          <cell r="D183" t="str">
            <v>roberkig</v>
          </cell>
        </row>
        <row r="184">
          <cell r="C184">
            <v>203469083</v>
          </cell>
          <cell r="D184" t="str">
            <v>jrockson</v>
          </cell>
        </row>
        <row r="185">
          <cell r="C185">
            <v>203679326</v>
          </cell>
          <cell r="D185" t="str">
            <v>ruteshun</v>
          </cell>
        </row>
        <row r="186">
          <cell r="C186">
            <v>205301874</v>
          </cell>
          <cell r="D186" t="str">
            <v>opariyar</v>
          </cell>
        </row>
        <row r="187">
          <cell r="C187">
            <v>206008708</v>
          </cell>
          <cell r="D187" t="str">
            <v>vsadimoh</v>
          </cell>
        </row>
        <row r="188">
          <cell r="C188">
            <v>206873881</v>
          </cell>
          <cell r="D188" t="str">
            <v>mugwanas</v>
          </cell>
        </row>
        <row r="189">
          <cell r="C189">
            <v>206175107</v>
          </cell>
          <cell r="D189" t="str">
            <v>mwansamw</v>
          </cell>
        </row>
        <row r="190">
          <cell r="C190">
            <v>203469455</v>
          </cell>
          <cell r="D190" t="str">
            <v>sandrtka</v>
          </cell>
        </row>
        <row r="191">
          <cell r="C191">
            <v>203813088</v>
          </cell>
          <cell r="D191" t="str">
            <v>thosanjq</v>
          </cell>
        </row>
        <row r="192">
          <cell r="C192">
            <v>204072320</v>
          </cell>
          <cell r="D192" t="str">
            <v>mosaselv</v>
          </cell>
        </row>
        <row r="193">
          <cell r="C193">
            <v>204299908</v>
          </cell>
          <cell r="D193" t="str">
            <v>senncube</v>
          </cell>
        </row>
        <row r="194">
          <cell r="C194">
            <v>205647585</v>
          </cell>
          <cell r="D194" t="str">
            <v>sentshaf</v>
          </cell>
        </row>
        <row r="195">
          <cell r="C195">
            <v>205647825</v>
          </cell>
          <cell r="D195" t="str">
            <v>psharonc</v>
          </cell>
        </row>
        <row r="196">
          <cell r="C196">
            <v>206297429</v>
          </cell>
          <cell r="D196" t="str">
            <v>jfsheila</v>
          </cell>
        </row>
        <row r="197">
          <cell r="C197">
            <v>203469406</v>
          </cell>
          <cell r="D197" t="str">
            <v>ncusilet</v>
          </cell>
        </row>
        <row r="198">
          <cell r="C198">
            <v>203555408</v>
          </cell>
          <cell r="D198" t="str">
            <v>ngwesola</v>
          </cell>
        </row>
        <row r="199">
          <cell r="C199">
            <v>203469114</v>
          </cell>
          <cell r="D199" t="str">
            <v>owususol</v>
          </cell>
        </row>
        <row r="200">
          <cell r="C200">
            <v>203813078</v>
          </cell>
          <cell r="D200" t="str">
            <v>sudqsonu</v>
          </cell>
        </row>
        <row r="201">
          <cell r="C201">
            <v>206952968</v>
          </cell>
          <cell r="D201" t="str">
            <v>samssema</v>
          </cell>
        </row>
        <row r="202">
          <cell r="C202">
            <v>205608882</v>
          </cell>
          <cell r="D202" t="str">
            <v>stepagye</v>
          </cell>
        </row>
        <row r="203">
          <cell r="C203">
            <v>205276100</v>
          </cell>
          <cell r="D203" t="str">
            <v>stepheof</v>
          </cell>
        </row>
        <row r="204">
          <cell r="C204">
            <v>203908354</v>
          </cell>
          <cell r="D204" t="str">
            <v>ksesteph</v>
          </cell>
        </row>
        <row r="205">
          <cell r="C205">
            <v>205647835</v>
          </cell>
          <cell r="D205" t="str">
            <v>ustemain</v>
          </cell>
        </row>
        <row r="206">
          <cell r="C206">
            <v>203850776</v>
          </cell>
          <cell r="D206" t="str">
            <v>folisuzw</v>
          </cell>
        </row>
        <row r="207">
          <cell r="C207">
            <v>203469168</v>
          </cell>
          <cell r="D207" t="str">
            <v>tabtabi</v>
          </cell>
        </row>
        <row r="208">
          <cell r="C208">
            <v>205651024</v>
          </cell>
          <cell r="D208" t="str">
            <v>taatinde</v>
          </cell>
        </row>
        <row r="209">
          <cell r="C209">
            <v>205647828</v>
          </cell>
          <cell r="D209" t="str">
            <v>gittabit</v>
          </cell>
        </row>
        <row r="210">
          <cell r="C210">
            <v>203555404</v>
          </cell>
          <cell r="D210" t="str">
            <v>tashindu</v>
          </cell>
        </row>
        <row r="211">
          <cell r="C211">
            <v>102434105</v>
          </cell>
          <cell r="D211" t="str">
            <v>THATTYOD</v>
          </cell>
        </row>
        <row r="212">
          <cell r="C212">
            <v>204319805</v>
          </cell>
          <cell r="D212" t="str">
            <v>thtorgbo</v>
          </cell>
        </row>
        <row r="213">
          <cell r="C213">
            <v>206949310</v>
          </cell>
          <cell r="D213" t="str">
            <v>simwtimo</v>
          </cell>
        </row>
        <row r="214">
          <cell r="C214">
            <v>206007530</v>
          </cell>
          <cell r="D214" t="str">
            <v>netofikz</v>
          </cell>
        </row>
        <row r="215">
          <cell r="C215">
            <v>203800377</v>
          </cell>
          <cell r="D215" t="str">
            <v>totuhais</v>
          </cell>
        </row>
        <row r="216">
          <cell r="C216">
            <v>205609143</v>
          </cell>
          <cell r="D216" t="str">
            <v>umaymusa</v>
          </cell>
        </row>
        <row r="217">
          <cell r="C217">
            <v>206296205</v>
          </cell>
          <cell r="D217" t="str">
            <v>conteeun</v>
          </cell>
        </row>
        <row r="218">
          <cell r="C218">
            <v>203555406</v>
          </cell>
          <cell r="D218" t="str">
            <v>bihveraf</v>
          </cell>
        </row>
        <row r="219">
          <cell r="C219">
            <v>203817154</v>
          </cell>
          <cell r="D219" t="str">
            <v>vicwquay</v>
          </cell>
        </row>
        <row r="220">
          <cell r="C220">
            <v>206192235</v>
          </cell>
          <cell r="D220" t="str">
            <v>chirviol</v>
          </cell>
        </row>
        <row r="221">
          <cell r="C221">
            <v>203813132</v>
          </cell>
          <cell r="D221" t="str">
            <v>ovirajan</v>
          </cell>
        </row>
        <row r="222">
          <cell r="C222">
            <v>203735945</v>
          </cell>
          <cell r="D222" t="str">
            <v>wmasolwi</v>
          </cell>
        </row>
        <row r="223">
          <cell r="C223">
            <v>203816755</v>
          </cell>
          <cell r="D223" t="str">
            <v>abonekay</v>
          </cell>
        </row>
        <row r="224">
          <cell r="C224">
            <v>205275635</v>
          </cell>
          <cell r="D224" t="str">
            <v>nyazacha</v>
          </cell>
        </row>
        <row r="225">
          <cell r="C225">
            <v>203468510</v>
          </cell>
          <cell r="D225" t="str">
            <v>kombabep</v>
          </cell>
        </row>
        <row r="226">
          <cell r="C226">
            <v>202308467</v>
          </cell>
          <cell r="D226" t="str">
            <v>oppongla</v>
          </cell>
        </row>
        <row r="227">
          <cell r="C227">
            <v>204246160</v>
          </cell>
          <cell r="D227" t="str">
            <v>danjuali</v>
          </cell>
        </row>
        <row r="228">
          <cell r="C228">
            <v>207220266</v>
          </cell>
          <cell r="D228" t="str">
            <v>halzaabi</v>
          </cell>
        </row>
        <row r="229">
          <cell r="C229">
            <v>203850930</v>
          </cell>
          <cell r="D229" t="str">
            <v>vmustapa</v>
          </cell>
        </row>
        <row r="230">
          <cell r="C230">
            <v>206953795</v>
          </cell>
          <cell r="D230" t="str">
            <v>nalhaudr</v>
          </cell>
        </row>
        <row r="231">
          <cell r="C231">
            <v>206348033</v>
          </cell>
          <cell r="D231" t="str">
            <v>esiraben</v>
          </cell>
        </row>
        <row r="232">
          <cell r="C232">
            <v>205977130</v>
          </cell>
          <cell r="D232" t="str">
            <v>tumwgben</v>
          </cell>
        </row>
        <row r="233">
          <cell r="C233">
            <v>203555224</v>
          </cell>
          <cell r="D233" t="str">
            <v>beryllin</v>
          </cell>
        </row>
        <row r="234">
          <cell r="C234">
            <v>206953381</v>
          </cell>
          <cell r="D234" t="str">
            <v>karerahb</v>
          </cell>
        </row>
        <row r="235">
          <cell r="C235">
            <v>205996683</v>
          </cell>
          <cell r="D235" t="str">
            <v>cmaforun</v>
          </cell>
        </row>
        <row r="236">
          <cell r="C236">
            <v>206192647</v>
          </cell>
          <cell r="D236" t="str">
            <v>cchrisas</v>
          </cell>
        </row>
        <row r="237">
          <cell r="C237">
            <v>206953797</v>
          </cell>
          <cell r="D237" t="str">
            <v>dianajek</v>
          </cell>
        </row>
        <row r="238">
          <cell r="C238">
            <v>203850932</v>
          </cell>
          <cell r="D238" t="str">
            <v>ayumuwdo</v>
          </cell>
        </row>
        <row r="239">
          <cell r="C239">
            <v>203709877</v>
          </cell>
          <cell r="D239" t="str">
            <v>nyeineb</v>
          </cell>
        </row>
        <row r="240">
          <cell r="C240">
            <v>206953796</v>
          </cell>
          <cell r="D240" t="str">
            <v>elisenco</v>
          </cell>
        </row>
        <row r="241">
          <cell r="C241">
            <v>203850933</v>
          </cell>
          <cell r="D241" t="str">
            <v>emmaabug</v>
          </cell>
        </row>
        <row r="242">
          <cell r="C242">
            <v>203468509</v>
          </cell>
          <cell r="D242" t="str">
            <v>xcemmanu</v>
          </cell>
        </row>
        <row r="243">
          <cell r="C243">
            <v>206361763</v>
          </cell>
          <cell r="D243" t="str">
            <v>embaziir</v>
          </cell>
        </row>
        <row r="244">
          <cell r="C244">
            <v>203850934</v>
          </cell>
          <cell r="D244" t="str">
            <v>uemodoom</v>
          </cell>
        </row>
        <row r="245">
          <cell r="C245">
            <v>205996686</v>
          </cell>
          <cell r="D245" t="str">
            <v>timfelig</v>
          </cell>
        </row>
        <row r="246">
          <cell r="C246">
            <v>203468508</v>
          </cell>
          <cell r="D246" t="str">
            <v>amaduga</v>
          </cell>
        </row>
        <row r="247">
          <cell r="C247">
            <v>204941770</v>
          </cell>
          <cell r="D247" t="str">
            <v>moghazy</v>
          </cell>
        </row>
        <row r="248">
          <cell r="C248">
            <v>205200252</v>
          </cell>
          <cell r="D248" t="str">
            <v>haidyelp</v>
          </cell>
        </row>
        <row r="249">
          <cell r="C249">
            <v>203468507</v>
          </cell>
          <cell r="D249" t="str">
            <v>boamhenr</v>
          </cell>
        </row>
        <row r="250">
          <cell r="C250">
            <v>106268319</v>
          </cell>
          <cell r="D250" t="str">
            <v>jemaisen</v>
          </cell>
        </row>
        <row r="251">
          <cell r="C251">
            <v>206149617</v>
          </cell>
          <cell r="D251" t="str">
            <v>kaijudit</v>
          </cell>
        </row>
        <row r="252">
          <cell r="C252">
            <v>102577243</v>
          </cell>
          <cell r="D252" t="str">
            <v>kmmohami</v>
          </cell>
        </row>
        <row r="253">
          <cell r="C253">
            <v>204095446</v>
          </cell>
          <cell r="D253" t="str">
            <v>ndugakue</v>
          </cell>
        </row>
        <row r="254">
          <cell r="C254">
            <v>206239528</v>
          </cell>
          <cell r="D254" t="str">
            <v>oykeziah</v>
          </cell>
        </row>
        <row r="255">
          <cell r="C255">
            <v>203709876</v>
          </cell>
          <cell r="D255" t="str">
            <v>qkhinmek</v>
          </cell>
        </row>
        <row r="256">
          <cell r="C256">
            <v>201228114</v>
          </cell>
          <cell r="D256" t="str">
            <v>tuleoleo</v>
          </cell>
        </row>
        <row r="257">
          <cell r="C257">
            <v>206348034</v>
          </cell>
          <cell r="D257" t="str">
            <v>marimudi</v>
          </cell>
        </row>
        <row r="258">
          <cell r="C258">
            <v>203850938</v>
          </cell>
          <cell r="D258" t="str">
            <v>maryabua</v>
          </cell>
        </row>
        <row r="259">
          <cell r="C259">
            <v>203709886</v>
          </cell>
          <cell r="D259" t="str">
            <v>kyawqmin</v>
          </cell>
        </row>
        <row r="260">
          <cell r="C260">
            <v>103875256</v>
          </cell>
          <cell r="D260" t="str">
            <v>mkhlim</v>
          </cell>
        </row>
        <row r="261">
          <cell r="C261">
            <v>204883087</v>
          </cell>
          <cell r="D261" t="str">
            <v>firstmup</v>
          </cell>
        </row>
        <row r="262">
          <cell r="C262">
            <v>204967040</v>
          </cell>
          <cell r="D262" t="str">
            <v>dprincer</v>
          </cell>
        </row>
        <row r="263">
          <cell r="C263">
            <v>203470082</v>
          </cell>
          <cell r="D263" t="str">
            <v>pyaeomau</v>
          </cell>
        </row>
        <row r="264">
          <cell r="C264">
            <v>206015654</v>
          </cell>
          <cell r="D264" t="str">
            <v>roedieme</v>
          </cell>
        </row>
        <row r="265">
          <cell r="C265">
            <v>203635600</v>
          </cell>
          <cell r="D265" t="str">
            <v>ansahfsa</v>
          </cell>
        </row>
        <row r="266">
          <cell r="C266">
            <v>204013736</v>
          </cell>
          <cell r="D266" t="str">
            <v>tabifors</v>
          </cell>
        </row>
        <row r="267">
          <cell r="C267">
            <v>206953819</v>
          </cell>
          <cell r="D267" t="str">
            <v>suwanjik</v>
          </cell>
        </row>
        <row r="268">
          <cell r="C268">
            <v>206348214</v>
          </cell>
          <cell r="D268" t="str">
            <v>lestanak</v>
          </cell>
        </row>
        <row r="269">
          <cell r="C269">
            <v>206148779</v>
          </cell>
          <cell r="D269" t="str">
            <v>thxnakop</v>
          </cell>
        </row>
        <row r="270">
          <cell r="C270">
            <v>206192491</v>
          </cell>
          <cell r="D270" t="str">
            <v>tewveron</v>
          </cell>
        </row>
        <row r="271">
          <cell r="C271">
            <v>206953568</v>
          </cell>
          <cell r="D271" t="str">
            <v>chepkvio</v>
          </cell>
        </row>
        <row r="272">
          <cell r="C272">
            <v>206953818</v>
          </cell>
          <cell r="D272" t="str">
            <v>winwayua</v>
          </cell>
        </row>
        <row r="273">
          <cell r="C273">
            <v>203709884</v>
          </cell>
          <cell r="D273" t="str">
            <v>pyaminso</v>
          </cell>
        </row>
        <row r="274">
          <cell r="C274">
            <v>203709883</v>
          </cell>
          <cell r="D274" t="str">
            <v>minooxye</v>
          </cell>
        </row>
        <row r="275">
          <cell r="C275">
            <v>203470579</v>
          </cell>
          <cell r="D275" t="str">
            <v>fzizinga</v>
          </cell>
        </row>
        <row r="276">
          <cell r="C276">
            <v>206791751</v>
          </cell>
          <cell r="D276" t="str">
            <v>abanebar</v>
          </cell>
        </row>
        <row r="277">
          <cell r="C277">
            <v>111231851</v>
          </cell>
          <cell r="D277" t="str">
            <v>ajmalaa</v>
          </cell>
        </row>
        <row r="278">
          <cell r="C278">
            <v>206791753</v>
          </cell>
          <cell r="D278" t="str">
            <v>kasasabd</v>
          </cell>
        </row>
        <row r="279">
          <cell r="C279">
            <v>203850647</v>
          </cell>
          <cell r="D279" t="str">
            <v>abkasawu</v>
          </cell>
        </row>
        <row r="280">
          <cell r="C280">
            <v>203816837</v>
          </cell>
          <cell r="D280" t="str">
            <v>abhiybab</v>
          </cell>
        </row>
        <row r="281">
          <cell r="C281">
            <v>204373676</v>
          </cell>
          <cell r="D281" t="str">
            <v>kuttabin</v>
          </cell>
        </row>
        <row r="282">
          <cell r="C282">
            <v>206006416</v>
          </cell>
          <cell r="D282" t="str">
            <v>chinaabo</v>
          </cell>
        </row>
        <row r="283">
          <cell r="C283">
            <v>203850646</v>
          </cell>
          <cell r="D283" t="str">
            <v>abrajnse</v>
          </cell>
        </row>
        <row r="284">
          <cell r="C284">
            <v>203741314</v>
          </cell>
          <cell r="D284" t="str">
            <v>agnestwu</v>
          </cell>
        </row>
        <row r="285">
          <cell r="C285">
            <v>203813034</v>
          </cell>
          <cell r="D285" t="str">
            <v>manoajay</v>
          </cell>
        </row>
        <row r="286">
          <cell r="C286">
            <v>203813038</v>
          </cell>
          <cell r="D286" t="str">
            <v>kodataks</v>
          </cell>
        </row>
        <row r="287">
          <cell r="C287">
            <v>203813033</v>
          </cell>
          <cell r="D287" t="str">
            <v>jospalbi</v>
          </cell>
        </row>
        <row r="288">
          <cell r="C288">
            <v>205977111</v>
          </cell>
          <cell r="D288" t="str">
            <v>mpandeal</v>
          </cell>
        </row>
        <row r="289">
          <cell r="C289">
            <v>204319797</v>
          </cell>
          <cell r="D289" t="str">
            <v>nkrumaai</v>
          </cell>
        </row>
        <row r="290">
          <cell r="C290">
            <v>206871907</v>
          </cell>
          <cell r="D290" t="str">
            <v>naralexu</v>
          </cell>
        </row>
        <row r="291">
          <cell r="C291">
            <v>110330601</v>
          </cell>
          <cell r="D291" t="str">
            <v>alhajban</v>
          </cell>
        </row>
        <row r="292">
          <cell r="C292">
            <v>203796734</v>
          </cell>
          <cell r="D292" t="str">
            <v>alhaslis</v>
          </cell>
        </row>
        <row r="293">
          <cell r="C293">
            <v>206883746</v>
          </cell>
          <cell r="D293" t="str">
            <v>alicewan</v>
          </cell>
        </row>
        <row r="294">
          <cell r="C294">
            <v>206958448</v>
          </cell>
          <cell r="D294" t="str">
            <v>kialicew</v>
          </cell>
        </row>
        <row r="295">
          <cell r="C295">
            <v>205477618</v>
          </cell>
          <cell r="D295" t="str">
            <v>alusikor</v>
          </cell>
        </row>
        <row r="296">
          <cell r="C296">
            <v>206015600</v>
          </cell>
          <cell r="D296" t="str">
            <v>bamehami</v>
          </cell>
        </row>
        <row r="297">
          <cell r="C297">
            <v>203880236</v>
          </cell>
          <cell r="D297" t="str">
            <v>amoakviw</v>
          </cell>
        </row>
        <row r="298">
          <cell r="C298">
            <v>206871905</v>
          </cell>
          <cell r="D298" t="str">
            <v>anmureky</v>
          </cell>
        </row>
        <row r="299">
          <cell r="C299">
            <v>203741612</v>
          </cell>
          <cell r="D299" t="str">
            <v>yankeant</v>
          </cell>
        </row>
        <row r="300">
          <cell r="C300">
            <v>203737145</v>
          </cell>
          <cell r="D300" t="str">
            <v>kukulago</v>
          </cell>
        </row>
        <row r="301">
          <cell r="C301">
            <v>203813036</v>
          </cell>
          <cell r="D301" t="str">
            <v>arshshaj</v>
          </cell>
        </row>
        <row r="302">
          <cell r="C302">
            <v>203813037</v>
          </cell>
          <cell r="D302" t="str">
            <v>hbabuaru</v>
          </cell>
        </row>
        <row r="303">
          <cell r="C303">
            <v>206958086</v>
          </cell>
          <cell r="D303" t="str">
            <v>ullazasa</v>
          </cell>
        </row>
        <row r="304">
          <cell r="C304">
            <v>204868861</v>
          </cell>
          <cell r="D304" t="str">
            <v>stelasar</v>
          </cell>
        </row>
        <row r="305">
          <cell r="C305">
            <v>206883741</v>
          </cell>
          <cell r="D305" t="str">
            <v>jerutaum</v>
          </cell>
        </row>
        <row r="306">
          <cell r="C306">
            <v>203813035</v>
          </cell>
          <cell r="D306" t="str">
            <v>zauguaug</v>
          </cell>
        </row>
        <row r="307">
          <cell r="C307">
            <v>203736754</v>
          </cell>
          <cell r="D307" t="str">
            <v>myasaung</v>
          </cell>
        </row>
        <row r="308">
          <cell r="C308">
            <v>203709740</v>
          </cell>
          <cell r="D308" t="str">
            <v>aungphy</v>
          </cell>
        </row>
        <row r="309">
          <cell r="C309">
            <v>203802272</v>
          </cell>
          <cell r="D309" t="str">
            <v>fuseawal</v>
          </cell>
        </row>
        <row r="310">
          <cell r="C310">
            <v>204869090</v>
          </cell>
          <cell r="D310" t="str">
            <v>noeliayo</v>
          </cell>
        </row>
        <row r="311">
          <cell r="C311">
            <v>206845692</v>
          </cell>
          <cell r="D311" t="str">
            <v>mukamaay</v>
          </cell>
        </row>
        <row r="312">
          <cell r="C312">
            <v>203635501</v>
          </cell>
          <cell r="D312" t="str">
            <v>sedbakoh</v>
          </cell>
        </row>
        <row r="313">
          <cell r="C313">
            <v>206915298</v>
          </cell>
          <cell r="D313" t="str">
            <v>bakawesa</v>
          </cell>
        </row>
        <row r="314">
          <cell r="C314">
            <v>206504126</v>
          </cell>
          <cell r="D314" t="str">
            <v>andebayi</v>
          </cell>
        </row>
        <row r="315">
          <cell r="C315">
            <v>203881598</v>
          </cell>
          <cell r="D315" t="str">
            <v>bwamoako</v>
          </cell>
        </row>
        <row r="316">
          <cell r="C316">
            <v>206915295</v>
          </cell>
          <cell r="D316" t="str">
            <v>btayebwe</v>
          </cell>
        </row>
        <row r="317">
          <cell r="C317">
            <v>203712972</v>
          </cell>
          <cell r="D317" t="str">
            <v>hbinepal</v>
          </cell>
        </row>
        <row r="318">
          <cell r="C318">
            <v>204883250</v>
          </cell>
          <cell r="D318" t="str">
            <v>bisophij</v>
          </cell>
        </row>
        <row r="319">
          <cell r="C319">
            <v>203521129</v>
          </cell>
          <cell r="D319" t="str">
            <v>bismopok</v>
          </cell>
        </row>
        <row r="320">
          <cell r="C320">
            <v>205236900</v>
          </cell>
          <cell r="D320" t="str">
            <v>sarpbism</v>
          </cell>
        </row>
        <row r="321">
          <cell r="C321">
            <v>203468310</v>
          </cell>
          <cell r="D321" t="str">
            <v>blesndu</v>
          </cell>
        </row>
        <row r="322">
          <cell r="C322">
            <v>206873865</v>
          </cell>
          <cell r="D322" t="str">
            <v>bogerabd</v>
          </cell>
        </row>
        <row r="323">
          <cell r="C323">
            <v>203800480</v>
          </cell>
          <cell r="D323" t="str">
            <v>braimuha</v>
          </cell>
        </row>
        <row r="324">
          <cell r="C324">
            <v>206958910</v>
          </cell>
          <cell r="D324" t="str">
            <v>bredacko</v>
          </cell>
        </row>
        <row r="325">
          <cell r="C325">
            <v>204891140</v>
          </cell>
          <cell r="D325" t="str">
            <v>obridgbr</v>
          </cell>
        </row>
        <row r="326">
          <cell r="C326">
            <v>203521521</v>
          </cell>
          <cell r="D326" t="str">
            <v>kabbrigg</v>
          </cell>
        </row>
        <row r="327">
          <cell r="C327">
            <v>203965524</v>
          </cell>
          <cell r="D327" t="str">
            <v>adufbrig</v>
          </cell>
        </row>
        <row r="328">
          <cell r="C328">
            <v>205609884</v>
          </cell>
          <cell r="D328" t="str">
            <v>sattabob</v>
          </cell>
        </row>
        <row r="329">
          <cell r="C329">
            <v>206006412</v>
          </cell>
          <cell r="D329" t="str">
            <v>cathprom</v>
          </cell>
        </row>
        <row r="330">
          <cell r="C330">
            <v>203965495</v>
          </cell>
          <cell r="D330" t="str">
            <v>vachampa</v>
          </cell>
        </row>
        <row r="331">
          <cell r="C331">
            <v>203802274</v>
          </cell>
          <cell r="D331" t="str">
            <v>chicharf</v>
          </cell>
        </row>
        <row r="332">
          <cell r="C332">
            <v>205506017</v>
          </cell>
          <cell r="D332" t="str">
            <v>mainaoso</v>
          </cell>
        </row>
        <row r="333">
          <cell r="C333">
            <v>205608618</v>
          </cell>
          <cell r="D333" t="str">
            <v>zchowusu</v>
          </cell>
        </row>
        <row r="334">
          <cell r="C334">
            <v>203965520</v>
          </cell>
          <cell r="D334" t="str">
            <v>achungak</v>
          </cell>
        </row>
        <row r="335">
          <cell r="C335">
            <v>203851006</v>
          </cell>
          <cell r="D335" t="str">
            <v>chrbaid</v>
          </cell>
        </row>
        <row r="336">
          <cell r="C336">
            <v>203881601</v>
          </cell>
          <cell r="D336" t="str">
            <v>ashiegbi</v>
          </cell>
        </row>
        <row r="337">
          <cell r="C337">
            <v>204967143</v>
          </cell>
          <cell r="D337" t="str">
            <v>ananecle</v>
          </cell>
        </row>
        <row r="338">
          <cell r="C338">
            <v>206065200</v>
          </cell>
          <cell r="D338" t="str">
            <v>abiadcon</v>
          </cell>
        </row>
        <row r="339">
          <cell r="C339">
            <v>205495596</v>
          </cell>
          <cell r="D339" t="str">
            <v>cokipchu</v>
          </cell>
        </row>
        <row r="340">
          <cell r="C340">
            <v>204246157</v>
          </cell>
          <cell r="D340" t="str">
            <v>dhobhada</v>
          </cell>
        </row>
        <row r="341">
          <cell r="C341">
            <v>204868859</v>
          </cell>
          <cell r="D341" t="str">
            <v>ridadzid</v>
          </cell>
        </row>
        <row r="342">
          <cell r="C342">
            <v>204872907</v>
          </cell>
          <cell r="D342" t="str">
            <v>danabuak</v>
          </cell>
        </row>
        <row r="343">
          <cell r="C343">
            <v>206065195</v>
          </cell>
          <cell r="D343" t="str">
            <v>dangbaso</v>
          </cell>
        </row>
        <row r="344">
          <cell r="C344">
            <v>203468317</v>
          </cell>
          <cell r="D344" t="str">
            <v>pdavadom</v>
          </cell>
        </row>
        <row r="345">
          <cell r="C345">
            <v>205671334</v>
          </cell>
          <cell r="D345" t="str">
            <v>denjeria</v>
          </cell>
        </row>
        <row r="346">
          <cell r="C346">
            <v>203851004</v>
          </cell>
          <cell r="D346" t="str">
            <v>denniaap</v>
          </cell>
        </row>
        <row r="347">
          <cell r="C347">
            <v>203736252</v>
          </cell>
          <cell r="D347" t="str">
            <v>mukaderi</v>
          </cell>
        </row>
        <row r="348">
          <cell r="C348">
            <v>204246170</v>
          </cell>
          <cell r="D348" t="str">
            <v>inkooder</v>
          </cell>
        </row>
        <row r="349">
          <cell r="C349">
            <v>204246161</v>
          </cell>
          <cell r="D349" t="str">
            <v>diclklin</v>
          </cell>
        </row>
        <row r="350">
          <cell r="C350">
            <v>102582327</v>
          </cell>
          <cell r="D350" t="str">
            <v>dimohanr</v>
          </cell>
        </row>
        <row r="351">
          <cell r="C351">
            <v>203555714</v>
          </cell>
          <cell r="D351" t="str">
            <v>tsadorca</v>
          </cell>
        </row>
        <row r="352">
          <cell r="C352">
            <v>203468318</v>
          </cell>
          <cell r="D352" t="str">
            <v>dorasare</v>
          </cell>
        </row>
        <row r="353">
          <cell r="C353">
            <v>206873868</v>
          </cell>
          <cell r="D353" t="str">
            <v>douglalx</v>
          </cell>
        </row>
        <row r="354">
          <cell r="C354">
            <v>204868858</v>
          </cell>
          <cell r="D354" t="str">
            <v>durodori</v>
          </cell>
        </row>
        <row r="355">
          <cell r="C355">
            <v>203521428</v>
          </cell>
          <cell r="D355" t="str">
            <v>soebenep</v>
          </cell>
        </row>
        <row r="356">
          <cell r="C356">
            <v>204246156</v>
          </cell>
          <cell r="D356" t="str">
            <v>twumeben</v>
          </cell>
        </row>
        <row r="357">
          <cell r="C357">
            <v>103060279</v>
          </cell>
          <cell r="D357" t="str">
            <v>BENTEROE</v>
          </cell>
        </row>
        <row r="358">
          <cell r="C358">
            <v>204880567</v>
          </cell>
          <cell r="D358" t="str">
            <v>edwamans</v>
          </cell>
        </row>
        <row r="359">
          <cell r="C359">
            <v>203736250</v>
          </cell>
          <cell r="D359" t="str">
            <v>okisakye</v>
          </cell>
        </row>
        <row r="360">
          <cell r="C360">
            <v>205495355</v>
          </cell>
          <cell r="D360" t="str">
            <v>biyeahe</v>
          </cell>
        </row>
        <row r="361">
          <cell r="C361">
            <v>206873870</v>
          </cell>
          <cell r="D361" t="str">
            <v>elimukis</v>
          </cell>
        </row>
        <row r="362">
          <cell r="C362">
            <v>203741310</v>
          </cell>
          <cell r="D362" t="str">
            <v>eliavony</v>
          </cell>
        </row>
        <row r="363">
          <cell r="C363">
            <v>206873549</v>
          </cell>
          <cell r="D363" t="str">
            <v>embatavi</v>
          </cell>
        </row>
        <row r="364">
          <cell r="C364">
            <v>203741317</v>
          </cell>
          <cell r="D364" t="str">
            <v>remmanai</v>
          </cell>
        </row>
        <row r="365">
          <cell r="C365">
            <v>206065199</v>
          </cell>
          <cell r="D365" t="str">
            <v>enanemma</v>
          </cell>
        </row>
        <row r="366">
          <cell r="C366">
            <v>203736253</v>
          </cell>
          <cell r="D366" t="str">
            <v>obwemman</v>
          </cell>
        </row>
        <row r="367">
          <cell r="C367">
            <v>203521133</v>
          </cell>
          <cell r="D367" t="str">
            <v>agyeieem</v>
          </cell>
        </row>
        <row r="368">
          <cell r="C368">
            <v>204013733</v>
          </cell>
          <cell r="D368" t="str">
            <v>geoppong</v>
          </cell>
        </row>
        <row r="369">
          <cell r="C369">
            <v>204967151</v>
          </cell>
          <cell r="D369" t="str">
            <v>koomsoer</v>
          </cell>
        </row>
        <row r="370">
          <cell r="C370">
            <v>203965496</v>
          </cell>
          <cell r="D370" t="str">
            <v>abongger</v>
          </cell>
        </row>
        <row r="371">
          <cell r="C371">
            <v>203965492</v>
          </cell>
          <cell r="D371" t="str">
            <v>uernesme</v>
          </cell>
        </row>
        <row r="372">
          <cell r="C372">
            <v>205502951</v>
          </cell>
          <cell r="D372" t="str">
            <v>kamaesth</v>
          </cell>
        </row>
        <row r="373">
          <cell r="C373">
            <v>205608620</v>
          </cell>
          <cell r="D373" t="str">
            <v>abosevan</v>
          </cell>
        </row>
        <row r="374">
          <cell r="C374">
            <v>203521134</v>
          </cell>
          <cell r="D374" t="str">
            <v>evanasam</v>
          </cell>
        </row>
        <row r="375">
          <cell r="C375">
            <v>206886729</v>
          </cell>
          <cell r="D375" t="str">
            <v>evermbul</v>
          </cell>
        </row>
        <row r="376">
          <cell r="C376">
            <v>206886638</v>
          </cell>
          <cell r="D376" t="str">
            <v>faitdngi</v>
          </cell>
        </row>
        <row r="377">
          <cell r="C377">
            <v>206890228</v>
          </cell>
          <cell r="D377" t="str">
            <v>jerodfai</v>
          </cell>
        </row>
        <row r="378">
          <cell r="C378">
            <v>206015637</v>
          </cell>
          <cell r="D378" t="str">
            <v>chepfanc</v>
          </cell>
        </row>
        <row r="379">
          <cell r="C379">
            <v>206065197</v>
          </cell>
          <cell r="D379" t="str">
            <v>fatawabd</v>
          </cell>
        </row>
        <row r="380">
          <cell r="C380">
            <v>206873556</v>
          </cell>
          <cell r="D380" t="str">
            <v>ferawerk</v>
          </cell>
        </row>
        <row r="381">
          <cell r="C381">
            <v>204246158</v>
          </cell>
          <cell r="D381" t="str">
            <v>festusnd</v>
          </cell>
        </row>
        <row r="382">
          <cell r="C382">
            <v>205495359</v>
          </cell>
          <cell r="D382" t="str">
            <v>florndis</v>
          </cell>
        </row>
        <row r="383">
          <cell r="C383">
            <v>206873551</v>
          </cell>
          <cell r="D383" t="str">
            <v>valdezfo</v>
          </cell>
        </row>
        <row r="384">
          <cell r="C384">
            <v>203468401</v>
          </cell>
          <cell r="D384" t="str">
            <v>francpam</v>
          </cell>
        </row>
        <row r="385">
          <cell r="C385">
            <v>206873639</v>
          </cell>
          <cell r="D385" t="str">
            <v>ganifran</v>
          </cell>
        </row>
        <row r="386">
          <cell r="C386">
            <v>206504141</v>
          </cell>
          <cell r="D386" t="str">
            <v>kasobfra</v>
          </cell>
        </row>
        <row r="387">
          <cell r="C387">
            <v>203468395</v>
          </cell>
          <cell r="D387" t="str">
            <v>frimpofr</v>
          </cell>
        </row>
        <row r="388">
          <cell r="C388">
            <v>204406416</v>
          </cell>
          <cell r="D388" t="str">
            <v>frgontra</v>
          </cell>
        </row>
        <row r="389">
          <cell r="C389">
            <v>203741324</v>
          </cell>
          <cell r="D389" t="str">
            <v>iahfrank</v>
          </cell>
        </row>
        <row r="390">
          <cell r="C390">
            <v>203816301</v>
          </cell>
          <cell r="D390" t="str">
            <v>geoekiye</v>
          </cell>
        </row>
        <row r="391">
          <cell r="C391">
            <v>203800383</v>
          </cell>
          <cell r="D391" t="str">
            <v>geokiwan</v>
          </cell>
        </row>
        <row r="392">
          <cell r="C392">
            <v>203521427</v>
          </cell>
          <cell r="D392" t="str">
            <v>kamargib</v>
          </cell>
        </row>
        <row r="393">
          <cell r="C393">
            <v>203965502</v>
          </cell>
          <cell r="D393" t="str">
            <v>gikwameg</v>
          </cell>
        </row>
        <row r="394">
          <cell r="C394">
            <v>206072868</v>
          </cell>
          <cell r="D394" t="str">
            <v>andohogi</v>
          </cell>
        </row>
        <row r="395">
          <cell r="C395">
            <v>206504132</v>
          </cell>
          <cell r="D395" t="str">
            <v>ssegilbe</v>
          </cell>
        </row>
        <row r="396">
          <cell r="C396">
            <v>205608625</v>
          </cell>
          <cell r="D396" t="str">
            <v>takpalgo</v>
          </cell>
        </row>
        <row r="397">
          <cell r="C397">
            <v>204299912</v>
          </cell>
          <cell r="D397" t="str">
            <v>awagagod</v>
          </cell>
        </row>
        <row r="398">
          <cell r="C398">
            <v>206873552</v>
          </cell>
          <cell r="D398" t="str">
            <v>gmikesse</v>
          </cell>
        </row>
        <row r="399">
          <cell r="C399">
            <v>202218633</v>
          </cell>
          <cell r="D399" t="str">
            <v>wiafgord</v>
          </cell>
        </row>
        <row r="400">
          <cell r="C400">
            <v>206073369</v>
          </cell>
          <cell r="D400" t="str">
            <v>asargrav</v>
          </cell>
        </row>
        <row r="401">
          <cell r="C401">
            <v>206874115</v>
          </cell>
          <cell r="D401" t="str">
            <v>gumoshab</v>
          </cell>
        </row>
        <row r="402">
          <cell r="C402">
            <v>206873567</v>
          </cell>
          <cell r="D402" t="str">
            <v>lkofhenr</v>
          </cell>
        </row>
        <row r="403">
          <cell r="C403">
            <v>203737200</v>
          </cell>
          <cell r="D403" t="str">
            <v>kabhenry</v>
          </cell>
        </row>
        <row r="404">
          <cell r="C404">
            <v>206873643</v>
          </cell>
          <cell r="D404" t="str">
            <v>hekibuuk</v>
          </cell>
        </row>
        <row r="405">
          <cell r="C405">
            <v>204246601</v>
          </cell>
          <cell r="D405" t="str">
            <v>honoadan</v>
          </cell>
        </row>
        <row r="406">
          <cell r="C406">
            <v>206874042</v>
          </cell>
          <cell r="D406" t="str">
            <v>obanhuss</v>
          </cell>
        </row>
        <row r="407">
          <cell r="C407">
            <v>206846115</v>
          </cell>
          <cell r="D407" t="str">
            <v>ibratuha</v>
          </cell>
        </row>
        <row r="408">
          <cell r="C408">
            <v>203816298</v>
          </cell>
          <cell r="D408" t="str">
            <v>ainisaac</v>
          </cell>
        </row>
        <row r="409">
          <cell r="C409">
            <v>204246603</v>
          </cell>
          <cell r="D409" t="str">
            <v>isaankru</v>
          </cell>
        </row>
        <row r="410">
          <cell r="C410">
            <v>205977115</v>
          </cell>
          <cell r="D410" t="str">
            <v>masinois</v>
          </cell>
        </row>
        <row r="411">
          <cell r="C411">
            <v>206504129</v>
          </cell>
          <cell r="D411" t="str">
            <v>isandyam</v>
          </cell>
        </row>
        <row r="412">
          <cell r="C412">
            <v>203521425</v>
          </cell>
          <cell r="D412" t="str">
            <v>samlisaa</v>
          </cell>
        </row>
        <row r="413">
          <cell r="C413">
            <v>203736254</v>
          </cell>
          <cell r="D413" t="str">
            <v>mukujung</v>
          </cell>
        </row>
        <row r="414">
          <cell r="C414">
            <v>203800481</v>
          </cell>
          <cell r="D414" t="str">
            <v>aivamule</v>
          </cell>
        </row>
        <row r="415">
          <cell r="C415">
            <v>205977117</v>
          </cell>
          <cell r="D415" t="str">
            <v>ssemuyai</v>
          </cell>
        </row>
        <row r="416">
          <cell r="C416">
            <v>206074986</v>
          </cell>
          <cell r="D416" t="str">
            <v>twinivan</v>
          </cell>
        </row>
        <row r="417">
          <cell r="C417">
            <v>205236908</v>
          </cell>
          <cell r="D417" t="str">
            <v>adnjames</v>
          </cell>
        </row>
        <row r="418">
          <cell r="C418">
            <v>206846689</v>
          </cell>
          <cell r="D418" t="str">
            <v>asiimwja</v>
          </cell>
        </row>
        <row r="419">
          <cell r="C419">
            <v>206934195</v>
          </cell>
          <cell r="D419" t="str">
            <v>javahmai</v>
          </cell>
        </row>
        <row r="420">
          <cell r="C420">
            <v>206791755</v>
          </cell>
          <cell r="D420" t="str">
            <v>katojavi</v>
          </cell>
        </row>
        <row r="421">
          <cell r="C421">
            <v>203736255</v>
          </cell>
          <cell r="D421" t="str">
            <v>javiramu</v>
          </cell>
        </row>
        <row r="422">
          <cell r="C422">
            <v>204246163</v>
          </cell>
          <cell r="D422" t="str">
            <v>jescmapu</v>
          </cell>
        </row>
        <row r="423">
          <cell r="C423">
            <v>206846692</v>
          </cell>
          <cell r="D423" t="str">
            <v>jobubolo</v>
          </cell>
        </row>
        <row r="424">
          <cell r="C424">
            <v>206072876</v>
          </cell>
          <cell r="D424" t="str">
            <v>cjoheyia</v>
          </cell>
        </row>
        <row r="425">
          <cell r="C425">
            <v>203736329</v>
          </cell>
          <cell r="D425" t="str">
            <v>joolubeg</v>
          </cell>
        </row>
        <row r="426">
          <cell r="C426">
            <v>205477624</v>
          </cell>
          <cell r="D426" t="str">
            <v>xjonyank</v>
          </cell>
        </row>
        <row r="427">
          <cell r="C427">
            <v>203599606</v>
          </cell>
          <cell r="D427" t="str">
            <v>johnyoky</v>
          </cell>
        </row>
        <row r="428">
          <cell r="C428">
            <v>202334276</v>
          </cell>
          <cell r="D428" t="str">
            <v>kamarjoy</v>
          </cell>
        </row>
        <row r="429">
          <cell r="C429">
            <v>203521525</v>
          </cell>
          <cell r="D429" t="str">
            <v>agorgije</v>
          </cell>
        </row>
        <row r="430">
          <cell r="C430">
            <v>206073366</v>
          </cell>
          <cell r="D430" t="str">
            <v>vjoasare</v>
          </cell>
        </row>
        <row r="431">
          <cell r="C431">
            <v>203851007</v>
          </cell>
          <cell r="D431" t="str">
            <v>joagyeku</v>
          </cell>
        </row>
        <row r="432">
          <cell r="C432">
            <v>205608629</v>
          </cell>
          <cell r="D432" t="str">
            <v>thembjos</v>
          </cell>
        </row>
        <row r="433">
          <cell r="C433">
            <v>203521131</v>
          </cell>
          <cell r="D433" t="str">
            <v>ndedjose</v>
          </cell>
        </row>
        <row r="434">
          <cell r="C434">
            <v>206953801</v>
          </cell>
          <cell r="D434" t="str">
            <v>jkusasir</v>
          </cell>
        </row>
        <row r="435">
          <cell r="C435">
            <v>204246608</v>
          </cell>
          <cell r="D435" t="str">
            <v>uknijosh</v>
          </cell>
        </row>
        <row r="436">
          <cell r="C436">
            <v>204869083</v>
          </cell>
          <cell r="D436" t="str">
            <v>jospatie</v>
          </cell>
        </row>
        <row r="437">
          <cell r="C437">
            <v>204241393</v>
          </cell>
          <cell r="D437" t="str">
            <v>ofosuhjo</v>
          </cell>
        </row>
        <row r="438">
          <cell r="C438">
            <v>204246616</v>
          </cell>
          <cell r="D438" t="str">
            <v>tchuinok</v>
          </cell>
        </row>
        <row r="439">
          <cell r="C439">
            <v>204246611</v>
          </cell>
          <cell r="D439" t="str">
            <v>appiajul</v>
          </cell>
        </row>
        <row r="440">
          <cell r="C440">
            <v>206004604</v>
          </cell>
          <cell r="D440" t="str">
            <v>qkejulie</v>
          </cell>
        </row>
        <row r="441">
          <cell r="C441">
            <v>206846703</v>
          </cell>
          <cell r="D441" t="str">
            <v>wasjustu</v>
          </cell>
        </row>
        <row r="442">
          <cell r="C442">
            <v>204882795</v>
          </cell>
          <cell r="D442" t="str">
            <v>aliikama</v>
          </cell>
        </row>
        <row r="443">
          <cell r="C443">
            <v>203737144</v>
          </cell>
          <cell r="D443" t="str">
            <v>kahermaj</v>
          </cell>
        </row>
        <row r="444">
          <cell r="C444">
            <v>102434104</v>
          </cell>
          <cell r="D444" t="str">
            <v>kmadhusr</v>
          </cell>
        </row>
        <row r="445">
          <cell r="C445">
            <v>204967153</v>
          </cell>
          <cell r="D445" t="str">
            <v>jkissawk</v>
          </cell>
        </row>
        <row r="446">
          <cell r="C446">
            <v>206015634</v>
          </cell>
          <cell r="D446" t="str">
            <v>umarkas</v>
          </cell>
        </row>
        <row r="447">
          <cell r="C447">
            <v>203736757</v>
          </cell>
          <cell r="D447" t="str">
            <v>vkaunght</v>
          </cell>
        </row>
        <row r="448">
          <cell r="C448">
            <v>206874057</v>
          </cell>
          <cell r="D448" t="str">
            <v>kayimose</v>
          </cell>
        </row>
        <row r="449">
          <cell r="C449">
            <v>206874041</v>
          </cell>
          <cell r="D449" t="str">
            <v>kazibwas</v>
          </cell>
        </row>
        <row r="450">
          <cell r="C450">
            <v>203736776</v>
          </cell>
          <cell r="D450" t="str">
            <v>ikeharsa</v>
          </cell>
        </row>
        <row r="451">
          <cell r="C451">
            <v>204868850</v>
          </cell>
          <cell r="D451" t="str">
            <v>kkecarls</v>
          </cell>
        </row>
        <row r="452">
          <cell r="C452">
            <v>204246610</v>
          </cell>
          <cell r="D452" t="str">
            <v>appiakin</v>
          </cell>
        </row>
        <row r="453">
          <cell r="C453">
            <v>109468376</v>
          </cell>
          <cell r="D453" t="str">
            <v>ykkoffi</v>
          </cell>
        </row>
        <row r="454">
          <cell r="C454">
            <v>206915296</v>
          </cell>
          <cell r="D454" t="str">
            <v>candkolu</v>
          </cell>
        </row>
        <row r="455">
          <cell r="C455">
            <v>205986151</v>
          </cell>
          <cell r="D455" t="str">
            <v>kufkamid</v>
          </cell>
        </row>
        <row r="456">
          <cell r="C456">
            <v>204246607</v>
          </cell>
          <cell r="D456" t="str">
            <v>kwaaboag</v>
          </cell>
        </row>
        <row r="457">
          <cell r="C457">
            <v>205608621</v>
          </cell>
          <cell r="D457" t="str">
            <v>abkwaben</v>
          </cell>
        </row>
        <row r="458">
          <cell r="C458">
            <v>206915783</v>
          </cell>
          <cell r="D458" t="str">
            <v>labanwob</v>
          </cell>
        </row>
        <row r="459">
          <cell r="C459">
            <v>205506107</v>
          </cell>
          <cell r="D459" t="str">
            <v>lameckoe</v>
          </cell>
        </row>
        <row r="460">
          <cell r="C460">
            <v>203881600</v>
          </cell>
          <cell r="D460" t="str">
            <v>lajlawso</v>
          </cell>
        </row>
        <row r="461">
          <cell r="C461">
            <v>206073365</v>
          </cell>
          <cell r="D461" t="str">
            <v>letiowus</v>
          </cell>
        </row>
        <row r="462">
          <cell r="C462">
            <v>206934198</v>
          </cell>
          <cell r="D462" t="str">
            <v>njugulil</v>
          </cell>
        </row>
        <row r="463">
          <cell r="C463">
            <v>206874046</v>
          </cell>
          <cell r="D463" t="str">
            <v>zluwunge</v>
          </cell>
        </row>
        <row r="464">
          <cell r="C464">
            <v>206934607</v>
          </cell>
          <cell r="D464" t="str">
            <v>lydwcheb</v>
          </cell>
        </row>
        <row r="465">
          <cell r="C465">
            <v>206873657</v>
          </cell>
          <cell r="D465" t="str">
            <v>magdanya</v>
          </cell>
        </row>
        <row r="466">
          <cell r="C466">
            <v>206873651</v>
          </cell>
          <cell r="D466" t="str">
            <v>mtsagued</v>
          </cell>
        </row>
        <row r="467">
          <cell r="C467">
            <v>205608623</v>
          </cell>
          <cell r="D467" t="str">
            <v>daudmaji</v>
          </cell>
        </row>
        <row r="468">
          <cell r="C468">
            <v>204883236</v>
          </cell>
          <cell r="D468" t="str">
            <v>makaflor</v>
          </cell>
        </row>
        <row r="469">
          <cell r="C469">
            <v>206915008</v>
          </cell>
          <cell r="D469" t="str">
            <v>malingum</v>
          </cell>
        </row>
        <row r="470">
          <cell r="C470">
            <v>109749061</v>
          </cell>
          <cell r="D470" t="str">
            <v>naemalla</v>
          </cell>
        </row>
        <row r="471">
          <cell r="C471">
            <v>204883085</v>
          </cell>
          <cell r="D471" t="str">
            <v>mambflor</v>
          </cell>
        </row>
        <row r="472">
          <cell r="C472">
            <v>102207617</v>
          </cell>
          <cell r="D472" t="str">
            <v>mangondi</v>
          </cell>
        </row>
        <row r="473">
          <cell r="C473">
            <v>204967049</v>
          </cell>
          <cell r="D473" t="str">
            <v>markumek</v>
          </cell>
        </row>
        <row r="474">
          <cell r="C474">
            <v>203881597</v>
          </cell>
          <cell r="D474" t="str">
            <v>marvingx</v>
          </cell>
        </row>
        <row r="475">
          <cell r="C475">
            <v>203881599</v>
          </cell>
          <cell r="D475" t="str">
            <v>mmensahf</v>
          </cell>
        </row>
        <row r="476">
          <cell r="C476">
            <v>204869096</v>
          </cell>
          <cell r="D476" t="str">
            <v>mercyema</v>
          </cell>
        </row>
        <row r="477">
          <cell r="C477">
            <v>204869088</v>
          </cell>
          <cell r="D477" t="str">
            <v>maththum</v>
          </cell>
        </row>
        <row r="478">
          <cell r="C478">
            <v>203521523</v>
          </cell>
          <cell r="D478" t="str">
            <v>ayematil</v>
          </cell>
        </row>
        <row r="479">
          <cell r="C479">
            <v>206874059</v>
          </cell>
          <cell r="D479" t="str">
            <v>momatovu</v>
          </cell>
        </row>
        <row r="480">
          <cell r="C480">
            <v>204252239</v>
          </cell>
          <cell r="D480" t="str">
            <v>alamavis</v>
          </cell>
        </row>
        <row r="481">
          <cell r="C481">
            <v>206934437</v>
          </cell>
          <cell r="D481" t="str">
            <v>maxmijer</v>
          </cell>
        </row>
        <row r="482">
          <cell r="C482">
            <v>203881596</v>
          </cell>
          <cell r="D482" t="str">
            <v>maxtokpr</v>
          </cell>
        </row>
        <row r="483">
          <cell r="C483">
            <v>204869092</v>
          </cell>
          <cell r="D483" t="str">
            <v>tanakasm</v>
          </cell>
        </row>
        <row r="484">
          <cell r="C484">
            <v>204883247</v>
          </cell>
          <cell r="D484" t="str">
            <v>mdutygwe</v>
          </cell>
        </row>
        <row r="485">
          <cell r="C485">
            <v>204868854</v>
          </cell>
          <cell r="D485" t="str">
            <v>mensacon</v>
          </cell>
        </row>
        <row r="486">
          <cell r="C486">
            <v>203521526</v>
          </cell>
          <cell r="D486" t="str">
            <v>darkwamj</v>
          </cell>
        </row>
        <row r="487">
          <cell r="C487">
            <v>203521132</v>
          </cell>
          <cell r="D487" t="str">
            <v>qmichtut</v>
          </cell>
        </row>
        <row r="488">
          <cell r="C488">
            <v>203800381</v>
          </cell>
          <cell r="D488" t="str">
            <v>mikegalc</v>
          </cell>
        </row>
        <row r="489">
          <cell r="C489">
            <v>205496018</v>
          </cell>
          <cell r="D489" t="str">
            <v>jebetmmi</v>
          </cell>
        </row>
        <row r="490">
          <cell r="C490">
            <v>203736777</v>
          </cell>
          <cell r="D490" t="str">
            <v>minkhine</v>
          </cell>
        </row>
        <row r="491">
          <cell r="C491">
            <v>206953970</v>
          </cell>
          <cell r="D491" t="str">
            <v>misaelst</v>
          </cell>
        </row>
        <row r="492">
          <cell r="C492">
            <v>206873867</v>
          </cell>
          <cell r="D492" t="str">
            <v>damisuse</v>
          </cell>
        </row>
        <row r="493">
          <cell r="C493">
            <v>203468399</v>
          </cell>
          <cell r="D493" t="str">
            <v>nrahamoh</v>
          </cell>
        </row>
        <row r="494">
          <cell r="C494">
            <v>203736772</v>
          </cell>
          <cell r="D494" t="str">
            <v>shahidgm</v>
          </cell>
        </row>
        <row r="495">
          <cell r="C495">
            <v>204246604</v>
          </cell>
          <cell r="D495" t="str">
            <v>amizmoha</v>
          </cell>
        </row>
        <row r="496">
          <cell r="C496">
            <v>203709595</v>
          </cell>
          <cell r="D496" t="str">
            <v>moshareb</v>
          </cell>
        </row>
        <row r="497">
          <cell r="C497">
            <v>204882806</v>
          </cell>
          <cell r="D497" t="str">
            <v>moiddris</v>
          </cell>
        </row>
        <row r="498">
          <cell r="C498">
            <v>204967150</v>
          </cell>
          <cell r="D498" t="str">
            <v>ibramoro</v>
          </cell>
        </row>
        <row r="499">
          <cell r="C499">
            <v>203816300</v>
          </cell>
          <cell r="D499" t="str">
            <v>tugumemo</v>
          </cell>
        </row>
        <row r="500">
          <cell r="C500">
            <v>203735944</v>
          </cell>
          <cell r="D500" t="str">
            <v>twasmose</v>
          </cell>
        </row>
        <row r="501">
          <cell r="C501">
            <v>203736755</v>
          </cell>
          <cell r="D501" t="str">
            <v>maxmrith</v>
          </cell>
        </row>
        <row r="502">
          <cell r="C502">
            <v>206873871</v>
          </cell>
          <cell r="D502" t="str">
            <v>ramugeny</v>
          </cell>
        </row>
        <row r="503">
          <cell r="C503">
            <v>204890367</v>
          </cell>
          <cell r="D503" t="str">
            <v>mugandrn</v>
          </cell>
        </row>
        <row r="504">
          <cell r="C504">
            <v>201633155</v>
          </cell>
          <cell r="D504" t="str">
            <v>oafmuham</v>
          </cell>
        </row>
        <row r="505">
          <cell r="C505">
            <v>103986189</v>
          </cell>
          <cell r="D505" t="str">
            <v>irfmali</v>
          </cell>
        </row>
        <row r="506">
          <cell r="C506">
            <v>204403653</v>
          </cell>
          <cell r="D506" t="str">
            <v>muhathod</v>
          </cell>
        </row>
        <row r="507">
          <cell r="C507">
            <v>204967148</v>
          </cell>
          <cell r="D507" t="str">
            <v>muhapibr</v>
          </cell>
        </row>
        <row r="508">
          <cell r="C508">
            <v>203813080</v>
          </cell>
          <cell r="D508" t="str">
            <v>veetmuha</v>
          </cell>
        </row>
        <row r="509">
          <cell r="C509">
            <v>206846697</v>
          </cell>
          <cell r="D509" t="str">
            <v>muhanrod</v>
          </cell>
        </row>
        <row r="510">
          <cell r="C510">
            <v>204883234</v>
          </cell>
          <cell r="D510" t="str">
            <v>nymunemw</v>
          </cell>
        </row>
        <row r="511">
          <cell r="C511">
            <v>203851274</v>
          </cell>
          <cell r="D511" t="str">
            <v>munisuku</v>
          </cell>
        </row>
        <row r="512">
          <cell r="C512">
            <v>205495599</v>
          </cell>
          <cell r="D512" t="str">
            <v>muriipau</v>
          </cell>
        </row>
        <row r="513">
          <cell r="C513">
            <v>203737250</v>
          </cell>
          <cell r="D513" t="str">
            <v>murssesa</v>
          </cell>
        </row>
        <row r="514">
          <cell r="C514">
            <v>204967146</v>
          </cell>
          <cell r="D514" t="str">
            <v>issakmuz</v>
          </cell>
        </row>
        <row r="515">
          <cell r="C515">
            <v>206791444</v>
          </cell>
          <cell r="D515" t="str">
            <v>muwofaha</v>
          </cell>
        </row>
        <row r="516">
          <cell r="C516">
            <v>206953813</v>
          </cell>
          <cell r="D516" t="str">
            <v>rpnahabw</v>
          </cell>
        </row>
        <row r="517">
          <cell r="C517">
            <v>206873780</v>
          </cell>
          <cell r="D517" t="str">
            <v>sharrifn</v>
          </cell>
        </row>
        <row r="518">
          <cell r="C518">
            <v>203800374</v>
          </cell>
          <cell r="D518" t="str">
            <v>znambusa</v>
          </cell>
        </row>
        <row r="519">
          <cell r="C519">
            <v>204883245</v>
          </cell>
          <cell r="D519" t="str">
            <v>wgracech</v>
          </cell>
        </row>
        <row r="520">
          <cell r="C520">
            <v>205506476</v>
          </cell>
          <cell r="D520" t="str">
            <v>ukimtani</v>
          </cell>
        </row>
        <row r="521">
          <cell r="C521">
            <v>204405779</v>
          </cell>
          <cell r="D521" t="str">
            <v>nichwtak</v>
          </cell>
        </row>
        <row r="522">
          <cell r="C522">
            <v>205495595</v>
          </cell>
          <cell r="D522" t="str">
            <v>nyabuniv</v>
          </cell>
        </row>
        <row r="523">
          <cell r="C523">
            <v>203850937</v>
          </cell>
          <cell r="D523" t="str">
            <v>yenorber</v>
          </cell>
        </row>
        <row r="524">
          <cell r="C524">
            <v>203736774</v>
          </cell>
          <cell r="D524" t="str">
            <v>nyanahte</v>
          </cell>
        </row>
        <row r="525">
          <cell r="C525">
            <v>204869089</v>
          </cell>
          <cell r="D525" t="str">
            <v>nyikadzp</v>
          </cell>
        </row>
        <row r="526">
          <cell r="C526">
            <v>206873793</v>
          </cell>
          <cell r="D526" t="str">
            <v>freokelc</v>
          </cell>
        </row>
        <row r="527">
          <cell r="C527">
            <v>204883081</v>
          </cell>
          <cell r="D527" t="str">
            <v>alberokr</v>
          </cell>
        </row>
        <row r="528">
          <cell r="C528">
            <v>206791767</v>
          </cell>
          <cell r="D528" t="str">
            <v>omallhva</v>
          </cell>
        </row>
        <row r="529">
          <cell r="C529">
            <v>102718052</v>
          </cell>
          <cell r="D529" t="str">
            <v>PRASADOP</v>
          </cell>
        </row>
        <row r="530">
          <cell r="C530">
            <v>204882798</v>
          </cell>
          <cell r="D530" t="str">
            <v>tchaosei</v>
          </cell>
        </row>
        <row r="531">
          <cell r="C531">
            <v>204883239</v>
          </cell>
          <cell r="D531" t="str">
            <v>oserichm</v>
          </cell>
        </row>
        <row r="532">
          <cell r="C532">
            <v>203965493</v>
          </cell>
          <cell r="D532" t="str">
            <v>bibrahio</v>
          </cell>
        </row>
        <row r="533">
          <cell r="C533">
            <v>204882810</v>
          </cell>
          <cell r="D533" t="str">
            <v>owusukda</v>
          </cell>
        </row>
        <row r="534">
          <cell r="C534">
            <v>206873650</v>
          </cell>
          <cell r="D534" t="str">
            <v>paswellx</v>
          </cell>
        </row>
        <row r="535">
          <cell r="C535">
            <v>203800486</v>
          </cell>
          <cell r="D535" t="str">
            <v>petekamu</v>
          </cell>
        </row>
        <row r="536">
          <cell r="C536">
            <v>205977126</v>
          </cell>
          <cell r="D536" t="str">
            <v>ssettinp</v>
          </cell>
        </row>
        <row r="537">
          <cell r="C537">
            <v>203816295</v>
          </cell>
          <cell r="D537" t="str">
            <v>posiblji</v>
          </cell>
        </row>
        <row r="538">
          <cell r="C538">
            <v>205608627</v>
          </cell>
          <cell r="D538" t="str">
            <v>aglagopr</v>
          </cell>
        </row>
        <row r="539">
          <cell r="C539">
            <v>203813082</v>
          </cell>
          <cell r="D539" t="str">
            <v>gprincsi</v>
          </cell>
        </row>
        <row r="540">
          <cell r="C540">
            <v>206873561</v>
          </cell>
          <cell r="D540" t="str">
            <v>melvprin</v>
          </cell>
        </row>
        <row r="541">
          <cell r="C541">
            <v>204246169</v>
          </cell>
          <cell r="D541" t="str">
            <v>eprisbmo</v>
          </cell>
        </row>
        <row r="542">
          <cell r="C542">
            <v>204967046</v>
          </cell>
          <cell r="D542" t="str">
            <v>anniipro</v>
          </cell>
        </row>
        <row r="543">
          <cell r="C543">
            <v>204246605</v>
          </cell>
          <cell r="D543" t="str">
            <v>gamprosp</v>
          </cell>
        </row>
        <row r="544">
          <cell r="C544">
            <v>203965523</v>
          </cell>
          <cell r="D544" t="str">
            <v>proskwak</v>
          </cell>
        </row>
        <row r="545">
          <cell r="C545">
            <v>206513281</v>
          </cell>
          <cell r="D545" t="str">
            <v>adebugar</v>
          </cell>
        </row>
        <row r="546">
          <cell r="C546">
            <v>203796750</v>
          </cell>
          <cell r="D546" t="str">
            <v>ramsemap</v>
          </cell>
        </row>
        <row r="547">
          <cell r="C547">
            <v>206073367</v>
          </cell>
          <cell r="D547" t="str">
            <v>kinenray</v>
          </cell>
        </row>
        <row r="548">
          <cell r="C548">
            <v>203816757</v>
          </cell>
          <cell r="D548" t="str">
            <v>ssereaga</v>
          </cell>
        </row>
        <row r="549">
          <cell r="C549">
            <v>205496019</v>
          </cell>
          <cell r="D549" t="str">
            <v>rejinaae</v>
          </cell>
        </row>
        <row r="550">
          <cell r="C550">
            <v>206513285</v>
          </cell>
          <cell r="D550" t="str">
            <v>keizokre</v>
          </cell>
        </row>
        <row r="551">
          <cell r="C551">
            <v>206004608</v>
          </cell>
          <cell r="D551" t="str">
            <v>drichani</v>
          </cell>
        </row>
        <row r="552">
          <cell r="C552">
            <v>206873879</v>
          </cell>
          <cell r="D552" t="str">
            <v>turyaric</v>
          </cell>
        </row>
        <row r="553">
          <cell r="C553">
            <v>203736258</v>
          </cell>
          <cell r="D553" t="str">
            <v>robembug</v>
          </cell>
        </row>
        <row r="554">
          <cell r="C554">
            <v>203468402</v>
          </cell>
          <cell r="D554" t="str">
            <v>mbvirapf</v>
          </cell>
        </row>
        <row r="555">
          <cell r="C555">
            <v>204013737</v>
          </cell>
          <cell r="D555" t="str">
            <v>roabatab</v>
          </cell>
        </row>
        <row r="556">
          <cell r="C556">
            <v>202444409</v>
          </cell>
          <cell r="D556" t="str">
            <v>romemetu</v>
          </cell>
        </row>
        <row r="557">
          <cell r="C557">
            <v>204246606</v>
          </cell>
          <cell r="D557" t="str">
            <v>rosethea</v>
          </cell>
        </row>
        <row r="558">
          <cell r="C558">
            <v>203521426</v>
          </cell>
          <cell r="D558" t="str">
            <v>sadatayu</v>
          </cell>
        </row>
        <row r="559">
          <cell r="C559">
            <v>203736781</v>
          </cell>
          <cell r="D559" t="str">
            <v>zsagramd</v>
          </cell>
        </row>
        <row r="560">
          <cell r="C560">
            <v>203965521</v>
          </cell>
          <cell r="D560" t="str">
            <v>sunashir</v>
          </cell>
        </row>
        <row r="561">
          <cell r="C561">
            <v>204864420</v>
          </cell>
          <cell r="D561" t="str">
            <v>jsamuean</v>
          </cell>
        </row>
        <row r="562">
          <cell r="C562">
            <v>206873658</v>
          </cell>
          <cell r="D562" t="str">
            <v>samukasz</v>
          </cell>
        </row>
        <row r="563">
          <cell r="C563">
            <v>203736780</v>
          </cell>
          <cell r="D563" t="str">
            <v>msanmyin</v>
          </cell>
        </row>
        <row r="564">
          <cell r="C564">
            <v>206873654</v>
          </cell>
          <cell r="D564" t="str">
            <v>ahiakosa</v>
          </cell>
        </row>
        <row r="565">
          <cell r="C565">
            <v>206886733</v>
          </cell>
          <cell r="D565" t="str">
            <v>mvsandri</v>
          </cell>
        </row>
        <row r="566">
          <cell r="C566">
            <v>206016554</v>
          </cell>
          <cell r="D566" t="str">
            <v>fynsarah</v>
          </cell>
        </row>
        <row r="567">
          <cell r="C567">
            <v>203709743</v>
          </cell>
          <cell r="D567" t="str">
            <v>nardsa</v>
          </cell>
        </row>
        <row r="568">
          <cell r="C568">
            <v>206008709</v>
          </cell>
          <cell r="D568" t="str">
            <v>ayukakos</v>
          </cell>
        </row>
        <row r="569">
          <cell r="C569">
            <v>206015636</v>
          </cell>
          <cell r="D569" t="str">
            <v>kkengtis</v>
          </cell>
        </row>
        <row r="570">
          <cell r="C570">
            <v>206873565</v>
          </cell>
          <cell r="D570" t="str">
            <v>mbiagser</v>
          </cell>
        </row>
        <row r="571">
          <cell r="C571">
            <v>204869087</v>
          </cell>
          <cell r="D571" t="str">
            <v>seugrace</v>
          </cell>
        </row>
        <row r="572">
          <cell r="C572">
            <v>204967051</v>
          </cell>
          <cell r="D572" t="str">
            <v>selaryea</v>
          </cell>
        </row>
        <row r="573">
          <cell r="C573">
            <v>203737252</v>
          </cell>
          <cell r="D573" t="str">
            <v>shafinda</v>
          </cell>
        </row>
        <row r="574">
          <cell r="C574">
            <v>203737015</v>
          </cell>
          <cell r="D574" t="str">
            <v>uakatuks</v>
          </cell>
        </row>
        <row r="575">
          <cell r="C575">
            <v>204883095</v>
          </cell>
          <cell r="D575" t="str">
            <v>sillahei</v>
          </cell>
        </row>
        <row r="576">
          <cell r="C576">
            <v>204967558</v>
          </cell>
          <cell r="D576" t="str">
            <v>kwlsimon</v>
          </cell>
        </row>
        <row r="577">
          <cell r="C577">
            <v>112648320</v>
          </cell>
          <cell r="D577" t="str">
            <v>kyeisolo</v>
          </cell>
        </row>
        <row r="578">
          <cell r="C578">
            <v>203813083</v>
          </cell>
          <cell r="D578" t="str">
            <v>janarsre</v>
          </cell>
        </row>
        <row r="579">
          <cell r="C579">
            <v>206791445</v>
          </cell>
          <cell r="D579" t="str">
            <v>huslssen</v>
          </cell>
        </row>
        <row r="580">
          <cell r="C580">
            <v>206072878</v>
          </cell>
          <cell r="D580" t="str">
            <v>wiafstep</v>
          </cell>
        </row>
        <row r="581">
          <cell r="C581">
            <v>206915156</v>
          </cell>
          <cell r="D581" t="str">
            <v>otchaste</v>
          </cell>
        </row>
        <row r="582">
          <cell r="C582">
            <v>203816396</v>
          </cell>
          <cell r="D582" t="str">
            <v>muhwebst</v>
          </cell>
        </row>
        <row r="583">
          <cell r="C583">
            <v>206873878</v>
          </cell>
          <cell r="D583" t="str">
            <v>lubsulah</v>
          </cell>
        </row>
        <row r="584">
          <cell r="C584">
            <v>203800482</v>
          </cell>
          <cell r="D584" t="str">
            <v>kabalisu</v>
          </cell>
        </row>
        <row r="585">
          <cell r="C585">
            <v>206953817</v>
          </cell>
          <cell r="D585" t="str">
            <v>sagsumaq</v>
          </cell>
        </row>
        <row r="586">
          <cell r="C586">
            <v>106262694</v>
          </cell>
          <cell r="D586" t="str">
            <v>gautasu</v>
          </cell>
        </row>
        <row r="587">
          <cell r="C587">
            <v>205506109</v>
          </cell>
          <cell r="D587" t="str">
            <v>osnganga</v>
          </cell>
        </row>
        <row r="588">
          <cell r="C588">
            <v>204967149</v>
          </cell>
          <cell r="D588" t="str">
            <v>kisssylv</v>
          </cell>
        </row>
        <row r="589">
          <cell r="C589">
            <v>205496022</v>
          </cell>
          <cell r="D589" t="str">
            <v>meswsylv</v>
          </cell>
        </row>
        <row r="590">
          <cell r="C590">
            <v>206504596</v>
          </cell>
          <cell r="D590" t="str">
            <v>tadekizi</v>
          </cell>
        </row>
        <row r="591">
          <cell r="C591">
            <v>204246613</v>
          </cell>
          <cell r="D591" t="str">
            <v>talenzim</v>
          </cell>
        </row>
        <row r="592">
          <cell r="C592">
            <v>206015633</v>
          </cell>
          <cell r="D592" t="str">
            <v>ciliatan</v>
          </cell>
        </row>
        <row r="593">
          <cell r="C593">
            <v>206875751</v>
          </cell>
          <cell r="D593" t="str">
            <v>jurutapi</v>
          </cell>
        </row>
        <row r="594">
          <cell r="C594">
            <v>204246612</v>
          </cell>
          <cell r="D594" t="str">
            <v>tamanyet</v>
          </cell>
        </row>
        <row r="595">
          <cell r="C595">
            <v>206933423</v>
          </cell>
          <cell r="D595" t="str">
            <v>utraicym</v>
          </cell>
        </row>
        <row r="596">
          <cell r="C596">
            <v>206513292</v>
          </cell>
          <cell r="D596" t="str">
            <v>tumufran</v>
          </cell>
        </row>
        <row r="597">
          <cell r="C597">
            <v>206791438</v>
          </cell>
          <cell r="D597" t="str">
            <v>twinamas</v>
          </cell>
        </row>
        <row r="598">
          <cell r="C598">
            <v>203736259</v>
          </cell>
          <cell r="D598" t="str">
            <v>tysnabas</v>
          </cell>
        </row>
        <row r="599">
          <cell r="C599">
            <v>206873645</v>
          </cell>
          <cell r="D599" t="str">
            <v>umarmabi</v>
          </cell>
        </row>
        <row r="600">
          <cell r="C600">
            <v>203813134</v>
          </cell>
          <cell r="D600" t="str">
            <v>unainalu</v>
          </cell>
        </row>
        <row r="601">
          <cell r="C601">
            <v>112911448</v>
          </cell>
          <cell r="D601" t="str">
            <v>khaliuus</v>
          </cell>
        </row>
        <row r="602">
          <cell r="C602">
            <v>104147044</v>
          </cell>
          <cell r="D602" t="str">
            <v>madhavau</v>
          </cell>
        </row>
        <row r="603">
          <cell r="C603">
            <v>203687852</v>
          </cell>
          <cell r="D603" t="str">
            <v>ivashimk</v>
          </cell>
        </row>
        <row r="604">
          <cell r="C604">
            <v>206934652</v>
          </cell>
          <cell r="D604" t="str">
            <v>venemoku</v>
          </cell>
        </row>
        <row r="605">
          <cell r="C605">
            <v>202435289</v>
          </cell>
          <cell r="D605" t="str">
            <v>vingohma</v>
          </cell>
        </row>
        <row r="606">
          <cell r="C606">
            <v>203813135</v>
          </cell>
          <cell r="D606" t="str">
            <v>vislrave</v>
          </cell>
        </row>
        <row r="607">
          <cell r="C607">
            <v>203965526</v>
          </cell>
          <cell r="D607" t="str">
            <v>sibwelli</v>
          </cell>
        </row>
        <row r="608">
          <cell r="C608">
            <v>206962049</v>
          </cell>
          <cell r="D608" t="str">
            <v>kinyawen</v>
          </cell>
        </row>
        <row r="609">
          <cell r="C609">
            <v>203741319</v>
          </cell>
          <cell r="D609" t="str">
            <v>kouwilfr</v>
          </cell>
        </row>
        <row r="610">
          <cell r="C610">
            <v>206858475</v>
          </cell>
          <cell r="D610" t="str">
            <v>kadumbul</v>
          </cell>
        </row>
        <row r="611">
          <cell r="C611">
            <v>203737198</v>
          </cell>
          <cell r="D611" t="str">
            <v>wrkilama</v>
          </cell>
        </row>
        <row r="612">
          <cell r="C612">
            <v>203800379</v>
          </cell>
          <cell r="D612" t="str">
            <v>mavuzaid</v>
          </cell>
        </row>
        <row r="613">
          <cell r="C613">
            <v>203521128</v>
          </cell>
          <cell r="D613" t="str">
            <v>hissahza</v>
          </cell>
        </row>
        <row r="614">
          <cell r="C614">
            <v>206137330</v>
          </cell>
          <cell r="D614" t="str">
            <v>abdalomc</v>
          </cell>
        </row>
        <row r="615">
          <cell r="C615">
            <v>205256720</v>
          </cell>
          <cell r="D615" t="str">
            <v>abdallhg</v>
          </cell>
        </row>
        <row r="616">
          <cell r="C616">
            <v>200061207</v>
          </cell>
          <cell r="D616" t="str">
            <v>xaboppon</v>
          </cell>
        </row>
        <row r="617">
          <cell r="C617">
            <v>204117189</v>
          </cell>
          <cell r="D617" t="str">
            <v>diddabdu</v>
          </cell>
        </row>
        <row r="618">
          <cell r="C618">
            <v>204172240</v>
          </cell>
          <cell r="D618" t="str">
            <v>abdwaak</v>
          </cell>
        </row>
        <row r="619">
          <cell r="C619">
            <v>206129609</v>
          </cell>
          <cell r="D619" t="str">
            <v>abdababa</v>
          </cell>
        </row>
        <row r="620">
          <cell r="C620">
            <v>203908320</v>
          </cell>
          <cell r="D620" t="str">
            <v>abdxmulu</v>
          </cell>
        </row>
        <row r="621">
          <cell r="C621">
            <v>206137331</v>
          </cell>
          <cell r="D621" t="str">
            <v>amoahabe</v>
          </cell>
        </row>
        <row r="622">
          <cell r="C622">
            <v>204373723</v>
          </cell>
          <cell r="D622" t="str">
            <v>kjoseabi</v>
          </cell>
        </row>
        <row r="623">
          <cell r="C623">
            <v>206239522</v>
          </cell>
          <cell r="D623" t="str">
            <v>aboaerne</v>
          </cell>
        </row>
        <row r="624">
          <cell r="C624">
            <v>203965455</v>
          </cell>
          <cell r="D624" t="str">
            <v>abraalfo</v>
          </cell>
        </row>
        <row r="625">
          <cell r="C625">
            <v>203468743</v>
          </cell>
          <cell r="D625" t="str">
            <v>abfsesay</v>
          </cell>
        </row>
        <row r="626">
          <cell r="C626">
            <v>203908861</v>
          </cell>
          <cell r="D626" t="str">
            <v>sserutua</v>
          </cell>
        </row>
        <row r="627">
          <cell r="C627">
            <v>204946685</v>
          </cell>
          <cell r="D627" t="str">
            <v>yadamsad</v>
          </cell>
        </row>
        <row r="628">
          <cell r="C628">
            <v>201502749</v>
          </cell>
          <cell r="D628" t="str">
            <v>abrighta</v>
          </cell>
        </row>
        <row r="629">
          <cell r="C629">
            <v>206503618</v>
          </cell>
          <cell r="D629" t="str">
            <v>dianahje</v>
          </cell>
        </row>
        <row r="630">
          <cell r="C630">
            <v>110804937</v>
          </cell>
          <cell r="D630" t="str">
            <v>agsamue</v>
          </cell>
        </row>
        <row r="631">
          <cell r="C631">
            <v>205236906</v>
          </cell>
          <cell r="D631" t="str">
            <v>emuhamia</v>
          </cell>
        </row>
        <row r="632">
          <cell r="C632">
            <v>204299070</v>
          </cell>
          <cell r="D632" t="str">
            <v>naimejes</v>
          </cell>
        </row>
        <row r="633">
          <cell r="C633">
            <v>203522193</v>
          </cell>
          <cell r="D633" t="str">
            <v>devisain</v>
          </cell>
        </row>
        <row r="634">
          <cell r="C634">
            <v>203851103</v>
          </cell>
          <cell r="D634" t="str">
            <v>tuajenic</v>
          </cell>
        </row>
        <row r="635">
          <cell r="C635">
            <v>206850851</v>
          </cell>
          <cell r="D635" t="str">
            <v>akanbria</v>
          </cell>
        </row>
        <row r="636">
          <cell r="C636">
            <v>203965006</v>
          </cell>
          <cell r="D636" t="str">
            <v>joakhili</v>
          </cell>
        </row>
        <row r="637">
          <cell r="C637">
            <v>204864796</v>
          </cell>
          <cell r="D637" t="str">
            <v>charmakp</v>
          </cell>
        </row>
        <row r="638">
          <cell r="C638">
            <v>203477173</v>
          </cell>
          <cell r="D638" t="str">
            <v>noreeaku</v>
          </cell>
        </row>
        <row r="639">
          <cell r="C639">
            <v>205281151</v>
          </cell>
          <cell r="D639" t="str">
            <v>kanyoalb</v>
          </cell>
        </row>
        <row r="640">
          <cell r="C640">
            <v>206915466</v>
          </cell>
          <cell r="D640" t="str">
            <v>almsukwf</v>
          </cell>
        </row>
        <row r="641">
          <cell r="C641">
            <v>203850770</v>
          </cell>
          <cell r="D641" t="str">
            <v>mugabeoa</v>
          </cell>
        </row>
        <row r="642">
          <cell r="C642">
            <v>204116439</v>
          </cell>
          <cell r="D642" t="str">
            <v>etugalex</v>
          </cell>
        </row>
        <row r="643">
          <cell r="C643">
            <v>206897551</v>
          </cell>
          <cell r="D643" t="str">
            <v>nbashali</v>
          </cell>
        </row>
        <row r="644">
          <cell r="C644">
            <v>112649477</v>
          </cell>
          <cell r="D644" t="str">
            <v>alirfanv</v>
          </cell>
        </row>
        <row r="645">
          <cell r="C645">
            <v>205846579</v>
          </cell>
          <cell r="D645" t="str">
            <v>achemuta</v>
          </cell>
        </row>
        <row r="646">
          <cell r="C646">
            <v>206926977</v>
          </cell>
          <cell r="D646" t="str">
            <v>aliokorw</v>
          </cell>
        </row>
        <row r="647">
          <cell r="C647">
            <v>203555843</v>
          </cell>
          <cell r="D647" t="str">
            <v>darelall</v>
          </cell>
        </row>
        <row r="648">
          <cell r="C648">
            <v>203992092</v>
          </cell>
          <cell r="D648" t="str">
            <v>amosbeko</v>
          </cell>
        </row>
        <row r="649">
          <cell r="C649">
            <v>205839289</v>
          </cell>
          <cell r="D649" t="str">
            <v>turinawa</v>
          </cell>
        </row>
        <row r="650">
          <cell r="C650">
            <v>203850772</v>
          </cell>
          <cell r="D650" t="str">
            <v>andssema</v>
          </cell>
        </row>
        <row r="651">
          <cell r="C651">
            <v>205977116</v>
          </cell>
          <cell r="D651" t="str">
            <v>andrmulv</v>
          </cell>
        </row>
        <row r="652">
          <cell r="C652">
            <v>203850778</v>
          </cell>
          <cell r="D652" t="str">
            <v>lsseandr</v>
          </cell>
        </row>
        <row r="653">
          <cell r="C653">
            <v>206897550</v>
          </cell>
          <cell r="D653" t="str">
            <v>abeltaan</v>
          </cell>
        </row>
        <row r="654">
          <cell r="C654">
            <v>102865830</v>
          </cell>
          <cell r="D654" t="str">
            <v>ANVISHNU</v>
          </cell>
        </row>
        <row r="655">
          <cell r="C655">
            <v>111164491</v>
          </cell>
          <cell r="D655" t="str">
            <v>anvtharu</v>
          </cell>
        </row>
        <row r="656">
          <cell r="C656">
            <v>206239763</v>
          </cell>
          <cell r="D656" t="str">
            <v>anitofoc</v>
          </cell>
        </row>
        <row r="657">
          <cell r="C657">
            <v>204009672</v>
          </cell>
          <cell r="D657" t="str">
            <v>ankinew</v>
          </cell>
        </row>
        <row r="658">
          <cell r="C658">
            <v>206239523</v>
          </cell>
          <cell r="D658" t="str">
            <v>hannmuru</v>
          </cell>
        </row>
        <row r="659">
          <cell r="C659">
            <v>205846573</v>
          </cell>
          <cell r="D659" t="str">
            <v>anndila</v>
          </cell>
        </row>
        <row r="660">
          <cell r="C660">
            <v>206930130</v>
          </cell>
          <cell r="D660" t="str">
            <v>annwamum</v>
          </cell>
        </row>
        <row r="661">
          <cell r="C661">
            <v>206129604</v>
          </cell>
          <cell r="D661" t="str">
            <v>kajannab</v>
          </cell>
        </row>
        <row r="662">
          <cell r="C662">
            <v>204868506</v>
          </cell>
          <cell r="D662" t="str">
            <v>annojust</v>
          </cell>
        </row>
        <row r="663">
          <cell r="C663">
            <v>206191963</v>
          </cell>
          <cell r="D663" t="str">
            <v>anolyatu</v>
          </cell>
        </row>
        <row r="664">
          <cell r="C664">
            <v>206873782</v>
          </cell>
          <cell r="D664" t="str">
            <v>kivuanto</v>
          </cell>
        </row>
        <row r="665">
          <cell r="C665">
            <v>203341965</v>
          </cell>
          <cell r="D665" t="str">
            <v>aninanur</v>
          </cell>
        </row>
        <row r="666">
          <cell r="C666">
            <v>109808051</v>
          </cell>
          <cell r="D666" t="str">
            <v>huawais</v>
          </cell>
        </row>
        <row r="667">
          <cell r="C667">
            <v>205276302</v>
          </cell>
          <cell r="D667" t="str">
            <v>tabiayuj</v>
          </cell>
        </row>
        <row r="668">
          <cell r="C668">
            <v>203735959</v>
          </cell>
          <cell r="D668" t="str">
            <v>arinasap</v>
          </cell>
        </row>
        <row r="669">
          <cell r="C669">
            <v>203964989</v>
          </cell>
          <cell r="D669" t="str">
            <v>abasarud</v>
          </cell>
        </row>
        <row r="670">
          <cell r="C670">
            <v>203964995</v>
          </cell>
          <cell r="D670" t="str">
            <v>agthanka</v>
          </cell>
        </row>
        <row r="671">
          <cell r="C671">
            <v>206850960</v>
          </cell>
          <cell r="D671" t="str">
            <v>ashiraab</v>
          </cell>
        </row>
        <row r="672">
          <cell r="C672">
            <v>206199915</v>
          </cell>
          <cell r="D672" t="str">
            <v>ashrajin</v>
          </cell>
        </row>
        <row r="673">
          <cell r="C673">
            <v>204009348</v>
          </cell>
          <cell r="D673" t="str">
            <v>shrashif</v>
          </cell>
        </row>
        <row r="674">
          <cell r="C674">
            <v>203850786</v>
          </cell>
          <cell r="D674" t="str">
            <v>ashrnkwa</v>
          </cell>
        </row>
        <row r="675">
          <cell r="C675">
            <v>203850997</v>
          </cell>
          <cell r="D675" t="str">
            <v>auguszad</v>
          </cell>
        </row>
        <row r="676">
          <cell r="C676">
            <v>203965024</v>
          </cell>
          <cell r="D676" t="str">
            <v>yeaunga</v>
          </cell>
        </row>
        <row r="677">
          <cell r="C677">
            <v>203342030</v>
          </cell>
          <cell r="D677" t="str">
            <v>avinkorm</v>
          </cell>
        </row>
        <row r="678">
          <cell r="C678">
            <v>204172225</v>
          </cell>
          <cell r="D678" t="str">
            <v>sahaviny</v>
          </cell>
        </row>
        <row r="679">
          <cell r="C679">
            <v>204319794</v>
          </cell>
          <cell r="D679" t="str">
            <v>awaisido</v>
          </cell>
        </row>
        <row r="680">
          <cell r="C680">
            <v>206926474</v>
          </cell>
          <cell r="D680" t="str">
            <v>awudkale</v>
          </cell>
        </row>
        <row r="681">
          <cell r="C681">
            <v>205236902</v>
          </cell>
          <cell r="D681" t="str">
            <v>yawunsam</v>
          </cell>
        </row>
        <row r="682">
          <cell r="C682">
            <v>204053434</v>
          </cell>
          <cell r="D682" t="str">
            <v>mohaaziv</v>
          </cell>
        </row>
        <row r="683">
          <cell r="C683">
            <v>205236897</v>
          </cell>
          <cell r="D683" t="str">
            <v>babismar</v>
          </cell>
        </row>
        <row r="684">
          <cell r="C684">
            <v>204013688</v>
          </cell>
          <cell r="D684" t="str">
            <v>sbabucan</v>
          </cell>
        </row>
        <row r="685">
          <cell r="C685">
            <v>206897553</v>
          </cell>
          <cell r="D685" t="str">
            <v>banjatab</v>
          </cell>
        </row>
        <row r="686">
          <cell r="C686">
            <v>205854273</v>
          </cell>
          <cell r="D686" t="str">
            <v>namukaba</v>
          </cell>
        </row>
        <row r="687">
          <cell r="C687">
            <v>206926475</v>
          </cell>
          <cell r="D687" t="str">
            <v>basmagan</v>
          </cell>
        </row>
        <row r="688">
          <cell r="C688">
            <v>206128846</v>
          </cell>
          <cell r="D688" t="str">
            <v>obiarrey</v>
          </cell>
        </row>
        <row r="689">
          <cell r="C689">
            <v>204013691</v>
          </cell>
          <cell r="D689" t="str">
            <v>benesaah</v>
          </cell>
        </row>
        <row r="690">
          <cell r="C690">
            <v>205848051</v>
          </cell>
          <cell r="D690" t="str">
            <v>affulben</v>
          </cell>
        </row>
        <row r="691">
          <cell r="C691">
            <v>203908868</v>
          </cell>
          <cell r="D691" t="str">
            <v>benjanko</v>
          </cell>
        </row>
        <row r="692">
          <cell r="C692">
            <v>206072090</v>
          </cell>
          <cell r="D692" t="str">
            <v>asamoahq</v>
          </cell>
        </row>
        <row r="693">
          <cell r="C693">
            <v>203965180</v>
          </cell>
          <cell r="D693" t="str">
            <v>enyanvbe</v>
          </cell>
        </row>
        <row r="694">
          <cell r="C694">
            <v>201161555</v>
          </cell>
          <cell r="D694" t="str">
            <v>bethomam</v>
          </cell>
        </row>
        <row r="695">
          <cell r="C695">
            <v>204117188</v>
          </cell>
          <cell r="D695" t="str">
            <v>rberinea</v>
          </cell>
        </row>
        <row r="696">
          <cell r="C696">
            <v>204172234</v>
          </cell>
          <cell r="D696" t="str">
            <v>dpbikram</v>
          </cell>
        </row>
        <row r="697">
          <cell r="C697">
            <v>204009916</v>
          </cell>
          <cell r="D697" t="str">
            <v>biseswak</v>
          </cell>
        </row>
        <row r="698">
          <cell r="C698">
            <v>203908328</v>
          </cell>
          <cell r="D698" t="str">
            <v>ahabwebi</v>
          </cell>
        </row>
        <row r="699">
          <cell r="C699">
            <v>203512948</v>
          </cell>
          <cell r="D699" t="str">
            <v>yendbism</v>
          </cell>
        </row>
        <row r="700">
          <cell r="C700">
            <v>204137703</v>
          </cell>
          <cell r="D700" t="str">
            <v>blamoyam</v>
          </cell>
        </row>
        <row r="701">
          <cell r="C701">
            <v>204299063</v>
          </cell>
          <cell r="D701" t="str">
            <v>yblankso</v>
          </cell>
        </row>
        <row r="702">
          <cell r="C702">
            <v>206239521</v>
          </cell>
          <cell r="D702" t="str">
            <v>daviboag</v>
          </cell>
        </row>
        <row r="703">
          <cell r="C703">
            <v>206239750</v>
          </cell>
          <cell r="D703" t="str">
            <v>jboatenv</v>
          </cell>
        </row>
        <row r="704">
          <cell r="C704">
            <v>206897556</v>
          </cell>
          <cell r="D704" t="str">
            <v>echubobo</v>
          </cell>
        </row>
        <row r="705">
          <cell r="C705">
            <v>203513810</v>
          </cell>
          <cell r="D705" t="str">
            <v>bradonku</v>
          </cell>
        </row>
        <row r="706">
          <cell r="C706">
            <v>206491327</v>
          </cell>
          <cell r="D706" t="str">
            <v>brkiprut</v>
          </cell>
        </row>
        <row r="707">
          <cell r="C707">
            <v>203512670</v>
          </cell>
          <cell r="D707" t="str">
            <v>brmusanz</v>
          </cell>
        </row>
        <row r="708">
          <cell r="C708">
            <v>203512667</v>
          </cell>
          <cell r="D708" t="str">
            <v>bimbrend</v>
          </cell>
        </row>
        <row r="709">
          <cell r="C709">
            <v>206890213</v>
          </cell>
          <cell r="D709" t="str">
            <v>kipchumn</v>
          </cell>
        </row>
        <row r="710">
          <cell r="C710">
            <v>205280684</v>
          </cell>
          <cell r="D710" t="str">
            <v>briaglil</v>
          </cell>
        </row>
        <row r="711">
          <cell r="C711">
            <v>204172222</v>
          </cell>
          <cell r="D711" t="str">
            <v>sundabru</v>
          </cell>
        </row>
        <row r="712">
          <cell r="C712">
            <v>206914994</v>
          </cell>
          <cell r="D712" t="str">
            <v>vbulawre</v>
          </cell>
        </row>
        <row r="713">
          <cell r="C713">
            <v>206238897</v>
          </cell>
          <cell r="D713" t="str">
            <v>ayoncari</v>
          </cell>
        </row>
        <row r="714">
          <cell r="C714">
            <v>203342654</v>
          </cell>
          <cell r="D714" t="str">
            <v>qcatampa</v>
          </cell>
        </row>
        <row r="715">
          <cell r="C715">
            <v>205848042</v>
          </cell>
          <cell r="D715" t="str">
            <v>carkorir</v>
          </cell>
        </row>
        <row r="716">
          <cell r="C716">
            <v>206128580</v>
          </cell>
          <cell r="D716" t="str">
            <v>kuncarol</v>
          </cell>
        </row>
        <row r="717">
          <cell r="C717">
            <v>206239212</v>
          </cell>
          <cell r="D717" t="str">
            <v>cecchish</v>
          </cell>
        </row>
        <row r="718">
          <cell r="C718">
            <v>206191969</v>
          </cell>
          <cell r="D718" t="str">
            <v>omwcecil</v>
          </cell>
        </row>
        <row r="719">
          <cell r="C719">
            <v>108196835</v>
          </cell>
          <cell r="D719" t="str">
            <v>tendoc</v>
          </cell>
        </row>
        <row r="720">
          <cell r="C720">
            <v>205275633</v>
          </cell>
          <cell r="D720" t="str">
            <v>gchancel</v>
          </cell>
        </row>
        <row r="721">
          <cell r="C721">
            <v>206136720</v>
          </cell>
          <cell r="D721" t="str">
            <v>chancink</v>
          </cell>
        </row>
        <row r="722">
          <cell r="C722">
            <v>203342034</v>
          </cell>
          <cell r="D722" t="str">
            <v>chatthud</v>
          </cell>
        </row>
        <row r="723">
          <cell r="C723">
            <v>206491325</v>
          </cell>
          <cell r="D723" t="str">
            <v>dachepkv</v>
          </cell>
        </row>
        <row r="724">
          <cell r="C724">
            <v>205848048</v>
          </cell>
          <cell r="D724" t="str">
            <v>mureiche</v>
          </cell>
        </row>
        <row r="725">
          <cell r="C725">
            <v>205854276</v>
          </cell>
          <cell r="D725" t="str">
            <v>addlchri</v>
          </cell>
        </row>
        <row r="726">
          <cell r="C726">
            <v>203512665</v>
          </cell>
          <cell r="D726" t="str">
            <v>atuahech</v>
          </cell>
        </row>
        <row r="727">
          <cell r="C727">
            <v>203965413</v>
          </cell>
          <cell r="D727" t="str">
            <v>chrafful</v>
          </cell>
        </row>
        <row r="728">
          <cell r="C728">
            <v>203881660</v>
          </cell>
          <cell r="D728" t="str">
            <v>clarfien</v>
          </cell>
        </row>
        <row r="729">
          <cell r="C729">
            <v>203512671</v>
          </cell>
          <cell r="D729" t="str">
            <v>mbehclau</v>
          </cell>
        </row>
        <row r="730">
          <cell r="C730">
            <v>203881698</v>
          </cell>
          <cell r="D730" t="str">
            <v>gbenclem</v>
          </cell>
        </row>
        <row r="731">
          <cell r="C731">
            <v>204145465</v>
          </cell>
          <cell r="D731" t="str">
            <v>dwomclif</v>
          </cell>
        </row>
        <row r="732">
          <cell r="C732">
            <v>206886517</v>
          </cell>
          <cell r="D732" t="str">
            <v>amukclin</v>
          </cell>
        </row>
        <row r="733">
          <cell r="C733">
            <v>206145766</v>
          </cell>
          <cell r="D733" t="str">
            <v>fuhnclov</v>
          </cell>
        </row>
        <row r="734">
          <cell r="C734">
            <v>205227534</v>
          </cell>
          <cell r="D734" t="str">
            <v>rzcolema</v>
          </cell>
        </row>
        <row r="735">
          <cell r="C735">
            <v>205257390</v>
          </cell>
          <cell r="D735" t="str">
            <v>kimutcol</v>
          </cell>
        </row>
        <row r="736">
          <cell r="C736">
            <v>206491331</v>
          </cell>
          <cell r="D736" t="str">
            <v>bocollns</v>
          </cell>
        </row>
        <row r="737">
          <cell r="C737">
            <v>203993306</v>
          </cell>
          <cell r="D737" t="str">
            <v>ucoasant</v>
          </cell>
        </row>
        <row r="738">
          <cell r="C738">
            <v>205271074</v>
          </cell>
          <cell r="D738" t="str">
            <v>cosmkibe</v>
          </cell>
        </row>
        <row r="739">
          <cell r="C739">
            <v>204013689</v>
          </cell>
          <cell r="D739" t="str">
            <v>curtgonl</v>
          </cell>
        </row>
        <row r="740">
          <cell r="C740">
            <v>205854274</v>
          </cell>
          <cell r="D740" t="str">
            <v>kyeicynt</v>
          </cell>
        </row>
        <row r="741">
          <cell r="C741">
            <v>205852634</v>
          </cell>
          <cell r="D741" t="str">
            <v>rseremda</v>
          </cell>
        </row>
        <row r="742">
          <cell r="C742">
            <v>204010041</v>
          </cell>
          <cell r="D742" t="str">
            <v>damiakat</v>
          </cell>
        </row>
        <row r="743">
          <cell r="C743">
            <v>205839583</v>
          </cell>
          <cell r="D743" t="str">
            <v>tibainhd</v>
          </cell>
        </row>
        <row r="744">
          <cell r="C744">
            <v>204967147</v>
          </cell>
          <cell r="D744" t="str">
            <v>danaaoda</v>
          </cell>
        </row>
        <row r="745">
          <cell r="C745">
            <v>204138497</v>
          </cell>
          <cell r="D745" t="str">
            <v>daatinga</v>
          </cell>
        </row>
        <row r="746">
          <cell r="C746">
            <v>206846688</v>
          </cell>
          <cell r="D746" t="str">
            <v>davawaya</v>
          </cell>
        </row>
        <row r="747">
          <cell r="C747">
            <v>203965177</v>
          </cell>
          <cell r="D747" t="str">
            <v>ujstanle</v>
          </cell>
        </row>
        <row r="748">
          <cell r="C748">
            <v>102434089</v>
          </cell>
          <cell r="D748" t="str">
            <v>odelap</v>
          </cell>
        </row>
        <row r="749">
          <cell r="C749">
            <v>206199998</v>
          </cell>
          <cell r="D749" t="str">
            <v>djoegich</v>
          </cell>
        </row>
        <row r="750">
          <cell r="C750">
            <v>205861618</v>
          </cell>
          <cell r="D750" t="str">
            <v>denmbium</v>
          </cell>
        </row>
        <row r="751">
          <cell r="C751">
            <v>206247771</v>
          </cell>
          <cell r="D751" t="str">
            <v>depporah</v>
          </cell>
        </row>
        <row r="752">
          <cell r="C752">
            <v>204319798</v>
          </cell>
          <cell r="D752" t="str">
            <v>derwardz</v>
          </cell>
        </row>
        <row r="753">
          <cell r="C753">
            <v>206915474</v>
          </cell>
          <cell r="D753" t="str">
            <v>derrkabu</v>
          </cell>
        </row>
        <row r="754">
          <cell r="C754">
            <v>203850766</v>
          </cell>
          <cell r="D754" t="str">
            <v>dekiwanu</v>
          </cell>
        </row>
        <row r="755">
          <cell r="C755">
            <v>203908841</v>
          </cell>
          <cell r="D755" t="str">
            <v>derriatt</v>
          </cell>
        </row>
        <row r="756">
          <cell r="C756">
            <v>206930333</v>
          </cell>
          <cell r="D756" t="str">
            <v>wadianan</v>
          </cell>
        </row>
        <row r="757">
          <cell r="C757">
            <v>203813032</v>
          </cell>
          <cell r="D757" t="str">
            <v>dilwinja</v>
          </cell>
        </row>
        <row r="758">
          <cell r="C758">
            <v>204009619</v>
          </cell>
          <cell r="D758" t="str">
            <v>gautaldi</v>
          </cell>
        </row>
        <row r="759">
          <cell r="C759">
            <v>204094216</v>
          </cell>
          <cell r="D759" t="str">
            <v>ndiranio</v>
          </cell>
        </row>
        <row r="760">
          <cell r="C760">
            <v>202516581</v>
          </cell>
          <cell r="D760" t="str">
            <v>mensdorc</v>
          </cell>
        </row>
        <row r="761">
          <cell r="C761">
            <v>203908859</v>
          </cell>
          <cell r="D761" t="str">
            <v>ebenfbra</v>
          </cell>
        </row>
        <row r="762">
          <cell r="C762">
            <v>206073363</v>
          </cell>
          <cell r="D762" t="str">
            <v>jebenowu</v>
          </cell>
        </row>
        <row r="763">
          <cell r="C763">
            <v>205839586</v>
          </cell>
          <cell r="D763" t="str">
            <v>edtwinam</v>
          </cell>
        </row>
        <row r="764">
          <cell r="C764">
            <v>204172862</v>
          </cell>
          <cell r="D764" t="str">
            <v>edinakye</v>
          </cell>
        </row>
        <row r="765">
          <cell r="C765">
            <v>203741316</v>
          </cell>
          <cell r="D765" t="str">
            <v>achedith</v>
          </cell>
        </row>
        <row r="766">
          <cell r="C766">
            <v>204116867</v>
          </cell>
          <cell r="D766" t="str">
            <v>ayenedid</v>
          </cell>
        </row>
        <row r="767">
          <cell r="C767">
            <v>203800485</v>
          </cell>
          <cell r="D767" t="str">
            <v>edsomweb</v>
          </cell>
        </row>
        <row r="768">
          <cell r="C768">
            <v>205127248</v>
          </cell>
          <cell r="D768" t="str">
            <v>wedwinki</v>
          </cell>
        </row>
        <row r="769">
          <cell r="C769">
            <v>206897637</v>
          </cell>
          <cell r="D769" t="str">
            <v>edwitane</v>
          </cell>
        </row>
        <row r="770">
          <cell r="C770">
            <v>204010535</v>
          </cell>
          <cell r="D770" t="str">
            <v>elagabae</v>
          </cell>
        </row>
        <row r="771">
          <cell r="C771">
            <v>203514419</v>
          </cell>
          <cell r="D771" t="str">
            <v>frimptel</v>
          </cell>
        </row>
        <row r="772">
          <cell r="C772">
            <v>203851106</v>
          </cell>
          <cell r="D772" t="str">
            <v>amoelish</v>
          </cell>
        </row>
        <row r="773">
          <cell r="C773">
            <v>206930332</v>
          </cell>
          <cell r="D773" t="str">
            <v>elizmung</v>
          </cell>
        </row>
        <row r="774">
          <cell r="C774">
            <v>203908894</v>
          </cell>
          <cell r="D774" t="str">
            <v>emwanamb</v>
          </cell>
        </row>
        <row r="775">
          <cell r="C775">
            <v>203468752</v>
          </cell>
          <cell r="D775" t="str">
            <v>temmaaku</v>
          </cell>
        </row>
        <row r="776">
          <cell r="C776">
            <v>203965409</v>
          </cell>
          <cell r="D776" t="str">
            <v>amankemq</v>
          </cell>
        </row>
        <row r="777">
          <cell r="C777">
            <v>203965407</v>
          </cell>
          <cell r="D777" t="str">
            <v>femamoan</v>
          </cell>
        </row>
        <row r="778">
          <cell r="C778">
            <v>203965522</v>
          </cell>
          <cell r="D778" t="str">
            <v>emmqamuz</v>
          </cell>
        </row>
        <row r="779">
          <cell r="C779">
            <v>204138500</v>
          </cell>
          <cell r="D779" t="str">
            <v>dasaemma</v>
          </cell>
        </row>
        <row r="780">
          <cell r="C780">
            <v>203468749</v>
          </cell>
          <cell r="D780" t="str">
            <v>boademma</v>
          </cell>
        </row>
        <row r="781">
          <cell r="C781">
            <v>206129606</v>
          </cell>
          <cell r="D781" t="str">
            <v>remmanda</v>
          </cell>
        </row>
        <row r="782">
          <cell r="C782">
            <v>206915012</v>
          </cell>
          <cell r="D782" t="str">
            <v>kamalize</v>
          </cell>
        </row>
        <row r="783">
          <cell r="C783">
            <v>204319808</v>
          </cell>
          <cell r="D783" t="str">
            <v>gemmanua</v>
          </cell>
        </row>
        <row r="784">
          <cell r="C784">
            <v>204009355</v>
          </cell>
          <cell r="D784" t="str">
            <v>emmamusi</v>
          </cell>
        </row>
        <row r="785">
          <cell r="C785">
            <v>206846111</v>
          </cell>
          <cell r="D785" t="str">
            <v>etusasir</v>
          </cell>
        </row>
        <row r="786">
          <cell r="C786">
            <v>206897636</v>
          </cell>
          <cell r="D786" t="str">
            <v>wafulakv</v>
          </cell>
        </row>
        <row r="787">
          <cell r="C787">
            <v>206138681</v>
          </cell>
          <cell r="D787" t="str">
            <v>emmaunea</v>
          </cell>
        </row>
        <row r="788">
          <cell r="C788">
            <v>204946697</v>
          </cell>
          <cell r="D788" t="str">
            <v>entettey</v>
          </cell>
        </row>
        <row r="789">
          <cell r="C789">
            <v>206868194</v>
          </cell>
          <cell r="D789" t="str">
            <v>ericanah</v>
          </cell>
        </row>
        <row r="790">
          <cell r="C790">
            <v>206200813</v>
          </cell>
          <cell r="D790" t="str">
            <v>eribedia</v>
          </cell>
        </row>
        <row r="791">
          <cell r="C791">
            <v>204967053</v>
          </cell>
          <cell r="D791" t="str">
            <v>emensahg</v>
          </cell>
        </row>
        <row r="792">
          <cell r="C792">
            <v>206137344</v>
          </cell>
          <cell r="D792" t="str">
            <v>opokderi</v>
          </cell>
        </row>
        <row r="793">
          <cell r="C793">
            <v>206192264</v>
          </cell>
          <cell r="D793" t="str">
            <v>ericaffg</v>
          </cell>
        </row>
        <row r="794">
          <cell r="C794">
            <v>203850771</v>
          </cell>
          <cell r="D794" t="str">
            <v>museriya</v>
          </cell>
        </row>
        <row r="795">
          <cell r="C795">
            <v>206137334</v>
          </cell>
          <cell r="D795" t="str">
            <v>erneyebo</v>
          </cell>
        </row>
        <row r="796">
          <cell r="C796">
            <v>203908324</v>
          </cell>
          <cell r="D796" t="str">
            <v>nkhonesn</v>
          </cell>
        </row>
        <row r="797">
          <cell r="C797">
            <v>203881658</v>
          </cell>
          <cell r="D797" t="str">
            <v>evkwarte</v>
          </cell>
        </row>
        <row r="798">
          <cell r="C798">
            <v>205854275</v>
          </cell>
          <cell r="D798" t="str">
            <v>addevely</v>
          </cell>
        </row>
        <row r="799">
          <cell r="C799">
            <v>205252530</v>
          </cell>
          <cell r="D799" t="str">
            <v>kourever</v>
          </cell>
        </row>
        <row r="800">
          <cell r="C800">
            <v>206192267</v>
          </cell>
          <cell r="D800" t="str">
            <v>fcherono</v>
          </cell>
        </row>
        <row r="801">
          <cell r="C801">
            <v>206192230</v>
          </cell>
          <cell r="D801" t="str">
            <v>jepkirtf</v>
          </cell>
        </row>
        <row r="802">
          <cell r="C802">
            <v>205852637</v>
          </cell>
          <cell r="D802" t="str">
            <v>fjefaith</v>
          </cell>
        </row>
        <row r="803">
          <cell r="C803">
            <v>203908323</v>
          </cell>
          <cell r="D803" t="str">
            <v>fakiyumr</v>
          </cell>
        </row>
        <row r="804">
          <cell r="C804">
            <v>105485458</v>
          </cell>
          <cell r="D804" t="str">
            <v>alfazan</v>
          </cell>
        </row>
        <row r="805">
          <cell r="C805">
            <v>204373722</v>
          </cell>
          <cell r="D805" t="str">
            <v>favalapp</v>
          </cell>
        </row>
        <row r="806">
          <cell r="C806">
            <v>205839585</v>
          </cell>
          <cell r="D806" t="str">
            <v>faroukki</v>
          </cell>
        </row>
        <row r="807">
          <cell r="C807">
            <v>204094215</v>
          </cell>
          <cell r="D807" t="str">
            <v>kpafatma</v>
          </cell>
        </row>
        <row r="808">
          <cell r="C808">
            <v>102582339</v>
          </cell>
          <cell r="D808" t="str">
            <v>noufalf</v>
          </cell>
        </row>
        <row r="809">
          <cell r="C809">
            <v>206886514</v>
          </cell>
          <cell r="D809" t="str">
            <v>nkrfelix</v>
          </cell>
        </row>
        <row r="810">
          <cell r="C810">
            <v>206868289</v>
          </cell>
          <cell r="D810" t="str">
            <v>mnengnfl</v>
          </cell>
        </row>
        <row r="811">
          <cell r="C811">
            <v>204138116</v>
          </cell>
          <cell r="D811" t="str">
            <v>fodaigak</v>
          </cell>
        </row>
        <row r="812">
          <cell r="C812">
            <v>205996132</v>
          </cell>
          <cell r="D812" t="str">
            <v>fosovict</v>
          </cell>
        </row>
        <row r="813">
          <cell r="C813">
            <v>206915147</v>
          </cell>
          <cell r="D813" t="str">
            <v>frapafem</v>
          </cell>
        </row>
        <row r="814">
          <cell r="C814">
            <v>206065208</v>
          </cell>
          <cell r="D814" t="str">
            <v>araalfra</v>
          </cell>
        </row>
        <row r="815">
          <cell r="C815">
            <v>204865035</v>
          </cell>
          <cell r="D815" t="str">
            <v>harthufr</v>
          </cell>
        </row>
        <row r="816">
          <cell r="C816">
            <v>203850767</v>
          </cell>
          <cell r="D816" t="str">
            <v>frategek</v>
          </cell>
        </row>
        <row r="817">
          <cell r="C817">
            <v>204865037</v>
          </cell>
          <cell r="D817" t="str">
            <v>cudjoeif</v>
          </cell>
        </row>
        <row r="818">
          <cell r="C818">
            <v>204137705</v>
          </cell>
          <cell r="D818" t="str">
            <v>kufranc</v>
          </cell>
        </row>
        <row r="819">
          <cell r="C819">
            <v>206897644</v>
          </cell>
          <cell r="D819" t="str">
            <v>odurfraa</v>
          </cell>
        </row>
        <row r="820">
          <cell r="C820">
            <v>206606700</v>
          </cell>
          <cell r="D820" t="str">
            <v>mautfra</v>
          </cell>
        </row>
        <row r="821">
          <cell r="C821">
            <v>203737010</v>
          </cell>
          <cell r="D821" t="str">
            <v>ansafraz</v>
          </cell>
        </row>
        <row r="822">
          <cell r="C822">
            <v>206906443</v>
          </cell>
          <cell r="D822" t="str">
            <v>frmayeng</v>
          </cell>
        </row>
        <row r="823">
          <cell r="C823">
            <v>203993509</v>
          </cell>
          <cell r="D823" t="str">
            <v>nuwafrag</v>
          </cell>
        </row>
        <row r="824">
          <cell r="C824">
            <v>206915764</v>
          </cell>
          <cell r="D824" t="str">
            <v>frasernk</v>
          </cell>
        </row>
        <row r="825">
          <cell r="C825">
            <v>206850959</v>
          </cell>
          <cell r="D825" t="str">
            <v>bakisurf</v>
          </cell>
        </row>
        <row r="826">
          <cell r="C826">
            <v>206128855</v>
          </cell>
          <cell r="D826" t="str">
            <v>frsagyem</v>
          </cell>
        </row>
        <row r="827">
          <cell r="C827">
            <v>206605136</v>
          </cell>
          <cell r="D827" t="str">
            <v>fredrimw</v>
          </cell>
        </row>
        <row r="828">
          <cell r="C828">
            <v>203965176</v>
          </cell>
          <cell r="D828" t="str">
            <v>agyemafy</v>
          </cell>
        </row>
        <row r="829">
          <cell r="C829">
            <v>206897639</v>
          </cell>
          <cell r="D829" t="str">
            <v>batefrid</v>
          </cell>
        </row>
        <row r="830">
          <cell r="C830">
            <v>205852638</v>
          </cell>
          <cell r="D830" t="str">
            <v>kimufrid</v>
          </cell>
        </row>
        <row r="831">
          <cell r="C831">
            <v>206192269</v>
          </cell>
          <cell r="D831" t="str">
            <v>nyfridax</v>
          </cell>
        </row>
        <row r="832">
          <cell r="C832">
            <v>206886736</v>
          </cell>
          <cell r="D832" t="str">
            <v>fuissaka</v>
          </cell>
        </row>
        <row r="833">
          <cell r="C833">
            <v>206239217</v>
          </cell>
          <cell r="D833" t="str">
            <v>garvmark</v>
          </cell>
        </row>
        <row r="834">
          <cell r="C834">
            <v>204070590</v>
          </cell>
          <cell r="D834" t="str">
            <v>kibgasto</v>
          </cell>
        </row>
        <row r="835">
          <cell r="C835">
            <v>204010424</v>
          </cell>
          <cell r="D835" t="str">
            <v>ssegeoff</v>
          </cell>
        </row>
        <row r="836">
          <cell r="C836">
            <v>206897652</v>
          </cell>
          <cell r="D836" t="str">
            <v>vwillgeo</v>
          </cell>
        </row>
        <row r="837">
          <cell r="C837">
            <v>202460493</v>
          </cell>
          <cell r="D837" t="str">
            <v>earthurg</v>
          </cell>
        </row>
        <row r="838">
          <cell r="C838">
            <v>202351580</v>
          </cell>
          <cell r="D838" t="str">
            <v>geradink</v>
          </cell>
        </row>
        <row r="839">
          <cell r="C839">
            <v>204011443</v>
          </cell>
          <cell r="D839" t="str">
            <v>kalyange</v>
          </cell>
        </row>
        <row r="840">
          <cell r="C840">
            <v>204072301</v>
          </cell>
          <cell r="D840" t="str">
            <v>musingge</v>
          </cell>
        </row>
        <row r="841">
          <cell r="C841">
            <v>206897647</v>
          </cell>
          <cell r="D841" t="str">
            <v>gideboak</v>
          </cell>
        </row>
        <row r="842">
          <cell r="C842">
            <v>206136723</v>
          </cell>
          <cell r="D842" t="str">
            <v>sgiftyaw</v>
          </cell>
        </row>
        <row r="843">
          <cell r="C843">
            <v>206136725</v>
          </cell>
          <cell r="D843" t="str">
            <v>prempegi</v>
          </cell>
        </row>
        <row r="844">
          <cell r="C844">
            <v>206239529</v>
          </cell>
          <cell r="D844" t="str">
            <v>glortadu</v>
          </cell>
        </row>
        <row r="845">
          <cell r="C845">
            <v>206074973</v>
          </cell>
          <cell r="D845" t="str">
            <v>larbiygl</v>
          </cell>
        </row>
        <row r="846">
          <cell r="C846">
            <v>206868002</v>
          </cell>
          <cell r="D846" t="str">
            <v>globquan</v>
          </cell>
        </row>
        <row r="847">
          <cell r="C847">
            <v>206926478</v>
          </cell>
          <cell r="D847" t="str">
            <v>mwakagod</v>
          </cell>
        </row>
        <row r="848">
          <cell r="C848">
            <v>206884029</v>
          </cell>
          <cell r="D848" t="str">
            <v>commeygs</v>
          </cell>
        </row>
        <row r="849">
          <cell r="C849">
            <v>204138503</v>
          </cell>
          <cell r="D849" t="str">
            <v>kodugraf</v>
          </cell>
        </row>
        <row r="850">
          <cell r="C850">
            <v>205853573</v>
          </cell>
          <cell r="D850" t="str">
            <v>gwangari</v>
          </cell>
        </row>
        <row r="851">
          <cell r="C851">
            <v>206915464</v>
          </cell>
          <cell r="D851" t="str">
            <v>ngraciou</v>
          </cell>
        </row>
        <row r="852">
          <cell r="C852">
            <v>203468748</v>
          </cell>
          <cell r="D852" t="str">
            <v>grahamuc</v>
          </cell>
        </row>
        <row r="853">
          <cell r="C853">
            <v>206890216</v>
          </cell>
          <cell r="D853" t="str">
            <v>cheropeg</v>
          </cell>
        </row>
        <row r="854">
          <cell r="C854">
            <v>205199079</v>
          </cell>
          <cell r="D854" t="str">
            <v>jhabshai</v>
          </cell>
        </row>
        <row r="855">
          <cell r="C855">
            <v>206906444</v>
          </cell>
          <cell r="D855" t="str">
            <v>habertmu</v>
          </cell>
        </row>
        <row r="856">
          <cell r="C856">
            <v>204138121</v>
          </cell>
          <cell r="D856" t="str">
            <v>jarrahad</v>
          </cell>
        </row>
        <row r="857">
          <cell r="C857">
            <v>204299547</v>
          </cell>
          <cell r="D857" t="str">
            <v>hamzmohp</v>
          </cell>
        </row>
        <row r="858">
          <cell r="C858">
            <v>203965458</v>
          </cell>
          <cell r="D858" t="str">
            <v>apodehan</v>
          </cell>
        </row>
        <row r="859">
          <cell r="C859">
            <v>205252539</v>
          </cell>
          <cell r="D859" t="str">
            <v>htameklo</v>
          </cell>
        </row>
        <row r="860">
          <cell r="C860">
            <v>203512949</v>
          </cell>
          <cell r="D860" t="str">
            <v>hnkansah</v>
          </cell>
        </row>
        <row r="861">
          <cell r="C861">
            <v>204072302</v>
          </cell>
          <cell r="D861" t="str">
            <v>kkibehar</v>
          </cell>
        </row>
        <row r="862">
          <cell r="C862">
            <v>202249751</v>
          </cell>
          <cell r="D862" t="str">
            <v>hamumuni</v>
          </cell>
        </row>
        <row r="863">
          <cell r="C863">
            <v>205627233</v>
          </cell>
          <cell r="D863" t="str">
            <v>efhayfor</v>
          </cell>
        </row>
        <row r="864">
          <cell r="C864">
            <v>204966775</v>
          </cell>
          <cell r="D864" t="str">
            <v>oseithay</v>
          </cell>
        </row>
        <row r="865">
          <cell r="C865">
            <v>206915469</v>
          </cell>
          <cell r="D865" t="str">
            <v>kahuhenx</v>
          </cell>
        </row>
        <row r="866">
          <cell r="C866">
            <v>204116868</v>
          </cell>
          <cell r="D866" t="str">
            <v>mensathe</v>
          </cell>
        </row>
        <row r="867">
          <cell r="C867">
            <v>203512668</v>
          </cell>
          <cell r="D867" t="str">
            <v>henredws</v>
          </cell>
        </row>
        <row r="868">
          <cell r="C868">
            <v>204013684</v>
          </cell>
          <cell r="D868" t="str">
            <v>koseihen</v>
          </cell>
        </row>
        <row r="869">
          <cell r="C869">
            <v>206926479</v>
          </cell>
          <cell r="D869" t="str">
            <v>huzamita</v>
          </cell>
        </row>
        <row r="870">
          <cell r="C870">
            <v>108019714</v>
          </cell>
          <cell r="D870" t="str">
            <v>lhuzesay</v>
          </cell>
        </row>
        <row r="871">
          <cell r="C871">
            <v>203965181</v>
          </cell>
          <cell r="D871" t="str">
            <v>mfatorib</v>
          </cell>
        </row>
        <row r="872">
          <cell r="C872">
            <v>203468745</v>
          </cell>
          <cell r="D872" t="str">
            <v>otooibra</v>
          </cell>
        </row>
        <row r="873">
          <cell r="C873">
            <v>203993450</v>
          </cell>
          <cell r="D873" t="str">
            <v>sekamdib</v>
          </cell>
        </row>
        <row r="874">
          <cell r="C874">
            <v>203881657</v>
          </cell>
          <cell r="D874" t="str">
            <v>tanguimm</v>
          </cell>
        </row>
        <row r="875">
          <cell r="C875">
            <v>204976025</v>
          </cell>
          <cell r="D875" t="str">
            <v>eindrakr</v>
          </cell>
        </row>
        <row r="876">
          <cell r="C876">
            <v>206850964</v>
          </cell>
          <cell r="D876" t="str">
            <v>akaminno</v>
          </cell>
        </row>
        <row r="877">
          <cell r="C877">
            <v>204072304</v>
          </cell>
          <cell r="D877" t="str">
            <v>innamany</v>
          </cell>
        </row>
        <row r="878">
          <cell r="C878">
            <v>203850785</v>
          </cell>
          <cell r="D878" t="str">
            <v>otiinnoc</v>
          </cell>
        </row>
        <row r="879">
          <cell r="C879">
            <v>105444856</v>
          </cell>
          <cell r="D879" t="str">
            <v>muhzirfa</v>
          </cell>
        </row>
        <row r="880">
          <cell r="C880">
            <v>206138254</v>
          </cell>
          <cell r="D880" t="str">
            <v>isabarim</v>
          </cell>
        </row>
        <row r="881">
          <cell r="C881">
            <v>205996133</v>
          </cell>
          <cell r="D881" t="str">
            <v>kusiisa</v>
          </cell>
        </row>
        <row r="882">
          <cell r="C882">
            <v>204951503</v>
          </cell>
          <cell r="D882" t="str">
            <v>isaackwa</v>
          </cell>
        </row>
        <row r="883">
          <cell r="C883">
            <v>203850807</v>
          </cell>
          <cell r="D883" t="str">
            <v>nabonisa</v>
          </cell>
        </row>
        <row r="884">
          <cell r="C884">
            <v>112181816</v>
          </cell>
          <cell r="D884" t="str">
            <v>itawiah</v>
          </cell>
        </row>
        <row r="885">
          <cell r="C885">
            <v>206850962</v>
          </cell>
          <cell r="D885" t="str">
            <v>isamutub</v>
          </cell>
        </row>
        <row r="886">
          <cell r="C886">
            <v>203993281</v>
          </cell>
          <cell r="D886" t="str">
            <v>turaisha</v>
          </cell>
        </row>
        <row r="887">
          <cell r="C887">
            <v>206846308</v>
          </cell>
          <cell r="D887" t="str">
            <v>gismaiki</v>
          </cell>
        </row>
        <row r="888">
          <cell r="C888">
            <v>203736752</v>
          </cell>
          <cell r="D888" t="str">
            <v>musthais</v>
          </cell>
        </row>
        <row r="889">
          <cell r="C889">
            <v>204886570</v>
          </cell>
          <cell r="D889" t="str">
            <v>mustissi</v>
          </cell>
        </row>
        <row r="890">
          <cell r="C890">
            <v>204060922</v>
          </cell>
          <cell r="D890" t="str">
            <v>ivankatl</v>
          </cell>
        </row>
        <row r="891">
          <cell r="C891">
            <v>206846309</v>
          </cell>
          <cell r="D891" t="str">
            <v>muliivan</v>
          </cell>
        </row>
        <row r="892">
          <cell r="C892">
            <v>203993118</v>
          </cell>
          <cell r="D892" t="str">
            <v>nkamivan</v>
          </cell>
        </row>
        <row r="893">
          <cell r="C893">
            <v>205127500</v>
          </cell>
          <cell r="D893" t="str">
            <v>ntwaivan</v>
          </cell>
        </row>
        <row r="894">
          <cell r="C894">
            <v>205199352</v>
          </cell>
          <cell r="D894" t="str">
            <v>jacobkip</v>
          </cell>
        </row>
        <row r="895">
          <cell r="C895">
            <v>204010090</v>
          </cell>
          <cell r="D895" t="str">
            <v>qmukalaz</v>
          </cell>
        </row>
        <row r="896">
          <cell r="C896">
            <v>206850966</v>
          </cell>
          <cell r="D896" t="str">
            <v>niwjames</v>
          </cell>
        </row>
        <row r="897">
          <cell r="C897">
            <v>203850808</v>
          </cell>
          <cell r="D897" t="str">
            <v>yijamer</v>
          </cell>
        </row>
        <row r="898">
          <cell r="C898">
            <v>206890217</v>
          </cell>
          <cell r="D898" t="str">
            <v>jepkirja</v>
          </cell>
        </row>
        <row r="899">
          <cell r="C899">
            <v>206128850</v>
          </cell>
          <cell r="D899" t="str">
            <v>janengit</v>
          </cell>
        </row>
        <row r="900">
          <cell r="C900">
            <v>203355686</v>
          </cell>
          <cell r="D900" t="str">
            <v>jeawcruz</v>
          </cell>
        </row>
        <row r="901">
          <cell r="C901">
            <v>203911255</v>
          </cell>
          <cell r="D901" t="str">
            <v>okumarje</v>
          </cell>
        </row>
        <row r="902">
          <cell r="C902">
            <v>206136731</v>
          </cell>
          <cell r="D902" t="str">
            <v>wlajeffr</v>
          </cell>
        </row>
        <row r="903">
          <cell r="C903">
            <v>203521137</v>
          </cell>
          <cell r="D903" t="str">
            <v>earbajen</v>
          </cell>
        </row>
        <row r="904">
          <cell r="C904">
            <v>104277448</v>
          </cell>
          <cell r="D904" t="str">
            <v>ABERIAJ</v>
          </cell>
        </row>
        <row r="905">
          <cell r="C905">
            <v>206886730</v>
          </cell>
          <cell r="D905" t="str">
            <v>jepchval</v>
          </cell>
        </row>
        <row r="906">
          <cell r="C906">
            <v>203965183</v>
          </cell>
          <cell r="D906" t="str">
            <v>jephttwe</v>
          </cell>
        </row>
        <row r="907">
          <cell r="C907">
            <v>206138682</v>
          </cell>
          <cell r="D907" t="str">
            <v>jedaisyt</v>
          </cell>
        </row>
        <row r="908">
          <cell r="C908">
            <v>206930336</v>
          </cell>
          <cell r="D908" t="str">
            <v>jeropfar</v>
          </cell>
        </row>
        <row r="909">
          <cell r="C909">
            <v>206517353</v>
          </cell>
          <cell r="D909" t="str">
            <v>jingekwa</v>
          </cell>
        </row>
        <row r="910">
          <cell r="C910">
            <v>204009951</v>
          </cell>
          <cell r="D910" t="str">
            <v>jqkumars</v>
          </cell>
        </row>
        <row r="911">
          <cell r="C911">
            <v>203850806</v>
          </cell>
          <cell r="D911" t="str">
            <v>amanyjog</v>
          </cell>
        </row>
        <row r="912">
          <cell r="C912">
            <v>203908885</v>
          </cell>
          <cell r="D912" t="str">
            <v>tsindijo</v>
          </cell>
        </row>
        <row r="913">
          <cell r="C913">
            <v>203965411</v>
          </cell>
          <cell r="D913" t="str">
            <v>joboateq</v>
          </cell>
        </row>
        <row r="914">
          <cell r="C914">
            <v>205923172</v>
          </cell>
          <cell r="D914" t="str">
            <v>ukargjoh</v>
          </cell>
        </row>
        <row r="915">
          <cell r="C915">
            <v>203850804</v>
          </cell>
          <cell r="D915" t="str">
            <v>katamgjo</v>
          </cell>
        </row>
        <row r="916">
          <cell r="C916">
            <v>204072306</v>
          </cell>
          <cell r="D916" t="str">
            <v>nasasjoh</v>
          </cell>
        </row>
        <row r="917">
          <cell r="C917">
            <v>203850884</v>
          </cell>
          <cell r="D917" t="str">
            <v>jothembo</v>
          </cell>
        </row>
        <row r="918">
          <cell r="C918">
            <v>203813081</v>
          </cell>
          <cell r="D918" t="str">
            <v>njomajoh</v>
          </cell>
        </row>
        <row r="919">
          <cell r="C919">
            <v>206015628</v>
          </cell>
          <cell r="D919" t="str">
            <v>ssjonatm</v>
          </cell>
        </row>
        <row r="920">
          <cell r="C920">
            <v>206491340</v>
          </cell>
          <cell r="D920" t="str">
            <v>jopkolin</v>
          </cell>
        </row>
        <row r="921">
          <cell r="C921">
            <v>204011579</v>
          </cell>
          <cell r="D921" t="str">
            <v>henrjora</v>
          </cell>
        </row>
        <row r="922">
          <cell r="C922">
            <v>206607036</v>
          </cell>
          <cell r="D922" t="str">
            <v>ukipetej</v>
          </cell>
        </row>
        <row r="923">
          <cell r="C923">
            <v>205853575</v>
          </cell>
          <cell r="D923" t="str">
            <v>mjosepad</v>
          </cell>
        </row>
        <row r="924">
          <cell r="C924">
            <v>203285820</v>
          </cell>
          <cell r="D924" t="str">
            <v>atuajose</v>
          </cell>
        </row>
        <row r="925">
          <cell r="C925">
            <v>205853580</v>
          </cell>
          <cell r="D925" t="str">
            <v>boamejos</v>
          </cell>
        </row>
        <row r="926">
          <cell r="C926">
            <v>206902845</v>
          </cell>
          <cell r="D926" t="str">
            <v>tchilemb</v>
          </cell>
        </row>
        <row r="927">
          <cell r="C927">
            <v>204967041</v>
          </cell>
          <cell r="D927" t="str">
            <v>jodansoe</v>
          </cell>
        </row>
        <row r="928">
          <cell r="C928">
            <v>206607035</v>
          </cell>
          <cell r="D928" t="str">
            <v>rjwanjir</v>
          </cell>
        </row>
        <row r="929">
          <cell r="C929">
            <v>203512666</v>
          </cell>
          <cell r="D929" t="str">
            <v>ykwadwoj</v>
          </cell>
        </row>
        <row r="930">
          <cell r="C930">
            <v>206868006</v>
          </cell>
          <cell r="D930" t="str">
            <v>knkumbuj</v>
          </cell>
        </row>
        <row r="931">
          <cell r="C931">
            <v>204009978</v>
          </cell>
          <cell r="D931" t="str">
            <v>joshirum</v>
          </cell>
        </row>
        <row r="932">
          <cell r="C932">
            <v>203850879</v>
          </cell>
          <cell r="D932" t="str">
            <v>josompau</v>
          </cell>
        </row>
        <row r="933">
          <cell r="C933">
            <v>203993431</v>
          </cell>
          <cell r="D933" t="str">
            <v>okulyjos</v>
          </cell>
        </row>
        <row r="934">
          <cell r="C934">
            <v>205854083</v>
          </cell>
          <cell r="D934" t="str">
            <v>jwanjird</v>
          </cell>
        </row>
        <row r="935">
          <cell r="C935">
            <v>206250876</v>
          </cell>
          <cell r="D935" t="str">
            <v>joycamaa</v>
          </cell>
        </row>
        <row r="936">
          <cell r="C936">
            <v>206886731</v>
          </cell>
          <cell r="D936" t="str">
            <v>chjoycec</v>
          </cell>
        </row>
        <row r="937">
          <cell r="C937">
            <v>202198840</v>
          </cell>
          <cell r="D937" t="str">
            <v>judibaba</v>
          </cell>
        </row>
        <row r="938">
          <cell r="C938">
            <v>206850963</v>
          </cell>
          <cell r="D938" t="str">
            <v>mssemjul</v>
          </cell>
        </row>
        <row r="939">
          <cell r="C939">
            <v>203512669</v>
          </cell>
          <cell r="D939" t="str">
            <v>justicyi</v>
          </cell>
        </row>
        <row r="940">
          <cell r="C940">
            <v>204319796</v>
          </cell>
          <cell r="D940" t="str">
            <v>sesakadi</v>
          </cell>
        </row>
        <row r="941">
          <cell r="C941">
            <v>204011576</v>
          </cell>
          <cell r="D941" t="str">
            <v>tkalfran</v>
          </cell>
        </row>
        <row r="942">
          <cell r="C942">
            <v>204882473</v>
          </cell>
          <cell r="D942" t="str">
            <v>auguskam</v>
          </cell>
        </row>
        <row r="943">
          <cell r="C943">
            <v>106268190</v>
          </cell>
          <cell r="D943" t="str">
            <v>masifkas</v>
          </cell>
        </row>
        <row r="944">
          <cell r="C944">
            <v>203908351</v>
          </cell>
          <cell r="D944" t="str">
            <v>nmpakkas</v>
          </cell>
        </row>
        <row r="945">
          <cell r="C945">
            <v>205236898</v>
          </cell>
          <cell r="D945" t="str">
            <v>mukailka</v>
          </cell>
        </row>
        <row r="946">
          <cell r="C946">
            <v>203850878</v>
          </cell>
          <cell r="D946" t="str">
            <v>kakimera</v>
          </cell>
        </row>
        <row r="947">
          <cell r="C947">
            <v>203850881</v>
          </cell>
          <cell r="D947" t="str">
            <v>kawenahm</v>
          </cell>
        </row>
        <row r="948">
          <cell r="C948">
            <v>206128869</v>
          </cell>
          <cell r="D948" t="str">
            <v>kevirgin</v>
          </cell>
        </row>
        <row r="949">
          <cell r="C949">
            <v>203331877</v>
          </cell>
          <cell r="D949" t="str">
            <v>marahkel</v>
          </cell>
        </row>
        <row r="950">
          <cell r="C950">
            <v>206607038</v>
          </cell>
          <cell r="D950" t="str">
            <v>boickelv</v>
          </cell>
        </row>
        <row r="951">
          <cell r="C951">
            <v>205257125</v>
          </cell>
          <cell r="D951" t="str">
            <v>kiremkel</v>
          </cell>
        </row>
        <row r="952">
          <cell r="C952">
            <v>204228019</v>
          </cell>
          <cell r="D952" t="str">
            <v>kibkenet</v>
          </cell>
        </row>
        <row r="953">
          <cell r="C953">
            <v>204117681</v>
          </cell>
          <cell r="D953" t="str">
            <v>dumsekeh</v>
          </cell>
        </row>
        <row r="954">
          <cell r="C954">
            <v>205257122</v>
          </cell>
          <cell r="D954" t="str">
            <v>kengachu</v>
          </cell>
        </row>
        <row r="955">
          <cell r="C955">
            <v>203850880</v>
          </cell>
          <cell r="D955" t="str">
            <v>kennenav</v>
          </cell>
        </row>
        <row r="956">
          <cell r="C956">
            <v>204072308</v>
          </cell>
          <cell r="D956" t="str">
            <v>turykenn</v>
          </cell>
        </row>
        <row r="957">
          <cell r="C957">
            <v>204095806</v>
          </cell>
          <cell r="D957" t="str">
            <v>nsamkeri</v>
          </cell>
        </row>
        <row r="958">
          <cell r="C958">
            <v>206137340</v>
          </cell>
          <cell r="D958" t="str">
            <v>kevndung</v>
          </cell>
        </row>
        <row r="959">
          <cell r="C959">
            <v>204010440</v>
          </cell>
          <cell r="D959" t="str">
            <v>kssekale</v>
          </cell>
        </row>
        <row r="960">
          <cell r="C960">
            <v>206846698</v>
          </cell>
          <cell r="D960" t="str">
            <v>mosekiiz</v>
          </cell>
        </row>
        <row r="961">
          <cell r="C961">
            <v>202436104</v>
          </cell>
          <cell r="D961" t="str">
            <v>kingklik</v>
          </cell>
        </row>
        <row r="962">
          <cell r="C962">
            <v>203965179</v>
          </cell>
          <cell r="D962" t="str">
            <v>kiifiank</v>
          </cell>
        </row>
        <row r="963">
          <cell r="C963">
            <v>206200811</v>
          </cell>
          <cell r="D963" t="str">
            <v>agyeklin</v>
          </cell>
        </row>
        <row r="964">
          <cell r="C964">
            <v>204890369</v>
          </cell>
          <cell r="D964" t="str">
            <v>kojoache</v>
          </cell>
        </row>
        <row r="965">
          <cell r="C965">
            <v>203522217</v>
          </cell>
          <cell r="D965" t="str">
            <v>korkwaku</v>
          </cell>
        </row>
        <row r="966">
          <cell r="C966">
            <v>104033275</v>
          </cell>
          <cell r="D966" t="str">
            <v>KRAFANTH</v>
          </cell>
        </row>
        <row r="967">
          <cell r="C967">
            <v>204864410</v>
          </cell>
          <cell r="D967" t="str">
            <v>kubiandr</v>
          </cell>
        </row>
        <row r="968">
          <cell r="C968">
            <v>203908896</v>
          </cell>
          <cell r="D968" t="str">
            <v>kulmika</v>
          </cell>
        </row>
        <row r="969">
          <cell r="C969">
            <v>103900839</v>
          </cell>
          <cell r="D969" t="str">
            <v>gueudjog</v>
          </cell>
        </row>
        <row r="970">
          <cell r="C970">
            <v>204882814</v>
          </cell>
          <cell r="D970" t="str">
            <v>douglakw</v>
          </cell>
        </row>
        <row r="971">
          <cell r="C971">
            <v>203737012</v>
          </cell>
          <cell r="D971" t="str">
            <v>haykweat</v>
          </cell>
        </row>
        <row r="972">
          <cell r="C972">
            <v>106301305</v>
          </cell>
          <cell r="D972" t="str">
            <v>lalaxbab</v>
          </cell>
        </row>
        <row r="973">
          <cell r="C973">
            <v>203993521</v>
          </cell>
          <cell r="D973" t="str">
            <v>nuwallat</v>
          </cell>
        </row>
        <row r="974">
          <cell r="C974">
            <v>206239216</v>
          </cell>
          <cell r="D974" t="str">
            <v>ambirlau</v>
          </cell>
        </row>
        <row r="975">
          <cell r="C975">
            <v>206074988</v>
          </cell>
          <cell r="D975" t="str">
            <v>kodjolaw</v>
          </cell>
        </row>
        <row r="976">
          <cell r="C976">
            <v>205275634</v>
          </cell>
          <cell r="D976" t="str">
            <v>andleemu</v>
          </cell>
        </row>
        <row r="977">
          <cell r="C977">
            <v>203342033</v>
          </cell>
          <cell r="D977" t="str">
            <v>lleonakw</v>
          </cell>
        </row>
        <row r="978">
          <cell r="C978">
            <v>206897646</v>
          </cell>
          <cell r="D978" t="str">
            <v>lngongch</v>
          </cell>
        </row>
        <row r="979">
          <cell r="C979">
            <v>203468750</v>
          </cell>
          <cell r="D979" t="str">
            <v>enleopol</v>
          </cell>
        </row>
        <row r="980">
          <cell r="C980">
            <v>204138118</v>
          </cell>
          <cell r="D980" t="str">
            <v>appialet</v>
          </cell>
        </row>
        <row r="981">
          <cell r="C981">
            <v>205861620</v>
          </cell>
          <cell r="D981" t="str">
            <v>lewmaina</v>
          </cell>
        </row>
        <row r="982">
          <cell r="C982">
            <v>203468753</v>
          </cell>
          <cell r="D982" t="str">
            <v>lintawia</v>
          </cell>
        </row>
        <row r="983">
          <cell r="C983">
            <v>203851105</v>
          </cell>
          <cell r="D983" t="str">
            <v>ndablins</v>
          </cell>
        </row>
        <row r="984">
          <cell r="C984">
            <v>204072311</v>
          </cell>
          <cell r="D984" t="str">
            <v>livinbes</v>
          </cell>
        </row>
        <row r="985">
          <cell r="C985">
            <v>205853578</v>
          </cell>
          <cell r="D985" t="str">
            <v>chepkoil</v>
          </cell>
        </row>
        <row r="986">
          <cell r="C986">
            <v>204117684</v>
          </cell>
          <cell r="D986" t="str">
            <v>matilove</v>
          </cell>
        </row>
        <row r="987">
          <cell r="C987">
            <v>203881696</v>
          </cell>
          <cell r="D987" t="str">
            <v>aoselydi</v>
          </cell>
        </row>
        <row r="988">
          <cell r="C988">
            <v>206200000</v>
          </cell>
          <cell r="D988" t="str">
            <v>tysonasm</v>
          </cell>
        </row>
        <row r="989">
          <cell r="C989">
            <v>204138115</v>
          </cell>
          <cell r="D989" t="str">
            <v>ganymaid</v>
          </cell>
        </row>
        <row r="990">
          <cell r="C990">
            <v>204967052</v>
          </cell>
          <cell r="D990" t="str">
            <v>malkmaha</v>
          </cell>
        </row>
        <row r="991">
          <cell r="C991">
            <v>103020246</v>
          </cell>
          <cell r="D991" t="str">
            <v>CRAYMANA</v>
          </cell>
        </row>
        <row r="992">
          <cell r="C992">
            <v>110492547</v>
          </cell>
          <cell r="D992" t="str">
            <v>mensmarg</v>
          </cell>
        </row>
        <row r="993">
          <cell r="C993">
            <v>203512951</v>
          </cell>
          <cell r="D993" t="str">
            <v>samargrl</v>
          </cell>
        </row>
        <row r="994">
          <cell r="C994">
            <v>113167122</v>
          </cell>
          <cell r="D994" t="str">
            <v>marietch</v>
          </cell>
        </row>
        <row r="995">
          <cell r="C995">
            <v>203908895</v>
          </cell>
          <cell r="D995" t="str">
            <v>rkatumma</v>
          </cell>
        </row>
        <row r="996">
          <cell r="C996">
            <v>206250609</v>
          </cell>
          <cell r="D996" t="str">
            <v>maapolot</v>
          </cell>
        </row>
        <row r="997">
          <cell r="C997">
            <v>203851001</v>
          </cell>
          <cell r="D997" t="str">
            <v>maragbev</v>
          </cell>
        </row>
        <row r="998">
          <cell r="C998">
            <v>206136719</v>
          </cell>
          <cell r="D998" t="str">
            <v>ngumaryw</v>
          </cell>
        </row>
        <row r="999">
          <cell r="C999">
            <v>206604501</v>
          </cell>
          <cell r="D999" t="str">
            <v>kipkosgj</v>
          </cell>
        </row>
        <row r="1000">
          <cell r="C1000">
            <v>205853581</v>
          </cell>
          <cell r="D1000" t="str">
            <v>rumauree</v>
          </cell>
        </row>
        <row r="1001">
          <cell r="C1001">
            <v>206889907</v>
          </cell>
          <cell r="D1001" t="str">
            <v>bmaximki</v>
          </cell>
        </row>
        <row r="1002">
          <cell r="C1002">
            <v>204138496</v>
          </cell>
          <cell r="D1002" t="str">
            <v>sumahmba</v>
          </cell>
        </row>
        <row r="1003">
          <cell r="C1003">
            <v>205133783</v>
          </cell>
          <cell r="D1003" t="str">
            <v>hossamdj</v>
          </cell>
        </row>
        <row r="1004">
          <cell r="C1004">
            <v>203879776</v>
          </cell>
          <cell r="D1004" t="str">
            <v>avmdshah</v>
          </cell>
        </row>
        <row r="1005">
          <cell r="C1005">
            <v>204975662</v>
          </cell>
          <cell r="D1005" t="str">
            <v>islmehez</v>
          </cell>
        </row>
        <row r="1006">
          <cell r="C1006">
            <v>206886515</v>
          </cell>
          <cell r="D1006" t="str">
            <v>merabelf</v>
          </cell>
        </row>
        <row r="1007">
          <cell r="C1007">
            <v>206192541</v>
          </cell>
          <cell r="D1007" t="str">
            <v>jemutmer</v>
          </cell>
        </row>
        <row r="1008">
          <cell r="C1008">
            <v>206192271</v>
          </cell>
          <cell r="D1008" t="str">
            <v>jermercy</v>
          </cell>
        </row>
        <row r="1009">
          <cell r="C1009">
            <v>206886636</v>
          </cell>
          <cell r="D1009" t="str">
            <v>memiheso</v>
          </cell>
        </row>
        <row r="1010">
          <cell r="C1010">
            <v>201857481</v>
          </cell>
          <cell r="D1010" t="str">
            <v>memercyo</v>
          </cell>
        </row>
        <row r="1011">
          <cell r="C1011">
            <v>204011575</v>
          </cell>
          <cell r="D1011" t="str">
            <v>kampmesh</v>
          </cell>
        </row>
        <row r="1012">
          <cell r="C1012">
            <v>112851838</v>
          </cell>
          <cell r="D1012" t="str">
            <v>michbawa</v>
          </cell>
        </row>
        <row r="1013">
          <cell r="C1013">
            <v>204116441</v>
          </cell>
          <cell r="D1013" t="str">
            <v>ncubemic</v>
          </cell>
        </row>
        <row r="1014">
          <cell r="C1014">
            <v>206136721</v>
          </cell>
          <cell r="D1014" t="str">
            <v>mitabifo</v>
          </cell>
        </row>
        <row r="1015">
          <cell r="C1015">
            <v>204072300</v>
          </cell>
          <cell r="D1015" t="str">
            <v>weermich</v>
          </cell>
        </row>
        <row r="1016">
          <cell r="C1016">
            <v>206886737</v>
          </cell>
          <cell r="D1016" t="str">
            <v>micmusun</v>
          </cell>
        </row>
        <row r="1017">
          <cell r="C1017">
            <v>203965605</v>
          </cell>
          <cell r="D1017" t="str">
            <v>mohkfaro</v>
          </cell>
        </row>
        <row r="1018">
          <cell r="C1018">
            <v>203965410</v>
          </cell>
          <cell r="D1018" t="str">
            <v>kingwaym</v>
          </cell>
        </row>
        <row r="1019">
          <cell r="C1019">
            <v>202419640</v>
          </cell>
          <cell r="D1019" t="str">
            <v>noamohav</v>
          </cell>
        </row>
        <row r="1020">
          <cell r="C1020">
            <v>204138114</v>
          </cell>
          <cell r="D1020" t="str">
            <v>mohamkav</v>
          </cell>
        </row>
        <row r="1021">
          <cell r="C1021">
            <v>203965009</v>
          </cell>
          <cell r="D1021" t="str">
            <v>wmohshak</v>
          </cell>
        </row>
        <row r="1022">
          <cell r="C1022">
            <v>205280538</v>
          </cell>
          <cell r="D1022" t="str">
            <v>razaxmo</v>
          </cell>
        </row>
        <row r="1023">
          <cell r="C1023">
            <v>204053439</v>
          </cell>
          <cell r="D1023" t="str">
            <v>moabo</v>
          </cell>
        </row>
        <row r="1024">
          <cell r="C1024">
            <v>203800778</v>
          </cell>
          <cell r="D1024" t="str">
            <v>mohanjhp</v>
          </cell>
        </row>
        <row r="1025">
          <cell r="C1025">
            <v>203965008</v>
          </cell>
          <cell r="D1025" t="str">
            <v>muhmohas</v>
          </cell>
        </row>
        <row r="1026">
          <cell r="C1026">
            <v>203880400</v>
          </cell>
          <cell r="D1026" t="str">
            <v>mbockari</v>
          </cell>
        </row>
        <row r="1027">
          <cell r="C1027">
            <v>206886735</v>
          </cell>
          <cell r="D1027" t="str">
            <v>mokkwedh</v>
          </cell>
        </row>
        <row r="1028">
          <cell r="C1028">
            <v>205997633</v>
          </cell>
          <cell r="D1028" t="str">
            <v>rokrumon</v>
          </cell>
        </row>
        <row r="1029">
          <cell r="C1029">
            <v>113433097</v>
          </cell>
          <cell r="D1029" t="str">
            <v>kamorash</v>
          </cell>
        </row>
        <row r="1030">
          <cell r="C1030">
            <v>205845295</v>
          </cell>
          <cell r="D1030" t="str">
            <v>immasere</v>
          </cell>
        </row>
        <row r="1031">
          <cell r="C1031">
            <v>203850876</v>
          </cell>
          <cell r="D1031" t="str">
            <v>momukisa</v>
          </cell>
        </row>
        <row r="1032">
          <cell r="C1032">
            <v>206851159</v>
          </cell>
          <cell r="D1032" t="str">
            <v>mubirura</v>
          </cell>
        </row>
        <row r="1033">
          <cell r="C1033">
            <v>204013683</v>
          </cell>
          <cell r="D1033" t="str">
            <v>muckorom</v>
          </cell>
        </row>
        <row r="1034">
          <cell r="C1034">
            <v>205872523</v>
          </cell>
          <cell r="D1034" t="str">
            <v>mugisric</v>
          </cell>
        </row>
        <row r="1035">
          <cell r="C1035">
            <v>113090848</v>
          </cell>
          <cell r="D1035" t="str">
            <v>arsmuhar</v>
          </cell>
        </row>
        <row r="1036">
          <cell r="C1036">
            <v>109808062</v>
          </cell>
          <cell r="D1036" t="str">
            <v>muhwasej</v>
          </cell>
        </row>
        <row r="1037">
          <cell r="C1037">
            <v>206850965</v>
          </cell>
          <cell r="D1037" t="str">
            <v>imkinobe</v>
          </cell>
        </row>
        <row r="1038">
          <cell r="C1038">
            <v>113090891</v>
          </cell>
          <cell r="D1038" t="str">
            <v>mulatifx</v>
          </cell>
        </row>
        <row r="1039">
          <cell r="C1039">
            <v>103909188</v>
          </cell>
          <cell r="D1039" t="str">
            <v>jumail</v>
          </cell>
        </row>
        <row r="1040">
          <cell r="C1040">
            <v>203736256</v>
          </cell>
          <cell r="D1040" t="str">
            <v>mukalash</v>
          </cell>
        </row>
        <row r="1041">
          <cell r="C1041">
            <v>107117479</v>
          </cell>
          <cell r="D1041" t="str">
            <v>mukrisho</v>
          </cell>
        </row>
        <row r="1042">
          <cell r="C1042">
            <v>203908331</v>
          </cell>
          <cell r="D1042" t="str">
            <v>muniiive</v>
          </cell>
        </row>
        <row r="1043">
          <cell r="C1043">
            <v>204094492</v>
          </cell>
          <cell r="D1043" t="str">
            <v>muramuny</v>
          </cell>
        </row>
        <row r="1044">
          <cell r="C1044">
            <v>203850900</v>
          </cell>
          <cell r="D1044" t="str">
            <v>mukakooz</v>
          </cell>
        </row>
        <row r="1045">
          <cell r="C1045">
            <v>206926476</v>
          </cell>
          <cell r="D1045" t="str">
            <v>musittez</v>
          </cell>
        </row>
        <row r="1046">
          <cell r="C1046">
            <v>206853791</v>
          </cell>
          <cell r="D1046" t="str">
            <v>muzamirm</v>
          </cell>
        </row>
        <row r="1047">
          <cell r="C1047">
            <v>203736773</v>
          </cell>
          <cell r="D1047" t="str">
            <v>painmyat</v>
          </cell>
        </row>
        <row r="1048">
          <cell r="C1048">
            <v>204013730</v>
          </cell>
          <cell r="D1048" t="str">
            <v>mkamarau</v>
          </cell>
        </row>
        <row r="1049">
          <cell r="C1049">
            <v>106268183</v>
          </cell>
          <cell r="D1049" t="str">
            <v>valapnab</v>
          </cell>
        </row>
        <row r="1050">
          <cell r="C1050">
            <v>203965449</v>
          </cell>
          <cell r="D1050" t="str">
            <v>wasnades</v>
          </cell>
        </row>
        <row r="1051">
          <cell r="C1051">
            <v>205938163</v>
          </cell>
          <cell r="D1051" t="str">
            <v>ibrnafig</v>
          </cell>
        </row>
        <row r="1052">
          <cell r="C1052">
            <v>205279080</v>
          </cell>
          <cell r="D1052" t="str">
            <v>namasara</v>
          </cell>
        </row>
        <row r="1053">
          <cell r="C1053">
            <v>205853572</v>
          </cell>
          <cell r="D1053" t="str">
            <v>kibenanc</v>
          </cell>
        </row>
        <row r="1054">
          <cell r="C1054">
            <v>206004601</v>
          </cell>
          <cell r="D1054" t="str">
            <v>owunanie</v>
          </cell>
        </row>
        <row r="1055">
          <cell r="C1055">
            <v>205853892</v>
          </cell>
          <cell r="D1055" t="str">
            <v>kwartnao</v>
          </cell>
        </row>
        <row r="1056">
          <cell r="C1056">
            <v>205997632</v>
          </cell>
          <cell r="D1056" t="str">
            <v>naoyuohg</v>
          </cell>
        </row>
        <row r="1057">
          <cell r="C1057">
            <v>203965010</v>
          </cell>
          <cell r="D1057" t="str">
            <v>pallikna</v>
          </cell>
        </row>
        <row r="1058">
          <cell r="C1058">
            <v>203908908</v>
          </cell>
          <cell r="D1058" t="str">
            <v>katumbnb</v>
          </cell>
        </row>
        <row r="1059">
          <cell r="C1059">
            <v>206191926</v>
          </cell>
          <cell r="D1059" t="str">
            <v>bushirna</v>
          </cell>
        </row>
        <row r="1060">
          <cell r="C1060">
            <v>204095809</v>
          </cell>
          <cell r="D1060" t="str">
            <v>nawahbes</v>
          </cell>
        </row>
        <row r="1061">
          <cell r="C1061">
            <v>204116442</v>
          </cell>
          <cell r="D1061" t="str">
            <v>ekndapem</v>
          </cell>
        </row>
        <row r="1062">
          <cell r="C1062">
            <v>203965178</v>
          </cell>
          <cell r="D1062" t="str">
            <v>nejaryee</v>
          </cell>
        </row>
        <row r="1063">
          <cell r="C1063">
            <v>203993303</v>
          </cell>
          <cell r="D1063" t="str">
            <v>aetelahf</v>
          </cell>
        </row>
        <row r="1064">
          <cell r="C1064">
            <v>204053437</v>
          </cell>
          <cell r="D1064" t="str">
            <v>kallbnik</v>
          </cell>
        </row>
        <row r="1065">
          <cell r="C1065">
            <v>203965022</v>
          </cell>
          <cell r="D1065" t="str">
            <v>nedathoo</v>
          </cell>
        </row>
        <row r="1066">
          <cell r="C1066">
            <v>206137333</v>
          </cell>
          <cell r="D1066" t="str">
            <v>waltunoa</v>
          </cell>
        </row>
        <row r="1067">
          <cell r="C1067">
            <v>205996135</v>
          </cell>
          <cell r="D1067" t="str">
            <v>nsosteph</v>
          </cell>
        </row>
        <row r="1068">
          <cell r="C1068">
            <v>204890370</v>
          </cell>
          <cell r="D1068" t="str">
            <v>kntalekr</v>
          </cell>
        </row>
        <row r="1069">
          <cell r="C1069">
            <v>203851108</v>
          </cell>
          <cell r="D1069" t="str">
            <v>nurudalh</v>
          </cell>
        </row>
        <row r="1070">
          <cell r="C1070">
            <v>206129262</v>
          </cell>
          <cell r="D1070" t="str">
            <v>ibranuru</v>
          </cell>
        </row>
        <row r="1071">
          <cell r="C1071">
            <v>206137338</v>
          </cell>
          <cell r="D1071" t="str">
            <v>nyasuflo</v>
          </cell>
        </row>
        <row r="1072">
          <cell r="C1072">
            <v>206129614</v>
          </cell>
          <cell r="D1072" t="str">
            <v>reginodj</v>
          </cell>
        </row>
        <row r="1073">
          <cell r="C1073">
            <v>204890373</v>
          </cell>
          <cell r="D1073" t="str">
            <v>oemaxwel</v>
          </cell>
        </row>
        <row r="1074">
          <cell r="C1074">
            <v>205845553</v>
          </cell>
          <cell r="D1074" t="str">
            <v>abigaboi</v>
          </cell>
        </row>
        <row r="1075">
          <cell r="C1075">
            <v>206239769</v>
          </cell>
          <cell r="D1075" t="str">
            <v>kerneose</v>
          </cell>
        </row>
        <row r="1076">
          <cell r="C1076">
            <v>203850899</v>
          </cell>
          <cell r="D1076" t="str">
            <v>owebabig</v>
          </cell>
        </row>
        <row r="1077">
          <cell r="C1077">
            <v>206250638</v>
          </cell>
          <cell r="D1077" t="str">
            <v>gakyeaop</v>
          </cell>
        </row>
        <row r="1078">
          <cell r="C1078">
            <v>206239755</v>
          </cell>
          <cell r="D1078" t="str">
            <v>ansahpro</v>
          </cell>
        </row>
        <row r="1079">
          <cell r="C1079">
            <v>206890219</v>
          </cell>
          <cell r="D1079" t="str">
            <v>asarpate</v>
          </cell>
        </row>
        <row r="1080">
          <cell r="C1080">
            <v>204117683</v>
          </cell>
          <cell r="D1080" t="str">
            <v>kunopatr</v>
          </cell>
        </row>
        <row r="1081">
          <cell r="C1081">
            <v>203341966</v>
          </cell>
          <cell r="D1081" t="str">
            <v>lanshapa</v>
          </cell>
        </row>
        <row r="1082">
          <cell r="C1082">
            <v>206004602</v>
          </cell>
          <cell r="D1082" t="str">
            <v>pauwkona</v>
          </cell>
        </row>
        <row r="1083">
          <cell r="C1083">
            <v>203965406</v>
          </cell>
          <cell r="D1083" t="str">
            <v>kwaasipe</v>
          </cell>
        </row>
        <row r="1084">
          <cell r="C1084">
            <v>205271087</v>
          </cell>
          <cell r="D1084" t="str">
            <v>chucopet</v>
          </cell>
        </row>
        <row r="1085">
          <cell r="C1085">
            <v>203850901</v>
          </cell>
          <cell r="D1085" t="str">
            <v>pemagezi</v>
          </cell>
        </row>
        <row r="1086">
          <cell r="C1086">
            <v>203851104</v>
          </cell>
          <cell r="D1086" t="str">
            <v>elliepet</v>
          </cell>
        </row>
        <row r="1087">
          <cell r="C1087">
            <v>206129267</v>
          </cell>
          <cell r="D1087" t="str">
            <v>tarkopet</v>
          </cell>
        </row>
        <row r="1088">
          <cell r="C1088">
            <v>205845556</v>
          </cell>
          <cell r="D1088" t="str">
            <v>gyamfinp</v>
          </cell>
        </row>
        <row r="1089">
          <cell r="C1089">
            <v>205853893</v>
          </cell>
          <cell r="D1089" t="str">
            <v>phoeboli</v>
          </cell>
        </row>
        <row r="1090">
          <cell r="C1090">
            <v>206200807</v>
          </cell>
          <cell r="D1090" t="str">
            <v>pyisikib</v>
          </cell>
        </row>
        <row r="1091">
          <cell r="C1091">
            <v>203635494</v>
          </cell>
          <cell r="D1091" t="str">
            <v>kudapinj</v>
          </cell>
        </row>
        <row r="1092">
          <cell r="C1092">
            <v>203881694</v>
          </cell>
          <cell r="D1092" t="str">
            <v>poifrimp</v>
          </cell>
        </row>
        <row r="1093">
          <cell r="C1093">
            <v>205856635</v>
          </cell>
          <cell r="D1093" t="str">
            <v>ekyeipor</v>
          </cell>
        </row>
        <row r="1094">
          <cell r="C1094">
            <v>203800780</v>
          </cell>
          <cell r="D1094" t="str">
            <v>pradegug</v>
          </cell>
        </row>
        <row r="1095">
          <cell r="C1095">
            <v>204072305</v>
          </cell>
          <cell r="D1095" t="str">
            <v>shrehpra</v>
          </cell>
        </row>
        <row r="1096">
          <cell r="C1096">
            <v>204137711</v>
          </cell>
          <cell r="D1096" t="str">
            <v>adjahpri</v>
          </cell>
        </row>
        <row r="1097">
          <cell r="C1097">
            <v>204013686</v>
          </cell>
          <cell r="D1097" t="str">
            <v>pagyeiok</v>
          </cell>
        </row>
        <row r="1098">
          <cell r="C1098">
            <v>204868502</v>
          </cell>
          <cell r="D1098" t="str">
            <v>pamoesse</v>
          </cell>
        </row>
        <row r="1099">
          <cell r="C1099">
            <v>203881662</v>
          </cell>
          <cell r="D1099" t="str">
            <v>lprinced</v>
          </cell>
        </row>
        <row r="1100">
          <cell r="C1100">
            <v>203851101</v>
          </cell>
          <cell r="D1100" t="str">
            <v>adusahpr</v>
          </cell>
        </row>
        <row r="1101">
          <cell r="C1101">
            <v>205997634</v>
          </cell>
          <cell r="D1101" t="str">
            <v>oforbpri</v>
          </cell>
        </row>
        <row r="1102">
          <cell r="C1102">
            <v>204967557</v>
          </cell>
          <cell r="D1102" t="str">
            <v>fprinceo</v>
          </cell>
        </row>
        <row r="1103">
          <cell r="C1103">
            <v>204967039</v>
          </cell>
          <cell r="D1103" t="str">
            <v>aprinceo</v>
          </cell>
        </row>
        <row r="1104">
          <cell r="C1104">
            <v>204967145</v>
          </cell>
          <cell r="D1104" t="str">
            <v>prisarpo</v>
          </cell>
        </row>
        <row r="1105">
          <cell r="C1105">
            <v>203512946</v>
          </cell>
          <cell r="D1105" t="str">
            <v>priszmaw</v>
          </cell>
        </row>
        <row r="1106">
          <cell r="C1106">
            <v>202189563</v>
          </cell>
          <cell r="D1106" t="str">
            <v>prosarth</v>
          </cell>
        </row>
        <row r="1107">
          <cell r="C1107">
            <v>203851102</v>
          </cell>
          <cell r="D1107" t="str">
            <v>osanpros</v>
          </cell>
        </row>
        <row r="1108">
          <cell r="C1108">
            <v>205854084</v>
          </cell>
          <cell r="D1108" t="str">
            <v>puchebiw</v>
          </cell>
        </row>
        <row r="1109">
          <cell r="C1109">
            <v>106268302</v>
          </cell>
          <cell r="D1109" t="str">
            <v>qamzamur</v>
          </cell>
        </row>
        <row r="1110">
          <cell r="C1110">
            <v>206915472</v>
          </cell>
          <cell r="D1110" t="str">
            <v>ssqurais</v>
          </cell>
        </row>
        <row r="1111">
          <cell r="C1111">
            <v>206129616</v>
          </cell>
          <cell r="D1111" t="str">
            <v>adorrabq</v>
          </cell>
        </row>
        <row r="1112">
          <cell r="C1112">
            <v>204951315</v>
          </cell>
          <cell r="D1112" t="str">
            <v>bowusura</v>
          </cell>
        </row>
        <row r="1113">
          <cell r="C1113">
            <v>204009351</v>
          </cell>
          <cell r="D1113" t="str">
            <v>drabimah</v>
          </cell>
        </row>
        <row r="1114">
          <cell r="C1114">
            <v>203512947</v>
          </cell>
          <cell r="D1114" t="str">
            <v>etamarac</v>
          </cell>
        </row>
        <row r="1115">
          <cell r="C1115">
            <v>206006426</v>
          </cell>
          <cell r="D1115" t="str">
            <v>rachmoya</v>
          </cell>
        </row>
        <row r="1116">
          <cell r="C1116">
            <v>206129597</v>
          </cell>
          <cell r="D1116" t="str">
            <v>rtinoten</v>
          </cell>
        </row>
        <row r="1117">
          <cell r="C1117">
            <v>203522194</v>
          </cell>
          <cell r="D1117" t="str">
            <v>ramjbang</v>
          </cell>
        </row>
        <row r="1118">
          <cell r="C1118">
            <v>204138127</v>
          </cell>
          <cell r="D1118" t="str">
            <v>osumrama</v>
          </cell>
        </row>
        <row r="1119">
          <cell r="C1119">
            <v>205996131</v>
          </cell>
          <cell r="D1119" t="str">
            <v>randniia</v>
          </cell>
        </row>
        <row r="1120">
          <cell r="C1120">
            <v>206072874</v>
          </cell>
          <cell r="D1120" t="str">
            <v>kakramen</v>
          </cell>
        </row>
        <row r="1121">
          <cell r="C1121">
            <v>203964991</v>
          </cell>
          <cell r="D1121" t="str">
            <v>piraviki</v>
          </cell>
        </row>
        <row r="1122">
          <cell r="C1122">
            <v>203468747</v>
          </cell>
          <cell r="D1122" t="str">
            <v>reginkum</v>
          </cell>
        </row>
        <row r="1123">
          <cell r="C1123">
            <v>203908339</v>
          </cell>
          <cell r="D1123" t="str">
            <v>hrenneaa</v>
          </cell>
        </row>
        <row r="1124">
          <cell r="C1124">
            <v>203850898</v>
          </cell>
          <cell r="D1124" t="str">
            <v>rictorac</v>
          </cell>
        </row>
        <row r="1125">
          <cell r="C1125">
            <v>204138128</v>
          </cell>
          <cell r="D1125" t="str">
            <v>mbatchar</v>
          </cell>
        </row>
        <row r="1126">
          <cell r="C1126">
            <v>204094494</v>
          </cell>
          <cell r="D1126" t="str">
            <v>dabarich</v>
          </cell>
        </row>
        <row r="1127">
          <cell r="C1127">
            <v>203850925</v>
          </cell>
          <cell r="D1127" t="str">
            <v>mugirich</v>
          </cell>
        </row>
        <row r="1128">
          <cell r="C1128">
            <v>203965457</v>
          </cell>
          <cell r="D1128" t="str">
            <v>ricowusp</v>
          </cell>
        </row>
        <row r="1129">
          <cell r="C1129">
            <v>204467948</v>
          </cell>
          <cell r="D1129" t="str">
            <v>risahrmb</v>
          </cell>
        </row>
        <row r="1130">
          <cell r="C1130">
            <v>201487409</v>
          </cell>
          <cell r="D1130" t="str">
            <v>sakycric</v>
          </cell>
        </row>
        <row r="1131">
          <cell r="C1131">
            <v>204331928</v>
          </cell>
          <cell r="D1131" t="str">
            <v>rkyeboah</v>
          </cell>
        </row>
        <row r="1132">
          <cell r="C1132">
            <v>203341964</v>
          </cell>
          <cell r="D1132" t="str">
            <v>ampritac</v>
          </cell>
        </row>
        <row r="1133">
          <cell r="C1133">
            <v>206926976</v>
          </cell>
          <cell r="D1133" t="str">
            <v>ritjuoke</v>
          </cell>
        </row>
        <row r="1134">
          <cell r="C1134">
            <v>203011024</v>
          </cell>
          <cell r="D1134" t="str">
            <v>ritakawe</v>
          </cell>
        </row>
        <row r="1135">
          <cell r="C1135">
            <v>204172230</v>
          </cell>
          <cell r="D1135" t="str">
            <v>musisrop</v>
          </cell>
        </row>
        <row r="1136">
          <cell r="C1136">
            <v>205845560</v>
          </cell>
          <cell r="D1136" t="str">
            <v>xainorog</v>
          </cell>
        </row>
        <row r="1137">
          <cell r="C1137">
            <v>203851002</v>
          </cell>
          <cell r="D1137" t="str">
            <v>rmundakk</v>
          </cell>
        </row>
        <row r="1138">
          <cell r="C1138">
            <v>203850924</v>
          </cell>
          <cell r="D1138" t="str">
            <v>dronkate</v>
          </cell>
        </row>
        <row r="1139">
          <cell r="C1139">
            <v>203850926</v>
          </cell>
          <cell r="D1139" t="str">
            <v>ronalsse</v>
          </cell>
        </row>
        <row r="1140">
          <cell r="C1140">
            <v>203850923</v>
          </cell>
          <cell r="D1140" t="str">
            <v>rssemand</v>
          </cell>
        </row>
        <row r="1141">
          <cell r="C1141">
            <v>206873790</v>
          </cell>
          <cell r="D1141" t="str">
            <v>sserusro</v>
          </cell>
        </row>
        <row r="1142">
          <cell r="C1142">
            <v>206015650</v>
          </cell>
          <cell r="D1142" t="str">
            <v>mwesiron</v>
          </cell>
        </row>
        <row r="1143">
          <cell r="C1143">
            <v>205854085</v>
          </cell>
          <cell r="D1143" t="str">
            <v>jrosenyw</v>
          </cell>
        </row>
        <row r="1144">
          <cell r="C1144">
            <v>205996136</v>
          </cell>
          <cell r="D1144" t="str">
            <v>prerosel</v>
          </cell>
        </row>
        <row r="1145">
          <cell r="C1145">
            <v>206491329</v>
          </cell>
          <cell r="D1145" t="str">
            <v>yrotichc</v>
          </cell>
        </row>
        <row r="1146">
          <cell r="C1146">
            <v>204052506</v>
          </cell>
          <cell r="D1146" t="str">
            <v>rustukhs</v>
          </cell>
        </row>
        <row r="1147">
          <cell r="C1147">
            <v>204094496</v>
          </cell>
          <cell r="D1147" t="str">
            <v>rutenmat</v>
          </cell>
        </row>
        <row r="1148">
          <cell r="C1148">
            <v>205252750</v>
          </cell>
          <cell r="D1148" t="str">
            <v>kipruthc</v>
          </cell>
        </row>
        <row r="1149">
          <cell r="C1149">
            <v>206886635</v>
          </cell>
          <cell r="D1149" t="str">
            <v>bittorut</v>
          </cell>
        </row>
        <row r="1150">
          <cell r="C1150">
            <v>206886512</v>
          </cell>
          <cell r="D1150" t="str">
            <v>rutjepke</v>
          </cell>
        </row>
        <row r="1151">
          <cell r="C1151">
            <v>206889908</v>
          </cell>
          <cell r="D1151" t="str">
            <v>jeplerut</v>
          </cell>
        </row>
        <row r="1152">
          <cell r="C1152">
            <v>206897663</v>
          </cell>
          <cell r="D1152" t="str">
            <v>sselugya</v>
          </cell>
        </row>
        <row r="1153">
          <cell r="C1153">
            <v>204010043</v>
          </cell>
          <cell r="D1153" t="str">
            <v>juesaidi</v>
          </cell>
        </row>
        <row r="1154">
          <cell r="C1154">
            <v>201536170</v>
          </cell>
          <cell r="D1154" t="str">
            <v>thusaidu</v>
          </cell>
        </row>
        <row r="1155">
          <cell r="C1155">
            <v>203342037</v>
          </cell>
          <cell r="D1155" t="str">
            <v>jsalmmoh</v>
          </cell>
        </row>
        <row r="1156">
          <cell r="C1156">
            <v>206139179</v>
          </cell>
          <cell r="D1156" t="str">
            <v>saberhet</v>
          </cell>
        </row>
        <row r="1157">
          <cell r="C1157">
            <v>203881659</v>
          </cell>
          <cell r="D1157" t="str">
            <v>sankosam</v>
          </cell>
        </row>
        <row r="1158">
          <cell r="C1158">
            <v>201204303</v>
          </cell>
          <cell r="D1158" t="str">
            <v>samnuama</v>
          </cell>
        </row>
        <row r="1159">
          <cell r="C1159">
            <v>203800479</v>
          </cell>
          <cell r="D1159" t="str">
            <v>kigsamso</v>
          </cell>
        </row>
        <row r="1160">
          <cell r="C1160">
            <v>204868706</v>
          </cell>
          <cell r="D1160" t="str">
            <v>eamosamu</v>
          </cell>
        </row>
        <row r="1161">
          <cell r="C1161">
            <v>203881695</v>
          </cell>
          <cell r="D1161" t="str">
            <v>samutofo</v>
          </cell>
        </row>
        <row r="1162">
          <cell r="C1162">
            <v>206250613</v>
          </cell>
          <cell r="D1162" t="str">
            <v>samoluwa</v>
          </cell>
        </row>
        <row r="1163">
          <cell r="C1163">
            <v>206926985</v>
          </cell>
          <cell r="D1163" t="str">
            <v>osaeasam</v>
          </cell>
        </row>
        <row r="1164">
          <cell r="C1164">
            <v>206890214</v>
          </cell>
          <cell r="D1164" t="str">
            <v>sandrnam</v>
          </cell>
        </row>
        <row r="1165">
          <cell r="C1165">
            <v>113366831</v>
          </cell>
          <cell r="D1165" t="str">
            <v>osalwant</v>
          </cell>
        </row>
        <row r="1166">
          <cell r="C1166">
            <v>205939862</v>
          </cell>
          <cell r="D1166" t="str">
            <v>sanjajev</v>
          </cell>
        </row>
        <row r="1167">
          <cell r="C1167">
            <v>203736775</v>
          </cell>
          <cell r="D1167" t="str">
            <v>sakuttan</v>
          </cell>
        </row>
        <row r="1168">
          <cell r="C1168">
            <v>112549647</v>
          </cell>
          <cell r="D1168" t="str">
            <v>bashsaql</v>
          </cell>
        </row>
        <row r="1169">
          <cell r="C1169">
            <v>202199036</v>
          </cell>
          <cell r="D1169" t="str">
            <v>sadubeas</v>
          </cell>
        </row>
        <row r="1170">
          <cell r="C1170">
            <v>204373724</v>
          </cell>
          <cell r="D1170" t="str">
            <v>sarshcha</v>
          </cell>
        </row>
        <row r="1171">
          <cell r="C1171">
            <v>203918123</v>
          </cell>
          <cell r="D1171" t="str">
            <v>chashaav</v>
          </cell>
        </row>
        <row r="1172">
          <cell r="C1172">
            <v>205199830</v>
          </cell>
          <cell r="D1172" t="str">
            <v>shadraat</v>
          </cell>
        </row>
        <row r="1173">
          <cell r="C1173">
            <v>201264954</v>
          </cell>
          <cell r="D1173" t="str">
            <v>boashadr</v>
          </cell>
        </row>
        <row r="1174">
          <cell r="C1174">
            <v>203468744</v>
          </cell>
          <cell r="D1174" t="str">
            <v>shadrkwa</v>
          </cell>
        </row>
        <row r="1175">
          <cell r="C1175">
            <v>205127496</v>
          </cell>
          <cell r="D1175" t="str">
            <v>shadraob</v>
          </cell>
        </row>
        <row r="1176">
          <cell r="C1176">
            <v>204009358</v>
          </cell>
          <cell r="D1176" t="str">
            <v>shamumbe</v>
          </cell>
        </row>
        <row r="1177">
          <cell r="C1177">
            <v>205845550</v>
          </cell>
          <cell r="D1177" t="str">
            <v>shaandhk</v>
          </cell>
        </row>
        <row r="1178">
          <cell r="C1178">
            <v>103776227</v>
          </cell>
          <cell r="D1178" t="str">
            <v>javshahi</v>
          </cell>
        </row>
        <row r="1179">
          <cell r="C1179">
            <v>203851100</v>
          </cell>
          <cell r="D1179" t="str">
            <v>shachiho</v>
          </cell>
        </row>
        <row r="1180">
          <cell r="C1180">
            <v>206230580</v>
          </cell>
          <cell r="D1180" t="str">
            <v>ndagirsh</v>
          </cell>
        </row>
        <row r="1181">
          <cell r="C1181">
            <v>205853886</v>
          </cell>
          <cell r="D1181" t="str">
            <v>sharmugw</v>
          </cell>
        </row>
        <row r="1182">
          <cell r="C1182">
            <v>203965456</v>
          </cell>
          <cell r="D1182" t="str">
            <v>habimsha</v>
          </cell>
        </row>
        <row r="1183">
          <cell r="C1183">
            <v>206192238</v>
          </cell>
          <cell r="D1183" t="str">
            <v>chebesha</v>
          </cell>
        </row>
        <row r="1184">
          <cell r="C1184">
            <v>206886513</v>
          </cell>
          <cell r="D1184" t="str">
            <v>schelanw</v>
          </cell>
        </row>
        <row r="1185">
          <cell r="C1185">
            <v>206886644</v>
          </cell>
          <cell r="D1185" t="str">
            <v>jepsharo</v>
          </cell>
        </row>
        <row r="1186">
          <cell r="C1186">
            <v>205845549</v>
          </cell>
          <cell r="D1186" t="str">
            <v>ayshedra</v>
          </cell>
        </row>
        <row r="1187">
          <cell r="C1187">
            <v>206192239</v>
          </cell>
          <cell r="D1187" t="str">
            <v>ysheilaj</v>
          </cell>
        </row>
        <row r="1188">
          <cell r="C1188">
            <v>203512943</v>
          </cell>
          <cell r="D1188" t="str">
            <v>cshingai</v>
          </cell>
        </row>
        <row r="1189">
          <cell r="C1189">
            <v>204009949</v>
          </cell>
          <cell r="D1189" t="str">
            <v>shrrabib</v>
          </cell>
        </row>
        <row r="1190">
          <cell r="C1190">
            <v>203964990</v>
          </cell>
          <cell r="D1190" t="str">
            <v>roycshub</v>
          </cell>
        </row>
        <row r="1191">
          <cell r="C1191">
            <v>204117685</v>
          </cell>
          <cell r="D1191" t="str">
            <v>sonsiamj</v>
          </cell>
        </row>
        <row r="1192">
          <cell r="C1192">
            <v>205845546</v>
          </cell>
          <cell r="D1192" t="str">
            <v>aijsimoj</v>
          </cell>
        </row>
        <row r="1193">
          <cell r="C1193">
            <v>203908332</v>
          </cell>
          <cell r="D1193" t="str">
            <v>siasiimw</v>
          </cell>
        </row>
        <row r="1194">
          <cell r="C1194">
            <v>206604522</v>
          </cell>
          <cell r="D1194" t="str">
            <v>rmuthosi</v>
          </cell>
        </row>
        <row r="1195">
          <cell r="C1195">
            <v>206851164</v>
          </cell>
          <cell r="D1195" t="str">
            <v>mugerwsi</v>
          </cell>
        </row>
        <row r="1196">
          <cell r="C1196">
            <v>203908334</v>
          </cell>
          <cell r="D1196" t="str">
            <v>nagwsimz</v>
          </cell>
        </row>
        <row r="1197">
          <cell r="C1197">
            <v>206129263</v>
          </cell>
          <cell r="D1197" t="str">
            <v>appsolom</v>
          </cell>
        </row>
        <row r="1198">
          <cell r="C1198">
            <v>204013685</v>
          </cell>
          <cell r="D1198" t="str">
            <v>solokorz</v>
          </cell>
        </row>
        <row r="1199">
          <cell r="C1199">
            <v>206200800</v>
          </cell>
          <cell r="D1199" t="str">
            <v>ssebamom</v>
          </cell>
        </row>
        <row r="1200">
          <cell r="C1200">
            <v>206846532</v>
          </cell>
          <cell r="D1200" t="str">
            <v>mikssonk</v>
          </cell>
        </row>
        <row r="1201">
          <cell r="C1201">
            <v>206890218</v>
          </cell>
          <cell r="D1201" t="str">
            <v>jerstelt</v>
          </cell>
        </row>
        <row r="1202">
          <cell r="C1202">
            <v>205845555</v>
          </cell>
          <cell r="D1202" t="str">
            <v>luswatst</v>
          </cell>
        </row>
        <row r="1203">
          <cell r="C1203">
            <v>108019725</v>
          </cell>
          <cell r="D1203" t="str">
            <v>stephsuh</v>
          </cell>
        </row>
        <row r="1204">
          <cell r="C1204">
            <v>203908914</v>
          </cell>
          <cell r="D1204" t="str">
            <v>kanyesst</v>
          </cell>
        </row>
        <row r="1205">
          <cell r="C1205">
            <v>204951311</v>
          </cell>
          <cell r="D1205" t="str">
            <v>sulaamar</v>
          </cell>
        </row>
        <row r="1206">
          <cell r="C1206">
            <v>206137337</v>
          </cell>
          <cell r="D1206" t="str">
            <v>alisalsu</v>
          </cell>
        </row>
        <row r="1207">
          <cell r="C1207">
            <v>203512964</v>
          </cell>
          <cell r="D1207" t="str">
            <v>adjsusan</v>
          </cell>
        </row>
        <row r="1208">
          <cell r="C1208">
            <v>203908343</v>
          </cell>
          <cell r="D1208" t="str">
            <v>kswamadu</v>
          </cell>
        </row>
        <row r="1209">
          <cell r="C1209">
            <v>205853884</v>
          </cell>
          <cell r="D1209" t="str">
            <v>sydoneye</v>
          </cell>
        </row>
        <row r="1210">
          <cell r="C1210">
            <v>206886516</v>
          </cell>
          <cell r="D1210" t="str">
            <v>ikitusyl</v>
          </cell>
        </row>
        <row r="1211">
          <cell r="C1211">
            <v>203512952</v>
          </cell>
          <cell r="D1211" t="str">
            <v>takmorri</v>
          </cell>
        </row>
        <row r="1212">
          <cell r="C1212">
            <v>203881713</v>
          </cell>
          <cell r="D1212" t="str">
            <v>cctakund</v>
          </cell>
        </row>
        <row r="1213">
          <cell r="C1213">
            <v>203341958</v>
          </cell>
          <cell r="D1213" t="str">
            <v>khaztanv</v>
          </cell>
        </row>
        <row r="1214">
          <cell r="C1214">
            <v>203965408</v>
          </cell>
          <cell r="D1214" t="str">
            <v>troychim</v>
          </cell>
        </row>
        <row r="1215">
          <cell r="C1215">
            <v>203993454</v>
          </cell>
          <cell r="D1215" t="str">
            <v>tesadamu</v>
          </cell>
        </row>
        <row r="1216">
          <cell r="C1216">
            <v>203965497</v>
          </cell>
          <cell r="D1216" t="str">
            <v>bundtenl</v>
          </cell>
        </row>
        <row r="1217">
          <cell r="C1217">
            <v>204116445</v>
          </cell>
          <cell r="D1217" t="str">
            <v>folithel</v>
          </cell>
        </row>
        <row r="1218">
          <cell r="C1218">
            <v>204095447</v>
          </cell>
          <cell r="D1218" t="str">
            <v>vaduyebo</v>
          </cell>
        </row>
        <row r="1219">
          <cell r="C1219">
            <v>206137339</v>
          </cell>
          <cell r="D1219" t="str">
            <v>tshomuzh</v>
          </cell>
        </row>
        <row r="1220">
          <cell r="C1220">
            <v>204052514</v>
          </cell>
          <cell r="D1220" t="str">
            <v>thoppasi</v>
          </cell>
        </row>
        <row r="1221">
          <cell r="C1221">
            <v>205236904</v>
          </cell>
          <cell r="D1221" t="str">
            <v>osmanthu</v>
          </cell>
        </row>
        <row r="1222">
          <cell r="C1222">
            <v>205133785</v>
          </cell>
          <cell r="D1222" t="str">
            <v>damatile</v>
          </cell>
        </row>
        <row r="1223">
          <cell r="C1223">
            <v>204072899</v>
          </cell>
          <cell r="D1223" t="str">
            <v>timokino</v>
          </cell>
        </row>
        <row r="1224">
          <cell r="C1224">
            <v>106262687</v>
          </cell>
          <cell r="D1224" t="str">
            <v>scarktin</v>
          </cell>
        </row>
        <row r="1225">
          <cell r="C1225">
            <v>203964997</v>
          </cell>
          <cell r="D1225" t="str">
            <v>lmathewt</v>
          </cell>
        </row>
        <row r="1226">
          <cell r="C1226">
            <v>205845561</v>
          </cell>
          <cell r="D1226" t="str">
            <v>ssewante</v>
          </cell>
        </row>
        <row r="1227">
          <cell r="C1227">
            <v>206073368</v>
          </cell>
          <cell r="D1227" t="str">
            <v>adutwumt</v>
          </cell>
        </row>
        <row r="1228">
          <cell r="C1228">
            <v>206846535</v>
          </cell>
          <cell r="D1228" t="str">
            <v>btugumea</v>
          </cell>
        </row>
        <row r="1229">
          <cell r="C1229">
            <v>206851165</v>
          </cell>
          <cell r="D1229" t="str">
            <v>kavumauu</v>
          </cell>
        </row>
        <row r="1230">
          <cell r="C1230">
            <v>103868662</v>
          </cell>
          <cell r="D1230" t="str">
            <v>wmuhumai</v>
          </cell>
        </row>
        <row r="1231">
          <cell r="C1231">
            <v>106301312</v>
          </cell>
          <cell r="D1231" t="str">
            <v>musmmuha</v>
          </cell>
        </row>
        <row r="1232">
          <cell r="C1232">
            <v>203965011</v>
          </cell>
          <cell r="D1232" t="str">
            <v>puthanvv</v>
          </cell>
        </row>
        <row r="1233">
          <cell r="C1233">
            <v>205845557</v>
          </cell>
          <cell r="D1233" t="str">
            <v>muwvicen</v>
          </cell>
        </row>
        <row r="1234">
          <cell r="C1234">
            <v>206239531</v>
          </cell>
          <cell r="D1234" t="str">
            <v>ellvicen</v>
          </cell>
        </row>
        <row r="1235">
          <cell r="C1235">
            <v>203993451</v>
          </cell>
          <cell r="D1235" t="str">
            <v>victooju</v>
          </cell>
        </row>
        <row r="1236">
          <cell r="C1236">
            <v>205854086</v>
          </cell>
          <cell r="D1236" t="str">
            <v>viappiat</v>
          </cell>
        </row>
        <row r="1237">
          <cell r="C1237">
            <v>206915790</v>
          </cell>
          <cell r="D1237" t="str">
            <v>amativin</v>
          </cell>
        </row>
        <row r="1238">
          <cell r="C1238">
            <v>206915794</v>
          </cell>
          <cell r="D1238" t="str">
            <v>vincphir</v>
          </cell>
        </row>
        <row r="1239">
          <cell r="C1239">
            <v>205280267</v>
          </cell>
          <cell r="D1239" t="str">
            <v>violjepk</v>
          </cell>
        </row>
        <row r="1240">
          <cell r="C1240">
            <v>203555845</v>
          </cell>
          <cell r="D1240" t="str">
            <v>visdasab</v>
          </cell>
        </row>
        <row r="1241">
          <cell r="C1241">
            <v>203964988</v>
          </cell>
          <cell r="D1241" t="str">
            <v>vivekper</v>
          </cell>
        </row>
        <row r="1242">
          <cell r="C1242">
            <v>206192282</v>
          </cell>
          <cell r="D1242" t="str">
            <v>vivianjb</v>
          </cell>
        </row>
        <row r="1243">
          <cell r="C1243">
            <v>204137704</v>
          </cell>
          <cell r="D1243" t="str">
            <v>waltuffo</v>
          </cell>
        </row>
        <row r="1244">
          <cell r="C1244">
            <v>206846538</v>
          </cell>
          <cell r="D1244" t="str">
            <v>hamuzawa</v>
          </cell>
        </row>
        <row r="1245">
          <cell r="C1245">
            <v>206239215</v>
          </cell>
          <cell r="D1245" t="str">
            <v>wendpoku</v>
          </cell>
        </row>
        <row r="1246">
          <cell r="C1246">
            <v>204869099</v>
          </cell>
          <cell r="D1246" t="str">
            <v>Fondwhit</v>
          </cell>
        </row>
        <row r="1247">
          <cell r="C1247">
            <v>206902844</v>
          </cell>
          <cell r="D1247" t="str">
            <v>winthala</v>
          </cell>
        </row>
        <row r="1248">
          <cell r="C1248">
            <v>203911200</v>
          </cell>
          <cell r="D1248" t="str">
            <v>wilesing</v>
          </cell>
        </row>
        <row r="1249">
          <cell r="C1249">
            <v>205845559</v>
          </cell>
          <cell r="D1249" t="str">
            <v>wilmande</v>
          </cell>
        </row>
        <row r="1250">
          <cell r="C1250">
            <v>204009364</v>
          </cell>
          <cell r="D1250" t="str">
            <v>wimumber</v>
          </cell>
        </row>
        <row r="1251">
          <cell r="C1251">
            <v>206192237</v>
          </cell>
          <cell r="D1251" t="str">
            <v>chkwinni</v>
          </cell>
        </row>
        <row r="1252">
          <cell r="C1252">
            <v>203881697</v>
          </cell>
          <cell r="D1252" t="str">
            <v>winashcr</v>
          </cell>
        </row>
        <row r="1253">
          <cell r="C1253">
            <v>206868290</v>
          </cell>
          <cell r="D1253" t="str">
            <v>artigawi</v>
          </cell>
        </row>
        <row r="1254">
          <cell r="C1254">
            <v>206902847</v>
          </cell>
          <cell r="D1254" t="str">
            <v>blewyson</v>
          </cell>
        </row>
        <row r="1255">
          <cell r="C1255">
            <v>203908342</v>
          </cell>
          <cell r="D1255" t="str">
            <v>kintuyac</v>
          </cell>
        </row>
        <row r="1256">
          <cell r="C1256">
            <v>204095810</v>
          </cell>
          <cell r="D1256" t="str">
            <v>xmakeyak</v>
          </cell>
        </row>
        <row r="1257">
          <cell r="C1257">
            <v>206902848</v>
          </cell>
          <cell r="D1257" t="str">
            <v>yamikani</v>
          </cell>
        </row>
        <row r="1258">
          <cell r="C1258">
            <v>205845554</v>
          </cell>
          <cell r="D1258" t="str">
            <v>yusufoke</v>
          </cell>
        </row>
        <row r="1259">
          <cell r="C1259">
            <v>104033277</v>
          </cell>
          <cell r="D1259" t="str">
            <v>muzahidk</v>
          </cell>
        </row>
        <row r="1260">
          <cell r="C1260">
            <v>204246155</v>
          </cell>
          <cell r="D1260" t="str">
            <v>labcamar</v>
          </cell>
        </row>
        <row r="1261">
          <cell r="C1261">
            <v>203555218</v>
          </cell>
          <cell r="D1261" t="str">
            <v>abigasar</v>
          </cell>
        </row>
        <row r="1262">
          <cell r="C1262">
            <v>202137760</v>
          </cell>
          <cell r="D1262" t="str">
            <v>foabutap</v>
          </cell>
        </row>
        <row r="1263">
          <cell r="C1263">
            <v>203635598</v>
          </cell>
          <cell r="D1263" t="str">
            <v>mavhunga</v>
          </cell>
        </row>
        <row r="1264">
          <cell r="C1264">
            <v>206361774</v>
          </cell>
          <cell r="D1264" t="str">
            <v>adombill</v>
          </cell>
        </row>
        <row r="1265">
          <cell r="C1265">
            <v>104383492</v>
          </cell>
          <cell r="D1265" t="str">
            <v>alizhma</v>
          </cell>
        </row>
        <row r="1266">
          <cell r="C1266">
            <v>206191961</v>
          </cell>
          <cell r="D1266" t="str">
            <v>oahabdi</v>
          </cell>
        </row>
        <row r="1267">
          <cell r="C1267">
            <v>203881712</v>
          </cell>
          <cell r="D1267" t="str">
            <v>abaoalid</v>
          </cell>
        </row>
        <row r="1268">
          <cell r="C1268">
            <v>206348020</v>
          </cell>
          <cell r="D1268" t="str">
            <v>ialoalex</v>
          </cell>
        </row>
        <row r="1269">
          <cell r="C1269">
            <v>201188904</v>
          </cell>
          <cell r="D1269" t="str">
            <v>antowusb</v>
          </cell>
        </row>
        <row r="1270">
          <cell r="C1270">
            <v>206348027</v>
          </cell>
          <cell r="D1270" t="str">
            <v>ijameasa</v>
          </cell>
        </row>
        <row r="1271">
          <cell r="C1271">
            <v>204768284</v>
          </cell>
          <cell r="D1271" t="str">
            <v>asgizaza</v>
          </cell>
        </row>
        <row r="1272">
          <cell r="C1272">
            <v>206348019</v>
          </cell>
          <cell r="D1272" t="str">
            <v>ategefre</v>
          </cell>
        </row>
        <row r="1273">
          <cell r="C1273">
            <v>102205688</v>
          </cell>
          <cell r="D1273" t="str">
            <v>cgeddam</v>
          </cell>
        </row>
        <row r="1274">
          <cell r="C1274">
            <v>103640429</v>
          </cell>
          <cell r="D1274" t="str">
            <v>nclearan</v>
          </cell>
        </row>
        <row r="1275">
          <cell r="C1275">
            <v>205275768</v>
          </cell>
          <cell r="D1275" t="str">
            <v>owusucle</v>
          </cell>
        </row>
        <row r="1276">
          <cell r="C1276">
            <v>205275762</v>
          </cell>
          <cell r="D1276" t="str">
            <v>adomdani</v>
          </cell>
        </row>
        <row r="1277">
          <cell r="C1277">
            <v>103058874</v>
          </cell>
          <cell r="D1277" t="str">
            <v>dcutand</v>
          </cell>
        </row>
        <row r="1278">
          <cell r="C1278">
            <v>206361295</v>
          </cell>
          <cell r="D1278" t="str">
            <v>kemeelij</v>
          </cell>
        </row>
        <row r="1279">
          <cell r="C1279">
            <v>111249388</v>
          </cell>
          <cell r="D1279" t="str">
            <v>ekkonad</v>
          </cell>
        </row>
        <row r="1280">
          <cell r="C1280">
            <v>204013729</v>
          </cell>
          <cell r="D1280" t="str">
            <v>eluckpal</v>
          </cell>
        </row>
        <row r="1281">
          <cell r="C1281">
            <v>203555213</v>
          </cell>
          <cell r="D1281" t="str">
            <v>senesthe</v>
          </cell>
        </row>
        <row r="1282">
          <cell r="C1282">
            <v>206368539</v>
          </cell>
          <cell r="D1282" t="str">
            <v>nestherm</v>
          </cell>
        </row>
        <row r="1283">
          <cell r="C1283">
            <v>203513400</v>
          </cell>
          <cell r="D1283" t="str">
            <v>kmintahe</v>
          </cell>
        </row>
        <row r="1284">
          <cell r="C1284">
            <v>108067922</v>
          </cell>
          <cell r="D1284" t="str">
            <v>fsseyar</v>
          </cell>
        </row>
        <row r="1285">
          <cell r="C1285">
            <v>203513497</v>
          </cell>
          <cell r="D1285" t="str">
            <v>frimpofe</v>
          </cell>
        </row>
        <row r="1286">
          <cell r="C1286">
            <v>102206142</v>
          </cell>
          <cell r="D1286" t="str">
            <v>villaraz</v>
          </cell>
        </row>
        <row r="1287">
          <cell r="C1287">
            <v>111243925</v>
          </cell>
          <cell r="D1287" t="str">
            <v>gaasamo</v>
          </cell>
        </row>
        <row r="1288">
          <cell r="C1288">
            <v>203635486</v>
          </cell>
          <cell r="D1288" t="str">
            <v>dadziekg</v>
          </cell>
        </row>
        <row r="1289">
          <cell r="C1289">
            <v>205275961</v>
          </cell>
          <cell r="D1289" t="str">
            <v>dgodfnsi</v>
          </cell>
        </row>
        <row r="1290">
          <cell r="C1290">
            <v>206348024</v>
          </cell>
          <cell r="D1290" t="str">
            <v>modhadij</v>
          </cell>
        </row>
        <row r="1291">
          <cell r="C1291">
            <v>205275960</v>
          </cell>
          <cell r="D1291" t="str">
            <v>nuhpiddr</v>
          </cell>
        </row>
        <row r="1292">
          <cell r="C1292">
            <v>206368537</v>
          </cell>
          <cell r="D1292" t="str">
            <v>chepkoge</v>
          </cell>
        </row>
        <row r="1293">
          <cell r="C1293">
            <v>105545779</v>
          </cell>
          <cell r="D1293" t="str">
            <v>jemuelc</v>
          </cell>
        </row>
        <row r="1294">
          <cell r="C1294">
            <v>206361785</v>
          </cell>
          <cell r="D1294" t="str">
            <v>jgichuhi</v>
          </cell>
        </row>
        <row r="1295">
          <cell r="C1295">
            <v>203555155</v>
          </cell>
          <cell r="D1295" t="str">
            <v>juntataw</v>
          </cell>
        </row>
        <row r="1296">
          <cell r="C1296">
            <v>206348026</v>
          </cell>
          <cell r="D1296" t="str">
            <v>brikalib</v>
          </cell>
        </row>
        <row r="1297">
          <cell r="C1297">
            <v>206348045</v>
          </cell>
          <cell r="D1297" t="str">
            <v>raskkalu</v>
          </cell>
        </row>
        <row r="1298">
          <cell r="C1298">
            <v>206348030</v>
          </cell>
          <cell r="D1298" t="str">
            <v>kibujame</v>
          </cell>
        </row>
        <row r="1299">
          <cell r="C1299">
            <v>102582351</v>
          </cell>
          <cell r="D1299" t="str">
            <v>kmokube</v>
          </cell>
        </row>
        <row r="1300">
          <cell r="C1300">
            <v>206348048</v>
          </cell>
          <cell r="D1300" t="str">
            <v>jokisolo</v>
          </cell>
        </row>
        <row r="1301">
          <cell r="C1301">
            <v>206348049</v>
          </cell>
          <cell r="D1301" t="str">
            <v>kezirkis</v>
          </cell>
        </row>
        <row r="1302">
          <cell r="C1302">
            <v>206348041</v>
          </cell>
          <cell r="D1302" t="str">
            <v>iankiwee</v>
          </cell>
        </row>
        <row r="1303">
          <cell r="C1303">
            <v>203635597</v>
          </cell>
          <cell r="D1303" t="str">
            <v>skoromal</v>
          </cell>
        </row>
        <row r="1304">
          <cell r="C1304">
            <v>204013735</v>
          </cell>
          <cell r="D1304" t="str">
            <v>dzlawson</v>
          </cell>
        </row>
        <row r="1305">
          <cell r="C1305">
            <v>204341639</v>
          </cell>
          <cell r="D1305" t="str">
            <v>kofileon</v>
          </cell>
        </row>
        <row r="1306">
          <cell r="C1306">
            <v>205276097</v>
          </cell>
          <cell r="D1306" t="str">
            <v>loventia</v>
          </cell>
        </row>
        <row r="1307">
          <cell r="C1307">
            <v>206958286</v>
          </cell>
          <cell r="D1307" t="str">
            <v>namudirq</v>
          </cell>
        </row>
        <row r="1308">
          <cell r="C1308">
            <v>201635982</v>
          </cell>
          <cell r="D1308" t="str">
            <v>acheamma</v>
          </cell>
        </row>
        <row r="1309">
          <cell r="C1309">
            <v>206957733</v>
          </cell>
          <cell r="D1309" t="str">
            <v>meahyema</v>
          </cell>
        </row>
        <row r="1310">
          <cell r="C1310">
            <v>206368538</v>
          </cell>
          <cell r="D1310" t="str">
            <v>milldboa</v>
          </cell>
        </row>
        <row r="1311">
          <cell r="C1311">
            <v>203635498</v>
          </cell>
          <cell r="D1311" t="str">
            <v>munibmoh</v>
          </cell>
        </row>
        <row r="1312">
          <cell r="C1312">
            <v>205845548</v>
          </cell>
          <cell r="D1312" t="str">
            <v>mosseruv</v>
          </cell>
        </row>
        <row r="1313">
          <cell r="C1313">
            <v>206348029</v>
          </cell>
          <cell r="D1313" t="str">
            <v>muhimbis</v>
          </cell>
        </row>
        <row r="1314">
          <cell r="C1314">
            <v>206958064</v>
          </cell>
          <cell r="D1314" t="str">
            <v>jeptoonf</v>
          </cell>
        </row>
        <row r="1315">
          <cell r="C1315">
            <v>206958070</v>
          </cell>
          <cell r="D1315" t="str">
            <v>gkanelly</v>
          </cell>
        </row>
        <row r="1316">
          <cell r="C1316">
            <v>206348042</v>
          </cell>
          <cell r="D1316" t="str">
            <v>dngafred</v>
          </cell>
        </row>
        <row r="1317">
          <cell r="C1317">
            <v>205845547</v>
          </cell>
          <cell r="D1317" t="str">
            <v>nichasii</v>
          </cell>
        </row>
        <row r="1318">
          <cell r="C1318">
            <v>205845552</v>
          </cell>
          <cell r="D1318" t="str">
            <v>onebarug</v>
          </cell>
        </row>
        <row r="1319">
          <cell r="C1319">
            <v>206958290</v>
          </cell>
          <cell r="D1319" t="str">
            <v>patrisir</v>
          </cell>
        </row>
        <row r="1320">
          <cell r="C1320">
            <v>205839953</v>
          </cell>
          <cell r="D1320" t="str">
            <v>ochanapa</v>
          </cell>
        </row>
        <row r="1321">
          <cell r="C1321">
            <v>203555221</v>
          </cell>
          <cell r="D1321" t="str">
            <v>kadyamus</v>
          </cell>
        </row>
        <row r="1322">
          <cell r="C1322">
            <v>206361787</v>
          </cell>
          <cell r="D1322" t="str">
            <v>muhpinha</v>
          </cell>
        </row>
        <row r="1323">
          <cell r="C1323">
            <v>102207635</v>
          </cell>
          <cell r="D1323" t="str">
            <v>aposas</v>
          </cell>
        </row>
        <row r="1324">
          <cell r="C1324">
            <v>204137712</v>
          </cell>
          <cell r="D1324" t="str">
            <v>priokyer</v>
          </cell>
        </row>
        <row r="1325">
          <cell r="C1325">
            <v>203513499</v>
          </cell>
          <cell r="D1325" t="str">
            <v>aboagyra</v>
          </cell>
        </row>
        <row r="1326">
          <cell r="C1326">
            <v>204094495</v>
          </cell>
          <cell r="D1326" t="str">
            <v>remahlun</v>
          </cell>
        </row>
        <row r="1327">
          <cell r="C1327">
            <v>204013731</v>
          </cell>
          <cell r="D1327" t="str">
            <v>sboatrob</v>
          </cell>
        </row>
        <row r="1328">
          <cell r="C1328">
            <v>205276101</v>
          </cell>
          <cell r="D1328" t="str">
            <v>atenrock</v>
          </cell>
        </row>
        <row r="1329">
          <cell r="C1329">
            <v>102205690</v>
          </cell>
          <cell r="D1329" t="str">
            <v>rggeroni</v>
          </cell>
        </row>
        <row r="1330">
          <cell r="C1330">
            <v>102582357</v>
          </cell>
          <cell r="D1330" t="str">
            <v>rikoe</v>
          </cell>
        </row>
        <row r="1331">
          <cell r="C1331">
            <v>205845551</v>
          </cell>
          <cell r="D1331" t="str">
            <v>sasalifu</v>
          </cell>
        </row>
        <row r="1332">
          <cell r="C1332">
            <v>206296204</v>
          </cell>
          <cell r="D1332" t="str">
            <v>sahajame</v>
          </cell>
        </row>
        <row r="1333">
          <cell r="C1333">
            <v>206296202</v>
          </cell>
          <cell r="D1333" t="str">
            <v>ikamsaid</v>
          </cell>
        </row>
        <row r="1334">
          <cell r="C1334">
            <v>206958074</v>
          </cell>
          <cell r="D1334" t="str">
            <v>xsamkhat</v>
          </cell>
        </row>
        <row r="1335">
          <cell r="C1335">
            <v>206348052</v>
          </cell>
          <cell r="D1335" t="str">
            <v>sabenjau</v>
          </cell>
        </row>
        <row r="1336">
          <cell r="C1336">
            <v>203513498</v>
          </cell>
          <cell r="D1336" t="str">
            <v>ocshadra</v>
          </cell>
        </row>
        <row r="1337">
          <cell r="C1337">
            <v>206958090</v>
          </cell>
          <cell r="D1337" t="str">
            <v>chepkosh</v>
          </cell>
        </row>
        <row r="1338">
          <cell r="C1338">
            <v>203513399</v>
          </cell>
          <cell r="D1338" t="str">
            <v>ampsheil</v>
          </cell>
        </row>
        <row r="1339">
          <cell r="C1339">
            <v>204115629</v>
          </cell>
          <cell r="D1339" t="str">
            <v>simontwe</v>
          </cell>
        </row>
        <row r="1340">
          <cell r="C1340">
            <v>206958297</v>
          </cell>
          <cell r="D1340" t="str">
            <v>mohasopj</v>
          </cell>
        </row>
        <row r="1341">
          <cell r="C1341">
            <v>206348054</v>
          </cell>
          <cell r="D1341" t="str">
            <v>ssecharl</v>
          </cell>
        </row>
        <row r="1342">
          <cell r="C1342">
            <v>204013739</v>
          </cell>
          <cell r="D1342" t="str">
            <v>ddommban</v>
          </cell>
        </row>
        <row r="1343">
          <cell r="C1343">
            <v>102205553</v>
          </cell>
          <cell r="D1343" t="str">
            <v>skayikka</v>
          </cell>
        </row>
        <row r="1344">
          <cell r="C1344">
            <v>206958449</v>
          </cell>
          <cell r="D1344" t="str">
            <v>susanwak</v>
          </cell>
        </row>
        <row r="1345">
          <cell r="C1345">
            <v>206851162</v>
          </cell>
          <cell r="D1345" t="str">
            <v>tubwebag</v>
          </cell>
        </row>
        <row r="1346">
          <cell r="C1346">
            <v>104042345</v>
          </cell>
          <cell r="D1346" t="str">
            <v>umerr</v>
          </cell>
        </row>
        <row r="1347">
          <cell r="C1347">
            <v>205609755</v>
          </cell>
          <cell r="D1347" t="str">
            <v>ivinceas</v>
          </cell>
        </row>
        <row r="1348">
          <cell r="C1348">
            <v>205285507</v>
          </cell>
          <cell r="D1348" t="str">
            <v>wisacola</v>
          </cell>
        </row>
        <row r="1349">
          <cell r="C1349">
            <v>102207631</v>
          </cell>
          <cell r="D1349" t="str">
            <v>parungao</v>
          </cell>
        </row>
        <row r="1350">
          <cell r="C1350">
            <v>203073699</v>
          </cell>
          <cell r="D1350" t="str">
            <v>ammarhak</v>
          </cell>
        </row>
        <row r="1351">
          <cell r="C1351">
            <v>203160008</v>
          </cell>
          <cell r="D1351" t="str">
            <v>nayabadh</v>
          </cell>
        </row>
        <row r="1352">
          <cell r="C1352">
            <v>203118578</v>
          </cell>
          <cell r="D1352" t="str">
            <v>atvinoth</v>
          </cell>
        </row>
        <row r="1353">
          <cell r="C1353">
            <v>203073563</v>
          </cell>
          <cell r="D1353" t="str">
            <v>miasajid</v>
          </cell>
        </row>
        <row r="1354">
          <cell r="C1354">
            <v>204043092</v>
          </cell>
          <cell r="D1354" t="str">
            <v>vvsatish</v>
          </cell>
        </row>
        <row r="1355">
          <cell r="C1355">
            <v>203052485</v>
          </cell>
          <cell r="D1355" t="str">
            <v>jgania</v>
          </cell>
        </row>
        <row r="1356">
          <cell r="C1356">
            <v>203160007</v>
          </cell>
          <cell r="D1356" t="str">
            <v>amjkamal</v>
          </cell>
        </row>
        <row r="1357">
          <cell r="C1357">
            <v>113015344</v>
          </cell>
          <cell r="D1357" t="str">
            <v>rizvamoh</v>
          </cell>
        </row>
        <row r="1358">
          <cell r="C1358">
            <v>203160009</v>
          </cell>
          <cell r="D1358" t="str">
            <v>hareepo</v>
          </cell>
        </row>
        <row r="1359">
          <cell r="C1359">
            <v>203118579</v>
          </cell>
          <cell r="D1359" t="str">
            <v>ajithrak</v>
          </cell>
        </row>
        <row r="1360">
          <cell r="C1360">
            <v>203073561</v>
          </cell>
          <cell r="D1360" t="str">
            <v>vadirama</v>
          </cell>
        </row>
        <row r="1361">
          <cell r="C1361">
            <v>203052856</v>
          </cell>
          <cell r="D1361" t="str">
            <v>karthiqv</v>
          </cell>
        </row>
        <row r="1362">
          <cell r="C1362">
            <v>203073425</v>
          </cell>
          <cell r="D1362" t="str">
            <v>shineray</v>
          </cell>
        </row>
        <row r="1363">
          <cell r="C1363">
            <v>207574273</v>
          </cell>
          <cell r="D1363" t="str">
            <v>ismchasy</v>
          </cell>
        </row>
        <row r="1364">
          <cell r="C1364">
            <v>203940975</v>
          </cell>
          <cell r="D1364" t="str">
            <v>hkhwabdu</v>
          </cell>
        </row>
        <row r="1365">
          <cell r="C1365">
            <v>207383780</v>
          </cell>
          <cell r="D1365" t="str">
            <v>ashifzah</v>
          </cell>
        </row>
        <row r="1366">
          <cell r="C1366">
            <v>112875012</v>
          </cell>
          <cell r="D1366" t="str">
            <v>akufhenv</v>
          </cell>
        </row>
        <row r="1367">
          <cell r="C1367">
            <v>204341339</v>
          </cell>
          <cell r="D1367" t="str">
            <v>elizbaku</v>
          </cell>
        </row>
        <row r="1368">
          <cell r="C1368">
            <v>203090005</v>
          </cell>
          <cell r="D1368" t="str">
            <v>faresoal</v>
          </cell>
        </row>
        <row r="1369">
          <cell r="C1369">
            <v>204155451</v>
          </cell>
          <cell r="D1369" t="str">
            <v>amnajami</v>
          </cell>
        </row>
        <row r="1370">
          <cell r="C1370">
            <v>204469338</v>
          </cell>
          <cell r="D1370" t="str">
            <v>anasomoh</v>
          </cell>
        </row>
        <row r="1371">
          <cell r="C1371">
            <v>205837449</v>
          </cell>
          <cell r="D1371" t="str">
            <v>canudamo</v>
          </cell>
        </row>
        <row r="1372">
          <cell r="C1372">
            <v>203174504</v>
          </cell>
          <cell r="D1372" t="str">
            <v>ediradim</v>
          </cell>
        </row>
        <row r="1373">
          <cell r="C1373">
            <v>204033425</v>
          </cell>
          <cell r="D1373" t="str">
            <v>kanuprly</v>
          </cell>
        </row>
        <row r="1374">
          <cell r="C1374">
            <v>207282341</v>
          </cell>
          <cell r="D1374" t="str">
            <v>arathikx</v>
          </cell>
        </row>
        <row r="1375">
          <cell r="C1375">
            <v>203555938</v>
          </cell>
          <cell r="D1375" t="str">
            <v>fairoowk</v>
          </cell>
        </row>
        <row r="1376">
          <cell r="C1376">
            <v>203815279</v>
          </cell>
          <cell r="D1376" t="str">
            <v>kizmehth</v>
          </cell>
        </row>
        <row r="1377">
          <cell r="C1377">
            <v>203750137</v>
          </cell>
          <cell r="D1377" t="str">
            <v>manavedk</v>
          </cell>
        </row>
        <row r="1378">
          <cell r="C1378">
            <v>203974084</v>
          </cell>
          <cell r="D1378" t="str">
            <v>vajeermo</v>
          </cell>
        </row>
        <row r="1379">
          <cell r="C1379">
            <v>206332542</v>
          </cell>
          <cell r="D1379" t="str">
            <v>nsaluall</v>
          </cell>
        </row>
        <row r="1380">
          <cell r="C1380">
            <v>205247340</v>
          </cell>
          <cell r="D1380" t="str">
            <v>sheshame</v>
          </cell>
        </row>
        <row r="1381">
          <cell r="C1381">
            <v>204886250</v>
          </cell>
          <cell r="D1381" t="str">
            <v>shomuzha</v>
          </cell>
        </row>
        <row r="1382">
          <cell r="C1382">
            <v>207283258</v>
          </cell>
          <cell r="D1382" t="str">
            <v>thomtonp</v>
          </cell>
        </row>
        <row r="1383">
          <cell r="C1383">
            <v>202383469</v>
          </cell>
          <cell r="D1383" t="str">
            <v>javmuhak</v>
          </cell>
        </row>
        <row r="1384">
          <cell r="C1384">
            <v>106495539</v>
          </cell>
          <cell r="D1384" t="str">
            <v>mhamreh</v>
          </cell>
        </row>
        <row r="1385">
          <cell r="C1385">
            <v>203737146</v>
          </cell>
          <cell r="D1385" t="str">
            <v>ponnormx</v>
          </cell>
        </row>
        <row r="1386">
          <cell r="C1386">
            <v>102865829</v>
          </cell>
          <cell r="D1386" t="str">
            <v>tunayj</v>
          </cell>
        </row>
        <row r="1387">
          <cell r="C1387">
            <v>203183500</v>
          </cell>
          <cell r="D1387" t="str">
            <v>jilug</v>
          </cell>
        </row>
        <row r="1388">
          <cell r="C1388">
            <v>203183769</v>
          </cell>
          <cell r="D1388" t="str">
            <v>fkashifm</v>
          </cell>
        </row>
        <row r="1389">
          <cell r="C1389">
            <v>205280740</v>
          </cell>
          <cell r="D1389" t="str">
            <v>safalpan</v>
          </cell>
        </row>
        <row r="1390">
          <cell r="C1390">
            <v>205665079</v>
          </cell>
          <cell r="D1390" t="str">
            <v>aimansh</v>
          </cell>
        </row>
        <row r="1391">
          <cell r="C1391">
            <v>205537427</v>
          </cell>
          <cell r="D1391" t="str">
            <v>kisaeliz</v>
          </cell>
        </row>
        <row r="1392">
          <cell r="C1392">
            <v>205079247</v>
          </cell>
          <cell r="D1392" t="str">
            <v>hudamm</v>
          </cell>
        </row>
        <row r="1393">
          <cell r="C1393">
            <v>205001264</v>
          </cell>
          <cell r="D1393" t="str">
            <v>madaoud</v>
          </cell>
        </row>
        <row r="1394">
          <cell r="C1394">
            <v>205024343</v>
          </cell>
          <cell r="D1394" t="str">
            <v>rajaniu</v>
          </cell>
        </row>
        <row r="1395">
          <cell r="C1395">
            <v>203794558</v>
          </cell>
          <cell r="D1395" t="str">
            <v>alreena</v>
          </cell>
        </row>
        <row r="1396">
          <cell r="C1396">
            <v>203927111</v>
          </cell>
          <cell r="D1396" t="str">
            <v>stephjov</v>
          </cell>
        </row>
        <row r="1397">
          <cell r="C1397">
            <v>205207923</v>
          </cell>
          <cell r="D1397" t="str">
            <v>swavishw</v>
          </cell>
        </row>
        <row r="1398">
          <cell r="C1398">
            <v>112836630</v>
          </cell>
          <cell r="D1398" t="str">
            <v>cmuhamak</v>
          </cell>
        </row>
        <row r="1399">
          <cell r="C1399">
            <v>102865821</v>
          </cell>
          <cell r="D1399" t="str">
            <v>yumangm</v>
          </cell>
        </row>
        <row r="1400">
          <cell r="C1400">
            <v>206884114</v>
          </cell>
          <cell r="D1400" t="str">
            <v>aomali</v>
          </cell>
        </row>
        <row r="1401">
          <cell r="C1401">
            <v>206980506</v>
          </cell>
          <cell r="D1401" t="str">
            <v>thembik</v>
          </cell>
        </row>
        <row r="1402">
          <cell r="C1402">
            <v>206930467</v>
          </cell>
          <cell r="D1402" t="str">
            <v>chachabf</v>
          </cell>
        </row>
        <row r="1403">
          <cell r="C1403">
            <v>113239078</v>
          </cell>
          <cell r="D1403" t="str">
            <v>nejed</v>
          </cell>
        </row>
        <row r="1404">
          <cell r="C1404">
            <v>203875181</v>
          </cell>
          <cell r="D1404" t="str">
            <v>hansonay</v>
          </cell>
        </row>
        <row r="1405">
          <cell r="C1405">
            <v>203875184</v>
          </cell>
          <cell r="D1405" t="str">
            <v>ansereem</v>
          </cell>
        </row>
        <row r="1406">
          <cell r="C1406">
            <v>203875092</v>
          </cell>
          <cell r="D1406" t="str">
            <v>amoahgid</v>
          </cell>
        </row>
        <row r="1407">
          <cell r="C1407">
            <v>203875089</v>
          </cell>
          <cell r="D1407" t="str">
            <v>kuffourg</v>
          </cell>
        </row>
        <row r="1408">
          <cell r="C1408">
            <v>203875090</v>
          </cell>
          <cell r="D1408" t="str">
            <v>tettjenn</v>
          </cell>
        </row>
        <row r="1409">
          <cell r="C1409">
            <v>203875180</v>
          </cell>
          <cell r="D1409" t="str">
            <v>joshatta</v>
          </cell>
        </row>
        <row r="1410">
          <cell r="C1410">
            <v>203875183</v>
          </cell>
          <cell r="D1410" t="str">
            <v>maxweoaw</v>
          </cell>
        </row>
        <row r="1411">
          <cell r="C1411">
            <v>112463068</v>
          </cell>
          <cell r="D1411" t="str">
            <v>mohehsaf</v>
          </cell>
        </row>
        <row r="1412">
          <cell r="C1412">
            <v>203875088</v>
          </cell>
          <cell r="D1412" t="str">
            <v>boanoami</v>
          </cell>
        </row>
        <row r="1413">
          <cell r="C1413">
            <v>203875091</v>
          </cell>
          <cell r="D1413" t="str">
            <v>solnuako</v>
          </cell>
        </row>
        <row r="1414">
          <cell r="C1414">
            <v>203875185</v>
          </cell>
          <cell r="D1414" t="str">
            <v>powusuaa</v>
          </cell>
        </row>
        <row r="1415">
          <cell r="C1415">
            <v>203875186</v>
          </cell>
          <cell r="D1415" t="str">
            <v>tmukunal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D776E-8BD3-41FA-8717-273CB2AA9E41}" name="Table1" displayName="Table1" ref="A6:W1377" totalsRowShown="0" headerRowDxfId="853" dataDxfId="851" headerRowBorderDxfId="852" tableBorderDxfId="850" totalsRowBorderDxfId="849" dataCellStyle="Percent">
  <tableColumns count="23">
    <tableColumn id="1" xr3:uid="{BCE29A67-12E8-4558-8580-3259C3F345D1}" name="S.No" dataDxfId="848" dataCellStyle="Percent"/>
    <tableColumn id="2" xr3:uid="{2A531BA2-670E-47B6-8C54-A268061DF0C4}" name="Psoft No" dataDxfId="847" dataCellStyle="Percent"/>
    <tableColumn id="3" xr3:uid="{5211A305-297F-4148-BFE0-A822C9572ABC}" name="AMZ ID" dataDxfId="846" dataCellStyle="Comma"/>
    <tableColumn id="4" xr3:uid="{3A164886-BB7E-4199-B547-D765B2D8E209}" name="EMP Name" dataDxfId="845" dataCellStyle="Comma"/>
    <tableColumn id="21" xr3:uid="{B96A5737-172D-4C27-A01A-D01707DF4279}" name="Employment Type" dataDxfId="844" dataCellStyle="Percent"/>
    <tableColumn id="5" xr3:uid="{5F7A53E1-02F5-47EB-81C8-97C09FA2B568}" name="Country" dataDxfId="843" dataCellStyle="Percent"/>
    <tableColumn id="7" xr3:uid="{200B394F-49B2-4204-9B36-0BE27E346183}" name="Building" dataDxfId="842" dataCellStyle="Percent"/>
    <tableColumn id="22" xr3:uid="{6940F9EF-2C19-4297-85AF-FB9B029F70F8}" name="LOB" dataDxfId="841" dataCellStyle="Percent"/>
    <tableColumn id="8" xr3:uid="{AD7FC9C0-1CB1-4924-8082-447C98D6207B}" name="Cost Center" dataDxfId="840" dataCellStyle="Percent"/>
    <tableColumn id="9" xr3:uid="{A2DF0313-D2EB-48E2-B0AE-440FDA42B3F4}" name="Shift" dataDxfId="839" dataCellStyle="Percent"/>
    <tableColumn id="23" xr3:uid="{4F2A0626-A831-4633-B9B7-D7736BC61A21}" name="Shift Difference" dataDxfId="838" dataCellStyle="Percent"/>
    <tableColumn id="10" xr3:uid="{3039464D-2B75-4E9D-8C2B-C45F2AE0EA25}" name="OFF1" dataDxfId="837" dataCellStyle="Percent"/>
    <tableColumn id="11" xr3:uid="{FB40016D-4358-4A88-BE20-305D2220A7D7}" name="OFF2" dataDxfId="836" dataCellStyle="Percent"/>
    <tableColumn id="12" xr3:uid="{9C11C26C-621B-47DA-8AD2-48E4EA7AF7F6}" name="Job Title" dataDxfId="835" dataCellStyle="Percent"/>
    <tableColumn id="13" xr3:uid="{78CCCED1-4589-4768-88FD-C337A4B51D57}" name="Department" dataDxfId="834" dataCellStyle="Percent"/>
    <tableColumn id="15" xr3:uid="{BF545AB2-BB16-462C-98B6-98B12CCDA3E2}" name="Type" dataDxfId="833" dataCellStyle="Percent"/>
    <tableColumn id="16" xr3:uid="{33176F9B-859A-4E8A-BFC8-2B3E80F765B1}" name="3P" dataDxfId="832" dataCellStyle="Percent"/>
    <tableColumn id="17" xr3:uid="{B16D20CA-C8D1-4A73-9FED-F32C03A7F7B1}" name="Line Manager Login" dataDxfId="831" dataCellStyle="Percent"/>
    <tableColumn id="18" xr3:uid="{EDBED78B-2E5D-4CAA-ADED-B7A17FBB7972}" name="Line Manager" dataDxfId="830" dataCellStyle="Percent"/>
    <tableColumn id="19" xr3:uid="{963E2666-A9AD-44A5-92DF-EE8BBB31D341}" name="Attendance" dataDxfId="829" dataCellStyle="Percent"/>
    <tableColumn id="20" xr3:uid="{B55677C2-AA17-4298-9607-D84F248BC1EA}" name="Remarks" dataDxfId="828" dataCellStyle="Percent"/>
    <tableColumn id="24" xr3:uid="{F0941C5C-C7C6-48D2-9385-5ECE49D31862}" name="DOJ" dataDxfId="827" dataCellStyle="Percent"/>
    <tableColumn id="25" xr3:uid="{1771362B-7773-4548-9495-CD299074DEFD}" name="Process Path" dataDxfId="826" dataCellStyle="Percent"/>
  </tableColumns>
  <tableStyleInfo name="Table Style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BBEF69B2-7154-4A95-9AD9-BC99EEBDCC4E','_parent');%20void(0);" TargetMode="External"/><Relationship Id="rId13" Type="http://schemas.openxmlformats.org/officeDocument/2006/relationships/comments" Target="../comments1.xml"/><Relationship Id="rId3" Type="http://schemas.openxmlformats.org/officeDocument/2006/relationships/hyperlink" Target="https://admindirectory.corp.amazon.com/users/adebugar" TargetMode="External"/><Relationship Id="rId7" Type="http://schemas.openxmlformats.org/officeDocument/2006/relationships/hyperlink" Target="https://admindirectory.corp.amazon.com/users/isandyam" TargetMode="External"/><Relationship Id="rId12" Type="http://schemas.openxmlformats.org/officeDocument/2006/relationships/table" Target="../tables/table1.xml"/><Relationship Id="rId2" Type="http://schemas.openxmlformats.org/officeDocument/2006/relationships/hyperlink" Target="https://admindirectory.corp.amazon.com/users/andebayi" TargetMode="External"/><Relationship Id="rId1" Type="http://schemas.openxmlformats.org/officeDocument/2006/relationships/hyperlink" Target="https://admindirectory.corp.amazon.com/users/ssegilbe" TargetMode="External"/><Relationship Id="rId6" Type="http://schemas.openxmlformats.org/officeDocument/2006/relationships/hyperlink" Target="https://admindirectory.corp.amazon.com/users/keizokre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admindirectory.corp.amazon.com/users/kasobfra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admindirectory.corp.amazon.com/users/tadekizi" TargetMode="External"/><Relationship Id="rId9" Type="http://schemas.openxmlformats.org/officeDocument/2006/relationships/hyperlink" Target="javascript:window.BeelineOpenWindow('https://prod.beeline.com/amazon/Procurement/CandidateCompareScreen.ascx?ProcurementRequestID=E00AC812-2098-4BC2-996E-65DBC18DF425&amp;ProcurementRequestCandidateID=19A4991F-A808-4FD4-A556-562AFC6F670E','_parent');%20void(0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ABB81-D12B-4874-9D23-DC0F023889C9}">
  <sheetPr filterMode="1"/>
  <dimension ref="A1:AQ34"/>
  <sheetViews>
    <sheetView showGridLines="0" zoomScale="80" zoomScaleNormal="80" workbookViewId="0">
      <selection activeCell="S10" sqref="S10:AD10"/>
    </sheetView>
  </sheetViews>
  <sheetFormatPr defaultColWidth="11.453125" defaultRowHeight="12" x14ac:dyDescent="0.3"/>
  <cols>
    <col min="1" max="1" width="12" style="7" bestFit="1" customWidth="1"/>
    <col min="2" max="2" width="13.7265625" style="7" bestFit="1" customWidth="1"/>
    <col min="3" max="3" width="14.54296875" style="7" customWidth="1"/>
    <col min="4" max="4" width="13.1796875" style="7" bestFit="1" customWidth="1"/>
    <col min="5" max="5" width="8.453125" style="7" bestFit="1" customWidth="1"/>
    <col min="6" max="6" width="9.81640625" style="7" bestFit="1" customWidth="1"/>
    <col min="7" max="7" width="19.36328125" style="7" customWidth="1"/>
    <col min="8" max="8" width="8.81640625" style="7" customWidth="1"/>
    <col min="9" max="9" width="17.1796875" style="7" bestFit="1" customWidth="1"/>
    <col min="10" max="10" width="11.26953125" style="7" customWidth="1"/>
    <col min="11" max="11" width="14.7265625" style="7" bestFit="1" customWidth="1"/>
    <col min="12" max="12" width="8.7265625" style="7" bestFit="1" customWidth="1"/>
    <col min="13" max="14" width="10.1796875" style="7" customWidth="1"/>
    <col min="15" max="15" width="7.36328125" style="7" bestFit="1" customWidth="1"/>
    <col min="16" max="16" width="7.7265625" style="7" customWidth="1"/>
    <col min="17" max="17" width="7.453125" style="7" customWidth="1"/>
    <col min="18" max="18" width="2" style="7" customWidth="1"/>
    <col min="19" max="19" width="13.81640625" style="7" bestFit="1" customWidth="1"/>
    <col min="20" max="20" width="13.7265625" style="7" bestFit="1" customWidth="1"/>
    <col min="21" max="21" width="9.81640625" style="7" bestFit="1" customWidth="1"/>
    <col min="22" max="22" width="13.1796875" style="7" bestFit="1" customWidth="1"/>
    <col min="23" max="23" width="8.453125" style="7" bestFit="1" customWidth="1"/>
    <col min="24" max="24" width="10" style="7" bestFit="1" customWidth="1"/>
    <col min="25" max="25" width="11.453125" style="7" bestFit="1" customWidth="1"/>
    <col min="26" max="26" width="8.26953125" style="7" bestFit="1" customWidth="1"/>
    <col min="27" max="27" width="10.453125" style="7" bestFit="1" customWidth="1"/>
    <col min="28" max="28" width="8.81640625" style="7" bestFit="1" customWidth="1"/>
    <col min="29" max="29" width="14.7265625" style="7" bestFit="1" customWidth="1"/>
    <col min="30" max="30" width="6.36328125" style="7" bestFit="1" customWidth="1"/>
    <col min="31" max="31" width="2" style="7" customWidth="1"/>
    <col min="32" max="32" width="12.453125" style="7" bestFit="1" customWidth="1"/>
    <col min="33" max="33" width="13.7265625" style="7" bestFit="1" customWidth="1"/>
    <col min="34" max="34" width="9.54296875" style="7" bestFit="1" customWidth="1"/>
    <col min="35" max="35" width="13.1796875" style="7" bestFit="1" customWidth="1"/>
    <col min="36" max="36" width="8.453125" style="7" bestFit="1" customWidth="1"/>
    <col min="37" max="37" width="9.81640625" style="7" bestFit="1" customWidth="1"/>
    <col min="38" max="38" width="11.453125" style="7" bestFit="1" customWidth="1"/>
    <col min="39" max="39" width="8.26953125" style="7" bestFit="1" customWidth="1"/>
    <col min="40" max="40" width="7.54296875" style="7" bestFit="1" customWidth="1"/>
    <col min="41" max="41" width="8.81640625" style="7" bestFit="1" customWidth="1"/>
    <col min="42" max="42" width="14.7265625" style="7" bestFit="1" customWidth="1"/>
    <col min="43" max="43" width="6" style="7" bestFit="1" customWidth="1"/>
    <col min="44" max="16384" width="11.453125" style="7"/>
  </cols>
  <sheetData>
    <row r="1" spans="1:43" ht="21" x14ac:dyDescent="0.3">
      <c r="A1" s="142" t="s">
        <v>64</v>
      </c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66"/>
      <c r="O1" s="66"/>
      <c r="P1" s="66"/>
      <c r="Q1" s="66"/>
      <c r="R1" s="141"/>
      <c r="S1" s="138" t="s">
        <v>65</v>
      </c>
      <c r="T1" s="139"/>
      <c r="U1" s="139"/>
      <c r="V1" s="139"/>
      <c r="W1" s="139"/>
      <c r="X1" s="139"/>
      <c r="Y1" s="139"/>
      <c r="Z1" s="139"/>
      <c r="AA1" s="139"/>
      <c r="AB1" s="139"/>
      <c r="AC1" s="139"/>
      <c r="AD1" s="140"/>
      <c r="AE1" s="141"/>
      <c r="AF1" s="138" t="s">
        <v>66</v>
      </c>
      <c r="AG1" s="139"/>
      <c r="AH1" s="139"/>
      <c r="AI1" s="139"/>
      <c r="AJ1" s="139"/>
      <c r="AK1" s="139"/>
      <c r="AL1" s="139"/>
      <c r="AM1" s="139"/>
      <c r="AN1" s="139"/>
      <c r="AO1" s="139"/>
      <c r="AP1" s="139"/>
      <c r="AQ1" s="140"/>
    </row>
    <row r="2" spans="1:43" s="8" customFormat="1" ht="24" x14ac:dyDescent="0.35">
      <c r="A2" s="34" t="s">
        <v>40</v>
      </c>
      <c r="B2" s="53" t="s">
        <v>41</v>
      </c>
      <c r="C2" s="34" t="s">
        <v>42</v>
      </c>
      <c r="D2" s="34" t="s">
        <v>43</v>
      </c>
      <c r="E2" s="34" t="s">
        <v>44</v>
      </c>
      <c r="F2" s="34" t="s">
        <v>45</v>
      </c>
      <c r="G2" s="34" t="s">
        <v>46</v>
      </c>
      <c r="H2" s="152" t="s">
        <v>30</v>
      </c>
      <c r="I2" s="152"/>
      <c r="J2" s="152"/>
      <c r="K2" s="152"/>
      <c r="L2" s="152"/>
      <c r="M2" s="152"/>
      <c r="N2" s="67"/>
      <c r="O2" s="67"/>
      <c r="P2" s="67"/>
      <c r="Q2" s="67"/>
      <c r="R2" s="141"/>
      <c r="S2" s="33" t="s">
        <v>40</v>
      </c>
      <c r="T2" s="34" t="s">
        <v>41</v>
      </c>
      <c r="U2" s="34" t="s">
        <v>42</v>
      </c>
      <c r="V2" s="34" t="s">
        <v>43</v>
      </c>
      <c r="W2" s="34" t="s">
        <v>44</v>
      </c>
      <c r="X2" s="34" t="s">
        <v>45</v>
      </c>
      <c r="Y2" s="34" t="s">
        <v>46</v>
      </c>
      <c r="Z2" s="152" t="s">
        <v>30</v>
      </c>
      <c r="AA2" s="152"/>
      <c r="AB2" s="152"/>
      <c r="AC2" s="152"/>
      <c r="AD2" s="152"/>
      <c r="AE2" s="141"/>
      <c r="AF2" s="33" t="s">
        <v>40</v>
      </c>
      <c r="AG2" s="34" t="s">
        <v>41</v>
      </c>
      <c r="AH2" s="34" t="s">
        <v>42</v>
      </c>
      <c r="AI2" s="34" t="s">
        <v>43</v>
      </c>
      <c r="AJ2" s="34" t="s">
        <v>44</v>
      </c>
      <c r="AK2" s="34" t="s">
        <v>45</v>
      </c>
      <c r="AL2" s="34" t="s">
        <v>46</v>
      </c>
      <c r="AM2" s="152" t="s">
        <v>30</v>
      </c>
      <c r="AN2" s="152"/>
      <c r="AO2" s="152"/>
      <c r="AP2" s="152"/>
      <c r="AQ2" s="168"/>
    </row>
    <row r="3" spans="1:43" s="9" customFormat="1" x14ac:dyDescent="0.35">
      <c r="A3" s="19">
        <v>1205</v>
      </c>
      <c r="B3" s="11">
        <f>COUNTIFS(Roster!N:N,"FC Associate III",Roster!G:G,"AUH1",Roster!P:P,"Direct")</f>
        <v>28</v>
      </c>
      <c r="C3" s="11">
        <f>COUNTIFS(Roster!E:E,"Regular",Roster!G:G,"AUH1",Roster!P:P,"Direct")</f>
        <v>58</v>
      </c>
      <c r="D3" s="11">
        <f>COUNTIFS(Roster!E:E,"Temporary",Roster!G:G,"AUH1",Roster!P:P,"Direct")</f>
        <v>1158</v>
      </c>
      <c r="E3" s="11">
        <f>C3+D3</f>
        <v>1216</v>
      </c>
      <c r="F3" s="19">
        <f>E3</f>
        <v>1216</v>
      </c>
      <c r="G3" s="12">
        <f>E3/F3</f>
        <v>1</v>
      </c>
      <c r="H3" s="153"/>
      <c r="I3" s="135"/>
      <c r="J3" s="135"/>
      <c r="K3" s="135"/>
      <c r="L3" s="135"/>
      <c r="M3" s="135"/>
      <c r="R3" s="141"/>
      <c r="S3" s="20">
        <v>82</v>
      </c>
      <c r="T3" s="11">
        <f>COUNTIFS(Roster!N:N,"Hub Supervisor",Roster!P:P,"Direct",Roster!O:O,"Warehouse Deals")</f>
        <v>4</v>
      </c>
      <c r="U3" s="11">
        <f>COUNTIFS(Roster!E:E,"Regular",Roster!P:P,"Direct",Roster!O:O,"Warehouse Deals")</f>
        <v>14</v>
      </c>
      <c r="V3" s="11">
        <f>COUNTIFS(Roster!E:E,"Temporary",Roster!P:P,"Direct",Roster!O:O,"Warehouse Deals")</f>
        <v>74</v>
      </c>
      <c r="W3" s="11">
        <f>U3+V3</f>
        <v>88</v>
      </c>
      <c r="X3" s="20">
        <f>W3</f>
        <v>88</v>
      </c>
      <c r="Y3" s="12">
        <f>W3/X3</f>
        <v>1</v>
      </c>
      <c r="Z3" s="154"/>
      <c r="AA3" s="155"/>
      <c r="AB3" s="155"/>
      <c r="AC3" s="155"/>
      <c r="AD3" s="156"/>
      <c r="AE3" s="141"/>
      <c r="AF3" s="20">
        <v>12</v>
      </c>
      <c r="AG3" s="11">
        <f>COUNTIFS(Roster!N:N,"FC Associate III",Roster!G:G,"DAD1",Roster!P:P,"Support")</f>
        <v>0</v>
      </c>
      <c r="AH3" s="11">
        <f>COUNTIFS(Roster!E:E,"Regular",Roster!G:G,"DAD1",Roster!P:P,"Support")</f>
        <v>0</v>
      </c>
      <c r="AI3" s="11">
        <f>COUNTIFS(Roster!E:E,"Temporary",Roster!G:G,"DAD1",Roster!P:P,"Support")</f>
        <v>12</v>
      </c>
      <c r="AJ3" s="11">
        <f>AH3+AI3</f>
        <v>12</v>
      </c>
      <c r="AK3" s="19">
        <f>AJ3</f>
        <v>12</v>
      </c>
      <c r="AL3" s="12">
        <f>AJ3/AK3</f>
        <v>1</v>
      </c>
      <c r="AM3" s="135"/>
      <c r="AN3" s="135"/>
      <c r="AO3" s="135"/>
      <c r="AP3" s="135"/>
      <c r="AQ3" s="137"/>
    </row>
    <row r="4" spans="1:43" x14ac:dyDescent="0.3">
      <c r="A4" s="42">
        <f>Roster!B1</f>
        <v>46247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6"/>
      <c r="M4" s="137"/>
      <c r="N4" s="9"/>
      <c r="O4" s="9"/>
      <c r="P4" s="9"/>
      <c r="Q4" s="9"/>
      <c r="R4" s="141"/>
      <c r="S4" s="42">
        <f>Roster!B1</f>
        <v>46247</v>
      </c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7"/>
      <c r="AE4" s="141"/>
      <c r="AF4" s="42">
        <f>Roster!B1</f>
        <v>46247</v>
      </c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4"/>
    </row>
    <row r="5" spans="1:43" s="8" customFormat="1" ht="24" x14ac:dyDescent="0.35">
      <c r="A5" s="33" t="s">
        <v>20</v>
      </c>
      <c r="B5" s="34" t="s">
        <v>47</v>
      </c>
      <c r="C5" s="34" t="s">
        <v>48</v>
      </c>
      <c r="D5" s="34" t="s">
        <v>49</v>
      </c>
      <c r="E5" s="34" t="s">
        <v>7</v>
      </c>
      <c r="F5" s="34" t="s">
        <v>36</v>
      </c>
      <c r="G5" s="34" t="s">
        <v>50</v>
      </c>
      <c r="H5" s="34" t="s">
        <v>2</v>
      </c>
      <c r="I5" s="34" t="s">
        <v>71</v>
      </c>
      <c r="J5" s="34" t="s">
        <v>52</v>
      </c>
      <c r="K5" s="34" t="s">
        <v>53</v>
      </c>
      <c r="L5" s="58"/>
      <c r="M5" s="143"/>
      <c r="R5" s="141"/>
      <c r="S5" s="33" t="s">
        <v>20</v>
      </c>
      <c r="T5" s="34" t="s">
        <v>47</v>
      </c>
      <c r="U5" s="34" t="s">
        <v>48</v>
      </c>
      <c r="V5" s="34" t="s">
        <v>49</v>
      </c>
      <c r="W5" s="34" t="s">
        <v>7</v>
      </c>
      <c r="X5" s="34" t="s">
        <v>36</v>
      </c>
      <c r="Y5" s="34" t="s">
        <v>50</v>
      </c>
      <c r="Z5" s="34" t="s">
        <v>2</v>
      </c>
      <c r="AA5" s="34" t="s">
        <v>51</v>
      </c>
      <c r="AB5" s="34" t="s">
        <v>52</v>
      </c>
      <c r="AC5" s="34" t="s">
        <v>53</v>
      </c>
      <c r="AD5" s="157"/>
      <c r="AE5" s="141"/>
      <c r="AF5" s="33" t="s">
        <v>20</v>
      </c>
      <c r="AG5" s="34" t="s">
        <v>47</v>
      </c>
      <c r="AH5" s="34" t="s">
        <v>48</v>
      </c>
      <c r="AI5" s="34" t="s">
        <v>49</v>
      </c>
      <c r="AJ5" s="34" t="s">
        <v>7</v>
      </c>
      <c r="AK5" s="34" t="s">
        <v>50</v>
      </c>
      <c r="AL5" s="34" t="s">
        <v>36</v>
      </c>
      <c r="AM5" s="34" t="s">
        <v>2</v>
      </c>
      <c r="AN5" s="34" t="s">
        <v>51</v>
      </c>
      <c r="AO5" s="34" t="s">
        <v>52</v>
      </c>
      <c r="AP5" s="34" t="s">
        <v>53</v>
      </c>
      <c r="AQ5" s="143"/>
    </row>
    <row r="6" spans="1:43" x14ac:dyDescent="0.3">
      <c r="A6" s="11" t="s">
        <v>32</v>
      </c>
      <c r="B6" s="11">
        <f>COUNTIFS(Roster!G:G,"AUH1",Roster!P:P,"Direct",Roster!J:J,"Day Shift")</f>
        <v>662</v>
      </c>
      <c r="C6" s="11">
        <f>SUMIFS($D$12:$D$27,$B$12:$B$27,"Day Shift")</f>
        <v>134</v>
      </c>
      <c r="D6" s="11">
        <f>SUMIFS($K$12:$K$27,$B$12:$B$27,"Day Shift")</f>
        <v>514</v>
      </c>
      <c r="E6" s="11">
        <f>SUMIFS($E$12:$E$27,$B$12:$B$27,"Day Shift")</f>
        <v>51</v>
      </c>
      <c r="F6" s="11">
        <f>COUNTIFS(Table1[[#All],[Building]],"AUH1",Table1[[#All],[Shift]],"Day Shift",Table1[[#All],[OFF1]],"OT",Table1[[#All],[Type]],"Direct")+COUNTIFS(Table1[[#All],[Building]],"AUH1",Table1[[#All],[Shift]],"Day Shift",Table1[[#All],[OFF2]],"OT",Table1[[#All],[Type]],"Direct")</f>
        <v>14</v>
      </c>
      <c r="G6" s="11">
        <f>SUMIFS($H$12:$H$26,$B$12:$B$26,"Day Shift")+SUMIFS($I$12:$I$26,$B$12:$B$26,"Day Shift")</f>
        <v>9</v>
      </c>
      <c r="H6" s="11">
        <f>D6-E6-G6</f>
        <v>454</v>
      </c>
      <c r="I6" s="12">
        <f>H6/D6</f>
        <v>0.88326848249027234</v>
      </c>
      <c r="J6" s="21">
        <v>0.8695801526717557</v>
      </c>
      <c r="K6" s="12">
        <f>I6/J6</f>
        <v>1.0157413089253011</v>
      </c>
      <c r="L6" s="59"/>
      <c r="M6" s="143"/>
      <c r="N6" s="8"/>
      <c r="O6" s="8"/>
      <c r="P6" s="8"/>
      <c r="Q6" s="8"/>
      <c r="R6" s="141"/>
      <c r="S6" s="13" t="s">
        <v>32</v>
      </c>
      <c r="T6" s="11">
        <f>COUNTIFS(Roster!G:G,"AUH3",Roster!P:P,"Direct",Roster!J:J,"Day Shift")+COUNTIFS(Roster!G:G,"DDB1",Roster!P:P,"Direct",Roster!J:J,"Day Shift")</f>
        <v>37</v>
      </c>
      <c r="U6" s="11">
        <f>SUMIFS($V$12:$V$14,$T$12:$T$14,"Day Shift")</f>
        <v>11</v>
      </c>
      <c r="V6" s="11">
        <f>SUMIFS($AC$12:$AC$14,$T$12:$T$14,"Day Shift")</f>
        <v>26</v>
      </c>
      <c r="W6" s="11">
        <f>SUMIFS($W$12:$W$14,$T$12:$T$14,"Day Shift")</f>
        <v>11</v>
      </c>
      <c r="X6" s="11">
        <f>COUNTIFS(Table1[[#All],[Building]],"AUH3",Table1[[#All],[Shift]],"Day Shift",Table1[[#All],[OFF1]],"OT",Table1[[#All],[Type]],"Direct")+COUNTIFS(Table1[[#All],[Building]],"AUH3",Table1[[#All],[Shift]],"Day Shift",Table1[[#All],[OFF2]],"OT",Table1[[#All],[Type]],"Direct")</f>
        <v>0</v>
      </c>
      <c r="Y6" s="11">
        <f>SUMIFS($Z$12:$Z$14,$T$12:$T$14,"Day Shift")+SUMIFS($AA$12:$AA$14,$T$12:$T$14,"Day Shift")</f>
        <v>0</v>
      </c>
      <c r="Z6" s="11">
        <f>V6-W6-Y6</f>
        <v>15</v>
      </c>
      <c r="AA6" s="12">
        <f>Z6/V6</f>
        <v>0.57692307692307687</v>
      </c>
      <c r="AB6" s="21">
        <v>0.82185185185185183</v>
      </c>
      <c r="AC6" s="12">
        <f>AA6/AB6</f>
        <v>0.7019794086040142</v>
      </c>
      <c r="AD6" s="158"/>
      <c r="AE6" s="141"/>
      <c r="AF6" s="14" t="s">
        <v>32</v>
      </c>
      <c r="AG6" s="2">
        <f>COUNTIFS(Roster!G:G,"DAD1",Roster!P:P,"Support",Roster!J:J,"Day Shift")</f>
        <v>0</v>
      </c>
      <c r="AH6" s="2">
        <f>SUMIFS($AI$12:$AI$15,$AG$12:$AG$15,"Day Shift")</f>
        <v>0</v>
      </c>
      <c r="AI6" s="2">
        <f>SUMIFS($AP$12:$AP$15,$AG$12:$AG$15,"Day Shift")</f>
        <v>0</v>
      </c>
      <c r="AJ6" s="2">
        <f>SUMIFS($AJ$12:$AJ$15,$AG$12:$AG$15,"Day Shift")</f>
        <v>0</v>
      </c>
      <c r="AK6" s="2">
        <f>SUMIFS($AM$12:$AM$15,$AG$12:$AG$15,"Day Shift")+SUMIFS($AN$12:$AN$15,$AG$12:$AG$15,"Day Shift")</f>
        <v>0</v>
      </c>
      <c r="AL6" s="11">
        <f>COUNTIFS(Table1[[#All],[Building]],"DAD1",Table1[[#All],[Shift]],"Day Shift",Table1[[#All],[OFF1]],"OT",Table1[[#All],[Type]],"Direct")+COUNTIFS(Table1[[#All],[Building]],"DAD1",Table1[[#All],[Shift]],"Day Shift",Table1[[#All],[OFF2]],"OT",Table1[[#All],[Type]],"Support")</f>
        <v>0</v>
      </c>
      <c r="AM6" s="2">
        <f>AI6-AJ6-AK6</f>
        <v>0</v>
      </c>
      <c r="AN6" s="15" t="e">
        <f>AM6/AI6</f>
        <v>#DIV/0!</v>
      </c>
      <c r="AO6" s="22">
        <v>0.95120000000000005</v>
      </c>
      <c r="AP6" s="15" t="e">
        <f>AN6/AO6</f>
        <v>#DIV/0!</v>
      </c>
      <c r="AQ6" s="143"/>
    </row>
    <row r="7" spans="1:43" x14ac:dyDescent="0.3">
      <c r="A7" s="13" t="s">
        <v>38</v>
      </c>
      <c r="B7" s="11">
        <f>COUNTIFS(Roster!G:G,"AUH1",Roster!P:P,"Direct",Roster!J:J,"Mid Shift")</f>
        <v>0</v>
      </c>
      <c r="C7" s="11">
        <f>SUMIFS($D$12:$D$27,$B$12:$B$27,"Mid Shift")</f>
        <v>0</v>
      </c>
      <c r="D7" s="11">
        <f>SUMIFS($K$12:$K$27,$B$12:$B$27,"Mid Shift")</f>
        <v>0</v>
      </c>
      <c r="E7" s="11">
        <f>SUMIFS($E$12:$E$27,$B$12:$B$27,"Mid Shift")</f>
        <v>0</v>
      </c>
      <c r="F7" s="11">
        <f>COUNTIFS(Table1[[#All],[Building]],"AUH1",Table1[[#All],[Shift]],"Mid Shift",Table1[[#All],[OFF1]],"OT",Table1[[#All],[Type]],"Direct")+COUNTIFS(Table1[[#All],[Building]],"AUH1",Table1[[#All],[Shift]],"Mid Shift",Table1[[#All],[OFF2]],"OT",Table1[[#All],[Type]],"Direct")</f>
        <v>0</v>
      </c>
      <c r="G7" s="11">
        <f>SUMIFS($H$12:$H$27,$B$12:$B$27,"Mid Shift")+SUMIFS($I$12:$I$27,$B$12:$B$27,"Mid Shift")</f>
        <v>0</v>
      </c>
      <c r="H7" s="11">
        <f>D7-E7-G7</f>
        <v>0</v>
      </c>
      <c r="I7" s="12" t="e">
        <f>(H7-F7)/(D7-F7)</f>
        <v>#DIV/0!</v>
      </c>
      <c r="J7" s="21">
        <v>0</v>
      </c>
      <c r="K7" s="52" t="e">
        <f>I7/J7</f>
        <v>#DIV/0!</v>
      </c>
      <c r="L7" s="60"/>
      <c r="M7" s="143"/>
      <c r="N7" s="8"/>
      <c r="O7" s="8"/>
      <c r="P7" s="8"/>
      <c r="Q7" s="8"/>
      <c r="R7" s="141"/>
      <c r="S7" s="13" t="s">
        <v>38</v>
      </c>
      <c r="T7" s="11">
        <f>COUNTIFS(Roster!G:G,"AUH3",Roster!P:P,"Direct",Roster!J:J,"Mid Shift")+COUNTIFS(Roster!G:G,"DDB1",Roster!P:P,"Direct",Roster!J:J,"Mid Shift")</f>
        <v>0</v>
      </c>
      <c r="U7" s="11">
        <f>SUMIFS($V$12:$V$14,$T$12:$T$14,"Mid Shift")</f>
        <v>0</v>
      </c>
      <c r="V7" s="11">
        <f>SUMIFS($AC$12:$AC$14,$T$12:$T$14,"Mid Shift")</f>
        <v>0</v>
      </c>
      <c r="W7" s="11">
        <f>SUMIFS($W$12:$W$14,$T$12:$T$14,"Mid Shift")</f>
        <v>0</v>
      </c>
      <c r="X7" s="11">
        <f>COUNTIFS(Table1[[#All],[Building]],"AUH3",Table1[[#All],[Shift]],"Mid Shift",Table1[[#All],[OFF1]],"OT",Table1[[#All],[Type]],"Direct")+COUNTIFS(Table1[[#All],[Building]],"AUH3",Table1[[#All],[Shift]],"Mid Shift",Table1[[#All],[OFF2]],"OT",Table1[[#All],[Type]],"Direct")</f>
        <v>0</v>
      </c>
      <c r="Y7" s="11">
        <f>SUMIFS($Z$12:$Z$14,$T$12:$T$14,"Mid Shift")+SUMIFS($AA$12:$AA$14,$T$12:$T$14,"Mid Shift")</f>
        <v>0</v>
      </c>
      <c r="Z7" s="11">
        <f>V7-W7-Y7</f>
        <v>0</v>
      </c>
      <c r="AA7" s="12" t="e">
        <f>Z7/V7</f>
        <v>#DIV/0!</v>
      </c>
      <c r="AB7" s="21">
        <v>0</v>
      </c>
      <c r="AC7" s="12" t="e">
        <f>AA7/AB7</f>
        <v>#DIV/0!</v>
      </c>
      <c r="AD7" s="158"/>
      <c r="AE7" s="141"/>
      <c r="AF7" s="14" t="s">
        <v>38</v>
      </c>
      <c r="AG7" s="2">
        <f>COUNTIFS(Roster!G:G,"DAD1",Roster!P:P,"Support",Roster!J:J,"Mid Shift")</f>
        <v>0</v>
      </c>
      <c r="AH7" s="2">
        <f>SUMIFS($AI$12:$AI$15,$AG$12:$AG$15,"Mid Shift")</f>
        <v>0</v>
      </c>
      <c r="AI7" s="2">
        <f>SUMIFS($AP$12:$AP$15,$AF$12:$AF$15,"Mid Shift")</f>
        <v>0</v>
      </c>
      <c r="AJ7" s="2">
        <f>SUMIFS($AJ$12:$AJ$15,$AG$12:$AG$15,"Mid Shift")</f>
        <v>0</v>
      </c>
      <c r="AK7" s="2">
        <f>SUMIFS($AM$12:$AM$15,$AG$12:$AG$15,"Mid Shift")+SUMIFS($AN$12:$AN$15,$AG$12:$AG$15,"Mid Shift")</f>
        <v>0</v>
      </c>
      <c r="AL7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7" s="2">
        <f>AI7-AJ7-AK7</f>
        <v>0</v>
      </c>
      <c r="AN7" s="15" t="e">
        <f>AM7/AI7</f>
        <v>#DIV/0!</v>
      </c>
      <c r="AO7" s="22">
        <v>0.95650000000000002</v>
      </c>
      <c r="AP7" s="15" t="e">
        <f>AN7/AO7</f>
        <v>#DIV/0!</v>
      </c>
      <c r="AQ7" s="143"/>
    </row>
    <row r="8" spans="1:43" x14ac:dyDescent="0.3">
      <c r="A8" s="11" t="s">
        <v>39</v>
      </c>
      <c r="B8" s="11">
        <f>COUNTIFS(Roster!G:G,"AUH1",Roster!P:P,"Direct",Roster!J:J,"Night Shift")</f>
        <v>554</v>
      </c>
      <c r="C8" s="11">
        <f>SUMIFS($D$12:$D$27,$B$12:$B$27,"Night Shift")</f>
        <v>134</v>
      </c>
      <c r="D8" s="11">
        <f>SUMIFS($K$12:$K$27,$B$12:$B$27,"Night Shift")</f>
        <v>412</v>
      </c>
      <c r="E8" s="11">
        <f>SUMIFS($E$12:$E$27,$B$12:$B$27,"Night Shift")</f>
        <v>39</v>
      </c>
      <c r="F8" s="11">
        <f>COUNTIFS(Table1[[#All],[Building]],"AUH1",Table1[[#All],[Shift]],"Night Shift",Table1[[#All],[OFF1]],"OT",Table1[[#All],[Type]],"Direct")+COUNTIFS(Table1[[#All],[Building]],"AUH1",Table1[[#All],[Shift]],"Night Shift",Table1[[#All],[OFF2]],"OT",Table1[[#All],[Type]],"Direct")</f>
        <v>8</v>
      </c>
      <c r="G8" s="11">
        <f>SUMIFS($H$12:$H$27,$B$12:$B$27,"Night Shift")+SUMIFS($I$12:$I$27,$B$12:$B$27,"Night Shift")</f>
        <v>9</v>
      </c>
      <c r="H8" s="11">
        <f>D8-E8-G8</f>
        <v>364</v>
      </c>
      <c r="I8" s="12">
        <f>H8/D8</f>
        <v>0.88349514563106801</v>
      </c>
      <c r="J8" s="21">
        <v>0.86048693586698333</v>
      </c>
      <c r="K8" s="12">
        <f>I8/J8</f>
        <v>1.0267385927723618</v>
      </c>
      <c r="L8" s="59"/>
      <c r="M8" s="143"/>
      <c r="N8" s="8"/>
      <c r="O8" s="8"/>
      <c r="P8" s="8"/>
      <c r="Q8" s="8"/>
      <c r="R8" s="141"/>
      <c r="S8" s="13" t="s">
        <v>39</v>
      </c>
      <c r="T8" s="11">
        <f>COUNTIFS(Roster!G:G,"AUH3",Roster!P:P,"Direct",Roster!J:J,"Night Shift")+COUNTIFS(Roster!G:G,"DDB1",Roster!P:P,"Direct",Roster!J:J,"Night Shift")</f>
        <v>51</v>
      </c>
      <c r="U8" s="11">
        <f>SUMIFS($V$12:$V$14,$T$12:$T$14,"Night Shift")</f>
        <v>11</v>
      </c>
      <c r="V8" s="11">
        <f>SUMIFS($AC$12:$AC$14,$T$12:$T$14,"Night Shift")</f>
        <v>40</v>
      </c>
      <c r="W8" s="11">
        <f>SUMIFS($W$12:$W$14,$T$12:$T$14,"Night Shift")</f>
        <v>1</v>
      </c>
      <c r="X8" s="11">
        <f>COUNTIFS(Table1[[#All],[Building]],"AUH3",Table1[[#All],[Shift]],"Night Shift",Table1[[#All],[OFF1]],"OT",Table1[[#All],[Type]],"Direct")+COUNTIFS(Table1[[#All],[Building]],"AUH3",Table1[[#All],[Shift]],"Night Shift",Table1[[#All],[OFF2]],"OT",Table1[[#All],[Type]],"Direct")</f>
        <v>0</v>
      </c>
      <c r="Y8" s="11">
        <f>SUMIFS($Z$12:$Z$14,$T$12:$T$14,"Night Shift")+SUMIFS($AA$12:$AA$14,$T$12:$T$14,"Night Shift")</f>
        <v>1</v>
      </c>
      <c r="Z8" s="11">
        <f>V8-W8-Y8</f>
        <v>38</v>
      </c>
      <c r="AA8" s="12">
        <f>Z8/V8</f>
        <v>0.95</v>
      </c>
      <c r="AB8" s="21">
        <v>0.91999999999999993</v>
      </c>
      <c r="AC8" s="12">
        <f>AA8/AB8</f>
        <v>1.0326086956521738</v>
      </c>
      <c r="AD8" s="158"/>
      <c r="AE8" s="141"/>
      <c r="AF8" s="14" t="s">
        <v>39</v>
      </c>
      <c r="AG8" s="2">
        <f>COUNTIFS(Roster!G:G,"DAD1",Roster!P:P,"Support",Roster!J:J,"Night Shift")</f>
        <v>12</v>
      </c>
      <c r="AH8" s="2">
        <f>SUMIFS($AI$12:$AI$15,$AG$12:$AG$15,"Night Shift")</f>
        <v>5</v>
      </c>
      <c r="AI8" s="2">
        <f>SUMIFS($AP$12:$AP$15,$AG$12:$AG$15,"Night Shift")</f>
        <v>7</v>
      </c>
      <c r="AJ8" s="2">
        <f>SUMIFS($AJ$12:$AJ$15,$AG$12:$AG$15,"Night Shift")</f>
        <v>1</v>
      </c>
      <c r="AK8" s="2">
        <f>SUMIFS($AM$12:$AM$15,$AG$12:$AG$15,"Night Shift")+SUMIFS($AN$12:$AN$15,$AG$12:$AG$15,"Night Shift")</f>
        <v>0</v>
      </c>
      <c r="AL8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8" s="2">
        <f>AI8-AJ8-AK8</f>
        <v>6</v>
      </c>
      <c r="AN8" s="15">
        <f>AM8/AI8</f>
        <v>0.8571428571428571</v>
      </c>
      <c r="AO8" s="22">
        <v>0.95679999999999998</v>
      </c>
      <c r="AP8" s="15">
        <f>AN8/AO8</f>
        <v>0.89584328714763495</v>
      </c>
      <c r="AQ8" s="143"/>
    </row>
    <row r="9" spans="1:43" x14ac:dyDescent="0.3">
      <c r="A9" s="34" t="s">
        <v>54</v>
      </c>
      <c r="B9" s="35">
        <f t="shared" ref="B9:H9" si="0">SUM(B6:B8)</f>
        <v>1216</v>
      </c>
      <c r="C9" s="35">
        <f t="shared" si="0"/>
        <v>268</v>
      </c>
      <c r="D9" s="35">
        <f t="shared" si="0"/>
        <v>926</v>
      </c>
      <c r="E9" s="35">
        <f t="shared" si="0"/>
        <v>90</v>
      </c>
      <c r="F9" s="35">
        <f t="shared" si="0"/>
        <v>22</v>
      </c>
      <c r="G9" s="35">
        <f>SUM(G6:G8)</f>
        <v>18</v>
      </c>
      <c r="H9" s="35">
        <f t="shared" si="0"/>
        <v>818</v>
      </c>
      <c r="I9" s="36">
        <f>H9/D9</f>
        <v>0.88336933045356369</v>
      </c>
      <c r="J9" s="36">
        <v>0.86552910052910059</v>
      </c>
      <c r="K9" s="36">
        <f>I9/J9</f>
        <v>1.0206119354202619</v>
      </c>
      <c r="L9" s="61"/>
      <c r="M9" s="143"/>
      <c r="N9" s="8"/>
      <c r="O9" s="68"/>
      <c r="P9" s="69"/>
      <c r="Q9" s="8"/>
      <c r="R9" s="141"/>
      <c r="S9" s="33" t="s">
        <v>54</v>
      </c>
      <c r="T9" s="35">
        <f t="shared" ref="T9:Z9" si="1">SUM(T6:T8)</f>
        <v>88</v>
      </c>
      <c r="U9" s="35">
        <f t="shared" si="1"/>
        <v>22</v>
      </c>
      <c r="V9" s="35">
        <f t="shared" si="1"/>
        <v>66</v>
      </c>
      <c r="W9" s="35">
        <f t="shared" si="1"/>
        <v>12</v>
      </c>
      <c r="X9" s="35">
        <f t="shared" si="1"/>
        <v>0</v>
      </c>
      <c r="Y9" s="35">
        <f t="shared" si="1"/>
        <v>1</v>
      </c>
      <c r="Z9" s="35">
        <f t="shared" si="1"/>
        <v>53</v>
      </c>
      <c r="AA9" s="36">
        <f>Z9/V9</f>
        <v>0.80303030303030298</v>
      </c>
      <c r="AB9" s="36">
        <v>0.88044776119402979</v>
      </c>
      <c r="AC9" s="36">
        <f>AA9/AB9</f>
        <v>0.91207035604391085</v>
      </c>
      <c r="AD9" s="159"/>
      <c r="AE9" s="141"/>
      <c r="AF9" s="33" t="s">
        <v>54</v>
      </c>
      <c r="AG9" s="35">
        <f t="shared" ref="AG9:AM9" si="2">SUM(AG6:AG8)</f>
        <v>12</v>
      </c>
      <c r="AH9" s="35">
        <f t="shared" si="2"/>
        <v>5</v>
      </c>
      <c r="AI9" s="35">
        <f t="shared" si="2"/>
        <v>7</v>
      </c>
      <c r="AJ9" s="35">
        <f t="shared" si="2"/>
        <v>1</v>
      </c>
      <c r="AK9" s="35">
        <f t="shared" si="2"/>
        <v>0</v>
      </c>
      <c r="AL9" s="35">
        <f t="shared" si="2"/>
        <v>0</v>
      </c>
      <c r="AM9" s="35">
        <f t="shared" si="2"/>
        <v>6</v>
      </c>
      <c r="AN9" s="39">
        <f>AM9/AI9</f>
        <v>0.8571428571428571</v>
      </c>
      <c r="AO9" s="39">
        <f>AVERAGE(AO6,AO7,AO8)</f>
        <v>0.95483333333333331</v>
      </c>
      <c r="AP9" s="39">
        <f>AN9/AO9</f>
        <v>0.89768845223549354</v>
      </c>
      <c r="AQ9" s="143"/>
    </row>
    <row r="10" spans="1:43" x14ac:dyDescent="0.3">
      <c r="A10" s="13"/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6"/>
      <c r="M10" s="137"/>
      <c r="N10" s="9"/>
      <c r="O10" s="9"/>
      <c r="P10" s="9"/>
      <c r="Q10" s="9"/>
      <c r="R10" s="141"/>
      <c r="S10" s="160"/>
      <c r="T10" s="161"/>
      <c r="U10" s="161"/>
      <c r="V10" s="161"/>
      <c r="W10" s="161"/>
      <c r="X10" s="161"/>
      <c r="Y10" s="161"/>
      <c r="Z10" s="161"/>
      <c r="AA10" s="161"/>
      <c r="AB10" s="161"/>
      <c r="AC10" s="161"/>
      <c r="AD10" s="162"/>
      <c r="AE10" s="141"/>
      <c r="AF10" s="14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143"/>
    </row>
    <row r="11" spans="1:43" s="8" customFormat="1" ht="60.5" thickBot="1" x14ac:dyDescent="0.4">
      <c r="A11" s="34" t="s">
        <v>24</v>
      </c>
      <c r="B11" s="34" t="s">
        <v>20</v>
      </c>
      <c r="C11" s="34">
        <v>0</v>
      </c>
      <c r="D11" s="34" t="s">
        <v>10</v>
      </c>
      <c r="E11" s="34" t="s">
        <v>7</v>
      </c>
      <c r="F11" s="34" t="s">
        <v>36</v>
      </c>
      <c r="G11" s="34" t="s">
        <v>73</v>
      </c>
      <c r="H11" s="34" t="s">
        <v>3</v>
      </c>
      <c r="I11" s="34" t="s">
        <v>55</v>
      </c>
      <c r="J11" s="34" t="s">
        <v>54</v>
      </c>
      <c r="K11" s="34" t="s">
        <v>56</v>
      </c>
      <c r="L11" s="34" t="s">
        <v>72</v>
      </c>
      <c r="M11" s="34" t="s">
        <v>1592</v>
      </c>
      <c r="N11" s="34" t="s">
        <v>1623</v>
      </c>
      <c r="O11" s="34" t="s">
        <v>1624</v>
      </c>
      <c r="P11" s="34" t="s">
        <v>1625</v>
      </c>
      <c r="Q11" s="34" t="s">
        <v>1626</v>
      </c>
      <c r="R11" s="141"/>
      <c r="S11" s="33" t="s">
        <v>24</v>
      </c>
      <c r="T11" s="34" t="s">
        <v>20</v>
      </c>
      <c r="U11" s="34">
        <v>0</v>
      </c>
      <c r="V11" s="34" t="s">
        <v>10</v>
      </c>
      <c r="W11" s="34" t="s">
        <v>7</v>
      </c>
      <c r="X11" s="34" t="s">
        <v>36</v>
      </c>
      <c r="Y11" s="34" t="s">
        <v>2</v>
      </c>
      <c r="Z11" s="34" t="s">
        <v>3</v>
      </c>
      <c r="AA11" s="34" t="s">
        <v>55</v>
      </c>
      <c r="AB11" s="34" t="s">
        <v>54</v>
      </c>
      <c r="AC11" s="34" t="s">
        <v>56</v>
      </c>
      <c r="AD11" s="40" t="s">
        <v>60</v>
      </c>
      <c r="AE11" s="141"/>
      <c r="AF11" s="33" t="s">
        <v>24</v>
      </c>
      <c r="AG11" s="34" t="s">
        <v>20</v>
      </c>
      <c r="AH11" s="34">
        <v>0</v>
      </c>
      <c r="AI11" s="34" t="s">
        <v>10</v>
      </c>
      <c r="AJ11" s="34" t="s">
        <v>7</v>
      </c>
      <c r="AK11" s="34" t="s">
        <v>2</v>
      </c>
      <c r="AL11" s="34" t="s">
        <v>36</v>
      </c>
      <c r="AM11" s="34" t="s">
        <v>3</v>
      </c>
      <c r="AN11" s="34" t="s">
        <v>55</v>
      </c>
      <c r="AO11" s="34" t="s">
        <v>54</v>
      </c>
      <c r="AP11" s="34" t="s">
        <v>56</v>
      </c>
      <c r="AQ11" s="40" t="s">
        <v>60</v>
      </c>
    </row>
    <row r="12" spans="1:43" x14ac:dyDescent="0.3">
      <c r="A12" s="135" t="s">
        <v>33</v>
      </c>
      <c r="B12" s="11" t="s">
        <v>32</v>
      </c>
      <c r="C12" s="11">
        <f>COUNTIFS(Roster!T:T,"0",Roster!O:O,"ICQA",Roster!J:J,"Day Shift",Roster!P:P,"Direct",Roster!G:G,"AUH1")</f>
        <v>0</v>
      </c>
      <c r="D12" s="11">
        <f>COUNTIFS(Roster!T:T,"OFF",Roster!O:O,"ICQA",Roster!J:J,"Day Shift",Roster!P:P,"Direct",Roster!G:G,"AUH1")</f>
        <v>7</v>
      </c>
      <c r="E12" s="11">
        <f>COUNTIFS(Roster!T:T,"PL",Roster!O:O,"ICQA",Roster!J:J,"Day Shift",Roster!P:P,"Direct",Roster!G:G,"AUH1")</f>
        <v>3</v>
      </c>
      <c r="F12" s="11">
        <f>COUNTIFS(Table1[[#All],[Building]],"AUH1",Table1[[#All],[Shift]],"Day Shift",Table1[[#All],[OFF1]],"OT",Table1[[#All],[Department]],Dashboard!A12)+COUNTIFS(Table1[[#All],[Building]],"AUH1",Table1[[#All],[Shift]],"Day Shift",Table1[[#All],[OFF2]],"OT",Table1[[#All],[Department]],Dashboard!A12)</f>
        <v>3</v>
      </c>
      <c r="G12" s="11">
        <f>COUNTIFS(Roster!T:T,"P",Roster!O:O,"ICQA",Roster!J:J,"Day Shift",Roster!P:P,"Direct",Roster!G:G,"AUH1")</f>
        <v>32</v>
      </c>
      <c r="H12" s="11">
        <f>COUNTIFS(Roster!T:T,"SL",Roster!O:O,"ICQA",Roster!J:J,"Day Shift",Roster!P:P,"Direct",Roster!G:G,"AUH1")</f>
        <v>1</v>
      </c>
      <c r="I12" s="11">
        <f>COUNTIFS(Roster!T:T,"AB",Roster!O:O,"ICQA",Roster!J:J,"Day Shift",Roster!P:P,"Direct",Roster!G:G,"AUH1")+COUNTIFS(Roster!T:T,"ABWI",Roster!O:O,"ICQA",Roster!J:J,"Day Shift",Roster!P:P,"Direct",Roster!G:G,"AUH1")</f>
        <v>0</v>
      </c>
      <c r="J12" s="11">
        <f>SUM(G12:I12,)+SUM(C12:E12)</f>
        <v>43</v>
      </c>
      <c r="K12" s="11">
        <f>(J12-D12)-C12-F12</f>
        <v>33</v>
      </c>
      <c r="L12" s="62">
        <v>0.84735294117647053</v>
      </c>
      <c r="M12" s="12">
        <f t="shared" ref="M12:M28" si="3">(G12-F12)/(K12)</f>
        <v>0.87878787878787878</v>
      </c>
      <c r="N12" s="12">
        <f>G12/K12</f>
        <v>0.96969696969696972</v>
      </c>
      <c r="O12" s="12"/>
      <c r="P12" s="12"/>
      <c r="Q12" s="12"/>
      <c r="R12" s="141"/>
      <c r="S12" s="151" t="s">
        <v>68</v>
      </c>
      <c r="T12" s="11" t="s">
        <v>32</v>
      </c>
      <c r="U12" s="11">
        <f>COUNTIFS(Roster!T:T,"0",Roster!O:O,"Warehouse Deals",Roster!J:J,"Day Shift",Roster!P:P,"Direct",Roster!G:G,"AUH3")+COUNTIFS(Roster!T:T,"0",Roster!O:O,"Warehouse Deals",Roster!J:J,"Day Shift",Roster!P:P,"Direct",Roster!G:G,"DDB1")</f>
        <v>0</v>
      </c>
      <c r="V12" s="11">
        <f>COUNTIFS(Roster!T:T,"OFF",Roster!O:O,"Warehouse Deals",Roster!J:J,"Day Shift",Roster!P:P,"Direct",Roster!G:G,"AUH3")+COUNTIFS(Roster!T:T,"OFF",Roster!O:O,"Warehouse Deals",Roster!J:J,"Day Shift",Roster!P:P,"Direct",Roster!G:G,"DDB1")</f>
        <v>11</v>
      </c>
      <c r="W12" s="11">
        <f>COUNTIFS(Roster!T:T,"PL",Roster!O:O,"Warehouse Deals",Roster!J:J,"Day Shift",Roster!P:P,"Direct",Roster!G:G,"AUH3")+COUNTIFS(Roster!T:T,"PL",Roster!O:O,"Warehouse Deals",Roster!J:J,"Day Shift",Roster!P:P,"Direct",Roster!G:G,"DDB1")</f>
        <v>11</v>
      </c>
      <c r="X12" s="11">
        <f>COUNTIFS(Table1[[#All],[Building]],"AUH3",Table1[[#All],[Shift]],"Day Shift",Table1[[#All],[OFF1]],"OT",Table1[[#All],[Department]],Dashboard!S12)+COUNTIFS(Table1[[#All],[Building]],"AUH3",Table1[[#All],[Shift]],"Day Shift",Table1[[#All],[OFF2]],"OT",Table1[[#All],[Department]],Dashboard!S12)</f>
        <v>0</v>
      </c>
      <c r="Y12" s="11">
        <f>COUNTIFS(Roster!T:T,"P",Roster!O:O,"Warehouse Deals",Roster!J:J,"Day Shift",Roster!P:P,"Direct",Roster!G:G,"AUH3")+COUNTIFS(Roster!T:T,"P",Roster!O:O,"Warehouse Deals",Roster!J:J,"Day Shift",Roster!P:P,"Direct",Roster!G:G,"DDB1")</f>
        <v>15</v>
      </c>
      <c r="Z12" s="11">
        <f>COUNTIFS(Roster!T:T,"SL",Roster!O:O,"Warehouse Deals",Roster!J:J,"Day Shift",Roster!P:P,"Direct",Roster!G:G,"AUH3")+COUNTIFS(Roster!T:T,"SL",Roster!O:O,"Warehouse Deals",Roster!J:J,"Day Shift",Roster!P:P,"Direct",Roster!G:G,"DDB1")</f>
        <v>0</v>
      </c>
      <c r="AA12" s="11">
        <f>COUNTIFS(Roster!T:T,"AB",Roster!O:O,"Warehouse Deals",Roster!J:J,"Day Shift",Roster!P:P,"Direct",Roster!G:G,"AUH3")+COUNTIFS(Roster!T:T,"AB",Roster!O:O,"Warehouse Deals",Roster!J:J,"Day Shift",Roster!P:P,"Direct",Roster!G:G,"DDB1")+COUNTIFS(Roster!T:T,"ABWI",Roster!O:O,"Warehouse Deals",Roster!J:J,"Day Shift",Roster!P:P,"Direct",Roster!G:G,"AUH3")+COUNTIFS(Roster!T:T,"ABWI",Roster!O:O,"Warehouse Deals",Roster!J:J,"Day Shift",Roster!P:P,"Direct",Roster!G:G,"DDB1")</f>
        <v>0</v>
      </c>
      <c r="AB12" s="11">
        <f>SUM(Y12:AA12,)+SUM(U12:W12)</f>
        <v>37</v>
      </c>
      <c r="AC12" s="11">
        <f>(AB12-V12)-U12-X12</f>
        <v>26</v>
      </c>
      <c r="AD12" s="16">
        <f>Y12/AC12</f>
        <v>0.57692307692307687</v>
      </c>
      <c r="AE12" s="141"/>
      <c r="AF12" s="151" t="s">
        <v>68</v>
      </c>
      <c r="AG12" s="2" t="s">
        <v>32</v>
      </c>
      <c r="AH12" s="2">
        <f>COUNTIFS(Roster!T:T,"0",Roster!O:O,"Warehouse Deals",Roster!J:J,"Day Shift",Roster!P:P,"Support",Roster!G:G,"DAD1")</f>
        <v>0</v>
      </c>
      <c r="AI12" s="2">
        <f>COUNTIFS(Roster!T:T,"OFF",Roster!O:O,"Warehouse Deals",Roster!J:J,"Day Shift",Roster!P:P,"Support",Roster!G:G,"DAD1")</f>
        <v>0</v>
      </c>
      <c r="AJ12" s="2">
        <f>COUNTIFS(Roster!T:T,"PL",Roster!O:O,"Warehouse Deals",Roster!J:J,"Day Shift",Roster!P:P,"Support",Roster!G:G,"DAD1")</f>
        <v>0</v>
      </c>
      <c r="AK12" s="2">
        <f>COUNTIFS(Roster!T:T,"P",Roster!O:O,"Warehouse Deals",Roster!J:J,"Day Shift",Roster!P:P,"Support",Roster!G:G,"DAD1")</f>
        <v>0</v>
      </c>
      <c r="AL12" s="11">
        <f>COUNTIFS(Table1[[#All],[Building]],"DAD1",Table1[[#All],[Shift]],"Day Shift",Table1[[#All],[OFF1]],"OT",Table1[[#All],[Type]],"Support")+COUNTIFS(Table1[[#All],[Building]],"DAD1",Table1[[#All],[Shift]],"Day Shift",Table1[[#All],[OFF2]],"OT",Table1[[#All],[Type]],"Support")</f>
        <v>0</v>
      </c>
      <c r="AM12" s="2">
        <f>COUNTIFS(Roster!T:T,"SL",Roster!O:O,"Warehouse Deals",Roster!J:J,"Day Shift",Roster!P:P,"Support",Roster!G:G,"DAD1")</f>
        <v>0</v>
      </c>
      <c r="AN12" s="2">
        <f>COUNTIFS(Roster!T:T,"AB",Roster!O:O,"Warehouse Deals",Roster!J:J,"Day Shift",Roster!P:P,"Support",Roster!G:G,"DAD1")+COUNTIFS(Roster!T:T,"ABWI",Roster!O:O,"Warehouse Deals",Roster!J:J,"Day Shift",Roster!P:P,"Support",Roster!G:G,"DAD1")</f>
        <v>0</v>
      </c>
      <c r="AO12" s="2">
        <f>SUM(AM12:AN12,)+SUM(AH12:AK12)</f>
        <v>0</v>
      </c>
      <c r="AP12" s="29">
        <f>(AO12-AI12)-AH12</f>
        <v>0</v>
      </c>
      <c r="AQ12" s="30" t="e">
        <f>AK12/AP12</f>
        <v>#DIV/0!</v>
      </c>
    </row>
    <row r="13" spans="1:43" hidden="1" x14ac:dyDescent="0.3">
      <c r="A13" s="144"/>
      <c r="B13" s="74" t="s">
        <v>38</v>
      </c>
      <c r="C13" s="11">
        <v>0</v>
      </c>
      <c r="D13" s="11">
        <f>COUNTIFS(Roster!T:T,"OFF",Roster!O:O,"ICQA",Roster!J:J,"Mid Shift",Roster!P:P,"Direct",Roster!G:G,"AUH1")</f>
        <v>0</v>
      </c>
      <c r="E13" s="11">
        <f>COUNTIFS(Roster!T:T,"PL",Roster!O:O,"ICQA",Roster!J:J,"Mid Shift",Roster!P:P,"Direct",Roster!G:G,"AUH1")</f>
        <v>0</v>
      </c>
      <c r="F13" s="11">
        <f>COUNTIFS(Table1[[#All],[Building]],"AUH1",Table1[[#All],[Shift]],"Mid Shift",Table1[[#All],[OFF1]],"OT",Table1[[#All],[Department]],Dashboard!A12)+COUNTIFS(Table1[[#All],[Building]],"AUH1",Table1[[#All],[Shift]],"Mid Shift",Table1[[#All],[OFF2]],"OT",Table1[[#All],[Department]],Dashboard!A12)</f>
        <v>0</v>
      </c>
      <c r="G13" s="11">
        <f>COUNTIFS(Roster!T:T,"P",Roster!O:O,"ICQA",Roster!J:J,"Mid Shift",Roster!P:P,"Direct",Roster!G:G,"AUH1")</f>
        <v>0</v>
      </c>
      <c r="H13" s="11">
        <f>COUNTIFS(Roster!T:T,"SL",Roster!O:O,"ICQA",Roster!J:J,"Mid Shift",Roster!P:P,"Direct",Roster!G:G,"AUH1")</f>
        <v>0</v>
      </c>
      <c r="I13" s="11">
        <f>COUNTIFS(Roster!T:T,"AB",Roster!O:O,"ICQA",Roster!J:J,"Mid Shift",Roster!P:P,"Direct",Roster!G:G,"AUH1")+COUNTIFS(Roster!T:T,"ABWI",Roster!O:O,"ICQA",Roster!J:J,"Mid Shift",Roster!P:P,"Direct",Roster!G:G,"AUH1")</f>
        <v>0</v>
      </c>
      <c r="J13" s="11">
        <f t="shared" ref="J13:J26" si="4">SUM(G13:I13,)+SUM(C13:E13)</f>
        <v>0</v>
      </c>
      <c r="K13" s="11">
        <f>(J13-D13)-C13-F13</f>
        <v>0</v>
      </c>
      <c r="L13" s="62"/>
      <c r="M13" s="12" t="e">
        <f t="shared" si="3"/>
        <v>#DIV/0!</v>
      </c>
      <c r="N13" s="12" t="e">
        <f>(H13-G13)/(L13)</f>
        <v>#DIV/0!</v>
      </c>
      <c r="O13" s="12"/>
      <c r="P13" s="12"/>
      <c r="Q13" s="12"/>
      <c r="R13" s="141"/>
      <c r="S13" s="151"/>
      <c r="T13" s="11" t="s">
        <v>38</v>
      </c>
      <c r="U13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3" s="11">
        <f>COUNTIFS(Roster!T:T,"OFF",Roster!O:O,"Warehouse Deals",Roster!J:J,"Mid Shift",Roster!P:P,"Direct",Roster!G:G,"AUH3")+COUNTIFS(Roster!T:T,"OFF",Roster!O:O,"Warehouse Deals",Roster!J:J,"Mid Shift",Roster!P:P,"Direct",Roster!G:G,"DDB1")</f>
        <v>0</v>
      </c>
      <c r="W13" s="11">
        <f>COUNTIFS(Roster!T:T,"PL",Roster!O:O,"Warehouse Deals",Roster!J:J,"Mid Shift",Roster!P:P,"Direct",Roster!G:G,"AUH3")+COUNTIFS(Roster!T:T,"PL",Roster!O:O,"Warehouse Deals",Roster!J:J,"Mid Shift",Roster!P:P,"Direct",Roster!G:G,"DDB1")</f>
        <v>0</v>
      </c>
      <c r="X13" s="11">
        <f>COUNTIFS(Table1[[#All],[Building]],"AUH3",Table1[[#All],[Shift]],"Mid Shift",Table1[[#All],[OFF1]],"OT",Table1[[#All],[Department]],Dashboard!S12)+COUNTIFS(Table1[[#All],[Building]],"AUH3",Table1[[#All],[Shift]],"Mid Shift",Table1[[#All],[OFF2]],"OT",Table1[[#All],[Department]],Dashboard!S12)</f>
        <v>0</v>
      </c>
      <c r="Y13" s="11">
        <f>COUNTIFS(Roster!T:T,"P",Roster!O:O,"Warehouse Deals",Roster!J:J,"Mid Shift",Roster!P:P,"Direct",Roster!G:G,"AUH3")+COUNTIFS(Roster!T:T,"P",Roster!O:O,"Warehouse Deals",Roster!J:J,"Mid Shift",Roster!P:P,"Direct",Roster!G:G,"DDB1")</f>
        <v>0</v>
      </c>
      <c r="Z13" s="11">
        <f>COUNTIFS(Roster!T:T,"SL",Roster!O:O,"Warehouse Deals",Roster!J:J,"Mid Shift",Roster!P:P,"Direct",Roster!G:G,"AUH3")+COUNTIFS(Roster!T:T,"SL",Roster!O:O,"Warehouse Deals",Roster!J:J,"Mid Shift",Roster!P:P,"Direct",Roster!G:G,"DDB1")</f>
        <v>0</v>
      </c>
      <c r="AA13" s="11">
        <f>COUNTIFS(Roster!T:T,"AB",Roster!O:O,"Warehouse Deals",Roster!J:J,"Mid Shift",Roster!P:P,"Direct",Roster!G:G,"AUH3")+COUNTIFS(Roster!T:T,"AB",Roster!O:O,"Warehouse Deals",Roster!J:J,"Mid Shift",Roster!P:P,"Direct",Roster!G:G,"DDB1")+COUNTIFS(Roster!T:T,"ABWI",Roster!O:O,"Warehouse Deals",Roster!J:J,"Mid Shift",Roster!P:P,"Direct",Roster!G:G,"AUH3")+COUNTIFS(Roster!T:T,"ABWI",Roster!O:O,"Warehouse Deals",Roster!J:J,"Mid Shift",Roster!P:P,"Direct",Roster!G:G,"DDB1")</f>
        <v>0</v>
      </c>
      <c r="AB13" s="11">
        <f>SUM(Y13:AA13,)+SUM(U13:W13)</f>
        <v>0</v>
      </c>
      <c r="AC13" s="11">
        <f>(AB13-V13)-U13-X13</f>
        <v>0</v>
      </c>
      <c r="AD13" s="16" t="e">
        <f>Y13/AC13</f>
        <v>#DIV/0!</v>
      </c>
      <c r="AE13" s="141"/>
      <c r="AF13" s="151"/>
      <c r="AG13" s="2" t="s">
        <v>38</v>
      </c>
      <c r="AH13" s="2">
        <f>COUNTIFS(Roster!T:T,"0",Roster!O:O,"Warehouse Deals",Roster!J:J,"Mid Shift",Roster!P:P,"Support",Roster!G:G,"DAD1")</f>
        <v>0</v>
      </c>
      <c r="AI13" s="2">
        <f>COUNTIFS(Roster!T:T,"OFF",Roster!O:O,"Warehouse Deals",Roster!J:J,"Mid Shift",Roster!P:P,"Support",Roster!G:G,"DAD1")</f>
        <v>0</v>
      </c>
      <c r="AJ13" s="2">
        <f>COUNTIFS(Roster!T:T,"PL",Roster!O:O,"Warehouse Deals",Roster!J:J,"Mid Shift",Roster!P:P,"Support",Roster!G:G,"DAD1")</f>
        <v>0</v>
      </c>
      <c r="AK13" s="2">
        <f>COUNTIFS(Roster!T:T,"P",Roster!O:O,"Warehouse Deals",Roster!J:J,"Mid Shift",Roster!P:P,"Support",Roster!G:G,"DAD1")</f>
        <v>0</v>
      </c>
      <c r="AL13" s="11">
        <f>COUNTIFS(Table1[[#All],[Building]],"DAD1",Table1[[#All],[Shift]],"Mid Shift",Table1[[#All],[OFF1]],"OT",Table1[[#All],[Type]],"Direct")+COUNTIFS(Table1[[#All],[Building]],"DAD1",Table1[[#All],[Shift]],"Mid Shift",Table1[[#All],[OFF2]],"OT",Table1[[#All],[Type]],"Direct")</f>
        <v>0</v>
      </c>
      <c r="AM13" s="2">
        <f>COUNTIFS(Roster!T:T,"SL",Roster!O:O,"Warehouse Deals",Roster!J:J,"Mid Shift",Roster!P:P,"Support",Roster!G:G,"DAD1")</f>
        <v>0</v>
      </c>
      <c r="AN13" s="2">
        <f>COUNTIFS(Roster!T:T,"AB",Roster!O:O,"Warehouse Deals",Roster!J:J,"Mid Shift",Roster!P:P,"Support",Roster!G:G,"DAD1")+COUNTIFS(Roster!T:T,"ABWI",Roster!O:O,"Warehouse Deals",Roster!J:J,"Mid Shift",Roster!P:P,"Support",Roster!G:G,"DAD1")</f>
        <v>0</v>
      </c>
      <c r="AO13" s="2">
        <f>SUM(AM13:AN13,)+SUM(AH13:AK13)</f>
        <v>0</v>
      </c>
      <c r="AP13" s="29">
        <f>(AO13-AI13)-AH13</f>
        <v>0</v>
      </c>
      <c r="AQ13" s="31" t="e">
        <f>AK13/AP13</f>
        <v>#DIV/0!</v>
      </c>
    </row>
    <row r="14" spans="1:43" ht="12.5" thickBot="1" x14ac:dyDescent="0.35">
      <c r="A14" s="135"/>
      <c r="B14" s="11" t="s">
        <v>39</v>
      </c>
      <c r="C14" s="11">
        <f>COUNTIFS(Roster!T:T,"0",Roster!O:O,"ICQA",Roster!J:J,"Night Shift",Roster!P:P,"Direct",Roster!G:G,"AUH1")</f>
        <v>0</v>
      </c>
      <c r="D14" s="11">
        <f>COUNTIFS(Roster!T:T,"OFF",Roster!O:O,"ICQA",Roster!J:J,"Night Shift",Roster!P:P,"Direct",Roster!G:G,"AUH1")</f>
        <v>1</v>
      </c>
      <c r="E14" s="11">
        <f>COUNTIFS(Roster!T:T,"PL",Roster!O:O,"ICQA",Roster!J:J,"Night Shift",Roster!P:P,"Direct",Roster!G:G,"AUH1")</f>
        <v>1</v>
      </c>
      <c r="F14" s="11">
        <f>COUNTIFS(Table1[[#All],[Building]],"AUH1",Table1[[#All],[Shift]],"Night Shift",Table1[[#All],[OFF1]],"OT",Table1[[#All],[Department]],Dashboard!A12)+COUNTIFS(Table1[[#All],[Building]],"AUH1",Table1[[#All],[Shift]],"Night Shift",Table1[[#All],[OFF2]],"OT",Table1[[#All],[Department]],Dashboard!A12)</f>
        <v>0</v>
      </c>
      <c r="G14" s="11">
        <f>COUNTIFS(Roster!T:T,"P",Roster!O:O,"ICQA",Roster!J:J,"Night Shift",Roster!P:P,"Direct",Roster!G:G,"AUH1")</f>
        <v>5</v>
      </c>
      <c r="H14" s="11">
        <f>COUNTIFS(Roster!T:T,"SL",Roster!O:O,"ICQA",Roster!J:J,"Night Shift",Roster!P:P,"Direct",Roster!G:G,"AUH1")</f>
        <v>0</v>
      </c>
      <c r="I14" s="11">
        <f>COUNTIFS(Roster!T:T,"AB",Roster!O:O,"ICQA",Roster!J:J,"Night Shift",Roster!P:P,"Direct",Roster!G:G,"AUH1")+COUNTIFS(Roster!T:T,"ABWI",Roster!O:O,"ICQA",Roster!J:J,"Night Shift",Roster!P:P,"Direct",Roster!G:G,"AUH1")</f>
        <v>0</v>
      </c>
      <c r="J14" s="11">
        <f>SUM(G14:I14,)+SUM(C14:E14)</f>
        <v>7</v>
      </c>
      <c r="K14" s="11">
        <f>(J14-D14)-C14-F14</f>
        <v>6</v>
      </c>
      <c r="L14" s="62">
        <v>0.79833333333333334</v>
      </c>
      <c r="M14" s="12">
        <f t="shared" si="3"/>
        <v>0.83333333333333337</v>
      </c>
      <c r="N14" s="12">
        <f t="shared" ref="N14:N28" si="5">G14/K14</f>
        <v>0.83333333333333337</v>
      </c>
      <c r="O14" s="12"/>
      <c r="P14" s="12"/>
      <c r="Q14" s="12"/>
      <c r="R14" s="141"/>
      <c r="S14" s="151"/>
      <c r="T14" s="11" t="s">
        <v>39</v>
      </c>
      <c r="U14" s="11">
        <f>COUNTIFS(Roster!T:T,"0",Roster!O:O,"Warehouse Deals",Roster!J:J,"Mid Shift",Roster!P:P,"Direct",Roster!G:G,"AUH3")+COUNTIFS(Roster!T:T,"0",Roster!O:O,"Warehouse Deals",Roster!J:J,"Mid Shift",Roster!P:P,"Direct",Roster!G:G,"DDB1")</f>
        <v>0</v>
      </c>
      <c r="V14" s="11">
        <f>COUNTIFS(Roster!T:T,"OFF",Roster!O:O,"Warehouse Deals",Roster!J:J,"Night Shift",Roster!P:P,"Direct",Roster!G:G,"AUH3")+COUNTIFS(Roster!T:T,"OFF",Roster!O:O,"Warehouse Deals",Roster!J:J,"Night Shift",Roster!P:P,"Direct",Roster!G:G,"DDB1")</f>
        <v>11</v>
      </c>
      <c r="W14" s="11">
        <f>COUNTIFS(Roster!T:T,"PL",Roster!O:O,"Warehouse Deals",Roster!J:J,"Night Shift",Roster!P:P,"Direct",Roster!G:G,"AUH3")+COUNTIFS(Roster!T:T,"PL",Roster!O:O,"Warehouse Deals",Roster!J:J,"Night Shift",Roster!P:P,"Direct",Roster!G:G,"DDB1")</f>
        <v>1</v>
      </c>
      <c r="X14" s="11">
        <f>COUNTIFS(Table1[[#All],[Building]],"AUH3",Table1[[#All],[Shift]],"Night Shift",Table1[[#All],[OFF1]],"OT",Table1[[#All],[Department]],Dashboard!S12)+COUNTIFS(Table1[[#All],[Building]],"AUH3",Table1[[#All],[Shift]],"Night Shift",Table1[[#All],[OFF2]],"OT",Table1[[#All],[Department]],Dashboard!S12)</f>
        <v>0</v>
      </c>
      <c r="Y14" s="11">
        <f>COUNTIFS(Roster!T:T,"P",Roster!O:O,"Warehouse Deals",Roster!J:J,"Night Shift",Roster!P:P,"Direct",Roster!G:G,"AUH3")+COUNTIFS(Roster!T:T,"P",Roster!O:O,"Warehouse Deals",Roster!J:J,"Night Shift",Roster!P:P,"Direct",Roster!G:G,"DDB1")</f>
        <v>38</v>
      </c>
      <c r="Z14" s="11">
        <f>COUNTIFS(Roster!T:T,"SL",Roster!O:O,"Warehouse Deals",Roster!J:J,"Night Shift",Roster!P:P,"Direct",Roster!G:G,"AUH3")+COUNTIFS(Roster!T:T,"SL",Roster!O:O,"Warehouse Deals",Roster!J:J,"Night Shift",Roster!P:P,"Direct",Roster!G:G,"DDB1")</f>
        <v>1</v>
      </c>
      <c r="AA14" s="11">
        <f>COUNTIFS(Roster!T:T,"AB",Roster!O:O,"Warehouse Deals",Roster!J:J,"Night Shift",Roster!P:P,"Direct",Roster!G:G,"AUH3")+COUNTIFS(Roster!T:T,"AB",Roster!O:O,"Warehouse Deals",Roster!J:J,"Night Shift",Roster!P:P,"Direct",Roster!G:G,"DDB1")+COUNTIFS(Roster!T:T,"ABWI",Roster!O:O,"Warehouse Deals",Roster!J:J,"Night Shift",Roster!P:P,"Direct",Roster!G:G,"AUH3")+COUNTIFS(Roster!T:T,"ABWI",Roster!O:O,"Warehouse Deals",Roster!J:J,"Night Shift",Roster!P:P,"Direct",Roster!G:G,"DDB1")</f>
        <v>0</v>
      </c>
      <c r="AB14" s="11">
        <f>SUM(Y14:AA14,)+SUM(U14:W14)</f>
        <v>51</v>
      </c>
      <c r="AC14" s="11">
        <f>(AB14-V14)-U14-X14</f>
        <v>40</v>
      </c>
      <c r="AD14" s="16">
        <f>Y14/AC14</f>
        <v>0.95</v>
      </c>
      <c r="AE14" s="141"/>
      <c r="AF14" s="151"/>
      <c r="AG14" s="2" t="s">
        <v>39</v>
      </c>
      <c r="AH14" s="2">
        <f>COUNTIFS(Roster!T:T,"0",Roster!O:O,"Warehouse Deals",Roster!J:J,"Night Shift",Roster!P:P,"Support",Roster!G:G,"DAD1")</f>
        <v>0</v>
      </c>
      <c r="AI14" s="2">
        <f>COUNTIFS(Roster!T:T,"OFF",Roster!O:O,"Warehouse Deals",Roster!J:J,"Night Shift",Roster!P:P,"Support",Roster!G:G,"DAD1")</f>
        <v>5</v>
      </c>
      <c r="AJ14" s="2">
        <f>COUNTIFS(Roster!T:T,"PL",Roster!O:O,"Warehouse Deals",Roster!J:J,"Night Shift",Roster!P:P,"Support",Roster!G:G,"DAD1")</f>
        <v>1</v>
      </c>
      <c r="AK14" s="2">
        <f>COUNTIFS(Roster!T:T,"P",Roster!O:O,"Warehouse Deals",Roster!J:J,"Night Shift",Roster!P:P,"Support",Roster!G:G,"DAD1")</f>
        <v>6</v>
      </c>
      <c r="AL14" s="11">
        <f>COUNTIFS(Table1[[#All],[Building]],"DAD1",Table1[[#All],[Shift]],"Night Shift",Table1[[#All],[OFF1]],"OT",Table1[[#All],[Type]],"Support")+COUNTIFS(Table1[[#All],[Building]],"DAD1",Table1[[#All],[Shift]],"Night Shift",Table1[[#All],[OFF1]],"OT",Table1[[#All],[Type]],"Support")</f>
        <v>0</v>
      </c>
      <c r="AM14" s="2">
        <f>COUNTIFS(Roster!T:T,"SL",Roster!O:O,"Warehouse Deals",Roster!J:J,"Night Shift",Roster!P:P,"Support",Roster!G:G,"DAD1")</f>
        <v>0</v>
      </c>
      <c r="AN14" s="2">
        <f>COUNTIFS(Roster!T:T,"AB",Roster!O:O,"Warehouse Deals",Roster!J:J,"Night Shift",Roster!P:P,"Support",Roster!G:G,"DAD1")+COUNTIFS(Roster!T:T,"ABWI",Roster!O:O,"Warehouse Deals",Roster!J:J,"Night Shift",Roster!P:P,"Support",Roster!G:G,"DAD1")</f>
        <v>0</v>
      </c>
      <c r="AO14" s="2">
        <f>SUM(AM14:AN14,)+SUM(AH14:AK14)</f>
        <v>12</v>
      </c>
      <c r="AP14" s="29">
        <f>(AO14-AI14)-AH14</f>
        <v>7</v>
      </c>
      <c r="AQ14" s="32">
        <f>AK14/AP14</f>
        <v>0.8571428571428571</v>
      </c>
    </row>
    <row r="15" spans="1:43" s="10" customFormat="1" x14ac:dyDescent="0.3">
      <c r="A15" s="133" t="s">
        <v>57</v>
      </c>
      <c r="B15" s="133"/>
      <c r="C15" s="23">
        <f t="shared" ref="C15:J15" si="6">SUM(C12:C14)</f>
        <v>0</v>
      </c>
      <c r="D15" s="23">
        <f t="shared" si="6"/>
        <v>8</v>
      </c>
      <c r="E15" s="23">
        <f t="shared" si="6"/>
        <v>4</v>
      </c>
      <c r="F15" s="23">
        <f t="shared" si="6"/>
        <v>3</v>
      </c>
      <c r="G15" s="24">
        <f t="shared" si="6"/>
        <v>37</v>
      </c>
      <c r="H15" s="23">
        <f t="shared" si="6"/>
        <v>1</v>
      </c>
      <c r="I15" s="23">
        <f t="shared" si="6"/>
        <v>0</v>
      </c>
      <c r="J15" s="23">
        <f t="shared" si="6"/>
        <v>50</v>
      </c>
      <c r="K15" s="23">
        <f>SUM(K12:K14)</f>
        <v>39</v>
      </c>
      <c r="L15" s="63">
        <v>0.84</v>
      </c>
      <c r="M15" s="57">
        <f>(G15-F15)/(K15)</f>
        <v>0.87179487179487181</v>
      </c>
      <c r="N15" s="57">
        <f t="shared" si="5"/>
        <v>0.94871794871794868</v>
      </c>
      <c r="O15" s="85">
        <f>L15*K15</f>
        <v>32.76</v>
      </c>
      <c r="P15" s="85">
        <f>G15-F15</f>
        <v>34</v>
      </c>
      <c r="Q15" s="85">
        <f>P15-O15</f>
        <v>1.240000000000002</v>
      </c>
      <c r="R15" s="141"/>
      <c r="S15" s="167" t="s">
        <v>59</v>
      </c>
      <c r="T15" s="133"/>
      <c r="U15" s="23">
        <f t="shared" ref="U15:AB15" si="7">SUM(U12:U14)</f>
        <v>0</v>
      </c>
      <c r="V15" s="23">
        <f t="shared" si="7"/>
        <v>22</v>
      </c>
      <c r="W15" s="23">
        <f t="shared" si="7"/>
        <v>12</v>
      </c>
      <c r="X15" s="23">
        <f>SUM(X12:X14)</f>
        <v>0</v>
      </c>
      <c r="Y15" s="24">
        <f t="shared" si="7"/>
        <v>53</v>
      </c>
      <c r="Z15" s="23">
        <f t="shared" si="7"/>
        <v>1</v>
      </c>
      <c r="AA15" s="23">
        <f t="shared" si="7"/>
        <v>0</v>
      </c>
      <c r="AB15" s="23">
        <f t="shared" si="7"/>
        <v>88</v>
      </c>
      <c r="AC15" s="23">
        <f>SUM(AC12:AC14)</f>
        <v>66</v>
      </c>
      <c r="AD15" s="25"/>
      <c r="AE15" s="141"/>
      <c r="AF15" s="169" t="s">
        <v>68</v>
      </c>
      <c r="AG15" s="170"/>
      <c r="AH15" s="27">
        <f t="shared" ref="AH15:AN15" si="8">SUM(AH12:AH14)</f>
        <v>0</v>
      </c>
      <c r="AI15" s="27">
        <f t="shared" si="8"/>
        <v>5</v>
      </c>
      <c r="AJ15" s="27">
        <f t="shared" si="8"/>
        <v>1</v>
      </c>
      <c r="AK15" s="26">
        <f t="shared" si="8"/>
        <v>6</v>
      </c>
      <c r="AL15" s="26">
        <f t="shared" si="8"/>
        <v>0</v>
      </c>
      <c r="AM15" s="27">
        <f t="shared" si="8"/>
        <v>0</v>
      </c>
      <c r="AN15" s="27">
        <f t="shared" si="8"/>
        <v>0</v>
      </c>
      <c r="AO15" s="27">
        <f>SUM(AO12:AO14)</f>
        <v>12</v>
      </c>
      <c r="AP15" s="28">
        <f>SUM(AP12:AP14)</f>
        <v>7</v>
      </c>
      <c r="AQ15" s="165"/>
    </row>
    <row r="16" spans="1:43" ht="13.5" thickBot="1" x14ac:dyDescent="0.35">
      <c r="A16" s="148" t="s">
        <v>35</v>
      </c>
      <c r="B16" s="54" t="s">
        <v>32</v>
      </c>
      <c r="C16" s="54">
        <f>COUNTIFS(Roster!T:T,"0",Roster!O:O,"Inbound",Roster!J:J,"Day Shift",Roster!P:P,"Direct",Roster!G:G,"AUH1")</f>
        <v>0</v>
      </c>
      <c r="D16" s="54">
        <f>COUNTIFS(Roster!T:T,"OFF",Roster!O:O,"Inbound",Roster!J:J,"Day Shift",Roster!P:P,"Direct",Roster!G:G,"AUH1")</f>
        <v>27</v>
      </c>
      <c r="E16" s="54">
        <f>COUNTIFS(Roster!T:T,"PL",Roster!O:O,"Inbound",Roster!J:J,"Day Shift",Roster!P:P,"Direct",Roster!G:G,"AUH1")</f>
        <v>18</v>
      </c>
      <c r="F16" s="54">
        <f>COUNTIFS(Table1[[#All],[Building]],"AUH1",Table1[[#All],[Shift]],"Day Shift",Table1[[#All],[OFF1]],"OT",Table1[[#All],[Department]],Dashboard!A16)+COUNTIFS(Table1[[#All],[Building]],"AUH1",Table1[[#All],[Shift]],"Day Shift",Table1[[#All],[OFF2]],"OT",Table1[[#All],[Department]],Dashboard!A16)</f>
        <v>4</v>
      </c>
      <c r="G16" s="54">
        <f>COUNTIFS(Roster!T:T,"P",Roster!O:O,"Inbound",Roster!J:J,"Day Shift",Roster!P:P,"Direct",Roster!G:G,"AUH1")</f>
        <v>189</v>
      </c>
      <c r="H16" s="54">
        <f>COUNTIFS(Roster!T:T,"SL",Roster!O:O,"Inbound",Roster!J:J,"Day Shift",Roster!P:P,"Direct",Roster!G:G,"AUH1")</f>
        <v>3</v>
      </c>
      <c r="I16" s="54">
        <f>COUNTIFS(Roster!T:T,"AB",Roster!O:O,"Inbound",Roster!J:J,"Day Shift",Roster!P:P,"Direct",Roster!G:G,"AUH1")+COUNTIFS(Roster!T:T,"ABWI",Roster!O:O,"Inbound",Roster!J:J,"Day Shift",Roster!P:P,"Direct",Roster!G:G,"AUH1")</f>
        <v>1</v>
      </c>
      <c r="J16" s="54">
        <f t="shared" si="4"/>
        <v>238</v>
      </c>
      <c r="K16" s="54">
        <f>(J16-D16)-C16-F16</f>
        <v>207</v>
      </c>
      <c r="L16" s="62">
        <v>0.88518779342722997</v>
      </c>
      <c r="M16" s="12">
        <f t="shared" si="3"/>
        <v>0.893719806763285</v>
      </c>
      <c r="N16" s="12">
        <f t="shared" si="5"/>
        <v>0.91304347826086951</v>
      </c>
      <c r="O16" s="98"/>
      <c r="P16" s="98"/>
      <c r="Q16" s="12"/>
      <c r="R16" s="141"/>
      <c r="S16" s="151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7"/>
      <c r="AE16" s="141"/>
      <c r="AF16" s="171" t="s">
        <v>54</v>
      </c>
      <c r="AG16" s="172"/>
      <c r="AH16" s="38">
        <f>AH15</f>
        <v>0</v>
      </c>
      <c r="AI16" s="38">
        <f t="shared" ref="AI16:AP16" si="9">AI15</f>
        <v>5</v>
      </c>
      <c r="AJ16" s="38">
        <f t="shared" si="9"/>
        <v>1</v>
      </c>
      <c r="AK16" s="38">
        <f t="shared" si="9"/>
        <v>6</v>
      </c>
      <c r="AL16" s="38">
        <f t="shared" si="9"/>
        <v>0</v>
      </c>
      <c r="AM16" s="38">
        <f t="shared" si="9"/>
        <v>0</v>
      </c>
      <c r="AN16" s="38">
        <f t="shared" si="9"/>
        <v>0</v>
      </c>
      <c r="AO16" s="38">
        <f t="shared" si="9"/>
        <v>12</v>
      </c>
      <c r="AP16" s="41">
        <f t="shared" si="9"/>
        <v>7</v>
      </c>
      <c r="AQ16" s="166"/>
    </row>
    <row r="17" spans="1:43" hidden="1" x14ac:dyDescent="0.3">
      <c r="A17" s="149"/>
      <c r="B17" s="74" t="s">
        <v>38</v>
      </c>
      <c r="C17" s="11">
        <f>COUNTIFS(Roster!T:T,"0",Roster!O:O,"Inbound",Roster!J:J,"Mid Shift",Roster!P:P,"Direct",Roster!G:G,"AUH1")</f>
        <v>0</v>
      </c>
      <c r="D17" s="11">
        <f>COUNTIFS(Roster!T:T,"OFF",Roster!O:O,"Inbound",Roster!J:J,"Mid Shift",Roster!P:P,"Direct",Roster!G:G,"AUH1")</f>
        <v>0</v>
      </c>
      <c r="E17" s="11">
        <f>COUNTIFS(Roster!T:T,"PL",Roster!O:O,"Inbound",Roster!J:J,"Mid Shift",Roster!P:P,"Direct",Roster!G:G,"AUH1")</f>
        <v>0</v>
      </c>
      <c r="F17" s="11">
        <f>COUNTIFS(Table1[[#All],[Building]],"AUH1",Table1[[#All],[Shift]],"Mid Shift",Table1[[#All],[OFF1]],"OT",Table1[[#All],[Department]],Dashboard!A16)+COUNTIFS(Table1[[#All],[Building]],"AUH1",Table1[[#All],[Shift]],"Mid Shift",Table1[[#All],[OFF2]],"OT",Table1[[#All],[Department]],Dashboard!A16)</f>
        <v>0</v>
      </c>
      <c r="G17" s="11">
        <f>COUNTIFS(Roster!T:T,"P",Roster!O:O,"Inbound",Roster!J:J,"Mid Shift",Roster!P:P,"Direct",Roster!G:G,"AUH1")</f>
        <v>0</v>
      </c>
      <c r="H17" s="11">
        <f>COUNTIFS(Roster!T:T,"SL",Roster!O:O,"Inbound",Roster!J:J,"Mid Shift",Roster!P:P,"Direct",Roster!G:G,"AUH1")</f>
        <v>0</v>
      </c>
      <c r="I17" s="11">
        <f>COUNTIFS(Roster!T:T,"AB",Roster!O:O,"Inbound",Roster!J:J,"Mid Shift",Roster!P:P,"Direct",Roster!G:G,"AUH1")+COUNTIFS(Roster!T:T,"ABWI",Roster!O:O,"Inbound",Roster!J:J,"Mid Shift",Roster!P:P,"Direct",Roster!G:G,"AUH1")</f>
        <v>0</v>
      </c>
      <c r="J17" s="11">
        <f t="shared" si="4"/>
        <v>0</v>
      </c>
      <c r="K17" s="54">
        <f>(J17-D17)-C17-F17</f>
        <v>0</v>
      </c>
      <c r="L17" s="62"/>
      <c r="M17" s="12" t="e">
        <f t="shared" si="3"/>
        <v>#DIV/0!</v>
      </c>
      <c r="N17" s="12" t="e">
        <f t="shared" si="5"/>
        <v>#DIV/0!</v>
      </c>
      <c r="O17" s="98"/>
      <c r="P17" s="98"/>
      <c r="Q17" s="12"/>
      <c r="R17" s="141"/>
      <c r="S17" s="33" t="s">
        <v>24</v>
      </c>
      <c r="T17" s="34" t="s">
        <v>20</v>
      </c>
      <c r="U17" s="34">
        <v>0</v>
      </c>
      <c r="V17" s="34" t="s">
        <v>10</v>
      </c>
      <c r="W17" s="34" t="s">
        <v>7</v>
      </c>
      <c r="X17" s="34" t="s">
        <v>36</v>
      </c>
      <c r="Y17" s="35" t="s">
        <v>2</v>
      </c>
      <c r="Z17" s="34" t="s">
        <v>3</v>
      </c>
      <c r="AA17" s="34" t="s">
        <v>55</v>
      </c>
      <c r="AB17" s="34" t="s">
        <v>54</v>
      </c>
      <c r="AC17" s="34" t="s">
        <v>56</v>
      </c>
      <c r="AD17" s="37" t="s">
        <v>60</v>
      </c>
      <c r="AE17" s="141"/>
    </row>
    <row r="18" spans="1:43" x14ac:dyDescent="0.3">
      <c r="A18" s="144"/>
      <c r="B18" s="11" t="s">
        <v>39</v>
      </c>
      <c r="C18" s="11">
        <f>COUNTIFS(Roster!T:T,"0",Roster!O:O,"Inbound",Roster!J:J,"Night Shift",Roster!P:P,"Direct",Roster!G:G,"AUH1")</f>
        <v>0</v>
      </c>
      <c r="D18" s="11">
        <f>COUNTIFS(Roster!T:T,"OFF",Roster!O:O,"Inbound",Roster!J:J,"Night Shift",Roster!P:P,"Direct",Roster!G:G,"AUH1")</f>
        <v>13</v>
      </c>
      <c r="E18" s="11">
        <f>COUNTIFS(Roster!T:T,"PL",Roster!O:O,"Inbound",Roster!J:J,"Night Shift",Roster!P:P,"Direct",Roster!G:G,"AUH1")</f>
        <v>6</v>
      </c>
      <c r="F18" s="11">
        <f>COUNTIFS(Table1[[#All],[Building]],"AUH1",Table1[[#All],[Shift]],"Night Shift",Table1[[#All],[OFF1]],"OT",Table1[[#All],[Department]],Dashboard!A16)+COUNTIFS(Table1[[#All],[Building]],"AUH1",Table1[[#All],[Shift]],"Night Shift",Table1[[#All],[OFF2]],"OT",Table1[[#All],[Department]],Dashboard!A16)</f>
        <v>0</v>
      </c>
      <c r="G18" s="11">
        <f>COUNTIFS(Roster!T:T,"P",Roster!O:O,"Inbound",Roster!J:J,"Night Shift",Roster!P:P,"Direct",Roster!G:G,"AUH1")</f>
        <v>64</v>
      </c>
      <c r="H18" s="11">
        <f>COUNTIFS(Roster!T:T,"SL",Roster!O:O,"Inbound",Roster!J:J,"Night Shift",Roster!P:P,"Direct",Roster!G:G,"AUH1")</f>
        <v>2</v>
      </c>
      <c r="I18" s="11">
        <f>COUNTIFS(Roster!T:T,"AB",Roster!O:O,"Inbound",Roster!J:J,"Night Shift",Roster!P:P,"Direct",Roster!G:G,"AUH1")+COUNTIFS(Roster!T:T,"ABWI",Roster!O:O,"Inbound",Roster!J:J,"Night Shift",Roster!P:P,"Direct",Roster!G:G,"AUH1")</f>
        <v>1</v>
      </c>
      <c r="J18" s="11">
        <f t="shared" si="4"/>
        <v>86</v>
      </c>
      <c r="K18" s="54">
        <f>(J18-D18)-C18-F18</f>
        <v>73</v>
      </c>
      <c r="L18" s="62">
        <v>0.89921052631578946</v>
      </c>
      <c r="M18" s="12">
        <f t="shared" si="3"/>
        <v>0.87671232876712324</v>
      </c>
      <c r="N18" s="12">
        <f t="shared" si="5"/>
        <v>0.87671232876712324</v>
      </c>
      <c r="O18" s="98"/>
      <c r="P18" s="98"/>
      <c r="Q18" s="12"/>
      <c r="R18" s="141"/>
      <c r="S18" s="151" t="s">
        <v>68</v>
      </c>
      <c r="T18" s="11" t="s">
        <v>34</v>
      </c>
      <c r="U18" s="11">
        <f>COUNTIFS(Roster!G:G,"AUH3",Roster!P:P,"Direct",Roster!T:T,"0",Roster!E:E,"Regular")+COUNTIFS(Roster!G:G,"DDB1",Roster!P:P,"Direct",Roster!T:T,"0",Roster!E:E,"Regular")</f>
        <v>0</v>
      </c>
      <c r="V18" s="11">
        <f>COUNTIFS(Roster!G:G,"AUH3",Roster!P:P,"Direct",Roster!T:T,"OFF",Roster!E:E,"Regular")+COUNTIFS(Roster!G:G,"DDB1",Roster!P:P,"Direct",Roster!T:T,"OFF",Roster!E:E,"Regular")</f>
        <v>2</v>
      </c>
      <c r="W18" s="11">
        <f>COUNTIFS(Roster!G:G,"AUH3",Roster!P:P,"Direct",Roster!T:T,"PL",Roster!E:E,"Regular")+COUNTIFS(Roster!G:G,"DDB1",Roster!P:P,"Direct",Roster!T:T,"PL",Roster!E:E,"Regular")</f>
        <v>1</v>
      </c>
      <c r="X18" s="11">
        <f>COUNTIFS(Table1[[#All],[Building]],"AUH3",Table1[[#All],[Employment Type]],"Regular",Table1[[#All],[OFF1]],"OT",Table1[[#All],[Department]],Dashboard!S18)+COUNTIFS(Table1[[#All],[Building]],"AUH3",Table1[[#All],[Employment Type]],"Regular",Table1[[#All],[OFF2]],"OT",Table1[[#All],[Department]],Dashboard!S18)</f>
        <v>0</v>
      </c>
      <c r="Y18" s="11">
        <f>COUNTIFS(Roster!G:G,"AUH3",Roster!P:P,"Direct",Roster!T:T,"P",Roster!E:E,"Regular")+COUNTIFS(Roster!G:G,"DDB1",Roster!P:P,"Direct",Roster!T:T,"P",Roster!E:E,"Regular")</f>
        <v>11</v>
      </c>
      <c r="Z18" s="11">
        <f>COUNTIFS(Roster!G:G,"AUH3",Roster!P:P,"Direct",Roster!T:T,"SL",Roster!E:E,"Regular")+COUNTIFS(Roster!G:G,"DDB1",Roster!P:P,"Direct",Roster!T:T,"SL",Roster!E:E,"Regular")</f>
        <v>0</v>
      </c>
      <c r="AA18" s="11">
        <f>COUNTIFS(Roster!G:G,"AUH3",Roster!P:P,"Direct",Roster!T:T,"AB",Roster!E:E,"Regular")+COUNTIFS(Roster!G:G,"DDB1",Roster!P:P,"Direct",Roster!T:T,"AB",Roster!E:E,"Regular")+COUNTIFS(Roster!G:G,"AUH3",Roster!P:P,"Direct",Roster!T:T,"ABWI",Roster!E:E,"Regular")+COUNTIFS(Roster!G:G,"DDB1",Roster!P:P,"Direct",Roster!T:T,"ABWI",Roster!E:E,"Regular")</f>
        <v>0</v>
      </c>
      <c r="AB18" s="11">
        <f>SUM(Y18:AA18,)+SUM(U18:W18)</f>
        <v>14</v>
      </c>
      <c r="AC18" s="11">
        <f>(AB18-V18)-U18</f>
        <v>12</v>
      </c>
      <c r="AD18" s="16">
        <f>Y18/AC18</f>
        <v>0.91666666666666663</v>
      </c>
      <c r="AE18" s="141"/>
      <c r="AL18" s="7">
        <f>1443+83</f>
        <v>1526</v>
      </c>
    </row>
    <row r="19" spans="1:43" s="10" customFormat="1" x14ac:dyDescent="0.3">
      <c r="A19" s="133" t="s">
        <v>70</v>
      </c>
      <c r="B19" s="133"/>
      <c r="C19" s="23">
        <f>SUM(C16:C18)</f>
        <v>0</v>
      </c>
      <c r="D19" s="23">
        <f t="shared" ref="D19:J19" si="10">SUM(D16:D18)</f>
        <v>40</v>
      </c>
      <c r="E19" s="23">
        <f>SUM(E16:E18)</f>
        <v>24</v>
      </c>
      <c r="F19" s="23">
        <f>SUM(F16:F18)</f>
        <v>4</v>
      </c>
      <c r="G19" s="24">
        <f t="shared" si="10"/>
        <v>253</v>
      </c>
      <c r="H19" s="23">
        <f t="shared" si="10"/>
        <v>5</v>
      </c>
      <c r="I19" s="23">
        <f t="shared" si="10"/>
        <v>2</v>
      </c>
      <c r="J19" s="23">
        <f t="shared" si="10"/>
        <v>324</v>
      </c>
      <c r="K19" s="23">
        <f>SUM(K16:K18)</f>
        <v>280</v>
      </c>
      <c r="L19" s="63">
        <v>0.88887543252595158</v>
      </c>
      <c r="M19" s="57">
        <f>(G19-F19)/(K19)</f>
        <v>0.88928571428571423</v>
      </c>
      <c r="N19" s="57">
        <f t="shared" si="5"/>
        <v>0.90357142857142858</v>
      </c>
      <c r="O19" s="85">
        <f>L19*K19</f>
        <v>248.88512110726646</v>
      </c>
      <c r="P19" s="85">
        <f>G19-F19</f>
        <v>249</v>
      </c>
      <c r="Q19" s="85">
        <f>P19-O19</f>
        <v>0.11487889273354313</v>
      </c>
      <c r="R19" s="141"/>
      <c r="S19" s="151"/>
      <c r="T19" s="11" t="s">
        <v>31</v>
      </c>
      <c r="U19" s="11">
        <f>COUNTIFS(Roster!G:G,"AUH3",Roster!P:P,"Direct",Roster!T:T,"0",Roster!E:E,"Temporary")+COUNTIFS(Roster!G:G,"DDB1",Roster!P:P,"Direct",Roster!T:T,"0",Roster!E:E,"Temporary")</f>
        <v>0</v>
      </c>
      <c r="V19" s="11">
        <f>COUNTIFS(Roster!G:G,"AUH3",Roster!P:P,"Direct",Roster!T:T,"OFF",Roster!E:E,"Temporary")+COUNTIFS(Roster!G:G,"DDB1",Roster!P:P,"Direct",Roster!T:T,"OFF",Roster!E:E,"Temporary")</f>
        <v>20</v>
      </c>
      <c r="W19" s="11">
        <f>COUNTIFS(Roster!G:G,"AUH3",Roster!P:P,"Direct",Roster!T:T,"PL",Roster!E:E,"Temporary")+COUNTIFS(Roster!G:G,"DDB1",Roster!P:P,"Direct",Roster!T:T,"PL",Roster!E:E,"Temporary")</f>
        <v>11</v>
      </c>
      <c r="X19" s="11">
        <f>COUNTIFS(Table1[[#All],[Building]],"AUH3",Table1[[#All],[Employment Type]],"Temporary",Table1[[#All],[OFF1]],"OT",Table1[[#All],[Department]],Dashboard!S18)+COUNTIFS(Table1[[#All],[Building]],"AUH3",Table1[[#All],[Employment Type]],"Temporary",Table1[[#All],[OFF2]],"OT",Table1[[#All],[Department]],Dashboard!S18)</f>
        <v>0</v>
      </c>
      <c r="Y19" s="11">
        <f>COUNTIFS(Roster!G:G,"AUH3",Roster!P:P,"Direct",Roster!T:T,"P",Roster!E:E,"Temporary")+COUNTIFS(Roster!G:G,"DDB1",Roster!P:P,"Direct",Roster!T:T,"P",Roster!E:E,"Temporary")</f>
        <v>42</v>
      </c>
      <c r="Z19" s="11">
        <f>COUNTIFS(Roster!G:G,"AUH3",Roster!P:P,"Direct",Roster!T:T,"SL",Roster!E:E,"Temporary")+COUNTIFS(Roster!G:G,"DDB1",Roster!P:P,"Direct",Roster!T:T,"SL",Roster!E:E,"Temporary")</f>
        <v>1</v>
      </c>
      <c r="AA19" s="11">
        <f>COUNTIFS(Roster!G:G,"AUH3",Roster!P:P,"Direct",Roster!T:T,"AB",Roster!E:E,"Temporary")+COUNTIFS(Roster!G:G,"DDB1",Roster!P:P,"Direct",Roster!T:T,"AB",Roster!E:E,"Temporary")+COUNTIFS(Roster!G:G,"AUH3",Roster!P:P,"Direct",Roster!T:T,"ABWI",Roster!E:E,"Temporary")+COUNTIFS(Roster!G:G,"DDB1",Roster!P:P,"Direct",Roster!T:T,"ABWI",Roster!E:E,"Temporary")</f>
        <v>0</v>
      </c>
      <c r="AB19" s="11">
        <f>SUM(Y19:AA19,)+SUM(U19:W19)</f>
        <v>74</v>
      </c>
      <c r="AC19" s="11">
        <f>(AB19-V19)-U19</f>
        <v>54</v>
      </c>
      <c r="AD19" s="16">
        <f>Y19/AC19</f>
        <v>0.77777777777777779</v>
      </c>
      <c r="AE19" s="141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</row>
    <row r="20" spans="1:43" x14ac:dyDescent="0.3">
      <c r="A20" s="135" t="s">
        <v>37</v>
      </c>
      <c r="B20" s="11" t="s">
        <v>32</v>
      </c>
      <c r="C20" s="11">
        <f>COUNTIFS(Roster!T:T,"0",Roster!O:O,"Outbound",Roster!J:J,"Day Shift",Roster!P:P,"Direct",Roster!G:G,"AUH1")</f>
        <v>0</v>
      </c>
      <c r="D20" s="11">
        <f>COUNTIFS(Roster!T:T,"OFF",Roster!O:O,"Outbound",Roster!J:J,"Day Shift",Roster!P:P,"Direct",Roster!G:G,"AUH1")</f>
        <v>61</v>
      </c>
      <c r="E20" s="11">
        <f>COUNTIFS(Roster!T:T,"PL",Roster!O:O,"Outbound",Roster!J:J,"Day Shift",Roster!P:P,"Direct",Roster!G:G,"AUH1")</f>
        <v>22</v>
      </c>
      <c r="F20" s="11">
        <f>COUNTIFS(Table1[[#All],[Building]],"AUH1",Table1[[#All],[Shift]],"Day Shift",Table1[[#All],[OFF1]],"OT",Table1[[#All],[Department]],Dashboard!A20)+COUNTIFS(Table1[[#All],[Building]],"AUH1",Table1[[#All],[Shift]],"Day Shift",Table1[[#All],[OFF2]],"OT",Table1[[#All],[Department]],Dashboard!A20)</f>
        <v>3</v>
      </c>
      <c r="G20" s="11">
        <f>COUNTIFS(Roster!T:T,"P",Roster!O:O,"Outbound",Roster!J:J,"Day Shift",Roster!P:P,"Direct",Roster!G:G,"AUH1")</f>
        <v>161</v>
      </c>
      <c r="H20" s="11">
        <f>COUNTIFS(Roster!T:T,"SL",Roster!O:O,"Outbound",Roster!J:J,"Day Shift",Roster!P:P,"Direct",Roster!G:G,"AUH1")</f>
        <v>3</v>
      </c>
      <c r="I20" s="11">
        <f>COUNTIFS(Roster!T:T,"AB",Roster!O:O,"Outbound",Roster!J:J,"Day Shift",Roster!P:P,"Direct",Roster!G:G,"AUH1")+COUNTIFS(Roster!T:T,"ABWI",Roster!O:O,"Outbound",Roster!J:J,"Day Shift",Roster!P:P,"Direct",Roster!G:G,"AUH1")</f>
        <v>0</v>
      </c>
      <c r="J20" s="11">
        <f>SUM(G20:I20,)+SUM(C20:E20)</f>
        <v>247</v>
      </c>
      <c r="K20" s="11">
        <f>(J20-D20)-C20-F20</f>
        <v>183</v>
      </c>
      <c r="L20" s="62">
        <v>0.84067567567567558</v>
      </c>
      <c r="M20" s="12">
        <f t="shared" si="3"/>
        <v>0.86338797814207646</v>
      </c>
      <c r="N20" s="12">
        <f t="shared" si="5"/>
        <v>0.8797814207650273</v>
      </c>
      <c r="O20" s="98"/>
      <c r="P20" s="98"/>
      <c r="Q20" s="12"/>
      <c r="R20" s="141"/>
      <c r="S20" s="167" t="s">
        <v>59</v>
      </c>
      <c r="T20" s="133"/>
      <c r="U20" s="23">
        <f t="shared" ref="U20:AA20" si="11">SUM(U17:U19)</f>
        <v>0</v>
      </c>
      <c r="V20" s="23">
        <f t="shared" si="11"/>
        <v>22</v>
      </c>
      <c r="W20" s="23">
        <f t="shared" si="11"/>
        <v>12</v>
      </c>
      <c r="X20" s="23">
        <f t="shared" si="11"/>
        <v>0</v>
      </c>
      <c r="Y20" s="24">
        <f t="shared" si="11"/>
        <v>53</v>
      </c>
      <c r="Z20" s="23">
        <f t="shared" si="11"/>
        <v>1</v>
      </c>
      <c r="AA20" s="23">
        <f t="shared" si="11"/>
        <v>0</v>
      </c>
      <c r="AB20" s="23">
        <f>SUM(AB17:AB19)</f>
        <v>88</v>
      </c>
      <c r="AC20" s="23">
        <f>SUM(AC18:AC19)</f>
        <v>66</v>
      </c>
      <c r="AD20" s="25"/>
      <c r="AE20" s="141"/>
    </row>
    <row r="21" spans="1:43" hidden="1" x14ac:dyDescent="0.3">
      <c r="A21" s="144"/>
      <c r="B21" s="74" t="s">
        <v>38</v>
      </c>
      <c r="C21" s="11">
        <f>COUNTIFS(Roster!T:T,"0",Roster!O:O,"Outbound",Roster!J:J,"Mid Shift",Roster!P:P,"Direct",Roster!G:G,"AUH1")</f>
        <v>0</v>
      </c>
      <c r="D21" s="11">
        <f>COUNTIFS(Roster!T:T,"OFF",Roster!O:O,"Outbound",Roster!J:J,"Mid Shift",Roster!P:P,"Direct",Roster!G:G,"AUH1")</f>
        <v>0</v>
      </c>
      <c r="E21" s="11">
        <f>COUNTIFS(Roster!T:T,"PL",Roster!O:O,"Outbound",Roster!J:J,"Mid Shift",Roster!P:P,"Direct",Roster!G:G,"AUH1")</f>
        <v>0</v>
      </c>
      <c r="F21" s="11">
        <f>COUNTIFS(Table1[[#All],[Building]],"AUH1",Table1[[#All],[Shift]],"Mid Shift",Table1[[#All],[OFF1]],"OT",Table1[[#All],[Department]],Dashboard!A20)+COUNTIFS(Table1[[#All],[Building]],"AUH1",Table1[[#All],[Shift]],"Mid Shift",Table1[[#All],[OFF2]],"OT",Table1[[#All],[Department]],Dashboard!A20)</f>
        <v>0</v>
      </c>
      <c r="G21" s="11">
        <f>COUNTIFS(Roster!T:T,"P",Roster!O:O,"Outbound",Roster!J:J,"Mid Shift",Roster!P:P,"Direct",Roster!G:G,"AUH1")</f>
        <v>0</v>
      </c>
      <c r="H21" s="11">
        <f>COUNTIFS(Roster!T:T,"SL",Roster!O:O,"Outbound",Roster!J:J,"Mid Shift",Roster!P:P,"Direct",Roster!G:G,"AUH1")</f>
        <v>0</v>
      </c>
      <c r="I21" s="11">
        <f>COUNTIFS(Roster!T:T,"AB",Roster!O:O,"Outbound",Roster!J:J,"Mid Shift",Roster!P:P,"Direct",Roster!G:G,"AUH1")+COUNTIFS(Roster!T:T,"ABWI",Roster!O:O,"Outbound",Roster!J:J,"Mid Shift",Roster!P:P,"Direct",Roster!G:G,"AUH1")</f>
        <v>0</v>
      </c>
      <c r="J21" s="11">
        <f t="shared" si="4"/>
        <v>0</v>
      </c>
      <c r="K21" s="11">
        <f>(J21-D21)-C21-F21</f>
        <v>0</v>
      </c>
      <c r="L21" s="62"/>
      <c r="M21" s="12" t="e">
        <f t="shared" si="3"/>
        <v>#DIV/0!</v>
      </c>
      <c r="N21" s="12" t="e">
        <f t="shared" si="5"/>
        <v>#DIV/0!</v>
      </c>
      <c r="O21" s="98"/>
      <c r="P21" s="98"/>
      <c r="Q21" s="12"/>
      <c r="R21" s="141"/>
      <c r="S21" s="151"/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7"/>
      <c r="AE21" s="141"/>
    </row>
    <row r="22" spans="1:43" ht="24" x14ac:dyDescent="0.3">
      <c r="A22" s="150"/>
      <c r="B22" s="54" t="s">
        <v>39</v>
      </c>
      <c r="C22" s="54">
        <f>COUNTIFS(Roster!T:T,"0",Roster!O:O,"Outbound",Roster!J:J,"Night Shift",Roster!P:P,"Direct",Roster!G:G,"AUH1")</f>
        <v>0</v>
      </c>
      <c r="D22" s="54">
        <f>COUNTIFS(Roster!T:T,"OFF",Roster!O:O,"Outbound",Roster!J:J,"Night Shift",Roster!P:P,"Direct",Roster!G:G,"AUH1")</f>
        <v>95</v>
      </c>
      <c r="E22" s="54">
        <f>COUNTIFS(Roster!T:T,"PL",Roster!O:O,"Outbound",Roster!J:J,"Night Shift",Roster!P:P,"Direct",Roster!G:G,"AUH1")</f>
        <v>28</v>
      </c>
      <c r="F22" s="54">
        <f>COUNTIFS(Table1[[#All],[Building]],"AUH1",Table1[[#All],[Shift]],"Night Shift",Table1[[#All],[OFF1]],"OT",Table1[[#All],[Department]],Dashboard!A20)+COUNTIFS(Table1[[#All],[Building]],"AUH1",Table1[[#All],[Shift]],"Night Shift",Table1[[#All],[OFF2]],"OT",Table1[[#All],[Department]],Dashboard!A20)</f>
        <v>8</v>
      </c>
      <c r="G22" s="54">
        <f>COUNTIFS(Roster!T:T,"P",Roster!O:O,"Outbound",Roster!J:J,"Night Shift",Roster!P:P,"Direct",Roster!G:G,"AUH1")</f>
        <v>246</v>
      </c>
      <c r="H22" s="54">
        <f>COUNTIFS(Roster!T:T,"SL",Roster!O:O,"Outbound",Roster!J:J,"Night Shift",Roster!P:P,"Direct",Roster!G:G,"AUH1")</f>
        <v>3</v>
      </c>
      <c r="I22" s="54">
        <f>COUNTIFS(Roster!T:T,"AB",Roster!O:O,"Outbound",Roster!J:J,"Night Shift",Roster!P:P,"Direct",Roster!G:G,"AUH1")+COUNTIFS(Roster!T:T,"ABWI",Roster!O:O,"Outbound",Roster!J:J,"Night Shift",Roster!P:P,"Direct",Roster!G:G,"AUH1")</f>
        <v>3</v>
      </c>
      <c r="J22" s="54">
        <f t="shared" si="4"/>
        <v>375</v>
      </c>
      <c r="K22" s="54">
        <f>(J22-D22)-C22-F22</f>
        <v>272</v>
      </c>
      <c r="L22" s="62">
        <v>0.84947653429602887</v>
      </c>
      <c r="M22" s="65">
        <f t="shared" si="3"/>
        <v>0.875</v>
      </c>
      <c r="N22" s="65">
        <f t="shared" si="5"/>
        <v>0.90441176470588236</v>
      </c>
      <c r="O22" s="99"/>
      <c r="P22" s="99"/>
      <c r="Q22" s="12"/>
      <c r="R22" s="141"/>
      <c r="S22" s="33" t="s">
        <v>20</v>
      </c>
      <c r="T22" s="34" t="s">
        <v>47</v>
      </c>
      <c r="U22" s="34" t="s">
        <v>48</v>
      </c>
      <c r="V22" s="34" t="s">
        <v>49</v>
      </c>
      <c r="W22" s="34" t="s">
        <v>7</v>
      </c>
      <c r="X22" s="34" t="s">
        <v>36</v>
      </c>
      <c r="Y22" s="34" t="s">
        <v>50</v>
      </c>
      <c r="Z22" s="34" t="s">
        <v>2</v>
      </c>
      <c r="AA22" s="34" t="s">
        <v>51</v>
      </c>
      <c r="AB22" s="34" t="s">
        <v>52</v>
      </c>
      <c r="AC22" s="34" t="s">
        <v>53</v>
      </c>
      <c r="AD22" s="145"/>
      <c r="AE22" s="141"/>
    </row>
    <row r="23" spans="1:43" s="10" customFormat="1" x14ac:dyDescent="0.3">
      <c r="A23" s="133" t="s">
        <v>58</v>
      </c>
      <c r="B23" s="133"/>
      <c r="C23" s="23">
        <f t="shared" ref="C23:J23" si="12">SUM(C20:C22)</f>
        <v>0</v>
      </c>
      <c r="D23" s="23">
        <f t="shared" si="12"/>
        <v>156</v>
      </c>
      <c r="E23" s="23">
        <f t="shared" si="12"/>
        <v>50</v>
      </c>
      <c r="F23" s="23">
        <f>SUM(F20:F22)</f>
        <v>11</v>
      </c>
      <c r="G23" s="24">
        <f t="shared" si="12"/>
        <v>407</v>
      </c>
      <c r="H23" s="23">
        <f t="shared" si="12"/>
        <v>6</v>
      </c>
      <c r="I23" s="23">
        <f t="shared" si="12"/>
        <v>3</v>
      </c>
      <c r="J23" s="23">
        <f t="shared" si="12"/>
        <v>622</v>
      </c>
      <c r="K23" s="23">
        <f>SUM(K20:K22)</f>
        <v>455</v>
      </c>
      <c r="L23" s="63">
        <v>0.84595238095238101</v>
      </c>
      <c r="M23" s="57">
        <f>(G23-F23)/(K23)</f>
        <v>0.87032967032967035</v>
      </c>
      <c r="N23" s="57">
        <f t="shared" si="5"/>
        <v>0.89450549450549455</v>
      </c>
      <c r="O23" s="85">
        <f>L23*K23</f>
        <v>384.90833333333336</v>
      </c>
      <c r="P23" s="85">
        <f>G23-F23</f>
        <v>396</v>
      </c>
      <c r="Q23" s="85">
        <f>P23-O23</f>
        <v>11.09166666666664</v>
      </c>
      <c r="R23" s="141"/>
      <c r="S23" s="13" t="s">
        <v>34</v>
      </c>
      <c r="T23" s="11">
        <f>COUNTIFS(Roster!G:G,"AUH3",Roster!E:E,"Regular")+COUNTIFS(Roster!G:G,"DDB1",Roster!E:E,"Regular",Roster!P:P,"Direct")</f>
        <v>14</v>
      </c>
      <c r="U23" s="11">
        <f>COUNTIFS(Roster!G:G,"AUH3",Roster!E:E,"Regular",Roster!T:T,"OFF",Roster!P:P,"Direct")+COUNTIFS(Roster!G:G,"DDB1",Roster!E:E,"Regular",Roster!T:T,"OFF",Roster!P:P,"Direct")</f>
        <v>2</v>
      </c>
      <c r="V23" s="11">
        <f>SUMIFS($AC$18:$AC$19,$T$18:$T$19,"Regular")</f>
        <v>12</v>
      </c>
      <c r="W23" s="11">
        <f>COUNTIFS(Roster!G:G,"AUH3",Roster!E:E,"Regular",Roster!T:T,"PL",Roster!P:P,"Direct")+COUNTIFS(Roster!G:G,"DDB1",Roster!E:E,"Regular",Roster!T:T,"PL",Roster!P:P,"Direct")</f>
        <v>1</v>
      </c>
      <c r="X23" s="11">
        <f>COUNTIFS(Table1[[#All],[Building]],"AUH3",Table1[[#All],[Employment Type]],"Regular",Table1[[#All],[OFF1]],"OT",Table1[[#All],[Department]],Dashboard!S23)+COUNTIFS(Table1[[#All],[Building]],"AUH3",Table1[[#All],[Employment Type]],"Regular",Table1[[#All],[OFF2]],"OT",Table1[[#All],[Department]],Dashboard!S23)</f>
        <v>0</v>
      </c>
      <c r="Y23" s="11">
        <f>COUNTIFS(Roster!G:G,"AUH3",Roster!E:E,"Regular",Roster!T:T,"AB",Roster!P:P,"Direct")+COUNTIFS(Roster!G:G,"AUH3",Roster!E:E,"Regular",Roster!T:T,"SL",Roster!P:P,"Direct")+COUNTIFS(Roster!G:G,"AUH3",Roster!E:E,"Regular",Roster!T:T,"ABWI",Roster!P:P,"Direct")+COUNTIFS(Roster!G:G,"DDB1",Roster!E:E,"Regular",Roster!T:T,"ABWI")</f>
        <v>0</v>
      </c>
      <c r="Z23" s="11">
        <f>V23-W23-Y23</f>
        <v>11</v>
      </c>
      <c r="AA23" s="12">
        <f>Z23/V23</f>
        <v>0.91666666666666663</v>
      </c>
      <c r="AB23" s="21">
        <v>0.92384615384615376</v>
      </c>
      <c r="AC23" s="12">
        <f>AA23/AB23</f>
        <v>0.99222869830696647</v>
      </c>
      <c r="AD23" s="146"/>
      <c r="AE23" s="141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</row>
    <row r="24" spans="1:43" s="10" customFormat="1" ht="12.5" thickBot="1" x14ac:dyDescent="0.35">
      <c r="A24" s="135" t="s">
        <v>67</v>
      </c>
      <c r="B24" s="11" t="s">
        <v>32</v>
      </c>
      <c r="C24" s="11">
        <f>COUNTIFS(Roster!T:T,"0",Roster!O:O,"CRET",Roster!J:J,"Day Shift",Roster!P:P,"Direct",Roster!G:G,"AUH1")</f>
        <v>0</v>
      </c>
      <c r="D24" s="11">
        <f>COUNTIFS(Roster!T:T,"OFF",Roster!O:O,"CRET",Roster!J:J,"Day Shift",Roster!P:P,"Direct",Roster!G:G,"AUH1")</f>
        <v>39</v>
      </c>
      <c r="E24" s="11">
        <f>COUNTIFS(Roster!T:T,"PL",Roster!O:O,"CRET",Roster!J:J,"Day Shift",Roster!P:P,"Direct",Roster!G:G,"AUH1")</f>
        <v>8</v>
      </c>
      <c r="F24" s="11">
        <f>COUNTIFS(Table1[[#All],[Building]],"AUH1",Table1[[#All],[Shift]],"Day Shift",Table1[[#All],[OFF1]],"OT",Table1[[#All],[Department]],Dashboard!A24)+COUNTIFS(Table1[[#All],[Building]],"AUH1",Table1[[#All],[Shift]],"Day Shift",Table1[[#All],[OFF2]],"OT",Table1[[#All],[Department]],Dashboard!A24)</f>
        <v>4</v>
      </c>
      <c r="G24" s="11">
        <f>COUNTIFS(Roster!T:T,"P",Roster!O:O,"CRET",Roster!J:J,"Day Shift",Roster!P:P,"Direct",Roster!G:G,"AUH1")</f>
        <v>86</v>
      </c>
      <c r="H24" s="11">
        <f>COUNTIFS(Roster!T:T,"SL",Roster!O:O,"CRET",Roster!J:J,"Day Shift",Roster!P:P,"Direct",Roster!G:G,"AUH1")</f>
        <v>0</v>
      </c>
      <c r="I24" s="11">
        <f>COUNTIFS(Roster!T:T,"AB",Roster!O:O,"CRET",Roster!J:J,"Day Shift",Roster!P:P,"Direct",Roster!G:G,"AUH1")+COUNTIFS(Roster!T:T,"ABWI",Roster!O:O,"CRET",Roster!J:J,"Day Shift",Roster!P:P,"Direct",Roster!G:G,"AUH1")</f>
        <v>1</v>
      </c>
      <c r="J24" s="11">
        <f t="shared" si="4"/>
        <v>134</v>
      </c>
      <c r="K24" s="11">
        <f>(J24-D24)-C24-F24</f>
        <v>91</v>
      </c>
      <c r="L24" s="62">
        <v>0.89978260869565219</v>
      </c>
      <c r="M24" s="12">
        <f t="shared" si="3"/>
        <v>0.90109890109890112</v>
      </c>
      <c r="N24" s="12">
        <f t="shared" si="5"/>
        <v>0.94505494505494503</v>
      </c>
      <c r="O24" s="98"/>
      <c r="P24" s="98"/>
      <c r="Q24" s="12"/>
      <c r="R24" s="141"/>
      <c r="S24" s="17" t="s">
        <v>31</v>
      </c>
      <c r="T24" s="18">
        <f>COUNTIFS(Roster!G:G,"AUH3",Roster!E:E,"Temporary")+COUNTIFS(Roster!G:G,"DDB1",Roster!E:E,"Temporary",Roster!P:P,"Direct")</f>
        <v>74</v>
      </c>
      <c r="U24" s="18">
        <f>COUNTIFS(Roster!G:G,"AUH3",Roster!E:E,"Temporary",Roster!T:T,"OFF",Roster!P:P,"Direct")+COUNTIFS(Roster!G:G,"DDB1",Roster!E:E,"Temporary",Roster!T:T,"OFF",Roster!P:P,"Direct")</f>
        <v>20</v>
      </c>
      <c r="V24" s="18">
        <f>SUMIFS($AC$18:$AC$19,$T$18:$T$19,"Temporary")</f>
        <v>54</v>
      </c>
      <c r="W24" s="18">
        <f>COUNTIFS(Roster!G:G,"AUH3",Roster!E:E,"Temporary",Roster!T:T,"PL",Roster!P:P,"Direct")+COUNTIFS(Roster!G:G,"DDB1",Roster!E:E,"Temporary",Roster!T:T,"PL",Roster!P:P,"Direct")</f>
        <v>11</v>
      </c>
      <c r="X24" s="18">
        <f>COUNTIFS(Table1[[#All],[Building]],"AUH3",Table1[[#All],[Employment Type]],"Temporary",Table1[[#All],[OFF1]],"OT",Table1[[#All],[Department]],Dashboard!S23)+COUNTIFS(Table1[[#All],[Building]],"AUH3",Table1[[#All],[Employment Type]],"Temporary",Table1[[#All],[OFF2]],"OT",Table1[[#All],[Department]],Dashboard!S23)</f>
        <v>0</v>
      </c>
      <c r="Y24" s="18">
        <f>COUNTIFS(Roster!G:G,"AUH3",Roster!E:E,"Temporary",Roster!T:T,"AB")+COUNTIFS(Roster!G:G,"AUH3",Roster!E:E,"Temporary",Roster!T:T,"SL")+COUNTIFS(Roster!G:G,"AUH3",Roster!E:E,"Temporary",Roster!T:T,"ABWI")+COUNTIFS(Roster!G:G,"DDB1",Roster!E:E,"Temporary",Roster!T:T,"ABWI",Roster!P:P,"Direct")</f>
        <v>1</v>
      </c>
      <c r="Z24" s="18">
        <f>V24-W24-Y24</f>
        <v>42</v>
      </c>
      <c r="AA24" s="12">
        <f>Z24/V24</f>
        <v>0.77777777777777779</v>
      </c>
      <c r="AB24" s="21">
        <v>0.90181818181818185</v>
      </c>
      <c r="AC24" s="12">
        <f>AA24/AB24</f>
        <v>0.86245519713261642</v>
      </c>
      <c r="AD24" s="147"/>
      <c r="AE24" s="141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</row>
    <row r="25" spans="1:43" s="10" customFormat="1" hidden="1" x14ac:dyDescent="0.3">
      <c r="A25" s="144"/>
      <c r="B25" s="74" t="s">
        <v>38</v>
      </c>
      <c r="C25" s="11">
        <f>COUNTIFS(Roster!T:T,"0",Roster!O:O,"CRET",Roster!J:J,"Mid Shift",Roster!P:P,"Direct",Roster!G:G,"AUH1")</f>
        <v>0</v>
      </c>
      <c r="D25" s="11">
        <f>COUNTIFS(Roster!T:T,"OFF",Roster!O:O,"CRET",Roster!J:J,"Mid Shift",Roster!P:P,"Direct",Roster!G:G,"AUH1")</f>
        <v>0</v>
      </c>
      <c r="E25" s="11">
        <f>COUNTIFS(Roster!T:T,"PL",Roster!O:O,"CRET",Roster!J:J,"Mid Shift",Roster!P:P,"Direct",Roster!G:G,"AUH1")</f>
        <v>0</v>
      </c>
      <c r="F25" s="11">
        <f>COUNTIFS(Table1[[#All],[Building]],"AUH1",Table1[[#All],[Shift]],"Mid Shift",Table1[[#All],[OFF1]],"OT",Table1[[#All],[Department]],Dashboard!A24)+COUNTIFS(Table1[[#All],[Building]],"AUH1",Table1[[#All],[Shift]],"Mid Shift",Table1[[#All],[OFF2]],"OT",Table1[[#All],[Department]],Dashboard!A24)</f>
        <v>0</v>
      </c>
      <c r="G25" s="11">
        <f>COUNTIFS(Roster!T:T,"P",Roster!O:O,"CRET",Roster!J:J,"Mid Shift",Roster!P:P,"Direct",Roster!G:G,"AUH1")</f>
        <v>0</v>
      </c>
      <c r="H25" s="11">
        <f>COUNTIFS(Roster!T:T,"SL",Roster!O:O,"CRET",Roster!J:J,"Mid Shift",Roster!P:P,"Direct",Roster!G:G,"AUH1")</f>
        <v>0</v>
      </c>
      <c r="I25" s="11">
        <f>COUNTIFS(Roster!T:T,"AB",Roster!O:O,"CRET",Roster!J:J,"Mid Shift",Roster!P:P,"Direct",Roster!G:G,"AUH1")+COUNTIFS(Roster!T:T,"ABWI",Roster!O:O,"CRET",Roster!J:J,"Mid Shift",Roster!P:P,"Direct",Roster!G:G,"AUH1")</f>
        <v>0</v>
      </c>
      <c r="J25" s="11">
        <f t="shared" si="4"/>
        <v>0</v>
      </c>
      <c r="K25" s="11">
        <f>(J25-D25)-C25-F25</f>
        <v>0</v>
      </c>
      <c r="L25" s="62"/>
      <c r="M25" s="12" t="e">
        <f t="shared" si="3"/>
        <v>#DIV/0!</v>
      </c>
      <c r="N25" s="12" t="e">
        <f t="shared" si="5"/>
        <v>#DIV/0!</v>
      </c>
      <c r="O25" s="98"/>
      <c r="P25" s="98"/>
      <c r="Q25" s="12"/>
      <c r="R25" s="141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141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s="10" customFormat="1" x14ac:dyDescent="0.3">
      <c r="A26" s="135"/>
      <c r="B26" s="11" t="s">
        <v>39</v>
      </c>
      <c r="C26" s="11">
        <f>COUNTIFS(Roster!T:T,"0",Roster!O:O,"CRET",Roster!J:J,"Night Shift",Roster!P:P,"Direct",Roster!G:G,"AUH1")</f>
        <v>0</v>
      </c>
      <c r="D26" s="11">
        <f>COUNTIFS(Roster!T:T,"OFF",Roster!O:O,"CRET",Roster!J:J,"Night Shift",Roster!P:P,"Direct",Roster!G:G,"AUH1")</f>
        <v>25</v>
      </c>
      <c r="E26" s="11">
        <f>COUNTIFS(Roster!T:T,"PL",Roster!O:O,"CRET",Roster!J:J,"Night Shift",Roster!P:P,"Direct",Roster!G:G,"AUH1")</f>
        <v>4</v>
      </c>
      <c r="F26" s="11">
        <f>COUNTIFS(Table1[[#All],[Building]],"AUH1",Table1[[#All],[Shift]],"Night Shift",Table1[[#All],[OFF1]],"OT",Table1[[#All],[Department]],Dashboard!A24)+COUNTIFS(Table1[[#All],[Building]],"AUH1",Table1[[#All],[Shift]],"Night Shift",Table1[[#All],[OFF2]],"OT",Table1[[#All],[Department]],Dashboard!A24)</f>
        <v>0</v>
      </c>
      <c r="G26" s="11">
        <f>COUNTIFS(Roster!T:T,"P",Roster!O:O,"CRET",Roster!J:J,"Night Shift",Roster!P:P,"Direct",Roster!G:G,"AUH1")</f>
        <v>57</v>
      </c>
      <c r="H26" s="11">
        <f>COUNTIFS(Roster!T:T,"SL",Roster!O:O,"CRET",Roster!J:J,"Night Shift",Roster!P:P,"Direct",Roster!G:G,"AUH1")</f>
        <v>0</v>
      </c>
      <c r="I26" s="11">
        <f>COUNTIFS(Roster!T:T,"AB",Roster!O:O,"CRET",Roster!J:J,"Night Shift",Roster!P:P,"Direct",Roster!G:G,"AUH1")+COUNTIFS(Roster!T:T,"ABWI",Roster!O:O,"CRET",Roster!J:J,"Night Shift",Roster!P:P,"Direct",Roster!G:G,"AUH1")</f>
        <v>0</v>
      </c>
      <c r="J26" s="11">
        <f t="shared" si="4"/>
        <v>86</v>
      </c>
      <c r="K26" s="11">
        <f>(J26-D26)-C26-F26</f>
        <v>61</v>
      </c>
      <c r="L26" s="62">
        <v>0.86822580645161285</v>
      </c>
      <c r="M26" s="12">
        <f t="shared" si="3"/>
        <v>0.93442622950819676</v>
      </c>
      <c r="N26" s="12">
        <f t="shared" si="5"/>
        <v>0.93442622950819676</v>
      </c>
      <c r="O26" s="98"/>
      <c r="P26" s="98"/>
      <c r="Q26" s="12"/>
      <c r="R26" s="141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141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s="10" customFormat="1" x14ac:dyDescent="0.3">
      <c r="A27" s="133" t="s">
        <v>69</v>
      </c>
      <c r="B27" s="133"/>
      <c r="C27" s="23">
        <f t="shared" ref="C27:J27" si="13">SUM(C24:C26)</f>
        <v>0</v>
      </c>
      <c r="D27" s="23">
        <f t="shared" si="13"/>
        <v>64</v>
      </c>
      <c r="E27" s="23">
        <f t="shared" si="13"/>
        <v>12</v>
      </c>
      <c r="F27" s="23">
        <f>SUM(F24:F26)</f>
        <v>4</v>
      </c>
      <c r="G27" s="24">
        <f t="shared" si="13"/>
        <v>143</v>
      </c>
      <c r="H27" s="23">
        <f t="shared" si="13"/>
        <v>0</v>
      </c>
      <c r="I27" s="23">
        <f t="shared" si="13"/>
        <v>1</v>
      </c>
      <c r="J27" s="23">
        <f t="shared" si="13"/>
        <v>220</v>
      </c>
      <c r="K27" s="23">
        <f>SUM(K24:K26)</f>
        <v>152</v>
      </c>
      <c r="L27" s="63">
        <v>0.88707792207792213</v>
      </c>
      <c r="M27" s="57">
        <f t="shared" si="3"/>
        <v>0.91447368421052633</v>
      </c>
      <c r="N27" s="63">
        <f t="shared" si="5"/>
        <v>0.94078947368421051</v>
      </c>
      <c r="O27" s="85">
        <f>L27*K27</f>
        <v>134.83584415584417</v>
      </c>
      <c r="P27" s="85">
        <f>G27-F27</f>
        <v>139</v>
      </c>
      <c r="Q27" s="85">
        <f>P27-O27</f>
        <v>4.1641558441558288</v>
      </c>
      <c r="R27" s="141"/>
      <c r="S27" s="7"/>
      <c r="T27" s="7"/>
      <c r="U27" s="7"/>
      <c r="V27" s="7"/>
      <c r="W27" s="46"/>
      <c r="X27" s="7"/>
      <c r="Y27" s="7"/>
      <c r="Z27" s="46"/>
      <c r="AA27" s="7"/>
      <c r="AB27" s="7"/>
      <c r="AC27" s="7"/>
      <c r="AD27" s="7"/>
      <c r="AE27" s="141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3" x14ac:dyDescent="0.3">
      <c r="A28" s="134" t="s">
        <v>54</v>
      </c>
      <c r="B28" s="134"/>
      <c r="C28" s="50">
        <f t="shared" ref="C28:J28" si="14">C15+C19+C23+C27</f>
        <v>0</v>
      </c>
      <c r="D28" s="50">
        <f t="shared" si="14"/>
        <v>268</v>
      </c>
      <c r="E28" s="50">
        <f t="shared" si="14"/>
        <v>90</v>
      </c>
      <c r="F28" s="50">
        <f t="shared" si="14"/>
        <v>22</v>
      </c>
      <c r="G28" s="50">
        <f t="shared" si="14"/>
        <v>840</v>
      </c>
      <c r="H28" s="50">
        <f t="shared" si="14"/>
        <v>12</v>
      </c>
      <c r="I28" s="50">
        <f t="shared" si="14"/>
        <v>6</v>
      </c>
      <c r="J28" s="50">
        <f t="shared" si="14"/>
        <v>1216</v>
      </c>
      <c r="K28" s="50">
        <f>K15+K19+K23+K27</f>
        <v>926</v>
      </c>
      <c r="L28" s="36">
        <f>J9</f>
        <v>0.86552910052910059</v>
      </c>
      <c r="M28" s="64">
        <f t="shared" si="3"/>
        <v>0.88336933045356369</v>
      </c>
      <c r="N28" s="64">
        <f t="shared" si="5"/>
        <v>0.90712742980561556</v>
      </c>
      <c r="O28" s="85">
        <f>L28*K28</f>
        <v>801.47994708994713</v>
      </c>
      <c r="P28" s="85">
        <f>G28-F28</f>
        <v>818</v>
      </c>
      <c r="Q28" s="86">
        <f>P28-O28</f>
        <v>16.520052910052868</v>
      </c>
      <c r="R28" s="141"/>
      <c r="AE28" s="141"/>
    </row>
    <row r="29" spans="1:43" x14ac:dyDescent="0.3">
      <c r="E29" s="46"/>
      <c r="G29" s="46"/>
    </row>
    <row r="30" spans="1:43" x14ac:dyDescent="0.3">
      <c r="E30" s="46"/>
      <c r="G30" s="46"/>
      <c r="H30" s="82"/>
      <c r="J30" s="55"/>
    </row>
    <row r="31" spans="1:43" x14ac:dyDescent="0.3">
      <c r="E31" s="46"/>
      <c r="G31" s="46"/>
    </row>
    <row r="32" spans="1:43" x14ac:dyDescent="0.3">
      <c r="E32" s="46"/>
      <c r="G32" s="46"/>
      <c r="J32" s="46"/>
    </row>
    <row r="34" spans="5:5" x14ac:dyDescent="0.3">
      <c r="E34" s="46"/>
    </row>
  </sheetData>
  <sheetProtection formatCells="0" formatColumns="0" formatRows="0" insertColumns="0" insertRows="0" insertHyperlinks="0" deleteColumns="0" deleteRows="0" sort="0" autoFilter="0" pivotTables="0"/>
  <autoFilter ref="A11:Q28" xr:uid="{80CABB81-D12B-4874-9D23-DC0F023889C9}">
    <filterColumn colId="1">
      <filters blank="1">
        <filter val="Day Shift"/>
        <filter val="Night Shift"/>
      </filters>
    </filterColumn>
  </autoFilter>
  <mergeCells count="39">
    <mergeCell ref="AG4:AQ4"/>
    <mergeCell ref="T4:AD4"/>
    <mergeCell ref="AE1:AE28"/>
    <mergeCell ref="AF1:AQ1"/>
    <mergeCell ref="AQ15:AQ16"/>
    <mergeCell ref="S20:T20"/>
    <mergeCell ref="S15:T15"/>
    <mergeCell ref="AM2:AQ2"/>
    <mergeCell ref="AM3:AQ3"/>
    <mergeCell ref="AF15:AG15"/>
    <mergeCell ref="AF16:AG16"/>
    <mergeCell ref="AQ5:AQ10"/>
    <mergeCell ref="S18:S19"/>
    <mergeCell ref="S16:AD16"/>
    <mergeCell ref="AF12:AF14"/>
    <mergeCell ref="H2:M2"/>
    <mergeCell ref="H3:M3"/>
    <mergeCell ref="Z2:AD2"/>
    <mergeCell ref="Z3:AD3"/>
    <mergeCell ref="A15:B15"/>
    <mergeCell ref="S12:S14"/>
    <mergeCell ref="AD5:AD9"/>
    <mergeCell ref="S10:AD10"/>
    <mergeCell ref="A23:B23"/>
    <mergeCell ref="A28:B28"/>
    <mergeCell ref="B10:M10"/>
    <mergeCell ref="A19:B19"/>
    <mergeCell ref="S1:AD1"/>
    <mergeCell ref="R1:R28"/>
    <mergeCell ref="A1:M1"/>
    <mergeCell ref="B4:M4"/>
    <mergeCell ref="M5:M9"/>
    <mergeCell ref="A24:A26"/>
    <mergeCell ref="A27:B27"/>
    <mergeCell ref="AD22:AD24"/>
    <mergeCell ref="A12:A14"/>
    <mergeCell ref="A16:A18"/>
    <mergeCell ref="A20:A22"/>
    <mergeCell ref="S21:AD21"/>
  </mergeCells>
  <pageMargins left="0.7" right="0.7" top="0.75" bottom="0.75" header="0.3" footer="0.3"/>
  <pageSetup orientation="portrait" r:id="rId1"/>
  <ignoredErrors>
    <ignoredError sqref="J15:K15 J19:K19 AO15 J23:K23" formula="1"/>
    <ignoredError sqref="AK3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77"/>
  <sheetViews>
    <sheetView tabSelected="1" topLeftCell="K1" zoomScale="85" zoomScaleNormal="85" workbookViewId="0">
      <selection activeCell="X1" sqref="X1:X1048576"/>
    </sheetView>
  </sheetViews>
  <sheetFormatPr defaultColWidth="13.54296875" defaultRowHeight="13" customHeight="1" x14ac:dyDescent="0.35"/>
  <cols>
    <col min="1" max="1" width="4.81640625" bestFit="1" customWidth="1"/>
    <col min="2" max="2" width="9.81640625" bestFit="1" customWidth="1"/>
    <col min="3" max="3" width="10.36328125" bestFit="1" customWidth="1"/>
    <col min="4" max="4" width="37.453125" bestFit="1" customWidth="1"/>
    <col min="5" max="5" width="13.81640625" bestFit="1" customWidth="1"/>
    <col min="6" max="6" width="6.54296875" bestFit="1" customWidth="1"/>
    <col min="7" max="7" width="6.453125" bestFit="1" customWidth="1"/>
    <col min="8" max="8" width="3.7265625" bestFit="1" customWidth="1"/>
    <col min="9" max="9" width="9.26953125" bestFit="1" customWidth="1"/>
    <col min="10" max="10" width="8.26953125" bestFit="1" customWidth="1"/>
    <col min="11" max="11" width="12" bestFit="1" customWidth="1"/>
    <col min="12" max="13" width="9.1796875" bestFit="1" customWidth="1"/>
    <col min="14" max="14" width="23.81640625" bestFit="1" customWidth="1"/>
    <col min="15" max="15" width="13.6328125" bestFit="1" customWidth="1"/>
    <col min="16" max="16" width="6.453125" bestFit="1" customWidth="1"/>
    <col min="17" max="17" width="8.6328125" bestFit="1" customWidth="1"/>
    <col min="18" max="18" width="14.7265625" bestFit="1" customWidth="1"/>
    <col min="19" max="19" width="26.08984375" bestFit="1" customWidth="1"/>
    <col min="20" max="20" width="9.1796875" style="56" bestFit="1" customWidth="1"/>
    <col min="21" max="21" width="10.1796875" bestFit="1" customWidth="1"/>
    <col min="22" max="22" width="8.6328125" bestFit="1" customWidth="1"/>
    <col min="23" max="23" width="13.6328125" bestFit="1" customWidth="1"/>
  </cols>
  <sheetData>
    <row r="1" spans="1:23" ht="13" customHeight="1" thickBot="1" x14ac:dyDescent="0.4">
      <c r="A1" s="43" t="s">
        <v>0</v>
      </c>
      <c r="B1" s="44">
        <v>46247</v>
      </c>
      <c r="C1" s="45" t="str">
        <f>TEXT(B1,"dddd")</f>
        <v>Thursday</v>
      </c>
      <c r="Q1" s="1" t="s">
        <v>1</v>
      </c>
      <c r="R1" s="2" t="s">
        <v>2</v>
      </c>
      <c r="S1" s="2" t="s">
        <v>3</v>
      </c>
      <c r="T1"/>
    </row>
    <row r="2" spans="1:23" ht="13" customHeight="1" x14ac:dyDescent="0.35">
      <c r="Q2" s="3" t="s">
        <v>4</v>
      </c>
      <c r="R2" s="2" t="s">
        <v>5</v>
      </c>
      <c r="S2" s="2" t="s">
        <v>6</v>
      </c>
      <c r="T2"/>
    </row>
    <row r="3" spans="1:23" ht="13" customHeight="1" x14ac:dyDescent="0.35">
      <c r="Q3" s="4" t="s">
        <v>7</v>
      </c>
      <c r="R3" s="2" t="s">
        <v>8</v>
      </c>
      <c r="S3" s="5" t="s">
        <v>9</v>
      </c>
      <c r="T3"/>
    </row>
    <row r="4" spans="1:23" ht="13" customHeight="1" x14ac:dyDescent="0.35">
      <c r="Q4" s="72" t="s">
        <v>10</v>
      </c>
      <c r="R4" s="2" t="s">
        <v>11</v>
      </c>
      <c r="S4" s="6">
        <v>0</v>
      </c>
      <c r="T4"/>
    </row>
    <row r="5" spans="1:23" ht="13" customHeight="1" x14ac:dyDescent="0.35">
      <c r="J5" t="s">
        <v>2701</v>
      </c>
      <c r="T5"/>
    </row>
    <row r="6" spans="1:23" ht="13" customHeight="1" x14ac:dyDescent="0.35">
      <c r="A6" s="70" t="s">
        <v>12</v>
      </c>
      <c r="B6" s="70" t="s">
        <v>13</v>
      </c>
      <c r="C6" s="70" t="s">
        <v>14</v>
      </c>
      <c r="D6" s="70" t="s">
        <v>15</v>
      </c>
      <c r="E6" s="70" t="s">
        <v>17</v>
      </c>
      <c r="F6" s="71" t="s">
        <v>61</v>
      </c>
      <c r="G6" s="70" t="s">
        <v>18</v>
      </c>
      <c r="H6" s="70" t="s">
        <v>62</v>
      </c>
      <c r="I6" s="70" t="s">
        <v>19</v>
      </c>
      <c r="J6" s="70" t="s">
        <v>20</v>
      </c>
      <c r="K6" s="70" t="s">
        <v>63</v>
      </c>
      <c r="L6" s="70" t="s">
        <v>21</v>
      </c>
      <c r="M6" s="70" t="s">
        <v>22</v>
      </c>
      <c r="N6" s="70" t="s">
        <v>23</v>
      </c>
      <c r="O6" s="70" t="s">
        <v>24</v>
      </c>
      <c r="P6" s="70" t="s">
        <v>26</v>
      </c>
      <c r="Q6" s="70" t="s">
        <v>27</v>
      </c>
      <c r="R6" s="70" t="s">
        <v>28</v>
      </c>
      <c r="S6" s="70" t="s">
        <v>29</v>
      </c>
      <c r="T6" s="70" t="s">
        <v>2469</v>
      </c>
      <c r="U6" s="70" t="s">
        <v>30</v>
      </c>
      <c r="V6" s="70" t="s">
        <v>16</v>
      </c>
      <c r="W6" s="70" t="s">
        <v>25</v>
      </c>
    </row>
    <row r="7" spans="1:23" ht="13" customHeight="1" x14ac:dyDescent="0.35">
      <c r="A7" s="11">
        <v>1</v>
      </c>
      <c r="B7" s="47">
        <v>206875258</v>
      </c>
      <c r="C7" s="94" t="s">
        <v>1729</v>
      </c>
      <c r="D7" s="11" t="s">
        <v>1730</v>
      </c>
      <c r="E7" s="48" t="s">
        <v>31</v>
      </c>
      <c r="F7" s="48" t="s">
        <v>74</v>
      </c>
      <c r="G7" s="48" t="s">
        <v>64</v>
      </c>
      <c r="H7" s="48" t="s">
        <v>75</v>
      </c>
      <c r="I7" s="11">
        <v>1299</v>
      </c>
      <c r="J7" s="49" t="s">
        <v>32</v>
      </c>
      <c r="K7" s="49" t="s">
        <v>76</v>
      </c>
      <c r="L7" s="49" t="s">
        <v>78</v>
      </c>
      <c r="M7" s="49" t="s">
        <v>92</v>
      </c>
      <c r="N7" s="49" t="s">
        <v>89</v>
      </c>
      <c r="O7" s="48" t="s">
        <v>67</v>
      </c>
      <c r="P7" s="48" t="s">
        <v>80</v>
      </c>
      <c r="Q7" s="11" t="s">
        <v>90</v>
      </c>
      <c r="R7" s="11" t="s">
        <v>82</v>
      </c>
      <c r="S7" s="11" t="s">
        <v>2729</v>
      </c>
      <c r="T7" s="90" t="s">
        <v>1</v>
      </c>
      <c r="U7" s="89"/>
      <c r="V7" s="51">
        <v>46051</v>
      </c>
      <c r="W7" s="11" t="s">
        <v>1575</v>
      </c>
    </row>
    <row r="8" spans="1:23" ht="13" customHeight="1" x14ac:dyDescent="0.35">
      <c r="A8" s="11">
        <v>2</v>
      </c>
      <c r="B8" s="47">
        <v>206873715</v>
      </c>
      <c r="C8" s="94" t="s">
        <v>1719</v>
      </c>
      <c r="D8" s="11" t="s">
        <v>1720</v>
      </c>
      <c r="E8" s="48" t="s">
        <v>31</v>
      </c>
      <c r="F8" s="48" t="s">
        <v>74</v>
      </c>
      <c r="G8" s="48" t="s">
        <v>64</v>
      </c>
      <c r="H8" s="48" t="s">
        <v>75</v>
      </c>
      <c r="I8" s="11">
        <v>1299</v>
      </c>
      <c r="J8" s="49" t="s">
        <v>32</v>
      </c>
      <c r="K8" s="49" t="s">
        <v>76</v>
      </c>
      <c r="L8" s="49" t="s">
        <v>77</v>
      </c>
      <c r="M8" s="49" t="s">
        <v>78</v>
      </c>
      <c r="N8" s="49" t="s">
        <v>89</v>
      </c>
      <c r="O8" s="48" t="s">
        <v>67</v>
      </c>
      <c r="P8" s="48" t="s">
        <v>80</v>
      </c>
      <c r="Q8" s="11" t="s">
        <v>90</v>
      </c>
      <c r="R8" s="11" t="s">
        <v>82</v>
      </c>
      <c r="S8" s="11" t="s">
        <v>2729</v>
      </c>
      <c r="T8" s="90" t="s">
        <v>1</v>
      </c>
      <c r="U8" s="89"/>
      <c r="V8" s="51">
        <v>46020</v>
      </c>
      <c r="W8" s="11" t="s">
        <v>1575</v>
      </c>
    </row>
    <row r="9" spans="1:23" ht="13" customHeight="1" x14ac:dyDescent="0.35">
      <c r="A9" s="11">
        <v>3</v>
      </c>
      <c r="B9" s="47">
        <v>203679309</v>
      </c>
      <c r="C9" s="94" t="s">
        <v>2225</v>
      </c>
      <c r="D9" s="11" t="s">
        <v>2226</v>
      </c>
      <c r="E9" s="48" t="s">
        <v>31</v>
      </c>
      <c r="F9" s="48" t="s">
        <v>74</v>
      </c>
      <c r="G9" s="11" t="s">
        <v>64</v>
      </c>
      <c r="H9" s="11" t="s">
        <v>75</v>
      </c>
      <c r="I9" s="11">
        <v>1299</v>
      </c>
      <c r="J9" s="49" t="s">
        <v>39</v>
      </c>
      <c r="K9" s="49" t="s">
        <v>76</v>
      </c>
      <c r="L9" s="49" t="s">
        <v>78</v>
      </c>
      <c r="M9" s="49" t="s">
        <v>92</v>
      </c>
      <c r="N9" s="48" t="s">
        <v>79</v>
      </c>
      <c r="O9" s="49" t="s">
        <v>67</v>
      </c>
      <c r="P9" s="11" t="s">
        <v>80</v>
      </c>
      <c r="Q9" s="11" t="s">
        <v>81</v>
      </c>
      <c r="R9" s="11" t="s">
        <v>82</v>
      </c>
      <c r="S9" s="11" t="s">
        <v>2729</v>
      </c>
      <c r="T9" s="90" t="s">
        <v>1</v>
      </c>
      <c r="U9" s="91"/>
      <c r="V9" s="51">
        <v>45488</v>
      </c>
      <c r="W9" s="11" t="s">
        <v>1575</v>
      </c>
    </row>
    <row r="10" spans="1:23" ht="13" customHeight="1" x14ac:dyDescent="0.35">
      <c r="A10" s="11">
        <v>4</v>
      </c>
      <c r="B10" s="47">
        <v>204864408</v>
      </c>
      <c r="C10" s="94" t="s">
        <v>91</v>
      </c>
      <c r="D10" s="11" t="s">
        <v>2005</v>
      </c>
      <c r="E10" s="48" t="s">
        <v>31</v>
      </c>
      <c r="F10" s="48" t="s">
        <v>74</v>
      </c>
      <c r="G10" s="11" t="s">
        <v>64</v>
      </c>
      <c r="H10" s="11" t="s">
        <v>75</v>
      </c>
      <c r="I10" s="11">
        <v>1299</v>
      </c>
      <c r="J10" s="49" t="s">
        <v>39</v>
      </c>
      <c r="K10" s="49" t="s">
        <v>76</v>
      </c>
      <c r="L10" s="49" t="s">
        <v>78</v>
      </c>
      <c r="M10" s="49" t="s">
        <v>92</v>
      </c>
      <c r="N10" s="49" t="s">
        <v>89</v>
      </c>
      <c r="O10" s="49" t="s">
        <v>67</v>
      </c>
      <c r="P10" s="11" t="s">
        <v>80</v>
      </c>
      <c r="Q10" s="11" t="s">
        <v>90</v>
      </c>
      <c r="R10" s="11" t="s">
        <v>82</v>
      </c>
      <c r="S10" s="11" t="s">
        <v>2729</v>
      </c>
      <c r="T10" s="90" t="s">
        <v>1</v>
      </c>
      <c r="U10" s="91"/>
      <c r="V10" s="51">
        <v>45684</v>
      </c>
      <c r="W10" s="11" t="s">
        <v>1575</v>
      </c>
    </row>
    <row r="11" spans="1:23" ht="13" customHeight="1" x14ac:dyDescent="0.35">
      <c r="A11" s="11">
        <v>5</v>
      </c>
      <c r="B11" s="47">
        <v>203800376</v>
      </c>
      <c r="C11" s="94" t="s">
        <v>2227</v>
      </c>
      <c r="D11" s="11" t="s">
        <v>2228</v>
      </c>
      <c r="E11" s="48" t="s">
        <v>31</v>
      </c>
      <c r="F11" s="48" t="s">
        <v>74</v>
      </c>
      <c r="G11" s="11" t="s">
        <v>64</v>
      </c>
      <c r="H11" s="11" t="s">
        <v>75</v>
      </c>
      <c r="I11" s="11">
        <v>1299</v>
      </c>
      <c r="J11" s="49" t="s">
        <v>32</v>
      </c>
      <c r="K11" s="49" t="s">
        <v>76</v>
      </c>
      <c r="L11" s="49" t="s">
        <v>85</v>
      </c>
      <c r="M11" s="49" t="s">
        <v>88</v>
      </c>
      <c r="N11" s="49" t="s">
        <v>89</v>
      </c>
      <c r="O11" s="49" t="s">
        <v>67</v>
      </c>
      <c r="P11" s="11" t="s">
        <v>80</v>
      </c>
      <c r="Q11" s="11" t="s">
        <v>90</v>
      </c>
      <c r="R11" s="11" t="s">
        <v>82</v>
      </c>
      <c r="S11" s="11" t="s">
        <v>2729</v>
      </c>
      <c r="T11" s="90" t="s">
        <v>10</v>
      </c>
      <c r="U11" s="91"/>
      <c r="V11" s="51">
        <v>45516</v>
      </c>
      <c r="W11" s="11" t="s">
        <v>1575</v>
      </c>
    </row>
    <row r="12" spans="1:23" ht="13" customHeight="1" x14ac:dyDescent="0.35">
      <c r="A12" s="11">
        <v>6</v>
      </c>
      <c r="B12" s="47">
        <v>206953791</v>
      </c>
      <c r="C12" s="95" t="s">
        <v>2163</v>
      </c>
      <c r="D12" s="112" t="s">
        <v>2164</v>
      </c>
      <c r="E12" s="48" t="s">
        <v>31</v>
      </c>
      <c r="F12" s="48" t="s">
        <v>74</v>
      </c>
      <c r="G12" s="11" t="s">
        <v>64</v>
      </c>
      <c r="H12" s="11" t="s">
        <v>75</v>
      </c>
      <c r="I12" s="11">
        <v>1299</v>
      </c>
      <c r="J12" s="49" t="s">
        <v>32</v>
      </c>
      <c r="K12" s="49" t="s">
        <v>76</v>
      </c>
      <c r="L12" s="49" t="s">
        <v>88</v>
      </c>
      <c r="M12" s="49" t="s">
        <v>95</v>
      </c>
      <c r="N12" s="48" t="s">
        <v>86</v>
      </c>
      <c r="O12" s="49" t="s">
        <v>67</v>
      </c>
      <c r="P12" s="49" t="s">
        <v>80</v>
      </c>
      <c r="Q12" s="49" t="s">
        <v>90</v>
      </c>
      <c r="R12" s="11" t="s">
        <v>82</v>
      </c>
      <c r="S12" s="11" t="s">
        <v>2729</v>
      </c>
      <c r="T12" s="90" t="s">
        <v>10</v>
      </c>
      <c r="U12" s="89"/>
      <c r="V12" s="51">
        <v>46048</v>
      </c>
      <c r="W12" s="11" t="s">
        <v>1575</v>
      </c>
    </row>
    <row r="13" spans="1:23" ht="13" customHeight="1" x14ac:dyDescent="0.35">
      <c r="A13" s="11">
        <v>7</v>
      </c>
      <c r="B13" s="47">
        <v>205608373</v>
      </c>
      <c r="C13" s="94" t="s">
        <v>233</v>
      </c>
      <c r="D13" s="11" t="s">
        <v>2006</v>
      </c>
      <c r="E13" s="48" t="s">
        <v>31</v>
      </c>
      <c r="F13" s="48" t="s">
        <v>74</v>
      </c>
      <c r="G13" s="11" t="s">
        <v>64</v>
      </c>
      <c r="H13" s="11" t="s">
        <v>75</v>
      </c>
      <c r="I13" s="11">
        <v>1299</v>
      </c>
      <c r="J13" s="49" t="s">
        <v>39</v>
      </c>
      <c r="K13" s="49" t="s">
        <v>76</v>
      </c>
      <c r="L13" s="49" t="s">
        <v>85</v>
      </c>
      <c r="M13" s="49" t="s">
        <v>88</v>
      </c>
      <c r="N13" s="49" t="s">
        <v>89</v>
      </c>
      <c r="O13" s="49" t="s">
        <v>67</v>
      </c>
      <c r="P13" s="11" t="s">
        <v>80</v>
      </c>
      <c r="Q13" s="11" t="s">
        <v>90</v>
      </c>
      <c r="R13" s="11" t="s">
        <v>82</v>
      </c>
      <c r="S13" s="11" t="s">
        <v>2729</v>
      </c>
      <c r="T13" s="90" t="s">
        <v>10</v>
      </c>
      <c r="U13" s="90"/>
      <c r="V13" s="51">
        <v>45845</v>
      </c>
      <c r="W13" s="11" t="s">
        <v>1575</v>
      </c>
    </row>
    <row r="14" spans="1:23" ht="13" customHeight="1" x14ac:dyDescent="0.35">
      <c r="A14" s="11">
        <v>8</v>
      </c>
      <c r="B14" s="47">
        <v>204869098</v>
      </c>
      <c r="C14" s="94" t="s">
        <v>93</v>
      </c>
      <c r="D14" s="11" t="s">
        <v>94</v>
      </c>
      <c r="E14" s="48" t="s">
        <v>31</v>
      </c>
      <c r="F14" s="48" t="s">
        <v>74</v>
      </c>
      <c r="G14" s="11" t="s">
        <v>64</v>
      </c>
      <c r="H14" s="11" t="s">
        <v>75</v>
      </c>
      <c r="I14" s="11">
        <v>1299</v>
      </c>
      <c r="J14" s="49" t="s">
        <v>39</v>
      </c>
      <c r="K14" s="49" t="s">
        <v>76</v>
      </c>
      <c r="L14" s="49" t="s">
        <v>95</v>
      </c>
      <c r="M14" s="49" t="s">
        <v>77</v>
      </c>
      <c r="N14" s="49" t="s">
        <v>89</v>
      </c>
      <c r="O14" s="49" t="s">
        <v>67</v>
      </c>
      <c r="P14" s="11" t="s">
        <v>80</v>
      </c>
      <c r="Q14" s="11" t="s">
        <v>87</v>
      </c>
      <c r="R14" s="11" t="s">
        <v>82</v>
      </c>
      <c r="S14" s="11" t="s">
        <v>2729</v>
      </c>
      <c r="T14" s="90" t="s">
        <v>1</v>
      </c>
      <c r="U14" s="90"/>
      <c r="V14" s="51">
        <v>45691</v>
      </c>
      <c r="W14" s="11" t="s">
        <v>1575</v>
      </c>
    </row>
    <row r="15" spans="1:23" ht="13" customHeight="1" x14ac:dyDescent="0.35">
      <c r="A15" s="11">
        <v>9</v>
      </c>
      <c r="B15" s="47">
        <v>206875144</v>
      </c>
      <c r="C15" s="94" t="s">
        <v>1723</v>
      </c>
      <c r="D15" s="11" t="s">
        <v>1724</v>
      </c>
      <c r="E15" s="48" t="s">
        <v>31</v>
      </c>
      <c r="F15" s="48" t="s">
        <v>74</v>
      </c>
      <c r="G15" s="48" t="s">
        <v>64</v>
      </c>
      <c r="H15" s="48" t="s">
        <v>75</v>
      </c>
      <c r="I15" s="11">
        <v>1299</v>
      </c>
      <c r="J15" s="49" t="s">
        <v>39</v>
      </c>
      <c r="K15" s="49" t="s">
        <v>76</v>
      </c>
      <c r="L15" s="49" t="s">
        <v>78</v>
      </c>
      <c r="M15" s="49" t="s">
        <v>92</v>
      </c>
      <c r="N15" s="49" t="s">
        <v>89</v>
      </c>
      <c r="O15" s="48" t="s">
        <v>67</v>
      </c>
      <c r="P15" s="48" t="s">
        <v>80</v>
      </c>
      <c r="Q15" s="11" t="s">
        <v>90</v>
      </c>
      <c r="R15" s="11" t="s">
        <v>82</v>
      </c>
      <c r="S15" s="11" t="s">
        <v>2729</v>
      </c>
      <c r="T15" s="90" t="s">
        <v>1</v>
      </c>
      <c r="U15" s="90"/>
      <c r="V15" s="51">
        <v>46020</v>
      </c>
      <c r="W15" s="11" t="s">
        <v>1575</v>
      </c>
    </row>
    <row r="16" spans="1:23" ht="13" customHeight="1" x14ac:dyDescent="0.35">
      <c r="A16" s="11">
        <v>10</v>
      </c>
      <c r="B16" s="47">
        <v>204299542</v>
      </c>
      <c r="C16" s="94" t="s">
        <v>2229</v>
      </c>
      <c r="D16" s="11" t="s">
        <v>2230</v>
      </c>
      <c r="E16" s="48" t="s">
        <v>31</v>
      </c>
      <c r="F16" s="48" t="s">
        <v>74</v>
      </c>
      <c r="G16" s="11" t="s">
        <v>64</v>
      </c>
      <c r="H16" s="11" t="s">
        <v>75</v>
      </c>
      <c r="I16" s="11">
        <v>1299</v>
      </c>
      <c r="J16" s="49" t="s">
        <v>39</v>
      </c>
      <c r="K16" s="49" t="s">
        <v>76</v>
      </c>
      <c r="L16" s="49" t="s">
        <v>88</v>
      </c>
      <c r="M16" s="49" t="s">
        <v>95</v>
      </c>
      <c r="N16" s="49" t="s">
        <v>89</v>
      </c>
      <c r="O16" s="49" t="s">
        <v>67</v>
      </c>
      <c r="P16" s="11" t="s">
        <v>80</v>
      </c>
      <c r="Q16" s="11" t="s">
        <v>87</v>
      </c>
      <c r="R16" s="11" t="s">
        <v>82</v>
      </c>
      <c r="S16" s="11" t="s">
        <v>2729</v>
      </c>
      <c r="T16" s="90" t="s">
        <v>10</v>
      </c>
      <c r="U16" s="90"/>
      <c r="V16" s="51">
        <v>45586</v>
      </c>
      <c r="W16" s="11" t="s">
        <v>1575</v>
      </c>
    </row>
    <row r="17" spans="1:23" ht="13" customHeight="1" x14ac:dyDescent="0.35">
      <c r="A17" s="11">
        <v>11</v>
      </c>
      <c r="B17" s="47">
        <v>206873708</v>
      </c>
      <c r="C17" s="94" t="s">
        <v>1717</v>
      </c>
      <c r="D17" s="11" t="s">
        <v>1718</v>
      </c>
      <c r="E17" s="48" t="s">
        <v>31</v>
      </c>
      <c r="F17" s="48" t="s">
        <v>74</v>
      </c>
      <c r="G17" s="48" t="s">
        <v>64</v>
      </c>
      <c r="H17" s="48" t="s">
        <v>75</v>
      </c>
      <c r="I17" s="11">
        <v>1299</v>
      </c>
      <c r="J17" s="49" t="s">
        <v>32</v>
      </c>
      <c r="K17" s="49" t="s">
        <v>76</v>
      </c>
      <c r="L17" s="49" t="s">
        <v>77</v>
      </c>
      <c r="M17" s="49" t="s">
        <v>78</v>
      </c>
      <c r="N17" s="49" t="s">
        <v>89</v>
      </c>
      <c r="O17" s="48" t="s">
        <v>67</v>
      </c>
      <c r="P17" s="48" t="s">
        <v>80</v>
      </c>
      <c r="Q17" s="11" t="s">
        <v>90</v>
      </c>
      <c r="R17" s="11" t="s">
        <v>82</v>
      </c>
      <c r="S17" s="11" t="s">
        <v>2729</v>
      </c>
      <c r="T17" s="90" t="s">
        <v>1</v>
      </c>
      <c r="U17" s="90"/>
      <c r="V17" s="51">
        <v>46020</v>
      </c>
      <c r="W17" s="11" t="s">
        <v>1575</v>
      </c>
    </row>
    <row r="18" spans="1:23" ht="13" customHeight="1" x14ac:dyDescent="0.35">
      <c r="A18" s="11">
        <v>12</v>
      </c>
      <c r="B18" s="47">
        <v>107117478</v>
      </c>
      <c r="C18" s="94" t="s">
        <v>2702</v>
      </c>
      <c r="D18" s="11" t="s">
        <v>2703</v>
      </c>
      <c r="E18" s="48" t="s">
        <v>34</v>
      </c>
      <c r="F18" s="48" t="s">
        <v>74</v>
      </c>
      <c r="G18" s="11" t="s">
        <v>64</v>
      </c>
      <c r="H18" s="11" t="s">
        <v>75</v>
      </c>
      <c r="I18" s="11">
        <v>1299</v>
      </c>
      <c r="J18" s="49" t="s">
        <v>32</v>
      </c>
      <c r="K18" s="49" t="s">
        <v>76</v>
      </c>
      <c r="L18" s="49" t="s">
        <v>88</v>
      </c>
      <c r="M18" s="49" t="s">
        <v>95</v>
      </c>
      <c r="N18" s="48" t="s">
        <v>97</v>
      </c>
      <c r="O18" s="49" t="s">
        <v>67</v>
      </c>
      <c r="P18" s="11" t="s">
        <v>80</v>
      </c>
      <c r="Q18" s="11" t="s">
        <v>98</v>
      </c>
      <c r="R18" s="11" t="s">
        <v>82</v>
      </c>
      <c r="S18" s="11" t="s">
        <v>2729</v>
      </c>
      <c r="T18" s="90" t="s">
        <v>10</v>
      </c>
      <c r="U18" s="90"/>
      <c r="V18" s="51">
        <v>44797</v>
      </c>
      <c r="W18" s="11" t="s">
        <v>1575</v>
      </c>
    </row>
    <row r="19" spans="1:23" ht="13" customHeight="1" x14ac:dyDescent="0.35">
      <c r="A19" s="11">
        <v>13</v>
      </c>
      <c r="B19" s="47">
        <v>204403651</v>
      </c>
      <c r="C19" s="94" t="s">
        <v>2231</v>
      </c>
      <c r="D19" s="11" t="s">
        <v>2232</v>
      </c>
      <c r="E19" s="48" t="s">
        <v>31</v>
      </c>
      <c r="F19" s="48" t="s">
        <v>74</v>
      </c>
      <c r="G19" s="11" t="s">
        <v>64</v>
      </c>
      <c r="H19" s="11" t="s">
        <v>75</v>
      </c>
      <c r="I19" s="11">
        <v>1299</v>
      </c>
      <c r="J19" s="49" t="s">
        <v>39</v>
      </c>
      <c r="K19" s="49" t="s">
        <v>76</v>
      </c>
      <c r="L19" s="49" t="s">
        <v>85</v>
      </c>
      <c r="M19" s="49" t="s">
        <v>88</v>
      </c>
      <c r="N19" s="48" t="s">
        <v>86</v>
      </c>
      <c r="O19" s="49" t="s">
        <v>67</v>
      </c>
      <c r="P19" s="11" t="s">
        <v>80</v>
      </c>
      <c r="Q19" s="11" t="s">
        <v>99</v>
      </c>
      <c r="R19" s="11" t="s">
        <v>82</v>
      </c>
      <c r="S19" s="11" t="s">
        <v>2729</v>
      </c>
      <c r="T19" s="90" t="s">
        <v>10</v>
      </c>
      <c r="U19" s="90"/>
      <c r="V19" s="51">
        <v>45596</v>
      </c>
      <c r="W19" s="11" t="s">
        <v>1575</v>
      </c>
    </row>
    <row r="20" spans="1:23" ht="13" customHeight="1" x14ac:dyDescent="0.35">
      <c r="A20" s="11">
        <v>14</v>
      </c>
      <c r="B20" s="47">
        <v>204299562</v>
      </c>
      <c r="C20" s="94" t="s">
        <v>2233</v>
      </c>
      <c r="D20" s="11" t="s">
        <v>2234</v>
      </c>
      <c r="E20" s="48" t="s">
        <v>31</v>
      </c>
      <c r="F20" s="48" t="s">
        <v>74</v>
      </c>
      <c r="G20" s="11" t="s">
        <v>64</v>
      </c>
      <c r="H20" s="11" t="s">
        <v>75</v>
      </c>
      <c r="I20" s="11">
        <v>1299</v>
      </c>
      <c r="J20" s="49" t="s">
        <v>39</v>
      </c>
      <c r="K20" s="49" t="s">
        <v>76</v>
      </c>
      <c r="L20" s="49" t="s">
        <v>92</v>
      </c>
      <c r="M20" s="49" t="s">
        <v>84</v>
      </c>
      <c r="N20" s="48" t="s">
        <v>86</v>
      </c>
      <c r="O20" s="49" t="s">
        <v>67</v>
      </c>
      <c r="P20" s="11" t="s">
        <v>80</v>
      </c>
      <c r="Q20" s="11" t="s">
        <v>87</v>
      </c>
      <c r="R20" s="11" t="s">
        <v>82</v>
      </c>
      <c r="S20" s="11" t="s">
        <v>2729</v>
      </c>
      <c r="T20" s="90" t="s">
        <v>1</v>
      </c>
      <c r="U20" s="90"/>
      <c r="V20" s="51">
        <v>45586</v>
      </c>
      <c r="W20" s="11" t="s">
        <v>1575</v>
      </c>
    </row>
    <row r="21" spans="1:23" ht="13" customHeight="1" x14ac:dyDescent="0.35">
      <c r="A21" s="11">
        <v>15</v>
      </c>
      <c r="B21" s="47">
        <v>206949071</v>
      </c>
      <c r="C21" s="95" t="s">
        <v>2167</v>
      </c>
      <c r="D21" s="112" t="s">
        <v>2168</v>
      </c>
      <c r="E21" s="48" t="s">
        <v>31</v>
      </c>
      <c r="F21" s="48" t="s">
        <v>74</v>
      </c>
      <c r="G21" s="11" t="s">
        <v>64</v>
      </c>
      <c r="H21" s="11" t="s">
        <v>75</v>
      </c>
      <c r="I21" s="11">
        <v>1299</v>
      </c>
      <c r="J21" s="49" t="s">
        <v>39</v>
      </c>
      <c r="K21" s="49" t="s">
        <v>76</v>
      </c>
      <c r="L21" s="49" t="s">
        <v>88</v>
      </c>
      <c r="M21" s="49" t="s">
        <v>95</v>
      </c>
      <c r="N21" s="48" t="s">
        <v>86</v>
      </c>
      <c r="O21" s="49" t="s">
        <v>67</v>
      </c>
      <c r="P21" s="49" t="s">
        <v>80</v>
      </c>
      <c r="Q21" s="49" t="s">
        <v>90</v>
      </c>
      <c r="R21" s="11" t="s">
        <v>82</v>
      </c>
      <c r="S21" s="11" t="s">
        <v>2729</v>
      </c>
      <c r="T21" s="90" t="s">
        <v>10</v>
      </c>
      <c r="U21" s="90"/>
      <c r="V21" s="51">
        <v>46048</v>
      </c>
      <c r="W21" s="11" t="s">
        <v>1575</v>
      </c>
    </row>
    <row r="22" spans="1:23" ht="13" customHeight="1" x14ac:dyDescent="0.35">
      <c r="A22" s="11">
        <v>16</v>
      </c>
      <c r="B22" s="47">
        <v>203083928</v>
      </c>
      <c r="C22" s="94" t="s">
        <v>100</v>
      </c>
      <c r="D22" s="11" t="s">
        <v>2009</v>
      </c>
      <c r="E22" s="48" t="s">
        <v>31</v>
      </c>
      <c r="F22" s="48" t="s">
        <v>74</v>
      </c>
      <c r="G22" s="11" t="s">
        <v>64</v>
      </c>
      <c r="H22" s="11" t="s">
        <v>75</v>
      </c>
      <c r="I22" s="11">
        <v>1299</v>
      </c>
      <c r="J22" s="49" t="s">
        <v>32</v>
      </c>
      <c r="K22" s="49" t="s">
        <v>76</v>
      </c>
      <c r="L22" s="49" t="s">
        <v>85</v>
      </c>
      <c r="M22" s="49" t="s">
        <v>88</v>
      </c>
      <c r="N22" s="48" t="s">
        <v>79</v>
      </c>
      <c r="O22" s="49" t="s">
        <v>67</v>
      </c>
      <c r="P22" s="11" t="s">
        <v>80</v>
      </c>
      <c r="Q22" s="11" t="s">
        <v>81</v>
      </c>
      <c r="R22" s="11" t="s">
        <v>82</v>
      </c>
      <c r="S22" s="11" t="s">
        <v>2729</v>
      </c>
      <c r="T22" s="90" t="s">
        <v>10</v>
      </c>
      <c r="U22" s="90"/>
      <c r="V22" s="51">
        <v>45488</v>
      </c>
      <c r="W22" s="11" t="s">
        <v>1575</v>
      </c>
    </row>
    <row r="23" spans="1:23" ht="13" customHeight="1" x14ac:dyDescent="0.35">
      <c r="A23" s="11">
        <v>17</v>
      </c>
      <c r="B23" s="47">
        <v>206926473</v>
      </c>
      <c r="C23" s="94" t="s">
        <v>2197</v>
      </c>
      <c r="D23" s="11" t="s">
        <v>2059</v>
      </c>
      <c r="E23" s="48" t="s">
        <v>31</v>
      </c>
      <c r="F23" s="48" t="s">
        <v>74</v>
      </c>
      <c r="G23" s="11" t="s">
        <v>64</v>
      </c>
      <c r="H23" s="11" t="s">
        <v>75</v>
      </c>
      <c r="I23" s="11">
        <v>1299</v>
      </c>
      <c r="J23" s="49" t="s">
        <v>32</v>
      </c>
      <c r="K23" s="49" t="s">
        <v>76</v>
      </c>
      <c r="L23" s="49" t="s">
        <v>84</v>
      </c>
      <c r="M23" s="49" t="s">
        <v>85</v>
      </c>
      <c r="N23" s="48" t="s">
        <v>89</v>
      </c>
      <c r="O23" s="49" t="s">
        <v>67</v>
      </c>
      <c r="P23" s="11" t="s">
        <v>80</v>
      </c>
      <c r="Q23" s="11" t="s">
        <v>90</v>
      </c>
      <c r="R23" s="11" t="s">
        <v>82</v>
      </c>
      <c r="S23" s="11" t="s">
        <v>2729</v>
      </c>
      <c r="T23" s="90" t="s">
        <v>1</v>
      </c>
      <c r="U23" s="90"/>
      <c r="V23" s="51">
        <v>46048</v>
      </c>
      <c r="W23" s="11" t="s">
        <v>1575</v>
      </c>
    </row>
    <row r="24" spans="1:23" ht="13" customHeight="1" x14ac:dyDescent="0.35">
      <c r="A24" s="11">
        <v>18</v>
      </c>
      <c r="B24" s="47">
        <v>203469072</v>
      </c>
      <c r="C24" s="94" t="s">
        <v>2235</v>
      </c>
      <c r="D24" s="11" t="s">
        <v>2236</v>
      </c>
      <c r="E24" s="48" t="s">
        <v>31</v>
      </c>
      <c r="F24" s="48" t="s">
        <v>74</v>
      </c>
      <c r="G24" s="11" t="s">
        <v>64</v>
      </c>
      <c r="H24" s="11" t="s">
        <v>75</v>
      </c>
      <c r="I24" s="11">
        <v>1299</v>
      </c>
      <c r="J24" s="49" t="s">
        <v>39</v>
      </c>
      <c r="K24" s="49" t="s">
        <v>76</v>
      </c>
      <c r="L24" s="49" t="s">
        <v>95</v>
      </c>
      <c r="M24" s="49" t="s">
        <v>77</v>
      </c>
      <c r="N24" s="48" t="s">
        <v>79</v>
      </c>
      <c r="O24" s="49" t="s">
        <v>67</v>
      </c>
      <c r="P24" s="11" t="s">
        <v>80</v>
      </c>
      <c r="Q24" s="11" t="s">
        <v>81</v>
      </c>
      <c r="R24" s="11" t="s">
        <v>82</v>
      </c>
      <c r="S24" s="11" t="s">
        <v>2729</v>
      </c>
      <c r="T24" s="90" t="s">
        <v>1</v>
      </c>
      <c r="U24" s="90"/>
      <c r="V24" s="51">
        <v>45456</v>
      </c>
      <c r="W24" s="11" t="s">
        <v>1575</v>
      </c>
    </row>
    <row r="25" spans="1:23" ht="13" customHeight="1" x14ac:dyDescent="0.35">
      <c r="A25" s="11">
        <v>19</v>
      </c>
      <c r="B25" s="47">
        <v>206875142</v>
      </c>
      <c r="C25" s="94" t="s">
        <v>1733</v>
      </c>
      <c r="D25" s="11" t="s">
        <v>1734</v>
      </c>
      <c r="E25" s="48" t="s">
        <v>31</v>
      </c>
      <c r="F25" s="48" t="s">
        <v>74</v>
      </c>
      <c r="G25" s="48" t="s">
        <v>64</v>
      </c>
      <c r="H25" s="48" t="s">
        <v>75</v>
      </c>
      <c r="I25" s="11">
        <v>1299</v>
      </c>
      <c r="J25" s="49" t="s">
        <v>39</v>
      </c>
      <c r="K25" s="49" t="s">
        <v>76</v>
      </c>
      <c r="L25" s="49" t="s">
        <v>78</v>
      </c>
      <c r="M25" s="49" t="s">
        <v>92</v>
      </c>
      <c r="N25" s="49" t="s">
        <v>89</v>
      </c>
      <c r="O25" s="48" t="s">
        <v>67</v>
      </c>
      <c r="P25" s="48" t="s">
        <v>80</v>
      </c>
      <c r="Q25" s="11" t="s">
        <v>90</v>
      </c>
      <c r="R25" s="11" t="s">
        <v>82</v>
      </c>
      <c r="S25" s="11" t="s">
        <v>2729</v>
      </c>
      <c r="T25" s="90" t="s">
        <v>1</v>
      </c>
      <c r="U25" s="90"/>
      <c r="V25" s="51">
        <v>46020</v>
      </c>
      <c r="W25" s="11" t="s">
        <v>1575</v>
      </c>
    </row>
    <row r="26" spans="1:23" ht="13" customHeight="1" x14ac:dyDescent="0.35">
      <c r="A26" s="11">
        <v>20</v>
      </c>
      <c r="B26" s="47">
        <v>206953811</v>
      </c>
      <c r="C26" s="94" t="s">
        <v>2200</v>
      </c>
      <c r="D26" s="11" t="s">
        <v>2201</v>
      </c>
      <c r="E26" s="48" t="s">
        <v>31</v>
      </c>
      <c r="F26" s="48" t="s">
        <v>74</v>
      </c>
      <c r="G26" s="11" t="s">
        <v>64</v>
      </c>
      <c r="H26" s="11" t="s">
        <v>75</v>
      </c>
      <c r="I26" s="11">
        <v>1299</v>
      </c>
      <c r="J26" s="49" t="s">
        <v>39</v>
      </c>
      <c r="K26" s="49" t="s">
        <v>76</v>
      </c>
      <c r="L26" s="49" t="s">
        <v>88</v>
      </c>
      <c r="M26" s="49" t="s">
        <v>95</v>
      </c>
      <c r="N26" s="49" t="s">
        <v>86</v>
      </c>
      <c r="O26" s="49" t="s">
        <v>67</v>
      </c>
      <c r="P26" s="11" t="s">
        <v>80</v>
      </c>
      <c r="Q26" s="83" t="s">
        <v>90</v>
      </c>
      <c r="R26" s="11" t="s">
        <v>2727</v>
      </c>
      <c r="S26" s="11" t="s">
        <v>2728</v>
      </c>
      <c r="T26" s="90" t="s">
        <v>10</v>
      </c>
      <c r="U26" s="90"/>
      <c r="V26" s="51">
        <v>46048</v>
      </c>
      <c r="W26" s="11" t="s">
        <v>1575</v>
      </c>
    </row>
    <row r="27" spans="1:23" ht="13" customHeight="1" x14ac:dyDescent="0.35">
      <c r="A27" s="11">
        <v>21</v>
      </c>
      <c r="B27" s="47">
        <v>206875146</v>
      </c>
      <c r="C27" s="94" t="s">
        <v>1757</v>
      </c>
      <c r="D27" s="11" t="s">
        <v>1758</v>
      </c>
      <c r="E27" s="48" t="s">
        <v>31</v>
      </c>
      <c r="F27" s="48" t="s">
        <v>74</v>
      </c>
      <c r="G27" s="48" t="s">
        <v>64</v>
      </c>
      <c r="H27" s="48" t="s">
        <v>75</v>
      </c>
      <c r="I27" s="11">
        <v>1299</v>
      </c>
      <c r="J27" s="49" t="s">
        <v>39</v>
      </c>
      <c r="K27" s="49" t="s">
        <v>76</v>
      </c>
      <c r="L27" s="49" t="s">
        <v>77</v>
      </c>
      <c r="M27" s="49" t="s">
        <v>78</v>
      </c>
      <c r="N27" s="49" t="s">
        <v>89</v>
      </c>
      <c r="O27" s="11" t="s">
        <v>67</v>
      </c>
      <c r="P27" s="48" t="s">
        <v>80</v>
      </c>
      <c r="Q27" s="11" t="s">
        <v>90</v>
      </c>
      <c r="R27" s="11" t="s">
        <v>82</v>
      </c>
      <c r="S27" s="11" t="s">
        <v>2729</v>
      </c>
      <c r="T27" s="90" t="s">
        <v>1</v>
      </c>
      <c r="U27" s="90"/>
      <c r="V27" s="51">
        <v>46020</v>
      </c>
      <c r="W27" s="11" t="s">
        <v>1575</v>
      </c>
    </row>
    <row r="28" spans="1:23" ht="13" customHeight="1" x14ac:dyDescent="0.35">
      <c r="A28" s="11">
        <v>22</v>
      </c>
      <c r="B28" s="47">
        <v>205496017</v>
      </c>
      <c r="C28" s="94" t="s">
        <v>252</v>
      </c>
      <c r="D28" s="11" t="s">
        <v>1931</v>
      </c>
      <c r="E28" s="48" t="s">
        <v>31</v>
      </c>
      <c r="F28" s="48" t="s">
        <v>74</v>
      </c>
      <c r="G28" s="11" t="s">
        <v>64</v>
      </c>
      <c r="H28" s="11" t="s">
        <v>75</v>
      </c>
      <c r="I28" s="11">
        <v>1299</v>
      </c>
      <c r="J28" s="49" t="s">
        <v>39</v>
      </c>
      <c r="K28" s="49" t="s">
        <v>76</v>
      </c>
      <c r="L28" s="49" t="s">
        <v>84</v>
      </c>
      <c r="M28" s="49" t="s">
        <v>85</v>
      </c>
      <c r="N28" s="49" t="s">
        <v>89</v>
      </c>
      <c r="O28" s="49" t="s">
        <v>67</v>
      </c>
      <c r="P28" s="11" t="s">
        <v>80</v>
      </c>
      <c r="Q28" s="11" t="s">
        <v>96</v>
      </c>
      <c r="R28" s="11" t="s">
        <v>82</v>
      </c>
      <c r="S28" s="11" t="s">
        <v>2729</v>
      </c>
      <c r="T28" s="90" t="s">
        <v>7</v>
      </c>
      <c r="U28" s="90" t="s">
        <v>2914</v>
      </c>
      <c r="V28" s="51">
        <v>45831</v>
      </c>
      <c r="W28" s="11" t="s">
        <v>1575</v>
      </c>
    </row>
    <row r="29" spans="1:23" ht="13" customHeight="1" x14ac:dyDescent="0.35">
      <c r="A29" s="11">
        <v>23</v>
      </c>
      <c r="B29" s="47">
        <v>206294541</v>
      </c>
      <c r="C29" s="94" t="s">
        <v>2237</v>
      </c>
      <c r="D29" s="11" t="s">
        <v>2238</v>
      </c>
      <c r="E29" s="48" t="s">
        <v>31</v>
      </c>
      <c r="F29" s="48" t="s">
        <v>74</v>
      </c>
      <c r="G29" s="11" t="s">
        <v>64</v>
      </c>
      <c r="H29" s="11" t="s">
        <v>75</v>
      </c>
      <c r="I29" s="11">
        <v>1299</v>
      </c>
      <c r="J29" s="49" t="s">
        <v>39</v>
      </c>
      <c r="K29" s="49" t="s">
        <v>76</v>
      </c>
      <c r="L29" s="49" t="s">
        <v>88</v>
      </c>
      <c r="M29" s="49" t="s">
        <v>95</v>
      </c>
      <c r="N29" s="49" t="s">
        <v>89</v>
      </c>
      <c r="O29" s="49" t="s">
        <v>67</v>
      </c>
      <c r="P29" s="11" t="s">
        <v>80</v>
      </c>
      <c r="Q29" s="11" t="s">
        <v>96</v>
      </c>
      <c r="R29" s="11" t="s">
        <v>82</v>
      </c>
      <c r="S29" s="11" t="s">
        <v>2729</v>
      </c>
      <c r="T29" s="90" t="s">
        <v>10</v>
      </c>
      <c r="U29" s="90"/>
      <c r="V29" s="51">
        <v>45950</v>
      </c>
      <c r="W29" s="11" t="s">
        <v>1575</v>
      </c>
    </row>
    <row r="30" spans="1:23" ht="13" customHeight="1" x14ac:dyDescent="0.35">
      <c r="A30" s="11">
        <v>24</v>
      </c>
      <c r="B30" s="47">
        <v>203800382</v>
      </c>
      <c r="C30" s="94" t="s">
        <v>2478</v>
      </c>
      <c r="D30" s="11" t="s">
        <v>2479</v>
      </c>
      <c r="E30" s="48" t="s">
        <v>31</v>
      </c>
      <c r="F30" s="48" t="s">
        <v>74</v>
      </c>
      <c r="G30" s="11" t="s">
        <v>64</v>
      </c>
      <c r="H30" s="11" t="s">
        <v>75</v>
      </c>
      <c r="I30" s="11">
        <v>1299</v>
      </c>
      <c r="J30" s="49" t="s">
        <v>32</v>
      </c>
      <c r="K30" s="49" t="s">
        <v>76</v>
      </c>
      <c r="L30" s="49" t="s">
        <v>88</v>
      </c>
      <c r="M30" s="49" t="s">
        <v>95</v>
      </c>
      <c r="N30" s="49" t="s">
        <v>89</v>
      </c>
      <c r="O30" s="49" t="s">
        <v>67</v>
      </c>
      <c r="P30" s="11" t="s">
        <v>80</v>
      </c>
      <c r="Q30" s="11" t="s">
        <v>90</v>
      </c>
      <c r="R30" s="11" t="s">
        <v>82</v>
      </c>
      <c r="S30" s="11" t="s">
        <v>2729</v>
      </c>
      <c r="T30" s="90" t="s">
        <v>10</v>
      </c>
      <c r="U30" s="90"/>
      <c r="V30" s="51">
        <v>45516</v>
      </c>
      <c r="W30" s="11" t="s">
        <v>1575</v>
      </c>
    </row>
    <row r="31" spans="1:23" ht="13" customHeight="1" x14ac:dyDescent="0.35">
      <c r="A31" s="11">
        <v>25</v>
      </c>
      <c r="B31" s="47">
        <v>206930700</v>
      </c>
      <c r="C31" s="94" t="s">
        <v>2136</v>
      </c>
      <c r="D31" s="11" t="s">
        <v>2062</v>
      </c>
      <c r="E31" s="48" t="s">
        <v>31</v>
      </c>
      <c r="F31" s="48" t="s">
        <v>74</v>
      </c>
      <c r="G31" s="11" t="s">
        <v>64</v>
      </c>
      <c r="H31" s="11" t="s">
        <v>75</v>
      </c>
      <c r="I31" s="11">
        <v>1299</v>
      </c>
      <c r="J31" s="49" t="s">
        <v>32</v>
      </c>
      <c r="K31" s="49" t="s">
        <v>76</v>
      </c>
      <c r="L31" s="49" t="s">
        <v>77</v>
      </c>
      <c r="M31" s="49" t="s">
        <v>78</v>
      </c>
      <c r="N31" s="48" t="s">
        <v>86</v>
      </c>
      <c r="O31" s="49" t="s">
        <v>67</v>
      </c>
      <c r="P31" s="11" t="s">
        <v>80</v>
      </c>
      <c r="Q31" s="11" t="s">
        <v>90</v>
      </c>
      <c r="R31" s="11" t="s">
        <v>82</v>
      </c>
      <c r="S31" s="11" t="s">
        <v>2729</v>
      </c>
      <c r="T31" s="90" t="s">
        <v>1</v>
      </c>
      <c r="U31" s="90"/>
      <c r="V31" s="51">
        <v>46048</v>
      </c>
      <c r="W31" s="11" t="s">
        <v>1575</v>
      </c>
    </row>
    <row r="32" spans="1:23" ht="13" customHeight="1" x14ac:dyDescent="0.35">
      <c r="A32" s="11">
        <v>26</v>
      </c>
      <c r="B32" s="47">
        <v>203995362</v>
      </c>
      <c r="C32" s="94" t="s">
        <v>2480</v>
      </c>
      <c r="D32" s="11" t="s">
        <v>2481</v>
      </c>
      <c r="E32" s="48" t="s">
        <v>31</v>
      </c>
      <c r="F32" s="48" t="s">
        <v>74</v>
      </c>
      <c r="G32" s="11" t="s">
        <v>64</v>
      </c>
      <c r="H32" s="11" t="s">
        <v>75</v>
      </c>
      <c r="I32" s="11">
        <v>1299</v>
      </c>
      <c r="J32" s="49" t="s">
        <v>32</v>
      </c>
      <c r="K32" s="49" t="s">
        <v>76</v>
      </c>
      <c r="L32" s="49" t="s">
        <v>88</v>
      </c>
      <c r="M32" s="49" t="s">
        <v>95</v>
      </c>
      <c r="N32" s="49" t="s">
        <v>89</v>
      </c>
      <c r="O32" s="49" t="s">
        <v>67</v>
      </c>
      <c r="P32" s="11" t="s">
        <v>80</v>
      </c>
      <c r="Q32" s="11" t="s">
        <v>90</v>
      </c>
      <c r="R32" s="11" t="s">
        <v>82</v>
      </c>
      <c r="S32" s="11" t="s">
        <v>2729</v>
      </c>
      <c r="T32" s="90" t="s">
        <v>10</v>
      </c>
      <c r="U32" s="90"/>
      <c r="V32" s="51">
        <v>45684</v>
      </c>
      <c r="W32" s="11" t="s">
        <v>1575</v>
      </c>
    </row>
    <row r="33" spans="1:23" ht="13" customHeight="1" x14ac:dyDescent="0.35">
      <c r="A33" s="11">
        <v>27</v>
      </c>
      <c r="B33" s="47">
        <v>206953786</v>
      </c>
      <c r="C33" s="94" t="s">
        <v>2142</v>
      </c>
      <c r="D33" s="11" t="s">
        <v>2070</v>
      </c>
      <c r="E33" s="48" t="s">
        <v>31</v>
      </c>
      <c r="F33" s="48" t="s">
        <v>74</v>
      </c>
      <c r="G33" s="11" t="s">
        <v>64</v>
      </c>
      <c r="H33" s="11" t="s">
        <v>75</v>
      </c>
      <c r="I33" s="11">
        <v>1299</v>
      </c>
      <c r="J33" s="49" t="s">
        <v>32</v>
      </c>
      <c r="K33" s="49" t="s">
        <v>76</v>
      </c>
      <c r="L33" s="49" t="s">
        <v>78</v>
      </c>
      <c r="M33" s="49" t="s">
        <v>92</v>
      </c>
      <c r="N33" s="48" t="s">
        <v>89</v>
      </c>
      <c r="O33" s="49" t="s">
        <v>67</v>
      </c>
      <c r="P33" s="11" t="s">
        <v>80</v>
      </c>
      <c r="Q33" s="11" t="s">
        <v>90</v>
      </c>
      <c r="R33" s="11" t="s">
        <v>82</v>
      </c>
      <c r="S33" s="11" t="s">
        <v>2729</v>
      </c>
      <c r="T33" s="90" t="s">
        <v>1</v>
      </c>
      <c r="U33" s="90"/>
      <c r="V33" s="51">
        <v>46048</v>
      </c>
      <c r="W33" s="11" t="s">
        <v>1575</v>
      </c>
    </row>
    <row r="34" spans="1:23" ht="13" customHeight="1" x14ac:dyDescent="0.35">
      <c r="A34" s="11">
        <v>28</v>
      </c>
      <c r="B34" s="47">
        <v>206875143</v>
      </c>
      <c r="C34" s="94" t="s">
        <v>1721</v>
      </c>
      <c r="D34" s="11" t="s">
        <v>1722</v>
      </c>
      <c r="E34" s="48" t="s">
        <v>31</v>
      </c>
      <c r="F34" s="48" t="s">
        <v>74</v>
      </c>
      <c r="G34" s="48" t="s">
        <v>64</v>
      </c>
      <c r="H34" s="48" t="s">
        <v>75</v>
      </c>
      <c r="I34" s="11">
        <v>1299</v>
      </c>
      <c r="J34" s="49" t="s">
        <v>32</v>
      </c>
      <c r="K34" s="49" t="s">
        <v>76</v>
      </c>
      <c r="L34" s="49" t="s">
        <v>78</v>
      </c>
      <c r="M34" s="49" t="s">
        <v>92</v>
      </c>
      <c r="N34" s="49" t="s">
        <v>89</v>
      </c>
      <c r="O34" s="48" t="s">
        <v>67</v>
      </c>
      <c r="P34" s="48" t="s">
        <v>80</v>
      </c>
      <c r="Q34" s="11" t="s">
        <v>90</v>
      </c>
      <c r="R34" s="11" t="s">
        <v>82</v>
      </c>
      <c r="S34" s="11" t="s">
        <v>2729</v>
      </c>
      <c r="T34" s="90" t="s">
        <v>1</v>
      </c>
      <c r="U34" s="90"/>
      <c r="V34" s="51">
        <v>46020</v>
      </c>
      <c r="W34" s="11" t="s">
        <v>1575</v>
      </c>
    </row>
    <row r="35" spans="1:23" ht="13" customHeight="1" x14ac:dyDescent="0.35">
      <c r="A35" s="11">
        <v>29</v>
      </c>
      <c r="B35" s="47">
        <v>205647826</v>
      </c>
      <c r="C35" s="94" t="s">
        <v>2239</v>
      </c>
      <c r="D35" s="11" t="s">
        <v>2704</v>
      </c>
      <c r="E35" s="48" t="s">
        <v>31</v>
      </c>
      <c r="F35" s="48" t="s">
        <v>74</v>
      </c>
      <c r="G35" s="11" t="s">
        <v>64</v>
      </c>
      <c r="H35" s="11" t="s">
        <v>75</v>
      </c>
      <c r="I35" s="11">
        <v>1299</v>
      </c>
      <c r="J35" s="49" t="s">
        <v>39</v>
      </c>
      <c r="K35" s="49" t="s">
        <v>76</v>
      </c>
      <c r="L35" s="49" t="s">
        <v>95</v>
      </c>
      <c r="M35" s="49" t="s">
        <v>77</v>
      </c>
      <c r="N35" s="49" t="s">
        <v>89</v>
      </c>
      <c r="O35" s="49" t="s">
        <v>67</v>
      </c>
      <c r="P35" s="11" t="s">
        <v>80</v>
      </c>
      <c r="Q35" s="11" t="s">
        <v>96</v>
      </c>
      <c r="R35" s="11" t="s">
        <v>82</v>
      </c>
      <c r="S35" s="11" t="s">
        <v>2729</v>
      </c>
      <c r="T35" s="90" t="s">
        <v>1</v>
      </c>
      <c r="U35" s="90"/>
      <c r="V35" s="51">
        <v>45852</v>
      </c>
      <c r="W35" s="11" t="s">
        <v>1575</v>
      </c>
    </row>
    <row r="36" spans="1:23" ht="13" customHeight="1" x14ac:dyDescent="0.35">
      <c r="A36" s="11">
        <v>30</v>
      </c>
      <c r="B36" s="47">
        <v>206875148</v>
      </c>
      <c r="C36" s="94" t="s">
        <v>1735</v>
      </c>
      <c r="D36" s="11" t="s">
        <v>1736</v>
      </c>
      <c r="E36" s="48" t="s">
        <v>31</v>
      </c>
      <c r="F36" s="48" t="s">
        <v>74</v>
      </c>
      <c r="G36" s="48" t="s">
        <v>64</v>
      </c>
      <c r="H36" s="48" t="s">
        <v>75</v>
      </c>
      <c r="I36" s="11">
        <v>1299</v>
      </c>
      <c r="J36" s="49" t="s">
        <v>39</v>
      </c>
      <c r="K36" s="49" t="s">
        <v>76</v>
      </c>
      <c r="L36" s="49" t="s">
        <v>88</v>
      </c>
      <c r="M36" s="49" t="s">
        <v>95</v>
      </c>
      <c r="N36" s="49" t="s">
        <v>89</v>
      </c>
      <c r="O36" s="48" t="s">
        <v>67</v>
      </c>
      <c r="P36" s="48" t="s">
        <v>80</v>
      </c>
      <c r="Q36" s="11" t="s">
        <v>90</v>
      </c>
      <c r="R36" s="11" t="s">
        <v>82</v>
      </c>
      <c r="S36" s="11" t="s">
        <v>2729</v>
      </c>
      <c r="T36" s="90" t="s">
        <v>10</v>
      </c>
      <c r="U36" s="90"/>
      <c r="V36" s="51">
        <v>46020</v>
      </c>
      <c r="W36" s="11" t="s">
        <v>1575</v>
      </c>
    </row>
    <row r="37" spans="1:23" ht="13" customHeight="1" x14ac:dyDescent="0.35">
      <c r="A37" s="11">
        <v>31</v>
      </c>
      <c r="B37" s="47">
        <v>205609430</v>
      </c>
      <c r="C37" s="94" t="s">
        <v>267</v>
      </c>
      <c r="D37" s="11" t="s">
        <v>2007</v>
      </c>
      <c r="E37" s="48" t="s">
        <v>31</v>
      </c>
      <c r="F37" s="48" t="s">
        <v>74</v>
      </c>
      <c r="G37" s="11" t="s">
        <v>64</v>
      </c>
      <c r="H37" s="11" t="s">
        <v>75</v>
      </c>
      <c r="I37" s="11">
        <v>1299</v>
      </c>
      <c r="J37" s="49" t="s">
        <v>39</v>
      </c>
      <c r="K37" s="49" t="s">
        <v>76</v>
      </c>
      <c r="L37" s="49" t="s">
        <v>92</v>
      </c>
      <c r="M37" s="49" t="s">
        <v>84</v>
      </c>
      <c r="N37" s="49" t="s">
        <v>89</v>
      </c>
      <c r="O37" s="49" t="s">
        <v>67</v>
      </c>
      <c r="P37" s="11" t="s">
        <v>80</v>
      </c>
      <c r="Q37" s="11" t="s">
        <v>90</v>
      </c>
      <c r="R37" s="11" t="s">
        <v>82</v>
      </c>
      <c r="S37" s="11" t="s">
        <v>2729</v>
      </c>
      <c r="T37" s="90" t="s">
        <v>7</v>
      </c>
      <c r="U37" s="90" t="s">
        <v>2914</v>
      </c>
      <c r="V37" s="51">
        <v>45845</v>
      </c>
      <c r="W37" s="11" t="s">
        <v>1575</v>
      </c>
    </row>
    <row r="38" spans="1:23" ht="13" customHeight="1" x14ac:dyDescent="0.35">
      <c r="A38" s="11">
        <v>32</v>
      </c>
      <c r="B38" s="47">
        <v>203555399</v>
      </c>
      <c r="C38" s="94" t="s">
        <v>101</v>
      </c>
      <c r="D38" s="11" t="s">
        <v>2008</v>
      </c>
      <c r="E38" s="48" t="s">
        <v>31</v>
      </c>
      <c r="F38" s="48" t="s">
        <v>74</v>
      </c>
      <c r="G38" s="11" t="s">
        <v>64</v>
      </c>
      <c r="H38" s="11" t="s">
        <v>75</v>
      </c>
      <c r="I38" s="11">
        <v>1299</v>
      </c>
      <c r="J38" s="49" t="s">
        <v>32</v>
      </c>
      <c r="K38" s="49" t="s">
        <v>76</v>
      </c>
      <c r="L38" s="49" t="s">
        <v>88</v>
      </c>
      <c r="M38" s="49" t="s">
        <v>95</v>
      </c>
      <c r="N38" s="48" t="s">
        <v>79</v>
      </c>
      <c r="O38" s="49" t="s">
        <v>67</v>
      </c>
      <c r="P38" s="11" t="s">
        <v>80</v>
      </c>
      <c r="Q38" s="11" t="s">
        <v>81</v>
      </c>
      <c r="R38" s="11" t="s">
        <v>82</v>
      </c>
      <c r="S38" s="11" t="s">
        <v>2729</v>
      </c>
      <c r="T38" s="90" t="s">
        <v>10</v>
      </c>
      <c r="U38" s="90"/>
      <c r="V38" s="51">
        <v>45470</v>
      </c>
      <c r="W38" s="11" t="s">
        <v>1575</v>
      </c>
    </row>
    <row r="39" spans="1:23" ht="13" customHeight="1" x14ac:dyDescent="0.35">
      <c r="A39" s="11">
        <v>33</v>
      </c>
      <c r="B39" s="47">
        <v>205997628</v>
      </c>
      <c r="C39" s="94" t="s">
        <v>2240</v>
      </c>
      <c r="D39" s="11" t="s">
        <v>2241</v>
      </c>
      <c r="E39" s="48" t="s">
        <v>31</v>
      </c>
      <c r="F39" s="48" t="s">
        <v>74</v>
      </c>
      <c r="G39" s="11" t="s">
        <v>64</v>
      </c>
      <c r="H39" s="11" t="s">
        <v>75</v>
      </c>
      <c r="I39" s="11">
        <v>1299</v>
      </c>
      <c r="J39" s="49" t="s">
        <v>32</v>
      </c>
      <c r="K39" s="49" t="s">
        <v>76</v>
      </c>
      <c r="L39" s="49" t="s">
        <v>88</v>
      </c>
      <c r="M39" s="49" t="s">
        <v>95</v>
      </c>
      <c r="N39" s="49" t="s">
        <v>89</v>
      </c>
      <c r="O39" s="49" t="s">
        <v>67</v>
      </c>
      <c r="P39" s="11" t="s">
        <v>80</v>
      </c>
      <c r="Q39" s="11" t="s">
        <v>81</v>
      </c>
      <c r="R39" s="11" t="s">
        <v>82</v>
      </c>
      <c r="S39" s="11" t="s">
        <v>2729</v>
      </c>
      <c r="T39" s="90" t="s">
        <v>10</v>
      </c>
      <c r="U39" s="90"/>
      <c r="V39" s="51">
        <v>45915</v>
      </c>
      <c r="W39" s="11" t="s">
        <v>1575</v>
      </c>
    </row>
    <row r="40" spans="1:23" ht="13" customHeight="1" x14ac:dyDescent="0.35">
      <c r="A40" s="11">
        <v>34</v>
      </c>
      <c r="B40" s="47">
        <v>203555402</v>
      </c>
      <c r="C40" s="94" t="s">
        <v>102</v>
      </c>
      <c r="D40" s="11" t="s">
        <v>2705</v>
      </c>
      <c r="E40" s="48" t="s">
        <v>31</v>
      </c>
      <c r="F40" s="48" t="s">
        <v>74</v>
      </c>
      <c r="G40" s="11" t="s">
        <v>64</v>
      </c>
      <c r="H40" s="11" t="s">
        <v>75</v>
      </c>
      <c r="I40" s="11">
        <v>1299</v>
      </c>
      <c r="J40" s="49" t="s">
        <v>39</v>
      </c>
      <c r="K40" s="49" t="s">
        <v>76</v>
      </c>
      <c r="L40" s="49" t="s">
        <v>88</v>
      </c>
      <c r="M40" s="49" t="s">
        <v>95</v>
      </c>
      <c r="N40" s="48" t="s">
        <v>79</v>
      </c>
      <c r="O40" s="49" t="s">
        <v>67</v>
      </c>
      <c r="P40" s="11" t="s">
        <v>80</v>
      </c>
      <c r="Q40" s="11" t="s">
        <v>81</v>
      </c>
      <c r="R40" s="11" t="s">
        <v>82</v>
      </c>
      <c r="S40" s="11" t="s">
        <v>2729</v>
      </c>
      <c r="T40" s="90" t="s">
        <v>10</v>
      </c>
      <c r="U40" s="90"/>
      <c r="V40" s="51">
        <v>45470</v>
      </c>
      <c r="W40" s="11" t="s">
        <v>1575</v>
      </c>
    </row>
    <row r="41" spans="1:23" ht="13" customHeight="1" x14ac:dyDescent="0.35">
      <c r="A41" s="11">
        <v>35</v>
      </c>
      <c r="B41" s="47">
        <v>206953810</v>
      </c>
      <c r="C41" s="94" t="s">
        <v>2054</v>
      </c>
      <c r="D41" s="11" t="s">
        <v>2055</v>
      </c>
      <c r="E41" s="48" t="s">
        <v>31</v>
      </c>
      <c r="F41" s="48" t="s">
        <v>74</v>
      </c>
      <c r="G41" s="11" t="s">
        <v>64</v>
      </c>
      <c r="H41" s="11" t="s">
        <v>75</v>
      </c>
      <c r="I41" s="11">
        <v>1299</v>
      </c>
      <c r="J41" s="49" t="s">
        <v>32</v>
      </c>
      <c r="K41" s="49" t="s">
        <v>76</v>
      </c>
      <c r="L41" s="49" t="s">
        <v>84</v>
      </c>
      <c r="M41" s="49" t="s">
        <v>85</v>
      </c>
      <c r="N41" s="48" t="s">
        <v>86</v>
      </c>
      <c r="O41" s="49" t="s">
        <v>67</v>
      </c>
      <c r="P41" s="11" t="s">
        <v>80</v>
      </c>
      <c r="Q41" s="11" t="s">
        <v>90</v>
      </c>
      <c r="R41" s="11" t="s">
        <v>82</v>
      </c>
      <c r="S41" s="11" t="s">
        <v>2729</v>
      </c>
      <c r="T41" s="90" t="s">
        <v>1</v>
      </c>
      <c r="U41" s="90"/>
      <c r="V41" s="51">
        <v>46048</v>
      </c>
      <c r="W41" s="11" t="s">
        <v>1575</v>
      </c>
    </row>
    <row r="42" spans="1:23" ht="13" customHeight="1" x14ac:dyDescent="0.35">
      <c r="A42" s="11">
        <v>36</v>
      </c>
      <c r="B42" s="47">
        <v>204299899</v>
      </c>
      <c r="C42" s="94" t="s">
        <v>103</v>
      </c>
      <c r="D42" s="11" t="s">
        <v>1932</v>
      </c>
      <c r="E42" s="48" t="s">
        <v>31</v>
      </c>
      <c r="F42" s="48" t="s">
        <v>74</v>
      </c>
      <c r="G42" s="11" t="s">
        <v>64</v>
      </c>
      <c r="H42" s="11" t="s">
        <v>75</v>
      </c>
      <c r="I42" s="11">
        <v>1299</v>
      </c>
      <c r="J42" s="49" t="s">
        <v>39</v>
      </c>
      <c r="K42" s="49" t="s">
        <v>76</v>
      </c>
      <c r="L42" s="49" t="s">
        <v>77</v>
      </c>
      <c r="M42" s="49" t="s">
        <v>78</v>
      </c>
      <c r="N42" s="48" t="s">
        <v>86</v>
      </c>
      <c r="O42" s="49" t="s">
        <v>67</v>
      </c>
      <c r="P42" s="11" t="s">
        <v>80</v>
      </c>
      <c r="Q42" s="11" t="s">
        <v>87</v>
      </c>
      <c r="R42" s="11" t="s">
        <v>82</v>
      </c>
      <c r="S42" s="11" t="s">
        <v>2729</v>
      </c>
      <c r="T42" s="90" t="s">
        <v>1</v>
      </c>
      <c r="U42" s="90"/>
      <c r="V42" s="51">
        <v>45589</v>
      </c>
      <c r="W42" s="11" t="s">
        <v>1575</v>
      </c>
    </row>
    <row r="43" spans="1:23" ht="13" customHeight="1" x14ac:dyDescent="0.35">
      <c r="A43" s="11">
        <v>37</v>
      </c>
      <c r="B43" s="47">
        <v>206953815</v>
      </c>
      <c r="C43" s="95" t="s">
        <v>2177</v>
      </c>
      <c r="D43" s="112" t="s">
        <v>2178</v>
      </c>
      <c r="E43" s="48" t="s">
        <v>31</v>
      </c>
      <c r="F43" s="48" t="s">
        <v>74</v>
      </c>
      <c r="G43" s="11" t="s">
        <v>64</v>
      </c>
      <c r="H43" s="11" t="s">
        <v>75</v>
      </c>
      <c r="I43" s="11">
        <v>1299</v>
      </c>
      <c r="J43" s="49" t="s">
        <v>32</v>
      </c>
      <c r="K43" s="49" t="s">
        <v>76</v>
      </c>
      <c r="L43" s="49" t="s">
        <v>84</v>
      </c>
      <c r="M43" s="49" t="s">
        <v>85</v>
      </c>
      <c r="N43" s="48" t="s">
        <v>86</v>
      </c>
      <c r="O43" s="49" t="s">
        <v>67</v>
      </c>
      <c r="P43" s="49" t="s">
        <v>80</v>
      </c>
      <c r="Q43" s="49" t="s">
        <v>90</v>
      </c>
      <c r="R43" s="11" t="s">
        <v>82</v>
      </c>
      <c r="S43" s="11" t="s">
        <v>2729</v>
      </c>
      <c r="T43" s="90" t="s">
        <v>1</v>
      </c>
      <c r="U43" s="89"/>
      <c r="V43" s="51">
        <v>46048</v>
      </c>
      <c r="W43" s="11" t="s">
        <v>1575</v>
      </c>
    </row>
    <row r="44" spans="1:23" ht="13" customHeight="1" x14ac:dyDescent="0.35">
      <c r="A44" s="11">
        <v>38</v>
      </c>
      <c r="B44" s="47">
        <v>206016551</v>
      </c>
      <c r="C44" s="94" t="s">
        <v>296</v>
      </c>
      <c r="D44" s="11" t="s">
        <v>1933</v>
      </c>
      <c r="E44" s="48" t="s">
        <v>31</v>
      </c>
      <c r="F44" s="48" t="s">
        <v>74</v>
      </c>
      <c r="G44" s="11" t="s">
        <v>64</v>
      </c>
      <c r="H44" s="11" t="s">
        <v>75</v>
      </c>
      <c r="I44" s="11">
        <v>1299</v>
      </c>
      <c r="J44" s="49" t="s">
        <v>32</v>
      </c>
      <c r="K44" s="49" t="s">
        <v>76</v>
      </c>
      <c r="L44" s="49" t="s">
        <v>77</v>
      </c>
      <c r="M44" s="49" t="s">
        <v>78</v>
      </c>
      <c r="N44" s="49" t="s">
        <v>89</v>
      </c>
      <c r="O44" s="49" t="s">
        <v>67</v>
      </c>
      <c r="P44" s="11" t="s">
        <v>80</v>
      </c>
      <c r="Q44" s="11" t="s">
        <v>81</v>
      </c>
      <c r="R44" s="11" t="s">
        <v>82</v>
      </c>
      <c r="S44" s="11" t="s">
        <v>2729</v>
      </c>
      <c r="T44" s="90" t="s">
        <v>1</v>
      </c>
      <c r="U44" s="90" t="s">
        <v>2914</v>
      </c>
      <c r="V44" s="51">
        <v>45915</v>
      </c>
      <c r="W44" s="11" t="s">
        <v>1575</v>
      </c>
    </row>
    <row r="45" spans="1:23" ht="13" customHeight="1" x14ac:dyDescent="0.35">
      <c r="A45" s="11">
        <v>39</v>
      </c>
      <c r="B45" s="47">
        <v>203741547</v>
      </c>
      <c r="C45" s="94" t="s">
        <v>2242</v>
      </c>
      <c r="D45" s="11" t="s">
        <v>2243</v>
      </c>
      <c r="E45" s="48" t="s">
        <v>31</v>
      </c>
      <c r="F45" s="48" t="s">
        <v>74</v>
      </c>
      <c r="G45" s="11" t="s">
        <v>64</v>
      </c>
      <c r="H45" s="11" t="s">
        <v>75</v>
      </c>
      <c r="I45" s="11">
        <v>1299</v>
      </c>
      <c r="J45" s="49" t="s">
        <v>32</v>
      </c>
      <c r="K45" s="49" t="s">
        <v>76</v>
      </c>
      <c r="L45" s="49" t="s">
        <v>95</v>
      </c>
      <c r="M45" s="49" t="s">
        <v>77</v>
      </c>
      <c r="N45" s="48" t="s">
        <v>79</v>
      </c>
      <c r="O45" s="49" t="s">
        <v>67</v>
      </c>
      <c r="P45" s="11" t="s">
        <v>80</v>
      </c>
      <c r="Q45" s="11" t="s">
        <v>81</v>
      </c>
      <c r="R45" s="11" t="s">
        <v>82</v>
      </c>
      <c r="S45" s="11" t="s">
        <v>2729</v>
      </c>
      <c r="T45" s="90" t="s">
        <v>1</v>
      </c>
      <c r="U45" s="90"/>
      <c r="V45" s="51">
        <v>45517</v>
      </c>
      <c r="W45" s="11" t="s">
        <v>1575</v>
      </c>
    </row>
    <row r="46" spans="1:23" ht="13" customHeight="1" x14ac:dyDescent="0.35">
      <c r="A46" s="11">
        <v>40</v>
      </c>
      <c r="B46" s="47">
        <v>205608617</v>
      </c>
      <c r="C46" s="94" t="s">
        <v>302</v>
      </c>
      <c r="D46" s="11" t="s">
        <v>1934</v>
      </c>
      <c r="E46" s="48" t="s">
        <v>31</v>
      </c>
      <c r="F46" s="48" t="s">
        <v>74</v>
      </c>
      <c r="G46" s="11" t="s">
        <v>64</v>
      </c>
      <c r="H46" s="11" t="s">
        <v>75</v>
      </c>
      <c r="I46" s="11">
        <v>1299</v>
      </c>
      <c r="J46" s="49" t="s">
        <v>32</v>
      </c>
      <c r="K46" s="49" t="s">
        <v>76</v>
      </c>
      <c r="L46" s="49" t="s">
        <v>92</v>
      </c>
      <c r="M46" s="49" t="s">
        <v>84</v>
      </c>
      <c r="N46" s="49" t="s">
        <v>89</v>
      </c>
      <c r="O46" s="49" t="s">
        <v>67</v>
      </c>
      <c r="P46" s="11" t="s">
        <v>80</v>
      </c>
      <c r="Q46" s="11" t="s">
        <v>90</v>
      </c>
      <c r="R46" s="11" t="s">
        <v>82</v>
      </c>
      <c r="S46" s="11" t="s">
        <v>2729</v>
      </c>
      <c r="T46" s="90" t="s">
        <v>1</v>
      </c>
      <c r="U46" s="90"/>
      <c r="V46" s="51">
        <v>45845</v>
      </c>
      <c r="W46" s="11" t="s">
        <v>1575</v>
      </c>
    </row>
    <row r="47" spans="1:23" ht="13" customHeight="1" x14ac:dyDescent="0.35">
      <c r="A47" s="11">
        <v>41</v>
      </c>
      <c r="B47" s="47">
        <v>206953974</v>
      </c>
      <c r="C47" s="94" t="s">
        <v>2132</v>
      </c>
      <c r="D47" s="11" t="s">
        <v>2057</v>
      </c>
      <c r="E47" s="48" t="s">
        <v>31</v>
      </c>
      <c r="F47" s="48" t="s">
        <v>74</v>
      </c>
      <c r="G47" s="11" t="s">
        <v>64</v>
      </c>
      <c r="H47" s="11" t="s">
        <v>75</v>
      </c>
      <c r="I47" s="11">
        <v>1299</v>
      </c>
      <c r="J47" s="49" t="s">
        <v>32</v>
      </c>
      <c r="K47" s="49" t="s">
        <v>76</v>
      </c>
      <c r="L47" s="49" t="s">
        <v>84</v>
      </c>
      <c r="M47" s="49" t="s">
        <v>85</v>
      </c>
      <c r="N47" s="48" t="s">
        <v>86</v>
      </c>
      <c r="O47" s="49" t="s">
        <v>67</v>
      </c>
      <c r="P47" s="11" t="s">
        <v>80</v>
      </c>
      <c r="Q47" s="11" t="s">
        <v>90</v>
      </c>
      <c r="R47" s="11" t="s">
        <v>82</v>
      </c>
      <c r="S47" s="11" t="s">
        <v>2729</v>
      </c>
      <c r="T47" s="90" t="s">
        <v>1</v>
      </c>
      <c r="U47" s="90"/>
      <c r="V47" s="51">
        <v>46048</v>
      </c>
      <c r="W47" s="11" t="s">
        <v>1575</v>
      </c>
    </row>
    <row r="48" spans="1:23" ht="13" customHeight="1" x14ac:dyDescent="0.35">
      <c r="A48" s="11">
        <v>42</v>
      </c>
      <c r="B48" s="47">
        <v>203555403</v>
      </c>
      <c r="C48" s="94" t="s">
        <v>2244</v>
      </c>
      <c r="D48" s="11" t="s">
        <v>2245</v>
      </c>
      <c r="E48" s="48" t="s">
        <v>31</v>
      </c>
      <c r="F48" s="48" t="s">
        <v>74</v>
      </c>
      <c r="G48" s="11" t="s">
        <v>64</v>
      </c>
      <c r="H48" s="11" t="s">
        <v>75</v>
      </c>
      <c r="I48" s="11">
        <v>1299</v>
      </c>
      <c r="J48" s="49" t="s">
        <v>32</v>
      </c>
      <c r="K48" s="49" t="s">
        <v>76</v>
      </c>
      <c r="L48" s="49" t="s">
        <v>77</v>
      </c>
      <c r="M48" s="49" t="s">
        <v>78</v>
      </c>
      <c r="N48" s="48" t="s">
        <v>79</v>
      </c>
      <c r="O48" s="49" t="s">
        <v>67</v>
      </c>
      <c r="P48" s="11" t="s">
        <v>80</v>
      </c>
      <c r="Q48" s="11" t="s">
        <v>81</v>
      </c>
      <c r="R48" s="11" t="s">
        <v>82</v>
      </c>
      <c r="S48" s="11" t="s">
        <v>2729</v>
      </c>
      <c r="T48" s="90" t="s">
        <v>1</v>
      </c>
      <c r="U48" s="90"/>
      <c r="V48" s="51">
        <v>45470</v>
      </c>
      <c r="W48" s="11" t="s">
        <v>1575</v>
      </c>
    </row>
    <row r="49" spans="1:23" ht="13" customHeight="1" x14ac:dyDescent="0.35">
      <c r="A49" s="11">
        <v>43</v>
      </c>
      <c r="B49" s="47">
        <v>203469458</v>
      </c>
      <c r="C49" s="94" t="s">
        <v>104</v>
      </c>
      <c r="D49" s="11" t="s">
        <v>1935</v>
      </c>
      <c r="E49" s="48" t="s">
        <v>31</v>
      </c>
      <c r="F49" s="48" t="s">
        <v>74</v>
      </c>
      <c r="G49" s="11" t="s">
        <v>64</v>
      </c>
      <c r="H49" s="11" t="s">
        <v>75</v>
      </c>
      <c r="I49" s="11">
        <v>1299</v>
      </c>
      <c r="J49" s="49" t="s">
        <v>32</v>
      </c>
      <c r="K49" s="49" t="s">
        <v>76</v>
      </c>
      <c r="L49" s="49" t="s">
        <v>92</v>
      </c>
      <c r="M49" s="49" t="s">
        <v>84</v>
      </c>
      <c r="N49" s="48" t="s">
        <v>86</v>
      </c>
      <c r="O49" s="49" t="s">
        <v>67</v>
      </c>
      <c r="P49" s="11" t="s">
        <v>80</v>
      </c>
      <c r="Q49" s="11" t="s">
        <v>99</v>
      </c>
      <c r="R49" s="11" t="s">
        <v>82</v>
      </c>
      <c r="S49" s="11" t="s">
        <v>2729</v>
      </c>
      <c r="T49" s="90" t="s">
        <v>7</v>
      </c>
      <c r="U49" s="90" t="s">
        <v>2914</v>
      </c>
      <c r="V49" s="51">
        <v>45456</v>
      </c>
      <c r="W49" s="11" t="s">
        <v>1575</v>
      </c>
    </row>
    <row r="50" spans="1:23" ht="13" customHeight="1" x14ac:dyDescent="0.35">
      <c r="A50" s="11">
        <v>44</v>
      </c>
      <c r="B50" s="47">
        <v>206072867</v>
      </c>
      <c r="C50" s="94" t="s">
        <v>2487</v>
      </c>
      <c r="D50" s="11" t="s">
        <v>2488</v>
      </c>
      <c r="E50" s="48" t="s">
        <v>31</v>
      </c>
      <c r="F50" s="48" t="s">
        <v>74</v>
      </c>
      <c r="G50" s="11" t="s">
        <v>64</v>
      </c>
      <c r="H50" s="11" t="s">
        <v>75</v>
      </c>
      <c r="I50" s="11">
        <v>1299</v>
      </c>
      <c r="J50" s="49" t="s">
        <v>32</v>
      </c>
      <c r="K50" s="49" t="s">
        <v>76</v>
      </c>
      <c r="L50" s="49" t="s">
        <v>78</v>
      </c>
      <c r="M50" s="49" t="s">
        <v>92</v>
      </c>
      <c r="N50" s="49" t="s">
        <v>89</v>
      </c>
      <c r="O50" s="49" t="s">
        <v>67</v>
      </c>
      <c r="P50" s="11" t="s">
        <v>80</v>
      </c>
      <c r="Q50" s="11" t="s">
        <v>81</v>
      </c>
      <c r="R50" s="11" t="s">
        <v>82</v>
      </c>
      <c r="S50" s="11" t="s">
        <v>2729</v>
      </c>
      <c r="T50" s="90" t="s">
        <v>1</v>
      </c>
      <c r="U50" s="90"/>
      <c r="V50" s="51">
        <v>45922</v>
      </c>
      <c r="W50" s="11" t="s">
        <v>1575</v>
      </c>
    </row>
    <row r="51" spans="1:23" ht="13" customHeight="1" x14ac:dyDescent="0.35">
      <c r="A51" s="11">
        <v>45</v>
      </c>
      <c r="B51" s="47">
        <v>206953984</v>
      </c>
      <c r="C51" s="94" t="s">
        <v>2137</v>
      </c>
      <c r="D51" s="11" t="s">
        <v>2063</v>
      </c>
      <c r="E51" s="48" t="s">
        <v>31</v>
      </c>
      <c r="F51" s="48" t="s">
        <v>74</v>
      </c>
      <c r="G51" s="11" t="s">
        <v>64</v>
      </c>
      <c r="H51" s="11" t="s">
        <v>75</v>
      </c>
      <c r="I51" s="11">
        <v>1299</v>
      </c>
      <c r="J51" s="49" t="s">
        <v>32</v>
      </c>
      <c r="K51" s="49" t="s">
        <v>76</v>
      </c>
      <c r="L51" s="49" t="s">
        <v>95</v>
      </c>
      <c r="M51" s="49" t="s">
        <v>77</v>
      </c>
      <c r="N51" s="48" t="s">
        <v>86</v>
      </c>
      <c r="O51" s="49" t="s">
        <v>67</v>
      </c>
      <c r="P51" s="11" t="s">
        <v>80</v>
      </c>
      <c r="Q51" s="11" t="s">
        <v>90</v>
      </c>
      <c r="R51" s="11" t="s">
        <v>82</v>
      </c>
      <c r="S51" s="11" t="s">
        <v>2729</v>
      </c>
      <c r="T51" s="90" t="s">
        <v>1</v>
      </c>
      <c r="U51" s="90"/>
      <c r="V51" s="51">
        <v>46048</v>
      </c>
      <c r="W51" s="11" t="s">
        <v>1575</v>
      </c>
    </row>
    <row r="52" spans="1:23" ht="13" customHeight="1" x14ac:dyDescent="0.35">
      <c r="A52" s="11">
        <v>46</v>
      </c>
      <c r="B52" s="47">
        <v>203469449</v>
      </c>
      <c r="C52" s="94" t="s">
        <v>105</v>
      </c>
      <c r="D52" s="11" t="s">
        <v>1936</v>
      </c>
      <c r="E52" s="48" t="s">
        <v>31</v>
      </c>
      <c r="F52" s="48" t="s">
        <v>74</v>
      </c>
      <c r="G52" s="11" t="s">
        <v>64</v>
      </c>
      <c r="H52" s="11" t="s">
        <v>75</v>
      </c>
      <c r="I52" s="11">
        <v>1299</v>
      </c>
      <c r="J52" s="49" t="s">
        <v>32</v>
      </c>
      <c r="K52" s="49" t="s">
        <v>76</v>
      </c>
      <c r="L52" s="49" t="s">
        <v>95</v>
      </c>
      <c r="M52" s="49" t="s">
        <v>77</v>
      </c>
      <c r="N52" s="48" t="s">
        <v>86</v>
      </c>
      <c r="O52" s="49" t="s">
        <v>67</v>
      </c>
      <c r="P52" s="11" t="s">
        <v>80</v>
      </c>
      <c r="Q52" s="11" t="s">
        <v>99</v>
      </c>
      <c r="R52" s="11" t="s">
        <v>82</v>
      </c>
      <c r="S52" s="11" t="s">
        <v>2729</v>
      </c>
      <c r="T52" s="90" t="s">
        <v>7</v>
      </c>
      <c r="U52" s="90" t="s">
        <v>2914</v>
      </c>
      <c r="V52" s="51">
        <v>45456</v>
      </c>
      <c r="W52" s="11" t="s">
        <v>1575</v>
      </c>
    </row>
    <row r="53" spans="1:23" ht="13" customHeight="1" x14ac:dyDescent="0.35">
      <c r="A53" s="11">
        <v>47</v>
      </c>
      <c r="B53" s="47">
        <v>204299548</v>
      </c>
      <c r="C53" s="94" t="s">
        <v>2246</v>
      </c>
      <c r="D53" s="11" t="s">
        <v>2247</v>
      </c>
      <c r="E53" s="48" t="s">
        <v>31</v>
      </c>
      <c r="F53" s="48" t="s">
        <v>74</v>
      </c>
      <c r="G53" s="11" t="s">
        <v>64</v>
      </c>
      <c r="H53" s="11" t="s">
        <v>75</v>
      </c>
      <c r="I53" s="11">
        <v>1299</v>
      </c>
      <c r="J53" s="49" t="s">
        <v>32</v>
      </c>
      <c r="K53" s="49" t="s">
        <v>76</v>
      </c>
      <c r="L53" s="49" t="s">
        <v>77</v>
      </c>
      <c r="M53" s="49" t="s">
        <v>78</v>
      </c>
      <c r="N53" s="49" t="s">
        <v>89</v>
      </c>
      <c r="O53" s="49" t="s">
        <v>67</v>
      </c>
      <c r="P53" s="11" t="s">
        <v>80</v>
      </c>
      <c r="Q53" s="11" t="s">
        <v>87</v>
      </c>
      <c r="R53" s="11" t="s">
        <v>82</v>
      </c>
      <c r="S53" s="11" t="s">
        <v>2729</v>
      </c>
      <c r="T53" s="90" t="s">
        <v>1</v>
      </c>
      <c r="U53" s="90"/>
      <c r="V53" s="51">
        <v>45586</v>
      </c>
      <c r="W53" s="11" t="s">
        <v>1575</v>
      </c>
    </row>
    <row r="54" spans="1:23" ht="13" customHeight="1" x14ac:dyDescent="0.35">
      <c r="A54" s="11">
        <v>48</v>
      </c>
      <c r="B54" s="47">
        <v>203469051</v>
      </c>
      <c r="C54" s="94" t="s">
        <v>2248</v>
      </c>
      <c r="D54" s="11" t="s">
        <v>2249</v>
      </c>
      <c r="E54" s="48" t="s">
        <v>31</v>
      </c>
      <c r="F54" s="48" t="s">
        <v>74</v>
      </c>
      <c r="G54" s="11" t="s">
        <v>64</v>
      </c>
      <c r="H54" s="11" t="s">
        <v>75</v>
      </c>
      <c r="I54" s="11">
        <v>1299</v>
      </c>
      <c r="J54" s="49" t="s">
        <v>32</v>
      </c>
      <c r="K54" s="49" t="s">
        <v>76</v>
      </c>
      <c r="L54" s="49" t="s">
        <v>84</v>
      </c>
      <c r="M54" s="49" t="s">
        <v>85</v>
      </c>
      <c r="N54" s="48" t="s">
        <v>79</v>
      </c>
      <c r="O54" s="49" t="s">
        <v>67</v>
      </c>
      <c r="P54" s="11" t="s">
        <v>80</v>
      </c>
      <c r="Q54" s="11" t="s">
        <v>81</v>
      </c>
      <c r="R54" s="11" t="s">
        <v>82</v>
      </c>
      <c r="S54" s="11" t="s">
        <v>2729</v>
      </c>
      <c r="T54" s="90" t="s">
        <v>1</v>
      </c>
      <c r="U54" s="90"/>
      <c r="V54" s="51">
        <v>45456</v>
      </c>
      <c r="W54" s="11" t="s">
        <v>1575</v>
      </c>
    </row>
    <row r="55" spans="1:23" ht="13" customHeight="1" x14ac:dyDescent="0.35">
      <c r="A55" s="11">
        <v>49</v>
      </c>
      <c r="B55" s="47">
        <v>204299544</v>
      </c>
      <c r="C55" s="94" t="s">
        <v>106</v>
      </c>
      <c r="D55" s="11" t="s">
        <v>1937</v>
      </c>
      <c r="E55" s="48" t="s">
        <v>31</v>
      </c>
      <c r="F55" s="48" t="s">
        <v>74</v>
      </c>
      <c r="G55" s="11" t="s">
        <v>64</v>
      </c>
      <c r="H55" s="11" t="s">
        <v>75</v>
      </c>
      <c r="I55" s="11">
        <v>1299</v>
      </c>
      <c r="J55" s="49" t="s">
        <v>39</v>
      </c>
      <c r="K55" s="49" t="s">
        <v>76</v>
      </c>
      <c r="L55" s="49" t="s">
        <v>85</v>
      </c>
      <c r="M55" s="49" t="s">
        <v>88</v>
      </c>
      <c r="N55" s="48" t="s">
        <v>86</v>
      </c>
      <c r="O55" s="49" t="s">
        <v>67</v>
      </c>
      <c r="P55" s="11" t="s">
        <v>80</v>
      </c>
      <c r="Q55" s="11" t="s">
        <v>87</v>
      </c>
      <c r="R55" s="11" t="s">
        <v>82</v>
      </c>
      <c r="S55" s="11" t="s">
        <v>2729</v>
      </c>
      <c r="T55" s="90" t="s">
        <v>10</v>
      </c>
      <c r="U55" s="90"/>
      <c r="V55" s="51">
        <v>45586</v>
      </c>
      <c r="W55" s="11" t="s">
        <v>1575</v>
      </c>
    </row>
    <row r="56" spans="1:23" ht="13" customHeight="1" x14ac:dyDescent="0.35">
      <c r="A56" s="11">
        <v>50</v>
      </c>
      <c r="B56" s="47">
        <v>206949308</v>
      </c>
      <c r="C56" s="95" t="s">
        <v>2171</v>
      </c>
      <c r="D56" s="112" t="s">
        <v>2172</v>
      </c>
      <c r="E56" s="48" t="s">
        <v>31</v>
      </c>
      <c r="F56" s="48" t="s">
        <v>74</v>
      </c>
      <c r="G56" s="11" t="s">
        <v>64</v>
      </c>
      <c r="H56" s="11" t="s">
        <v>75</v>
      </c>
      <c r="I56" s="11">
        <v>1299</v>
      </c>
      <c r="J56" s="49" t="s">
        <v>32</v>
      </c>
      <c r="K56" s="49" t="s">
        <v>76</v>
      </c>
      <c r="L56" s="49" t="s">
        <v>84</v>
      </c>
      <c r="M56" s="49" t="s">
        <v>85</v>
      </c>
      <c r="N56" s="48" t="s">
        <v>86</v>
      </c>
      <c r="O56" s="49" t="s">
        <v>67</v>
      </c>
      <c r="P56" s="49" t="s">
        <v>80</v>
      </c>
      <c r="Q56" s="49" t="s">
        <v>90</v>
      </c>
      <c r="R56" s="11" t="s">
        <v>82</v>
      </c>
      <c r="S56" s="11" t="s">
        <v>2729</v>
      </c>
      <c r="T56" s="90" t="s">
        <v>1</v>
      </c>
      <c r="U56" s="89"/>
      <c r="V56" s="51">
        <v>46048</v>
      </c>
      <c r="W56" s="11" t="s">
        <v>1575</v>
      </c>
    </row>
    <row r="57" spans="1:23" ht="13" customHeight="1" x14ac:dyDescent="0.35">
      <c r="A57" s="11">
        <v>51</v>
      </c>
      <c r="B57" s="47">
        <v>102981727</v>
      </c>
      <c r="C57" s="94" t="s">
        <v>107</v>
      </c>
      <c r="D57" s="11" t="s">
        <v>1938</v>
      </c>
      <c r="E57" s="48" t="s">
        <v>34</v>
      </c>
      <c r="F57" s="48" t="s">
        <v>74</v>
      </c>
      <c r="G57" s="11" t="s">
        <v>65</v>
      </c>
      <c r="H57" s="11" t="s">
        <v>1339</v>
      </c>
      <c r="I57" s="11">
        <v>1299</v>
      </c>
      <c r="J57" s="49" t="s">
        <v>39</v>
      </c>
      <c r="K57" s="49" t="s">
        <v>76</v>
      </c>
      <c r="L57" s="49" t="s">
        <v>77</v>
      </c>
      <c r="M57" s="49" t="s">
        <v>78</v>
      </c>
      <c r="N57" s="48" t="s">
        <v>108</v>
      </c>
      <c r="O57" s="49" t="s">
        <v>68</v>
      </c>
      <c r="P57" s="11" t="s">
        <v>80</v>
      </c>
      <c r="Q57" s="11" t="s">
        <v>98</v>
      </c>
      <c r="R57" s="11" t="s">
        <v>2736</v>
      </c>
      <c r="S57" s="11" t="s">
        <v>2737</v>
      </c>
      <c r="T57" s="90" t="s">
        <v>1</v>
      </c>
      <c r="U57" s="90"/>
      <c r="V57" s="51">
        <v>43040</v>
      </c>
      <c r="W57" s="49" t="s">
        <v>68</v>
      </c>
    </row>
    <row r="58" spans="1:23" ht="13" customHeight="1" x14ac:dyDescent="0.35">
      <c r="A58" s="11">
        <v>52</v>
      </c>
      <c r="B58" s="47">
        <v>206949309</v>
      </c>
      <c r="C58" s="95" t="s">
        <v>2175</v>
      </c>
      <c r="D58" s="112" t="s">
        <v>2176</v>
      </c>
      <c r="E58" s="48" t="s">
        <v>31</v>
      </c>
      <c r="F58" s="48" t="s">
        <v>74</v>
      </c>
      <c r="G58" s="11" t="s">
        <v>64</v>
      </c>
      <c r="H58" s="11" t="s">
        <v>75</v>
      </c>
      <c r="I58" s="11">
        <v>1299</v>
      </c>
      <c r="J58" s="49" t="s">
        <v>39</v>
      </c>
      <c r="K58" s="49" t="s">
        <v>76</v>
      </c>
      <c r="L58" s="49" t="s">
        <v>84</v>
      </c>
      <c r="M58" s="49" t="s">
        <v>85</v>
      </c>
      <c r="N58" s="48" t="s">
        <v>86</v>
      </c>
      <c r="O58" s="49" t="s">
        <v>67</v>
      </c>
      <c r="P58" s="49" t="s">
        <v>80</v>
      </c>
      <c r="Q58" s="49" t="s">
        <v>90</v>
      </c>
      <c r="R58" s="11" t="s">
        <v>82</v>
      </c>
      <c r="S58" s="11" t="s">
        <v>2729</v>
      </c>
      <c r="T58" s="90" t="s">
        <v>1</v>
      </c>
      <c r="U58" s="90"/>
      <c r="V58" s="51">
        <v>46048</v>
      </c>
      <c r="W58" s="11" t="s">
        <v>1575</v>
      </c>
    </row>
    <row r="59" spans="1:23" ht="13" customHeight="1" x14ac:dyDescent="0.35">
      <c r="A59" s="11">
        <v>53</v>
      </c>
      <c r="B59" s="47">
        <v>102207650</v>
      </c>
      <c r="C59" s="94" t="s">
        <v>2706</v>
      </c>
      <c r="D59" s="11" t="s">
        <v>2707</v>
      </c>
      <c r="E59" s="48" t="s">
        <v>34</v>
      </c>
      <c r="F59" s="48" t="s">
        <v>74</v>
      </c>
      <c r="G59" s="11" t="s">
        <v>64</v>
      </c>
      <c r="H59" s="11" t="s">
        <v>75</v>
      </c>
      <c r="I59" s="11">
        <v>1299</v>
      </c>
      <c r="J59" s="49" t="s">
        <v>32</v>
      </c>
      <c r="K59" s="49" t="s">
        <v>76</v>
      </c>
      <c r="L59" s="49" t="s">
        <v>85</v>
      </c>
      <c r="M59" s="49" t="s">
        <v>88</v>
      </c>
      <c r="N59" s="48" t="s">
        <v>108</v>
      </c>
      <c r="O59" s="49" t="s">
        <v>67</v>
      </c>
      <c r="P59" s="11" t="s">
        <v>80</v>
      </c>
      <c r="Q59" s="11" t="s">
        <v>98</v>
      </c>
      <c r="R59" s="11" t="s">
        <v>82</v>
      </c>
      <c r="S59" s="11" t="s">
        <v>2729</v>
      </c>
      <c r="T59" s="90" t="s">
        <v>10</v>
      </c>
      <c r="U59" s="90"/>
      <c r="V59" s="51">
        <v>42868</v>
      </c>
      <c r="W59" s="11" t="s">
        <v>1575</v>
      </c>
    </row>
    <row r="60" spans="1:23" ht="13" customHeight="1" x14ac:dyDescent="0.35">
      <c r="A60" s="11">
        <v>54</v>
      </c>
      <c r="B60" s="47">
        <v>204095444</v>
      </c>
      <c r="C60" s="94" t="s">
        <v>1366</v>
      </c>
      <c r="D60" s="11" t="s">
        <v>1997</v>
      </c>
      <c r="E60" s="48" t="s">
        <v>31</v>
      </c>
      <c r="F60" s="48" t="s">
        <v>74</v>
      </c>
      <c r="G60" s="11" t="s">
        <v>64</v>
      </c>
      <c r="H60" s="11" t="s">
        <v>75</v>
      </c>
      <c r="I60" s="11">
        <v>1299</v>
      </c>
      <c r="J60" s="49" t="s">
        <v>39</v>
      </c>
      <c r="K60" s="49" t="s">
        <v>76</v>
      </c>
      <c r="L60" s="49" t="s">
        <v>88</v>
      </c>
      <c r="M60" s="49" t="s">
        <v>95</v>
      </c>
      <c r="N60" s="48" t="s">
        <v>86</v>
      </c>
      <c r="O60" s="49" t="s">
        <v>67</v>
      </c>
      <c r="P60" s="11" t="s">
        <v>80</v>
      </c>
      <c r="Q60" s="11" t="s">
        <v>87</v>
      </c>
      <c r="R60" s="11" t="s">
        <v>82</v>
      </c>
      <c r="S60" s="11" t="s">
        <v>2729</v>
      </c>
      <c r="T60" s="90" t="s">
        <v>10</v>
      </c>
      <c r="U60" s="90"/>
      <c r="V60" s="51">
        <v>45561</v>
      </c>
      <c r="W60" s="11" t="s">
        <v>1575</v>
      </c>
    </row>
    <row r="61" spans="1:23" ht="13" customHeight="1" x14ac:dyDescent="0.35">
      <c r="A61" s="11">
        <v>55</v>
      </c>
      <c r="B61" s="47">
        <v>206348021</v>
      </c>
      <c r="C61" s="94" t="s">
        <v>1714</v>
      </c>
      <c r="D61" s="11" t="s">
        <v>1998</v>
      </c>
      <c r="E61" s="48" t="s">
        <v>31</v>
      </c>
      <c r="F61" s="48" t="s">
        <v>74</v>
      </c>
      <c r="G61" s="11" t="s">
        <v>64</v>
      </c>
      <c r="H61" s="11" t="s">
        <v>75</v>
      </c>
      <c r="I61" s="11">
        <v>1299</v>
      </c>
      <c r="J61" s="49" t="s">
        <v>39</v>
      </c>
      <c r="K61" s="49" t="s">
        <v>76</v>
      </c>
      <c r="L61" s="49" t="s">
        <v>78</v>
      </c>
      <c r="M61" s="49" t="s">
        <v>92</v>
      </c>
      <c r="N61" s="49" t="s">
        <v>89</v>
      </c>
      <c r="O61" s="49" t="s">
        <v>67</v>
      </c>
      <c r="P61" s="11" t="s">
        <v>80</v>
      </c>
      <c r="Q61" s="11" t="s">
        <v>81</v>
      </c>
      <c r="R61" s="11" t="s">
        <v>82</v>
      </c>
      <c r="S61" s="11" t="s">
        <v>2729</v>
      </c>
      <c r="T61" s="90" t="s">
        <v>1</v>
      </c>
      <c r="U61" s="90"/>
      <c r="V61" s="51">
        <v>45957</v>
      </c>
      <c r="W61" s="11" t="s">
        <v>1575</v>
      </c>
    </row>
    <row r="62" spans="1:23" ht="13" customHeight="1" x14ac:dyDescent="0.35">
      <c r="A62" s="11">
        <v>56</v>
      </c>
      <c r="B62" s="47">
        <v>206957735</v>
      </c>
      <c r="C62" s="94" t="s">
        <v>2124</v>
      </c>
      <c r="D62" s="11" t="s">
        <v>2047</v>
      </c>
      <c r="E62" s="48" t="s">
        <v>31</v>
      </c>
      <c r="F62" s="48" t="s">
        <v>74</v>
      </c>
      <c r="G62" s="11" t="s">
        <v>64</v>
      </c>
      <c r="H62" s="11" t="s">
        <v>75</v>
      </c>
      <c r="I62" s="11">
        <v>1299</v>
      </c>
      <c r="J62" s="49" t="s">
        <v>32</v>
      </c>
      <c r="K62" s="49" t="s">
        <v>76</v>
      </c>
      <c r="L62" s="49" t="s">
        <v>92</v>
      </c>
      <c r="M62" s="49" t="s">
        <v>84</v>
      </c>
      <c r="N62" s="49" t="s">
        <v>89</v>
      </c>
      <c r="O62" s="49" t="s">
        <v>67</v>
      </c>
      <c r="P62" s="11" t="s">
        <v>80</v>
      </c>
      <c r="Q62" s="11" t="s">
        <v>96</v>
      </c>
      <c r="R62" s="11" t="s">
        <v>82</v>
      </c>
      <c r="S62" s="11" t="s">
        <v>2729</v>
      </c>
      <c r="T62" s="90" t="s">
        <v>1</v>
      </c>
      <c r="U62" s="90"/>
      <c r="V62" s="51">
        <v>46048</v>
      </c>
      <c r="W62" s="11" t="s">
        <v>1575</v>
      </c>
    </row>
    <row r="63" spans="1:23" ht="13" customHeight="1" x14ac:dyDescent="0.35">
      <c r="A63" s="11">
        <v>57</v>
      </c>
      <c r="B63" s="47">
        <v>203679313</v>
      </c>
      <c r="C63" s="94" t="s">
        <v>109</v>
      </c>
      <c r="D63" s="11" t="s">
        <v>1939</v>
      </c>
      <c r="E63" s="48" t="s">
        <v>31</v>
      </c>
      <c r="F63" s="48" t="s">
        <v>74</v>
      </c>
      <c r="G63" s="11" t="s">
        <v>64</v>
      </c>
      <c r="H63" s="11" t="s">
        <v>75</v>
      </c>
      <c r="I63" s="11">
        <v>1299</v>
      </c>
      <c r="J63" s="49" t="s">
        <v>32</v>
      </c>
      <c r="K63" s="49" t="s">
        <v>76</v>
      </c>
      <c r="L63" s="49" t="s">
        <v>88</v>
      </c>
      <c r="M63" s="49" t="s">
        <v>95</v>
      </c>
      <c r="N63" s="48" t="s">
        <v>79</v>
      </c>
      <c r="O63" s="49" t="s">
        <v>67</v>
      </c>
      <c r="P63" s="11" t="s">
        <v>80</v>
      </c>
      <c r="Q63" s="11" t="s">
        <v>81</v>
      </c>
      <c r="R63" s="11" t="s">
        <v>82</v>
      </c>
      <c r="S63" s="11" t="s">
        <v>2729</v>
      </c>
      <c r="T63" s="90" t="s">
        <v>10</v>
      </c>
      <c r="U63" s="90" t="s">
        <v>2914</v>
      </c>
      <c r="V63" s="51">
        <v>45488</v>
      </c>
      <c r="W63" s="11" t="s">
        <v>1575</v>
      </c>
    </row>
    <row r="64" spans="1:23" ht="13" customHeight="1" x14ac:dyDescent="0.35">
      <c r="A64" s="11">
        <v>58</v>
      </c>
      <c r="B64" s="47">
        <v>206957724</v>
      </c>
      <c r="C64" s="94" t="s">
        <v>2125</v>
      </c>
      <c r="D64" s="11" t="s">
        <v>2048</v>
      </c>
      <c r="E64" s="48" t="s">
        <v>31</v>
      </c>
      <c r="F64" s="48" t="s">
        <v>74</v>
      </c>
      <c r="G64" s="11" t="s">
        <v>64</v>
      </c>
      <c r="H64" s="11" t="s">
        <v>75</v>
      </c>
      <c r="I64" s="11">
        <v>1299</v>
      </c>
      <c r="J64" s="49" t="s">
        <v>32</v>
      </c>
      <c r="K64" s="49" t="s">
        <v>76</v>
      </c>
      <c r="L64" s="49" t="s">
        <v>84</v>
      </c>
      <c r="M64" s="49" t="s">
        <v>85</v>
      </c>
      <c r="N64" s="49" t="s">
        <v>89</v>
      </c>
      <c r="O64" s="49" t="s">
        <v>67</v>
      </c>
      <c r="P64" s="11" t="s">
        <v>80</v>
      </c>
      <c r="Q64" s="11" t="s">
        <v>96</v>
      </c>
      <c r="R64" s="11" t="s">
        <v>82</v>
      </c>
      <c r="S64" s="11" t="s">
        <v>2729</v>
      </c>
      <c r="T64" s="90" t="s">
        <v>1</v>
      </c>
      <c r="U64" s="90"/>
      <c r="V64" s="51">
        <v>46048</v>
      </c>
      <c r="W64" s="11" t="s">
        <v>1575</v>
      </c>
    </row>
    <row r="65" spans="1:23" ht="13" customHeight="1" x14ac:dyDescent="0.35">
      <c r="A65" s="11">
        <v>59</v>
      </c>
      <c r="B65" s="47">
        <v>206954239</v>
      </c>
      <c r="C65" s="95" t="s">
        <v>2161</v>
      </c>
      <c r="D65" s="112" t="s">
        <v>2162</v>
      </c>
      <c r="E65" s="48" t="s">
        <v>31</v>
      </c>
      <c r="F65" s="48" t="s">
        <v>74</v>
      </c>
      <c r="G65" s="11" t="s">
        <v>64</v>
      </c>
      <c r="H65" s="11" t="s">
        <v>75</v>
      </c>
      <c r="I65" s="11">
        <v>1299</v>
      </c>
      <c r="J65" s="49" t="s">
        <v>39</v>
      </c>
      <c r="K65" s="49" t="s">
        <v>76</v>
      </c>
      <c r="L65" s="49" t="s">
        <v>88</v>
      </c>
      <c r="M65" s="49" t="s">
        <v>95</v>
      </c>
      <c r="N65" s="48" t="s">
        <v>86</v>
      </c>
      <c r="O65" s="49" t="s">
        <v>67</v>
      </c>
      <c r="P65" s="49" t="s">
        <v>80</v>
      </c>
      <c r="Q65" s="49" t="s">
        <v>90</v>
      </c>
      <c r="R65" s="11" t="s">
        <v>82</v>
      </c>
      <c r="S65" s="11" t="s">
        <v>2729</v>
      </c>
      <c r="T65" s="90" t="s">
        <v>10</v>
      </c>
      <c r="U65" s="90"/>
      <c r="V65" s="51">
        <v>46048</v>
      </c>
      <c r="W65" s="11" t="s">
        <v>1575</v>
      </c>
    </row>
    <row r="66" spans="1:23" ht="13" customHeight="1" x14ac:dyDescent="0.35">
      <c r="A66" s="11">
        <v>60</v>
      </c>
      <c r="B66" s="47">
        <v>206875150</v>
      </c>
      <c r="C66" s="94" t="s">
        <v>1725</v>
      </c>
      <c r="D66" s="11" t="s">
        <v>1726</v>
      </c>
      <c r="E66" s="48" t="s">
        <v>31</v>
      </c>
      <c r="F66" s="48" t="s">
        <v>74</v>
      </c>
      <c r="G66" s="48" t="s">
        <v>64</v>
      </c>
      <c r="H66" s="48" t="s">
        <v>75</v>
      </c>
      <c r="I66" s="11">
        <v>1299</v>
      </c>
      <c r="J66" s="49" t="s">
        <v>32</v>
      </c>
      <c r="K66" s="49" t="s">
        <v>76</v>
      </c>
      <c r="L66" s="49" t="s">
        <v>78</v>
      </c>
      <c r="M66" s="49" t="s">
        <v>92</v>
      </c>
      <c r="N66" s="49" t="s">
        <v>89</v>
      </c>
      <c r="O66" s="48" t="s">
        <v>67</v>
      </c>
      <c r="P66" s="48" t="s">
        <v>80</v>
      </c>
      <c r="Q66" s="11" t="s">
        <v>90</v>
      </c>
      <c r="R66" s="11" t="s">
        <v>82</v>
      </c>
      <c r="S66" s="11" t="s">
        <v>2729</v>
      </c>
      <c r="T66" s="90" t="s">
        <v>1</v>
      </c>
      <c r="U66" s="90"/>
      <c r="V66" s="51">
        <v>46020</v>
      </c>
      <c r="W66" s="11" t="s">
        <v>1575</v>
      </c>
    </row>
    <row r="67" spans="1:23" ht="13" customHeight="1" x14ac:dyDescent="0.35">
      <c r="A67" s="11">
        <v>61</v>
      </c>
      <c r="B67" s="47">
        <v>203469452</v>
      </c>
      <c r="C67" s="94" t="s">
        <v>2250</v>
      </c>
      <c r="D67" s="11" t="s">
        <v>2708</v>
      </c>
      <c r="E67" s="48" t="s">
        <v>31</v>
      </c>
      <c r="F67" s="48" t="s">
        <v>74</v>
      </c>
      <c r="G67" s="11" t="s">
        <v>64</v>
      </c>
      <c r="H67" s="11" t="s">
        <v>75</v>
      </c>
      <c r="I67" s="11">
        <v>1299</v>
      </c>
      <c r="J67" s="49" t="s">
        <v>39</v>
      </c>
      <c r="K67" s="49" t="s">
        <v>76</v>
      </c>
      <c r="L67" s="49" t="s">
        <v>92</v>
      </c>
      <c r="M67" s="49" t="s">
        <v>84</v>
      </c>
      <c r="N67" s="48" t="s">
        <v>86</v>
      </c>
      <c r="O67" s="49" t="s">
        <v>67</v>
      </c>
      <c r="P67" s="11" t="s">
        <v>80</v>
      </c>
      <c r="Q67" s="11" t="s">
        <v>99</v>
      </c>
      <c r="R67" s="11" t="s">
        <v>82</v>
      </c>
      <c r="S67" s="11" t="s">
        <v>2729</v>
      </c>
      <c r="T67" s="90" t="s">
        <v>1</v>
      </c>
      <c r="U67" s="90"/>
      <c r="V67" s="51">
        <v>45456</v>
      </c>
      <c r="W67" s="11" t="s">
        <v>1575</v>
      </c>
    </row>
    <row r="68" spans="1:23" ht="13" customHeight="1" x14ac:dyDescent="0.35">
      <c r="A68" s="11">
        <v>62</v>
      </c>
      <c r="B68" s="47">
        <v>203850929</v>
      </c>
      <c r="C68" s="94" t="s">
        <v>110</v>
      </c>
      <c r="D68" s="11" t="s">
        <v>2709</v>
      </c>
      <c r="E68" s="48" t="s">
        <v>31</v>
      </c>
      <c r="F68" s="48" t="s">
        <v>74</v>
      </c>
      <c r="G68" s="11" t="s">
        <v>64</v>
      </c>
      <c r="H68" s="11" t="s">
        <v>75</v>
      </c>
      <c r="I68" s="11">
        <v>1299</v>
      </c>
      <c r="J68" s="49" t="s">
        <v>32</v>
      </c>
      <c r="K68" s="49" t="s">
        <v>76</v>
      </c>
      <c r="L68" s="49" t="s">
        <v>78</v>
      </c>
      <c r="M68" s="49" t="s">
        <v>92</v>
      </c>
      <c r="N68" s="48" t="s">
        <v>79</v>
      </c>
      <c r="O68" s="49" t="s">
        <v>67</v>
      </c>
      <c r="P68" s="11" t="s">
        <v>80</v>
      </c>
      <c r="Q68" s="11" t="s">
        <v>81</v>
      </c>
      <c r="R68" s="11" t="s">
        <v>82</v>
      </c>
      <c r="S68" s="11" t="s">
        <v>2729</v>
      </c>
      <c r="T68" s="90" t="s">
        <v>4</v>
      </c>
      <c r="U68" s="89"/>
      <c r="V68" s="51">
        <v>45524</v>
      </c>
      <c r="W68" s="11" t="s">
        <v>1575</v>
      </c>
    </row>
    <row r="69" spans="1:23" ht="13" customHeight="1" x14ac:dyDescent="0.35">
      <c r="A69" s="11">
        <v>63</v>
      </c>
      <c r="B69" s="47">
        <v>204299903</v>
      </c>
      <c r="C69" s="94" t="s">
        <v>2464</v>
      </c>
      <c r="D69" s="11" t="s">
        <v>2710</v>
      </c>
      <c r="E69" s="48" t="s">
        <v>31</v>
      </c>
      <c r="F69" s="48" t="s">
        <v>74</v>
      </c>
      <c r="G69" s="11" t="s">
        <v>64</v>
      </c>
      <c r="H69" s="11" t="s">
        <v>75</v>
      </c>
      <c r="I69" s="11">
        <v>1299</v>
      </c>
      <c r="J69" s="49" t="s">
        <v>39</v>
      </c>
      <c r="K69" s="49" t="s">
        <v>76</v>
      </c>
      <c r="L69" s="49" t="s">
        <v>92</v>
      </c>
      <c r="M69" s="49" t="s">
        <v>84</v>
      </c>
      <c r="N69" s="48" t="s">
        <v>86</v>
      </c>
      <c r="O69" s="49" t="s">
        <v>67</v>
      </c>
      <c r="P69" s="11" t="s">
        <v>80</v>
      </c>
      <c r="Q69" s="11" t="s">
        <v>87</v>
      </c>
      <c r="R69" s="11" t="s">
        <v>82</v>
      </c>
      <c r="S69" s="11" t="s">
        <v>2729</v>
      </c>
      <c r="T69" s="90" t="s">
        <v>1</v>
      </c>
      <c r="U69" s="90"/>
      <c r="V69" s="51">
        <v>45586</v>
      </c>
      <c r="W69" s="11" t="s">
        <v>1575</v>
      </c>
    </row>
    <row r="70" spans="1:23" ht="13" customHeight="1" x14ac:dyDescent="0.35">
      <c r="A70" s="11">
        <v>64</v>
      </c>
      <c r="B70" s="47">
        <v>204299902</v>
      </c>
      <c r="C70" s="94" t="s">
        <v>2251</v>
      </c>
      <c r="D70" s="11" t="s">
        <v>2711</v>
      </c>
      <c r="E70" s="48" t="s">
        <v>31</v>
      </c>
      <c r="F70" s="48" t="s">
        <v>74</v>
      </c>
      <c r="G70" s="11" t="s">
        <v>64</v>
      </c>
      <c r="H70" s="11" t="s">
        <v>75</v>
      </c>
      <c r="I70" s="11">
        <v>1299</v>
      </c>
      <c r="J70" s="49" t="s">
        <v>32</v>
      </c>
      <c r="K70" s="49" t="s">
        <v>76</v>
      </c>
      <c r="L70" s="49" t="s">
        <v>85</v>
      </c>
      <c r="M70" s="49" t="s">
        <v>88</v>
      </c>
      <c r="N70" s="49" t="s">
        <v>89</v>
      </c>
      <c r="O70" s="49" t="s">
        <v>67</v>
      </c>
      <c r="P70" s="11" t="s">
        <v>80</v>
      </c>
      <c r="Q70" s="11" t="s">
        <v>87</v>
      </c>
      <c r="R70" s="11" t="s">
        <v>82</v>
      </c>
      <c r="S70" s="11" t="s">
        <v>2729</v>
      </c>
      <c r="T70" s="90" t="s">
        <v>10</v>
      </c>
      <c r="U70" s="90"/>
      <c r="V70" s="51">
        <v>45586</v>
      </c>
      <c r="W70" s="11" t="s">
        <v>1575</v>
      </c>
    </row>
    <row r="71" spans="1:23" ht="13" customHeight="1" x14ac:dyDescent="0.35">
      <c r="A71" s="11">
        <v>65</v>
      </c>
      <c r="B71" s="47">
        <v>204319462</v>
      </c>
      <c r="C71" s="94" t="s">
        <v>111</v>
      </c>
      <c r="D71" s="11" t="s">
        <v>1940</v>
      </c>
      <c r="E71" s="48" t="s">
        <v>31</v>
      </c>
      <c r="F71" s="48" t="s">
        <v>74</v>
      </c>
      <c r="G71" s="11" t="s">
        <v>64</v>
      </c>
      <c r="H71" s="11" t="s">
        <v>75</v>
      </c>
      <c r="I71" s="11">
        <v>1299</v>
      </c>
      <c r="J71" s="49" t="s">
        <v>39</v>
      </c>
      <c r="K71" s="49" t="s">
        <v>76</v>
      </c>
      <c r="L71" s="49" t="s">
        <v>92</v>
      </c>
      <c r="M71" s="49" t="s">
        <v>84</v>
      </c>
      <c r="N71" s="49" t="s">
        <v>89</v>
      </c>
      <c r="O71" s="49" t="s">
        <v>67</v>
      </c>
      <c r="P71" s="11" t="s">
        <v>80</v>
      </c>
      <c r="Q71" s="11" t="s">
        <v>87</v>
      </c>
      <c r="R71" s="11" t="s">
        <v>82</v>
      </c>
      <c r="S71" s="11" t="s">
        <v>2729</v>
      </c>
      <c r="T71" s="90" t="s">
        <v>1</v>
      </c>
      <c r="U71" s="90"/>
      <c r="V71" s="51">
        <v>45589</v>
      </c>
      <c r="W71" s="11" t="s">
        <v>1575</v>
      </c>
    </row>
    <row r="72" spans="1:23" ht="13" customHeight="1" x14ac:dyDescent="0.35">
      <c r="A72" s="11">
        <v>66</v>
      </c>
      <c r="B72" s="47">
        <v>204299911</v>
      </c>
      <c r="C72" s="94" t="s">
        <v>2489</v>
      </c>
      <c r="D72" s="11" t="s">
        <v>2490</v>
      </c>
      <c r="E72" s="48" t="s">
        <v>31</v>
      </c>
      <c r="F72" s="48" t="s">
        <v>74</v>
      </c>
      <c r="G72" s="11" t="s">
        <v>64</v>
      </c>
      <c r="H72" s="11" t="s">
        <v>75</v>
      </c>
      <c r="I72" s="11">
        <v>1299</v>
      </c>
      <c r="J72" s="49" t="s">
        <v>39</v>
      </c>
      <c r="K72" s="49" t="s">
        <v>76</v>
      </c>
      <c r="L72" s="49" t="s">
        <v>95</v>
      </c>
      <c r="M72" s="49" t="s">
        <v>77</v>
      </c>
      <c r="N72" s="48" t="s">
        <v>86</v>
      </c>
      <c r="O72" s="49" t="s">
        <v>67</v>
      </c>
      <c r="P72" s="11" t="s">
        <v>80</v>
      </c>
      <c r="Q72" s="11" t="s">
        <v>87</v>
      </c>
      <c r="R72" s="11" t="s">
        <v>82</v>
      </c>
      <c r="S72" s="11" t="s">
        <v>2729</v>
      </c>
      <c r="T72" s="90" t="s">
        <v>1</v>
      </c>
      <c r="U72" s="90"/>
      <c r="V72" s="51">
        <v>45586</v>
      </c>
      <c r="W72" s="11" t="s">
        <v>1575</v>
      </c>
    </row>
    <row r="73" spans="1:23" ht="13" customHeight="1" x14ac:dyDescent="0.35">
      <c r="A73" s="11">
        <v>67</v>
      </c>
      <c r="B73" s="47">
        <v>203679308</v>
      </c>
      <c r="C73" s="94" t="s">
        <v>2252</v>
      </c>
      <c r="D73" s="11" t="s">
        <v>2253</v>
      </c>
      <c r="E73" s="48" t="s">
        <v>31</v>
      </c>
      <c r="F73" s="48" t="s">
        <v>74</v>
      </c>
      <c r="G73" s="11" t="s">
        <v>64</v>
      </c>
      <c r="H73" s="11" t="s">
        <v>75</v>
      </c>
      <c r="I73" s="11">
        <v>1299</v>
      </c>
      <c r="J73" s="49" t="s">
        <v>32</v>
      </c>
      <c r="K73" s="49" t="s">
        <v>76</v>
      </c>
      <c r="L73" s="49" t="s">
        <v>88</v>
      </c>
      <c r="M73" s="49" t="s">
        <v>95</v>
      </c>
      <c r="N73" s="48" t="s">
        <v>79</v>
      </c>
      <c r="O73" s="49" t="s">
        <v>67</v>
      </c>
      <c r="P73" s="11" t="s">
        <v>80</v>
      </c>
      <c r="Q73" s="11" t="s">
        <v>81</v>
      </c>
      <c r="R73" s="11" t="s">
        <v>82</v>
      </c>
      <c r="S73" s="11" t="s">
        <v>2729</v>
      </c>
      <c r="T73" s="90" t="s">
        <v>10</v>
      </c>
      <c r="U73" s="90"/>
      <c r="V73" s="51">
        <v>45488</v>
      </c>
      <c r="W73" s="11" t="s">
        <v>1575</v>
      </c>
    </row>
    <row r="74" spans="1:23" ht="13" customHeight="1" x14ac:dyDescent="0.35">
      <c r="A74" s="11">
        <v>68</v>
      </c>
      <c r="B74" s="47">
        <v>206072869</v>
      </c>
      <c r="C74" s="94" t="s">
        <v>2491</v>
      </c>
      <c r="D74" s="11" t="s">
        <v>2712</v>
      </c>
      <c r="E74" s="48" t="s">
        <v>31</v>
      </c>
      <c r="F74" s="48" t="s">
        <v>74</v>
      </c>
      <c r="G74" s="11" t="s">
        <v>64</v>
      </c>
      <c r="H74" s="11" t="s">
        <v>75</v>
      </c>
      <c r="I74" s="11">
        <v>1299</v>
      </c>
      <c r="J74" s="49" t="s">
        <v>32</v>
      </c>
      <c r="K74" s="49" t="s">
        <v>76</v>
      </c>
      <c r="L74" s="49" t="s">
        <v>95</v>
      </c>
      <c r="M74" s="49" t="s">
        <v>77</v>
      </c>
      <c r="N74" s="49" t="s">
        <v>89</v>
      </c>
      <c r="O74" s="49" t="s">
        <v>67</v>
      </c>
      <c r="P74" s="11" t="s">
        <v>80</v>
      </c>
      <c r="Q74" s="11" t="s">
        <v>81</v>
      </c>
      <c r="R74" s="11" t="s">
        <v>82</v>
      </c>
      <c r="S74" s="11" t="s">
        <v>2729</v>
      </c>
      <c r="T74" s="90" t="s">
        <v>1</v>
      </c>
      <c r="U74" s="90"/>
      <c r="V74" s="51">
        <v>45922</v>
      </c>
      <c r="W74" s="11" t="s">
        <v>1575</v>
      </c>
    </row>
    <row r="75" spans="1:23" ht="13" customHeight="1" x14ac:dyDescent="0.35">
      <c r="A75" s="11">
        <v>69</v>
      </c>
      <c r="B75" s="47">
        <v>204299913</v>
      </c>
      <c r="C75" s="94" t="s">
        <v>2254</v>
      </c>
      <c r="D75" s="11" t="s">
        <v>2255</v>
      </c>
      <c r="E75" s="48" t="s">
        <v>31</v>
      </c>
      <c r="F75" s="48" t="s">
        <v>74</v>
      </c>
      <c r="G75" s="11" t="s">
        <v>64</v>
      </c>
      <c r="H75" s="11" t="s">
        <v>75</v>
      </c>
      <c r="I75" s="11">
        <v>1299</v>
      </c>
      <c r="J75" s="49" t="s">
        <v>39</v>
      </c>
      <c r="K75" s="49" t="s">
        <v>76</v>
      </c>
      <c r="L75" s="49" t="s">
        <v>88</v>
      </c>
      <c r="M75" s="49" t="s">
        <v>95</v>
      </c>
      <c r="N75" s="48" t="s">
        <v>86</v>
      </c>
      <c r="O75" s="49" t="s">
        <v>67</v>
      </c>
      <c r="P75" s="11" t="s">
        <v>80</v>
      </c>
      <c r="Q75" s="11" t="s">
        <v>87</v>
      </c>
      <c r="R75" s="11" t="s">
        <v>82</v>
      </c>
      <c r="S75" s="11" t="s">
        <v>2729</v>
      </c>
      <c r="T75" s="90" t="s">
        <v>10</v>
      </c>
      <c r="U75" s="90"/>
      <c r="V75" s="51">
        <v>45586</v>
      </c>
      <c r="W75" s="11" t="s">
        <v>1575</v>
      </c>
    </row>
    <row r="76" spans="1:23" ht="13" customHeight="1" x14ac:dyDescent="0.35">
      <c r="A76" s="11">
        <v>70</v>
      </c>
      <c r="B76" s="47">
        <v>203635601</v>
      </c>
      <c r="C76" s="94" t="s">
        <v>1369</v>
      </c>
      <c r="D76" s="11" t="s">
        <v>2713</v>
      </c>
      <c r="E76" s="48" t="s">
        <v>31</v>
      </c>
      <c r="F76" s="48" t="s">
        <v>74</v>
      </c>
      <c r="G76" s="11" t="s">
        <v>64</v>
      </c>
      <c r="H76" s="11" t="s">
        <v>75</v>
      </c>
      <c r="I76" s="11">
        <v>1181</v>
      </c>
      <c r="J76" s="49" t="s">
        <v>32</v>
      </c>
      <c r="K76" s="49" t="s">
        <v>76</v>
      </c>
      <c r="L76" s="49" t="s">
        <v>84</v>
      </c>
      <c r="M76" s="49" t="s">
        <v>85</v>
      </c>
      <c r="N76" s="48" t="s">
        <v>79</v>
      </c>
      <c r="O76" s="49" t="s">
        <v>67</v>
      </c>
      <c r="P76" s="11" t="s">
        <v>80</v>
      </c>
      <c r="Q76" s="11" t="s">
        <v>81</v>
      </c>
      <c r="R76" s="11" t="s">
        <v>82</v>
      </c>
      <c r="S76" s="11" t="s">
        <v>2729</v>
      </c>
      <c r="T76" s="90" t="s">
        <v>1</v>
      </c>
      <c r="U76" s="90"/>
      <c r="V76" s="51">
        <v>45481</v>
      </c>
      <c r="W76" s="11" t="s">
        <v>1575</v>
      </c>
    </row>
    <row r="77" spans="1:23" ht="13" customHeight="1" x14ac:dyDescent="0.35">
      <c r="A77" s="11">
        <v>71</v>
      </c>
      <c r="B77" s="47">
        <v>206953385</v>
      </c>
      <c r="C77" s="94" t="s">
        <v>2120</v>
      </c>
      <c r="D77" s="11" t="s">
        <v>2043</v>
      </c>
      <c r="E77" s="48" t="s">
        <v>31</v>
      </c>
      <c r="F77" s="48" t="s">
        <v>74</v>
      </c>
      <c r="G77" s="11" t="s">
        <v>64</v>
      </c>
      <c r="H77" s="11" t="s">
        <v>75</v>
      </c>
      <c r="I77" s="11">
        <v>1299</v>
      </c>
      <c r="J77" s="49" t="s">
        <v>32</v>
      </c>
      <c r="K77" s="49" t="s">
        <v>76</v>
      </c>
      <c r="L77" s="49" t="s">
        <v>36</v>
      </c>
      <c r="M77" s="49" t="s">
        <v>95</v>
      </c>
      <c r="N77" s="49" t="s">
        <v>79</v>
      </c>
      <c r="O77" s="49" t="s">
        <v>67</v>
      </c>
      <c r="P77" s="11" t="s">
        <v>80</v>
      </c>
      <c r="Q77" s="11" t="s">
        <v>96</v>
      </c>
      <c r="R77" s="11" t="s">
        <v>82</v>
      </c>
      <c r="S77" s="11" t="s">
        <v>2729</v>
      </c>
      <c r="T77" s="90" t="s">
        <v>1</v>
      </c>
      <c r="U77" s="90" t="s">
        <v>2919</v>
      </c>
      <c r="V77" s="51">
        <v>46048</v>
      </c>
      <c r="W77" s="11" t="s">
        <v>1575</v>
      </c>
    </row>
    <row r="78" spans="1:23" ht="13" customHeight="1" x14ac:dyDescent="0.35">
      <c r="A78" s="11">
        <v>72</v>
      </c>
      <c r="B78" s="47">
        <v>206015572</v>
      </c>
      <c r="C78" s="94" t="s">
        <v>2256</v>
      </c>
      <c r="D78" s="11" t="s">
        <v>2714</v>
      </c>
      <c r="E78" s="48" t="s">
        <v>31</v>
      </c>
      <c r="F78" s="48" t="s">
        <v>74</v>
      </c>
      <c r="G78" s="11" t="s">
        <v>64</v>
      </c>
      <c r="H78" s="11" t="s">
        <v>75</v>
      </c>
      <c r="I78" s="11">
        <v>1299</v>
      </c>
      <c r="J78" s="49" t="s">
        <v>39</v>
      </c>
      <c r="K78" s="49" t="s">
        <v>76</v>
      </c>
      <c r="L78" s="49" t="s">
        <v>77</v>
      </c>
      <c r="M78" s="49" t="s">
        <v>78</v>
      </c>
      <c r="N78" s="49" t="s">
        <v>89</v>
      </c>
      <c r="O78" s="49" t="s">
        <v>67</v>
      </c>
      <c r="P78" s="11" t="s">
        <v>80</v>
      </c>
      <c r="Q78" s="11" t="s">
        <v>81</v>
      </c>
      <c r="R78" s="11" t="s">
        <v>82</v>
      </c>
      <c r="S78" s="11" t="s">
        <v>2729</v>
      </c>
      <c r="T78" s="90" t="s">
        <v>7</v>
      </c>
      <c r="U78" s="90" t="s">
        <v>2914</v>
      </c>
      <c r="V78" s="51">
        <v>45915</v>
      </c>
      <c r="W78" s="11" t="s">
        <v>1575</v>
      </c>
    </row>
    <row r="79" spans="1:23" ht="13" customHeight="1" x14ac:dyDescent="0.35">
      <c r="A79" s="11">
        <v>73</v>
      </c>
      <c r="B79" s="47">
        <v>203469399</v>
      </c>
      <c r="C79" s="94" t="s">
        <v>112</v>
      </c>
      <c r="D79" s="11" t="s">
        <v>2715</v>
      </c>
      <c r="E79" s="48" t="s">
        <v>31</v>
      </c>
      <c r="F79" s="48" t="s">
        <v>74</v>
      </c>
      <c r="G79" s="11" t="s">
        <v>64</v>
      </c>
      <c r="H79" s="11" t="s">
        <v>75</v>
      </c>
      <c r="I79" s="11">
        <v>1299</v>
      </c>
      <c r="J79" s="49" t="s">
        <v>32</v>
      </c>
      <c r="K79" s="49" t="s">
        <v>76</v>
      </c>
      <c r="L79" s="49" t="s">
        <v>85</v>
      </c>
      <c r="M79" s="49" t="s">
        <v>88</v>
      </c>
      <c r="N79" s="48" t="s">
        <v>86</v>
      </c>
      <c r="O79" s="49" t="s">
        <v>67</v>
      </c>
      <c r="P79" s="11" t="s">
        <v>80</v>
      </c>
      <c r="Q79" s="11" t="s">
        <v>99</v>
      </c>
      <c r="R79" s="11" t="s">
        <v>82</v>
      </c>
      <c r="S79" s="11" t="s">
        <v>2729</v>
      </c>
      <c r="T79" s="90" t="s">
        <v>10</v>
      </c>
      <c r="U79" s="89"/>
      <c r="V79" s="51">
        <v>45456</v>
      </c>
      <c r="W79" s="11" t="s">
        <v>1575</v>
      </c>
    </row>
    <row r="80" spans="1:23" ht="13" customHeight="1" x14ac:dyDescent="0.35">
      <c r="A80" s="11">
        <v>74</v>
      </c>
      <c r="B80" s="47">
        <v>206953383</v>
      </c>
      <c r="C80" s="94" t="s">
        <v>2121</v>
      </c>
      <c r="D80" s="11" t="s">
        <v>2044</v>
      </c>
      <c r="E80" s="48" t="s">
        <v>31</v>
      </c>
      <c r="F80" s="48" t="s">
        <v>74</v>
      </c>
      <c r="G80" s="11" t="s">
        <v>64</v>
      </c>
      <c r="H80" s="11" t="s">
        <v>75</v>
      </c>
      <c r="I80" s="11">
        <v>1299</v>
      </c>
      <c r="J80" s="49" t="s">
        <v>32</v>
      </c>
      <c r="K80" s="49" t="s">
        <v>76</v>
      </c>
      <c r="L80" s="49" t="s">
        <v>36</v>
      </c>
      <c r="M80" s="49" t="s">
        <v>95</v>
      </c>
      <c r="N80" s="49" t="s">
        <v>79</v>
      </c>
      <c r="O80" s="49" t="s">
        <v>67</v>
      </c>
      <c r="P80" s="11" t="s">
        <v>80</v>
      </c>
      <c r="Q80" s="11" t="s">
        <v>96</v>
      </c>
      <c r="R80" s="11" t="s">
        <v>82</v>
      </c>
      <c r="S80" s="11" t="s">
        <v>2729</v>
      </c>
      <c r="T80" s="90" t="s">
        <v>1</v>
      </c>
      <c r="U80" s="90" t="s">
        <v>2919</v>
      </c>
      <c r="V80" s="51">
        <v>46048</v>
      </c>
      <c r="W80" s="11" t="s">
        <v>1575</v>
      </c>
    </row>
    <row r="81" spans="1:23" ht="13" customHeight="1" x14ac:dyDescent="0.35">
      <c r="A81" s="11">
        <v>75</v>
      </c>
      <c r="B81" s="47">
        <v>205647827</v>
      </c>
      <c r="C81" s="94" t="s">
        <v>2257</v>
      </c>
      <c r="D81" s="11" t="s">
        <v>2716</v>
      </c>
      <c r="E81" s="48" t="s">
        <v>31</v>
      </c>
      <c r="F81" s="48" t="s">
        <v>74</v>
      </c>
      <c r="G81" s="11" t="s">
        <v>64</v>
      </c>
      <c r="H81" s="11" t="s">
        <v>75</v>
      </c>
      <c r="I81" s="11">
        <v>1299</v>
      </c>
      <c r="J81" s="49" t="s">
        <v>39</v>
      </c>
      <c r="K81" s="49" t="s">
        <v>76</v>
      </c>
      <c r="L81" s="49" t="s">
        <v>84</v>
      </c>
      <c r="M81" s="49" t="s">
        <v>85</v>
      </c>
      <c r="N81" s="49" t="s">
        <v>89</v>
      </c>
      <c r="O81" s="49" t="s">
        <v>67</v>
      </c>
      <c r="P81" s="11" t="s">
        <v>80</v>
      </c>
      <c r="Q81" s="11" t="s">
        <v>96</v>
      </c>
      <c r="R81" s="11" t="s">
        <v>82</v>
      </c>
      <c r="S81" s="11" t="s">
        <v>2729</v>
      </c>
      <c r="T81" s="90" t="s">
        <v>1</v>
      </c>
      <c r="U81" s="89"/>
      <c r="V81" s="51">
        <v>45852</v>
      </c>
      <c r="W81" s="11" t="s">
        <v>1575</v>
      </c>
    </row>
    <row r="82" spans="1:23" ht="13" customHeight="1" x14ac:dyDescent="0.35">
      <c r="A82" s="11">
        <v>76</v>
      </c>
      <c r="B82" s="11">
        <v>206873779</v>
      </c>
      <c r="C82" s="94" t="s">
        <v>1751</v>
      </c>
      <c r="D82" s="11" t="s">
        <v>1752</v>
      </c>
      <c r="E82" s="48" t="s">
        <v>31</v>
      </c>
      <c r="F82" s="48" t="s">
        <v>74</v>
      </c>
      <c r="G82" s="48" t="s">
        <v>64</v>
      </c>
      <c r="H82" s="48" t="s">
        <v>75</v>
      </c>
      <c r="I82" s="11">
        <v>1299</v>
      </c>
      <c r="J82" s="49" t="s">
        <v>39</v>
      </c>
      <c r="K82" s="49" t="s">
        <v>76</v>
      </c>
      <c r="L82" s="49" t="s">
        <v>78</v>
      </c>
      <c r="M82" s="49" t="s">
        <v>92</v>
      </c>
      <c r="N82" s="49" t="s">
        <v>89</v>
      </c>
      <c r="O82" s="11" t="s">
        <v>67</v>
      </c>
      <c r="P82" s="48" t="s">
        <v>80</v>
      </c>
      <c r="Q82" s="11" t="s">
        <v>90</v>
      </c>
      <c r="R82" s="11" t="s">
        <v>82</v>
      </c>
      <c r="S82" s="11" t="s">
        <v>2729</v>
      </c>
      <c r="T82" s="90" t="s">
        <v>1</v>
      </c>
      <c r="U82" s="91"/>
      <c r="V82" s="51">
        <v>46020</v>
      </c>
      <c r="W82" s="11" t="s">
        <v>1575</v>
      </c>
    </row>
    <row r="83" spans="1:23" ht="13" customHeight="1" x14ac:dyDescent="0.35">
      <c r="A83" s="11">
        <v>77</v>
      </c>
      <c r="B83" s="47">
        <v>203635497</v>
      </c>
      <c r="C83" s="94" t="s">
        <v>1380</v>
      </c>
      <c r="D83" s="11" t="s">
        <v>1999</v>
      </c>
      <c r="E83" s="48" t="s">
        <v>31</v>
      </c>
      <c r="F83" s="48" t="s">
        <v>74</v>
      </c>
      <c r="G83" s="11" t="s">
        <v>64</v>
      </c>
      <c r="H83" s="11" t="s">
        <v>75</v>
      </c>
      <c r="I83" s="11">
        <v>1299</v>
      </c>
      <c r="J83" s="49" t="s">
        <v>39</v>
      </c>
      <c r="K83" s="49" t="s">
        <v>76</v>
      </c>
      <c r="L83" s="49" t="s">
        <v>85</v>
      </c>
      <c r="M83" s="49" t="s">
        <v>88</v>
      </c>
      <c r="N83" s="48" t="s">
        <v>79</v>
      </c>
      <c r="O83" s="49" t="s">
        <v>67</v>
      </c>
      <c r="P83" s="11" t="s">
        <v>80</v>
      </c>
      <c r="Q83" s="11" t="s">
        <v>81</v>
      </c>
      <c r="R83" s="11" t="s">
        <v>82</v>
      </c>
      <c r="S83" s="11" t="s">
        <v>2729</v>
      </c>
      <c r="T83" s="90" t="s">
        <v>10</v>
      </c>
      <c r="U83" s="90"/>
      <c r="V83" s="51">
        <v>45481</v>
      </c>
      <c r="W83" s="11" t="s">
        <v>1575</v>
      </c>
    </row>
    <row r="84" spans="1:23" ht="13" customHeight="1" x14ac:dyDescent="0.35">
      <c r="A84" s="11">
        <v>78</v>
      </c>
      <c r="B84" s="47">
        <v>204246172</v>
      </c>
      <c r="C84" s="94" t="s">
        <v>1748</v>
      </c>
      <c r="D84" s="11" t="s">
        <v>1749</v>
      </c>
      <c r="E84" s="48" t="s">
        <v>31</v>
      </c>
      <c r="F84" s="48" t="s">
        <v>74</v>
      </c>
      <c r="G84" s="48" t="s">
        <v>64</v>
      </c>
      <c r="H84" s="48" t="s">
        <v>75</v>
      </c>
      <c r="I84" s="11">
        <v>1299</v>
      </c>
      <c r="J84" s="49" t="s">
        <v>39</v>
      </c>
      <c r="K84" s="49" t="s">
        <v>76</v>
      </c>
      <c r="L84" s="49" t="s">
        <v>88</v>
      </c>
      <c r="M84" s="49" t="s">
        <v>95</v>
      </c>
      <c r="N84" s="49" t="s">
        <v>89</v>
      </c>
      <c r="O84" s="48" t="s">
        <v>67</v>
      </c>
      <c r="P84" s="48" t="s">
        <v>80</v>
      </c>
      <c r="Q84" s="11" t="s">
        <v>1750</v>
      </c>
      <c r="R84" s="11" t="s">
        <v>82</v>
      </c>
      <c r="S84" s="11" t="s">
        <v>2729</v>
      </c>
      <c r="T84" s="90" t="s">
        <v>10</v>
      </c>
      <c r="U84" s="91"/>
      <c r="V84" s="51">
        <v>46020</v>
      </c>
      <c r="W84" s="11" t="s">
        <v>1575</v>
      </c>
    </row>
    <row r="85" spans="1:23" ht="13" customHeight="1" x14ac:dyDescent="0.35">
      <c r="A85" s="11">
        <v>79</v>
      </c>
      <c r="B85" s="47">
        <v>206296189</v>
      </c>
      <c r="C85" s="94" t="s">
        <v>2258</v>
      </c>
      <c r="D85" s="11" t="s">
        <v>2717</v>
      </c>
      <c r="E85" s="48" t="s">
        <v>31</v>
      </c>
      <c r="F85" s="48" t="s">
        <v>74</v>
      </c>
      <c r="G85" s="11" t="s">
        <v>64</v>
      </c>
      <c r="H85" s="11" t="s">
        <v>75</v>
      </c>
      <c r="I85" s="11">
        <v>1299</v>
      </c>
      <c r="J85" s="49" t="s">
        <v>32</v>
      </c>
      <c r="K85" s="49" t="s">
        <v>76</v>
      </c>
      <c r="L85" s="49" t="s">
        <v>84</v>
      </c>
      <c r="M85" s="49" t="s">
        <v>85</v>
      </c>
      <c r="N85" s="49" t="s">
        <v>89</v>
      </c>
      <c r="O85" s="49" t="s">
        <v>67</v>
      </c>
      <c r="P85" s="11" t="s">
        <v>80</v>
      </c>
      <c r="Q85" s="11" t="s">
        <v>96</v>
      </c>
      <c r="R85" s="11" t="s">
        <v>82</v>
      </c>
      <c r="S85" s="11" t="s">
        <v>2729</v>
      </c>
      <c r="T85" s="90" t="s">
        <v>1</v>
      </c>
      <c r="U85" s="90"/>
      <c r="V85" s="51">
        <v>45950</v>
      </c>
      <c r="W85" s="11" t="s">
        <v>1575</v>
      </c>
    </row>
    <row r="86" spans="1:23" ht="13" customHeight="1" x14ac:dyDescent="0.35">
      <c r="A86" s="11">
        <v>80</v>
      </c>
      <c r="B86" s="47">
        <v>203682331</v>
      </c>
      <c r="C86" s="94" t="s">
        <v>2259</v>
      </c>
      <c r="D86" s="11" t="s">
        <v>2718</v>
      </c>
      <c r="E86" s="48" t="s">
        <v>31</v>
      </c>
      <c r="F86" s="48" t="s">
        <v>74</v>
      </c>
      <c r="G86" s="11" t="s">
        <v>64</v>
      </c>
      <c r="H86" s="11" t="s">
        <v>75</v>
      </c>
      <c r="I86" s="11">
        <v>1299</v>
      </c>
      <c r="J86" s="49" t="s">
        <v>39</v>
      </c>
      <c r="K86" s="49" t="s">
        <v>76</v>
      </c>
      <c r="L86" s="49" t="s">
        <v>78</v>
      </c>
      <c r="M86" s="49" t="s">
        <v>92</v>
      </c>
      <c r="N86" s="48" t="s">
        <v>86</v>
      </c>
      <c r="O86" s="49" t="s">
        <v>67</v>
      </c>
      <c r="P86" s="11" t="s">
        <v>80</v>
      </c>
      <c r="Q86" s="11" t="s">
        <v>99</v>
      </c>
      <c r="R86" s="11" t="s">
        <v>82</v>
      </c>
      <c r="S86" s="11" t="s">
        <v>2729</v>
      </c>
      <c r="T86" s="90" t="s">
        <v>1</v>
      </c>
      <c r="U86" s="89"/>
      <c r="V86" s="51">
        <v>45488</v>
      </c>
      <c r="W86" s="11" t="s">
        <v>1575</v>
      </c>
    </row>
    <row r="87" spans="1:23" ht="13" customHeight="1" x14ac:dyDescent="0.35">
      <c r="A87" s="11">
        <v>81</v>
      </c>
      <c r="B87" s="47">
        <v>206846113</v>
      </c>
      <c r="C87" s="94" t="s">
        <v>1737</v>
      </c>
      <c r="D87" s="11" t="s">
        <v>1738</v>
      </c>
      <c r="E87" s="48" t="s">
        <v>31</v>
      </c>
      <c r="F87" s="48" t="s">
        <v>74</v>
      </c>
      <c r="G87" s="48" t="s">
        <v>64</v>
      </c>
      <c r="H87" s="48" t="s">
        <v>75</v>
      </c>
      <c r="I87" s="11">
        <v>1299</v>
      </c>
      <c r="J87" s="49" t="s">
        <v>32</v>
      </c>
      <c r="K87" s="49" t="s">
        <v>76</v>
      </c>
      <c r="L87" s="49" t="s">
        <v>85</v>
      </c>
      <c r="M87" s="49" t="s">
        <v>88</v>
      </c>
      <c r="N87" s="49" t="s">
        <v>89</v>
      </c>
      <c r="O87" s="48" t="s">
        <v>67</v>
      </c>
      <c r="P87" s="48" t="s">
        <v>80</v>
      </c>
      <c r="Q87" s="11" t="s">
        <v>90</v>
      </c>
      <c r="R87" s="11" t="s">
        <v>82</v>
      </c>
      <c r="S87" s="11" t="s">
        <v>2729</v>
      </c>
      <c r="T87" s="90" t="s">
        <v>10</v>
      </c>
      <c r="U87" s="89"/>
      <c r="V87" s="51">
        <v>46020</v>
      </c>
      <c r="W87" s="11" t="s">
        <v>1575</v>
      </c>
    </row>
    <row r="88" spans="1:23" ht="13" customHeight="1" x14ac:dyDescent="0.35">
      <c r="A88" s="11">
        <v>82</v>
      </c>
      <c r="B88" s="47">
        <v>206953981</v>
      </c>
      <c r="C88" s="94" t="s">
        <v>2064</v>
      </c>
      <c r="D88" s="11" t="s">
        <v>2065</v>
      </c>
      <c r="E88" s="48" t="s">
        <v>31</v>
      </c>
      <c r="F88" s="48" t="s">
        <v>74</v>
      </c>
      <c r="G88" s="11" t="s">
        <v>64</v>
      </c>
      <c r="H88" s="11" t="s">
        <v>75</v>
      </c>
      <c r="I88" s="11">
        <v>1299</v>
      </c>
      <c r="J88" s="49" t="s">
        <v>32</v>
      </c>
      <c r="K88" s="49" t="s">
        <v>76</v>
      </c>
      <c r="L88" s="49" t="s">
        <v>92</v>
      </c>
      <c r="M88" s="49" t="s">
        <v>84</v>
      </c>
      <c r="N88" s="48" t="s">
        <v>86</v>
      </c>
      <c r="O88" s="49" t="s">
        <v>67</v>
      </c>
      <c r="P88" s="11" t="s">
        <v>80</v>
      </c>
      <c r="Q88" s="11" t="s">
        <v>90</v>
      </c>
      <c r="R88" s="11" t="s">
        <v>82</v>
      </c>
      <c r="S88" s="11" t="s">
        <v>2729</v>
      </c>
      <c r="T88" s="90" t="s">
        <v>1</v>
      </c>
      <c r="U88" s="90"/>
      <c r="V88" s="51">
        <v>46048</v>
      </c>
      <c r="W88" s="11" t="s">
        <v>1575</v>
      </c>
    </row>
    <row r="89" spans="1:23" ht="13" customHeight="1" x14ac:dyDescent="0.35">
      <c r="A89" s="11">
        <v>83</v>
      </c>
      <c r="B89" s="47">
        <v>203555400</v>
      </c>
      <c r="C89" s="94" t="s">
        <v>113</v>
      </c>
      <c r="D89" s="11" t="s">
        <v>2719</v>
      </c>
      <c r="E89" s="48" t="s">
        <v>31</v>
      </c>
      <c r="F89" s="48" t="s">
        <v>74</v>
      </c>
      <c r="G89" s="11" t="s">
        <v>64</v>
      </c>
      <c r="H89" s="11" t="s">
        <v>75</v>
      </c>
      <c r="I89" s="11">
        <v>1299</v>
      </c>
      <c r="J89" s="49" t="s">
        <v>39</v>
      </c>
      <c r="K89" s="49" t="s">
        <v>76</v>
      </c>
      <c r="L89" s="49" t="s">
        <v>78</v>
      </c>
      <c r="M89" s="49" t="s">
        <v>92</v>
      </c>
      <c r="N89" s="48" t="s">
        <v>79</v>
      </c>
      <c r="O89" s="49" t="s">
        <v>67</v>
      </c>
      <c r="P89" s="11" t="s">
        <v>80</v>
      </c>
      <c r="Q89" s="11" t="s">
        <v>81</v>
      </c>
      <c r="R89" s="11" t="s">
        <v>82</v>
      </c>
      <c r="S89" s="11" t="s">
        <v>2729</v>
      </c>
      <c r="T89" s="90" t="s">
        <v>1</v>
      </c>
      <c r="U89" s="90"/>
      <c r="V89" s="51">
        <v>45470</v>
      </c>
      <c r="W89" s="11" t="s">
        <v>1575</v>
      </c>
    </row>
    <row r="90" spans="1:23" ht="13" customHeight="1" x14ac:dyDescent="0.35">
      <c r="A90" s="11">
        <v>84</v>
      </c>
      <c r="B90" s="47">
        <v>203800483</v>
      </c>
      <c r="C90" s="94" t="s">
        <v>2260</v>
      </c>
      <c r="D90" s="11" t="s">
        <v>2720</v>
      </c>
      <c r="E90" s="48" t="s">
        <v>31</v>
      </c>
      <c r="F90" s="48" t="s">
        <v>74</v>
      </c>
      <c r="G90" s="11" t="s">
        <v>64</v>
      </c>
      <c r="H90" s="11" t="s">
        <v>75</v>
      </c>
      <c r="I90" s="11">
        <v>1299</v>
      </c>
      <c r="J90" s="49" t="s">
        <v>39</v>
      </c>
      <c r="K90" s="49" t="s">
        <v>76</v>
      </c>
      <c r="L90" s="49" t="s">
        <v>88</v>
      </c>
      <c r="M90" s="49" t="s">
        <v>95</v>
      </c>
      <c r="N90" s="49" t="s">
        <v>89</v>
      </c>
      <c r="O90" s="49" t="s">
        <v>67</v>
      </c>
      <c r="P90" s="11" t="s">
        <v>80</v>
      </c>
      <c r="Q90" s="11" t="s">
        <v>90</v>
      </c>
      <c r="R90" s="11" t="s">
        <v>82</v>
      </c>
      <c r="S90" s="11" t="s">
        <v>2729</v>
      </c>
      <c r="T90" s="90" t="s">
        <v>10</v>
      </c>
      <c r="U90" s="90"/>
      <c r="V90" s="51">
        <v>45516</v>
      </c>
      <c r="W90" s="11" t="s">
        <v>1575</v>
      </c>
    </row>
    <row r="91" spans="1:23" ht="13" customHeight="1" x14ac:dyDescent="0.35">
      <c r="A91" s="11">
        <v>85</v>
      </c>
      <c r="B91" s="47">
        <v>103476446</v>
      </c>
      <c r="C91" s="94" t="s">
        <v>2261</v>
      </c>
      <c r="D91" s="11" t="s">
        <v>2262</v>
      </c>
      <c r="E91" s="48" t="s">
        <v>34</v>
      </c>
      <c r="F91" s="48" t="s">
        <v>74</v>
      </c>
      <c r="G91" s="11" t="s">
        <v>64</v>
      </c>
      <c r="H91" s="11" t="s">
        <v>75</v>
      </c>
      <c r="I91" s="11">
        <v>1299</v>
      </c>
      <c r="J91" s="49" t="s">
        <v>32</v>
      </c>
      <c r="K91" s="49" t="s">
        <v>76</v>
      </c>
      <c r="L91" s="49" t="s">
        <v>78</v>
      </c>
      <c r="M91" s="49" t="s">
        <v>92</v>
      </c>
      <c r="N91" s="48" t="s">
        <v>108</v>
      </c>
      <c r="O91" s="49" t="s">
        <v>67</v>
      </c>
      <c r="P91" s="11" t="s">
        <v>80</v>
      </c>
      <c r="Q91" s="11" t="s">
        <v>98</v>
      </c>
      <c r="R91" s="11" t="s">
        <v>82</v>
      </c>
      <c r="S91" s="11" t="s">
        <v>2729</v>
      </c>
      <c r="T91" s="90" t="s">
        <v>1</v>
      </c>
      <c r="U91" s="90"/>
      <c r="V91" s="51">
        <v>43306</v>
      </c>
      <c r="W91" s="11" t="s">
        <v>1575</v>
      </c>
    </row>
    <row r="92" spans="1:23" ht="13" customHeight="1" x14ac:dyDescent="0.35">
      <c r="A92" s="11">
        <v>86</v>
      </c>
      <c r="B92" s="47">
        <v>206065204</v>
      </c>
      <c r="C92" s="94" t="s">
        <v>381</v>
      </c>
      <c r="D92" s="11" t="s">
        <v>2721</v>
      </c>
      <c r="E92" s="48" t="s">
        <v>31</v>
      </c>
      <c r="F92" s="48" t="s">
        <v>74</v>
      </c>
      <c r="G92" s="11" t="s">
        <v>64</v>
      </c>
      <c r="H92" s="11" t="s">
        <v>75</v>
      </c>
      <c r="I92" s="11">
        <v>1299</v>
      </c>
      <c r="J92" s="49" t="s">
        <v>32</v>
      </c>
      <c r="K92" s="49" t="s">
        <v>76</v>
      </c>
      <c r="L92" s="49" t="s">
        <v>78</v>
      </c>
      <c r="M92" s="49" t="s">
        <v>92</v>
      </c>
      <c r="N92" s="49" t="s">
        <v>89</v>
      </c>
      <c r="O92" s="49" t="s">
        <v>67</v>
      </c>
      <c r="P92" s="11" t="s">
        <v>80</v>
      </c>
      <c r="Q92" s="11" t="s">
        <v>81</v>
      </c>
      <c r="R92" s="11" t="s">
        <v>82</v>
      </c>
      <c r="S92" s="11" t="s">
        <v>2729</v>
      </c>
      <c r="T92" s="90" t="s">
        <v>1</v>
      </c>
      <c r="U92" s="90"/>
      <c r="V92" s="51">
        <v>45922</v>
      </c>
      <c r="W92" s="11" t="s">
        <v>1575</v>
      </c>
    </row>
    <row r="93" spans="1:23" ht="13" customHeight="1" x14ac:dyDescent="0.35">
      <c r="A93" s="11">
        <v>87</v>
      </c>
      <c r="B93" s="47">
        <v>203469400</v>
      </c>
      <c r="C93" s="94" t="s">
        <v>114</v>
      </c>
      <c r="D93" s="11" t="s">
        <v>2722</v>
      </c>
      <c r="E93" s="48" t="s">
        <v>31</v>
      </c>
      <c r="F93" s="48" t="s">
        <v>74</v>
      </c>
      <c r="G93" s="11" t="s">
        <v>64</v>
      </c>
      <c r="H93" s="11" t="s">
        <v>75</v>
      </c>
      <c r="I93" s="11">
        <v>1299</v>
      </c>
      <c r="J93" s="49" t="s">
        <v>39</v>
      </c>
      <c r="K93" s="49" t="s">
        <v>76</v>
      </c>
      <c r="L93" s="49" t="s">
        <v>95</v>
      </c>
      <c r="M93" s="49" t="s">
        <v>77</v>
      </c>
      <c r="N93" s="48" t="s">
        <v>86</v>
      </c>
      <c r="O93" s="49" t="s">
        <v>67</v>
      </c>
      <c r="P93" s="11" t="s">
        <v>80</v>
      </c>
      <c r="Q93" s="11" t="s">
        <v>99</v>
      </c>
      <c r="R93" s="11" t="s">
        <v>82</v>
      </c>
      <c r="S93" s="11" t="s">
        <v>2729</v>
      </c>
      <c r="T93" s="90" t="s">
        <v>7</v>
      </c>
      <c r="U93" s="90" t="s">
        <v>2914</v>
      </c>
      <c r="V93" s="51">
        <v>45456</v>
      </c>
      <c r="W93" s="11" t="s">
        <v>1575</v>
      </c>
    </row>
    <row r="94" spans="1:23" ht="13" customHeight="1" x14ac:dyDescent="0.35">
      <c r="A94" s="11">
        <v>88</v>
      </c>
      <c r="B94" s="47">
        <v>206926477</v>
      </c>
      <c r="C94" s="94" t="s">
        <v>2134</v>
      </c>
      <c r="D94" s="11" t="s">
        <v>2060</v>
      </c>
      <c r="E94" s="48" t="s">
        <v>31</v>
      </c>
      <c r="F94" s="48" t="s">
        <v>74</v>
      </c>
      <c r="G94" s="11" t="s">
        <v>64</v>
      </c>
      <c r="H94" s="11" t="s">
        <v>75</v>
      </c>
      <c r="I94" s="11">
        <v>1299</v>
      </c>
      <c r="J94" s="49" t="s">
        <v>32</v>
      </c>
      <c r="K94" s="49" t="s">
        <v>76</v>
      </c>
      <c r="L94" s="49" t="s">
        <v>77</v>
      </c>
      <c r="M94" s="49" t="s">
        <v>78</v>
      </c>
      <c r="N94" s="48" t="s">
        <v>86</v>
      </c>
      <c r="O94" s="49" t="s">
        <v>67</v>
      </c>
      <c r="P94" s="11" t="s">
        <v>80</v>
      </c>
      <c r="Q94" s="11" t="s">
        <v>90</v>
      </c>
      <c r="R94" s="11" t="s">
        <v>82</v>
      </c>
      <c r="S94" s="11" t="s">
        <v>2729</v>
      </c>
      <c r="T94" s="90" t="s">
        <v>1</v>
      </c>
      <c r="U94" s="90"/>
      <c r="V94" s="51">
        <v>46048</v>
      </c>
      <c r="W94" s="11" t="s">
        <v>1575</v>
      </c>
    </row>
    <row r="95" spans="1:23" ht="13" customHeight="1" x14ac:dyDescent="0.35">
      <c r="A95" s="11">
        <v>89</v>
      </c>
      <c r="B95" s="47">
        <v>203679317</v>
      </c>
      <c r="C95" s="94" t="s">
        <v>115</v>
      </c>
      <c r="D95" s="11" t="s">
        <v>1941</v>
      </c>
      <c r="E95" s="48" t="s">
        <v>31</v>
      </c>
      <c r="F95" s="48" t="s">
        <v>74</v>
      </c>
      <c r="G95" s="11" t="s">
        <v>64</v>
      </c>
      <c r="H95" s="11" t="s">
        <v>75</v>
      </c>
      <c r="I95" s="11">
        <v>1299</v>
      </c>
      <c r="J95" s="49" t="s">
        <v>32</v>
      </c>
      <c r="K95" s="49" t="s">
        <v>76</v>
      </c>
      <c r="L95" s="49" t="s">
        <v>95</v>
      </c>
      <c r="M95" s="49" t="s">
        <v>77</v>
      </c>
      <c r="N95" s="48" t="s">
        <v>79</v>
      </c>
      <c r="O95" s="49" t="s">
        <v>67</v>
      </c>
      <c r="P95" s="11" t="s">
        <v>80</v>
      </c>
      <c r="Q95" s="11" t="s">
        <v>81</v>
      </c>
      <c r="R95" s="11" t="s">
        <v>82</v>
      </c>
      <c r="S95" s="11" t="s">
        <v>2729</v>
      </c>
      <c r="T95" s="90" t="s">
        <v>7</v>
      </c>
      <c r="U95" s="90"/>
      <c r="V95" s="51">
        <v>45488</v>
      </c>
      <c r="W95" s="11" t="s">
        <v>1575</v>
      </c>
    </row>
    <row r="96" spans="1:23" ht="13" customHeight="1" x14ac:dyDescent="0.35">
      <c r="A96" s="11">
        <v>90</v>
      </c>
      <c r="B96" s="47">
        <v>203469060</v>
      </c>
      <c r="C96" s="94" t="s">
        <v>2263</v>
      </c>
      <c r="D96" s="11" t="s">
        <v>2264</v>
      </c>
      <c r="E96" s="48" t="s">
        <v>31</v>
      </c>
      <c r="F96" s="48" t="s">
        <v>74</v>
      </c>
      <c r="G96" s="11" t="s">
        <v>64</v>
      </c>
      <c r="H96" s="11" t="s">
        <v>75</v>
      </c>
      <c r="I96" s="11">
        <v>1299</v>
      </c>
      <c r="J96" s="49" t="s">
        <v>32</v>
      </c>
      <c r="K96" s="49" t="s">
        <v>76</v>
      </c>
      <c r="L96" s="49" t="s">
        <v>84</v>
      </c>
      <c r="M96" s="49" t="s">
        <v>85</v>
      </c>
      <c r="N96" s="48" t="s">
        <v>79</v>
      </c>
      <c r="O96" s="49" t="s">
        <v>67</v>
      </c>
      <c r="P96" s="11" t="s">
        <v>80</v>
      </c>
      <c r="Q96" s="11" t="s">
        <v>81</v>
      </c>
      <c r="R96" s="11" t="s">
        <v>82</v>
      </c>
      <c r="S96" s="11" t="s">
        <v>2729</v>
      </c>
      <c r="T96" s="90" t="s">
        <v>1</v>
      </c>
      <c r="U96" s="90"/>
      <c r="V96" s="51">
        <v>45456</v>
      </c>
      <c r="W96" s="11" t="s">
        <v>1575</v>
      </c>
    </row>
    <row r="97" spans="1:23" ht="13" customHeight="1" x14ac:dyDescent="0.35">
      <c r="A97" s="11">
        <v>91</v>
      </c>
      <c r="B97" s="47">
        <v>206875152</v>
      </c>
      <c r="C97" s="94" t="s">
        <v>1727</v>
      </c>
      <c r="D97" s="11" t="s">
        <v>1728</v>
      </c>
      <c r="E97" s="48" t="s">
        <v>31</v>
      </c>
      <c r="F97" s="48" t="s">
        <v>74</v>
      </c>
      <c r="G97" s="48" t="s">
        <v>64</v>
      </c>
      <c r="H97" s="48" t="s">
        <v>75</v>
      </c>
      <c r="I97" s="11">
        <v>1299</v>
      </c>
      <c r="J97" s="49" t="s">
        <v>39</v>
      </c>
      <c r="K97" s="49" t="s">
        <v>76</v>
      </c>
      <c r="L97" s="49" t="s">
        <v>78</v>
      </c>
      <c r="M97" s="49" t="s">
        <v>92</v>
      </c>
      <c r="N97" s="49" t="s">
        <v>89</v>
      </c>
      <c r="O97" s="48" t="s">
        <v>67</v>
      </c>
      <c r="P97" s="48" t="s">
        <v>80</v>
      </c>
      <c r="Q97" s="11" t="s">
        <v>90</v>
      </c>
      <c r="R97" s="11" t="s">
        <v>82</v>
      </c>
      <c r="S97" s="11" t="s">
        <v>2729</v>
      </c>
      <c r="T97" s="90" t="s">
        <v>1</v>
      </c>
      <c r="U97" s="91"/>
      <c r="V97" s="51">
        <v>46020</v>
      </c>
      <c r="W97" s="11" t="s">
        <v>1575</v>
      </c>
    </row>
    <row r="98" spans="1:23" ht="13" customHeight="1" x14ac:dyDescent="0.35">
      <c r="A98" s="11">
        <v>92</v>
      </c>
      <c r="B98" s="47">
        <v>206174727</v>
      </c>
      <c r="C98" s="94" t="s">
        <v>2265</v>
      </c>
      <c r="D98" s="11" t="s">
        <v>2266</v>
      </c>
      <c r="E98" s="48" t="s">
        <v>31</v>
      </c>
      <c r="F98" s="48" t="s">
        <v>74</v>
      </c>
      <c r="G98" s="11" t="s">
        <v>64</v>
      </c>
      <c r="H98" s="11" t="s">
        <v>75</v>
      </c>
      <c r="I98" s="11">
        <v>1299</v>
      </c>
      <c r="J98" s="49" t="s">
        <v>32</v>
      </c>
      <c r="K98" s="49" t="s">
        <v>76</v>
      </c>
      <c r="L98" s="49" t="s">
        <v>84</v>
      </c>
      <c r="M98" s="49" t="s">
        <v>85</v>
      </c>
      <c r="N98" s="49" t="s">
        <v>89</v>
      </c>
      <c r="O98" s="49" t="s">
        <v>67</v>
      </c>
      <c r="P98" s="11" t="s">
        <v>80</v>
      </c>
      <c r="Q98" s="11" t="s">
        <v>81</v>
      </c>
      <c r="R98" s="11" t="s">
        <v>82</v>
      </c>
      <c r="S98" s="11" t="s">
        <v>2729</v>
      </c>
      <c r="T98" s="90" t="s">
        <v>1</v>
      </c>
      <c r="U98" s="90"/>
      <c r="V98" s="51">
        <v>45932</v>
      </c>
      <c r="W98" s="11" t="s">
        <v>1575</v>
      </c>
    </row>
    <row r="99" spans="1:23" ht="13" customHeight="1" x14ac:dyDescent="0.35">
      <c r="A99" s="11">
        <v>93</v>
      </c>
      <c r="B99" s="47">
        <v>206296194</v>
      </c>
      <c r="C99" s="94" t="s">
        <v>1663</v>
      </c>
      <c r="D99" s="11" t="s">
        <v>2209</v>
      </c>
      <c r="E99" s="48" t="s">
        <v>31</v>
      </c>
      <c r="F99" s="48" t="s">
        <v>74</v>
      </c>
      <c r="G99" s="11" t="s">
        <v>64</v>
      </c>
      <c r="H99" s="11" t="s">
        <v>75</v>
      </c>
      <c r="I99" s="11">
        <v>1299</v>
      </c>
      <c r="J99" s="49" t="s">
        <v>32</v>
      </c>
      <c r="K99" s="49" t="s">
        <v>76</v>
      </c>
      <c r="L99" s="49" t="s">
        <v>84</v>
      </c>
      <c r="M99" s="49" t="s">
        <v>85</v>
      </c>
      <c r="N99" s="49" t="s">
        <v>89</v>
      </c>
      <c r="O99" s="49" t="s">
        <v>67</v>
      </c>
      <c r="P99" s="11" t="s">
        <v>80</v>
      </c>
      <c r="Q99" s="11" t="s">
        <v>96</v>
      </c>
      <c r="R99" s="11" t="s">
        <v>82</v>
      </c>
      <c r="S99" s="11" t="s">
        <v>2729</v>
      </c>
      <c r="T99" s="90" t="s">
        <v>1</v>
      </c>
      <c r="U99" s="90"/>
      <c r="V99" s="51">
        <v>45950</v>
      </c>
      <c r="W99" s="11" t="s">
        <v>1575</v>
      </c>
    </row>
    <row r="100" spans="1:23" ht="13" customHeight="1" x14ac:dyDescent="0.35">
      <c r="A100" s="11">
        <v>94</v>
      </c>
      <c r="B100" s="47">
        <v>206937730</v>
      </c>
      <c r="C100" s="94" t="s">
        <v>2133</v>
      </c>
      <c r="D100" s="11" t="s">
        <v>2058</v>
      </c>
      <c r="E100" s="48" t="s">
        <v>31</v>
      </c>
      <c r="F100" s="48" t="s">
        <v>74</v>
      </c>
      <c r="G100" s="11" t="s">
        <v>64</v>
      </c>
      <c r="H100" s="11" t="s">
        <v>75</v>
      </c>
      <c r="I100" s="11">
        <v>1299</v>
      </c>
      <c r="J100" s="49" t="s">
        <v>32</v>
      </c>
      <c r="K100" s="49" t="s">
        <v>76</v>
      </c>
      <c r="L100" s="49" t="s">
        <v>84</v>
      </c>
      <c r="M100" s="49" t="s">
        <v>85</v>
      </c>
      <c r="N100" s="48" t="s">
        <v>86</v>
      </c>
      <c r="O100" s="49" t="s">
        <v>67</v>
      </c>
      <c r="P100" s="11" t="s">
        <v>80</v>
      </c>
      <c r="Q100" s="11" t="s">
        <v>90</v>
      </c>
      <c r="R100" s="11" t="s">
        <v>82</v>
      </c>
      <c r="S100" s="11" t="s">
        <v>2729</v>
      </c>
      <c r="T100" s="90" t="s">
        <v>1</v>
      </c>
      <c r="U100" s="90"/>
      <c r="V100" s="51">
        <v>46048</v>
      </c>
      <c r="W100" s="11" t="s">
        <v>1575</v>
      </c>
    </row>
    <row r="101" spans="1:23" ht="13" customHeight="1" x14ac:dyDescent="0.35">
      <c r="A101" s="11">
        <v>95</v>
      </c>
      <c r="B101" s="47">
        <v>206192253</v>
      </c>
      <c r="C101" s="94" t="s">
        <v>2492</v>
      </c>
      <c r="D101" s="11" t="s">
        <v>2493</v>
      </c>
      <c r="E101" s="48" t="s">
        <v>31</v>
      </c>
      <c r="F101" s="48" t="s">
        <v>74</v>
      </c>
      <c r="G101" s="11" t="s">
        <v>64</v>
      </c>
      <c r="H101" s="11" t="s">
        <v>75</v>
      </c>
      <c r="I101" s="11">
        <v>1299</v>
      </c>
      <c r="J101" s="49" t="s">
        <v>39</v>
      </c>
      <c r="K101" s="49" t="s">
        <v>76</v>
      </c>
      <c r="L101" s="49" t="s">
        <v>84</v>
      </c>
      <c r="M101" s="49" t="s">
        <v>85</v>
      </c>
      <c r="N101" s="49" t="s">
        <v>79</v>
      </c>
      <c r="O101" s="49" t="s">
        <v>67</v>
      </c>
      <c r="P101" s="11" t="s">
        <v>80</v>
      </c>
      <c r="Q101" s="11" t="s">
        <v>96</v>
      </c>
      <c r="R101" s="11" t="s">
        <v>82</v>
      </c>
      <c r="S101" s="11" t="s">
        <v>2729</v>
      </c>
      <c r="T101" s="90" t="s">
        <v>1</v>
      </c>
      <c r="U101" s="90"/>
      <c r="V101" s="51">
        <v>45936</v>
      </c>
      <c r="W101" s="11" t="s">
        <v>1575</v>
      </c>
    </row>
    <row r="102" spans="1:23" ht="13" customHeight="1" x14ac:dyDescent="0.35">
      <c r="A102" s="11">
        <v>96</v>
      </c>
      <c r="B102" s="47">
        <v>204373675</v>
      </c>
      <c r="C102" s="94" t="s">
        <v>116</v>
      </c>
      <c r="D102" s="11" t="s">
        <v>1942</v>
      </c>
      <c r="E102" s="48" t="s">
        <v>31</v>
      </c>
      <c r="F102" s="48" t="s">
        <v>74</v>
      </c>
      <c r="G102" s="11" t="s">
        <v>64</v>
      </c>
      <c r="H102" s="11" t="s">
        <v>75</v>
      </c>
      <c r="I102" s="11">
        <v>1299</v>
      </c>
      <c r="J102" s="49" t="s">
        <v>32</v>
      </c>
      <c r="K102" s="49" t="s">
        <v>76</v>
      </c>
      <c r="L102" s="49" t="s">
        <v>95</v>
      </c>
      <c r="M102" s="49" t="s">
        <v>77</v>
      </c>
      <c r="N102" s="48" t="s">
        <v>86</v>
      </c>
      <c r="O102" s="49" t="s">
        <v>67</v>
      </c>
      <c r="P102" s="11" t="s">
        <v>80</v>
      </c>
      <c r="Q102" s="11" t="s">
        <v>99</v>
      </c>
      <c r="R102" s="11" t="s">
        <v>82</v>
      </c>
      <c r="S102" s="11" t="s">
        <v>2729</v>
      </c>
      <c r="T102" s="90" t="s">
        <v>1</v>
      </c>
      <c r="U102" s="90"/>
      <c r="V102" s="51">
        <v>45593</v>
      </c>
      <c r="W102" s="11" t="s">
        <v>1575</v>
      </c>
    </row>
    <row r="103" spans="1:23" ht="13" customHeight="1" x14ac:dyDescent="0.35">
      <c r="A103" s="11">
        <v>97</v>
      </c>
      <c r="B103" s="47">
        <v>204319464</v>
      </c>
      <c r="C103" s="94" t="s">
        <v>117</v>
      </c>
      <c r="D103" s="11" t="s">
        <v>1943</v>
      </c>
      <c r="E103" s="48" t="s">
        <v>31</v>
      </c>
      <c r="F103" s="48" t="s">
        <v>74</v>
      </c>
      <c r="G103" s="11" t="s">
        <v>64</v>
      </c>
      <c r="H103" s="11" t="s">
        <v>75</v>
      </c>
      <c r="I103" s="11">
        <v>1299</v>
      </c>
      <c r="J103" s="49" t="s">
        <v>32</v>
      </c>
      <c r="K103" s="49" t="s">
        <v>76</v>
      </c>
      <c r="L103" s="49" t="s">
        <v>84</v>
      </c>
      <c r="M103" s="49" t="s">
        <v>85</v>
      </c>
      <c r="N103" s="49" t="s">
        <v>89</v>
      </c>
      <c r="O103" s="49" t="s">
        <v>67</v>
      </c>
      <c r="P103" s="11" t="s">
        <v>80</v>
      </c>
      <c r="Q103" s="11" t="s">
        <v>87</v>
      </c>
      <c r="R103" s="11" t="s">
        <v>82</v>
      </c>
      <c r="S103" s="11" t="s">
        <v>2729</v>
      </c>
      <c r="T103" s="90" t="s">
        <v>1</v>
      </c>
      <c r="U103" s="90"/>
      <c r="V103" s="51">
        <v>45589</v>
      </c>
      <c r="W103" s="11" t="s">
        <v>1575</v>
      </c>
    </row>
    <row r="104" spans="1:23" ht="13" customHeight="1" x14ac:dyDescent="0.35">
      <c r="A104" s="11">
        <v>98</v>
      </c>
      <c r="B104" s="47">
        <v>206015673</v>
      </c>
      <c r="C104" s="94" t="s">
        <v>2267</v>
      </c>
      <c r="D104" s="11" t="s">
        <v>2268</v>
      </c>
      <c r="E104" s="48" t="s">
        <v>31</v>
      </c>
      <c r="F104" s="48" t="s">
        <v>74</v>
      </c>
      <c r="G104" s="11" t="s">
        <v>64</v>
      </c>
      <c r="H104" s="11" t="s">
        <v>75</v>
      </c>
      <c r="I104" s="11">
        <v>1299</v>
      </c>
      <c r="J104" s="49" t="s">
        <v>32</v>
      </c>
      <c r="K104" s="49" t="s">
        <v>76</v>
      </c>
      <c r="L104" s="49" t="s">
        <v>77</v>
      </c>
      <c r="M104" s="49" t="s">
        <v>78</v>
      </c>
      <c r="N104" s="49" t="s">
        <v>89</v>
      </c>
      <c r="O104" s="49" t="s">
        <v>67</v>
      </c>
      <c r="P104" s="11" t="s">
        <v>80</v>
      </c>
      <c r="Q104" s="11" t="s">
        <v>81</v>
      </c>
      <c r="R104" s="11" t="s">
        <v>82</v>
      </c>
      <c r="S104" s="11" t="s">
        <v>2729</v>
      </c>
      <c r="T104" s="90" t="s">
        <v>1</v>
      </c>
      <c r="U104" s="90"/>
      <c r="V104" s="51">
        <v>45915</v>
      </c>
      <c r="W104" s="11" t="s">
        <v>1575</v>
      </c>
    </row>
    <row r="105" spans="1:23" ht="13" customHeight="1" x14ac:dyDescent="0.35">
      <c r="A105" s="11">
        <v>99</v>
      </c>
      <c r="B105" s="47">
        <v>206006079</v>
      </c>
      <c r="C105" s="94" t="s">
        <v>402</v>
      </c>
      <c r="D105" s="11" t="s">
        <v>1944</v>
      </c>
      <c r="E105" s="48" t="s">
        <v>31</v>
      </c>
      <c r="F105" s="48" t="s">
        <v>74</v>
      </c>
      <c r="G105" s="11" t="s">
        <v>64</v>
      </c>
      <c r="H105" s="11" t="s">
        <v>75</v>
      </c>
      <c r="I105" s="11">
        <v>1299</v>
      </c>
      <c r="J105" s="49" t="s">
        <v>39</v>
      </c>
      <c r="K105" s="49" t="s">
        <v>76</v>
      </c>
      <c r="L105" s="49" t="s">
        <v>92</v>
      </c>
      <c r="M105" s="49" t="s">
        <v>84</v>
      </c>
      <c r="N105" s="49" t="s">
        <v>89</v>
      </c>
      <c r="O105" s="49" t="s">
        <v>67</v>
      </c>
      <c r="P105" s="11" t="s">
        <v>80</v>
      </c>
      <c r="Q105" s="11" t="s">
        <v>81</v>
      </c>
      <c r="R105" s="11" t="s">
        <v>82</v>
      </c>
      <c r="S105" s="11" t="s">
        <v>2729</v>
      </c>
      <c r="T105" s="90" t="s">
        <v>1</v>
      </c>
      <c r="U105" s="90"/>
      <c r="V105" s="51">
        <v>45915</v>
      </c>
      <c r="W105" s="11" t="s">
        <v>1575</v>
      </c>
    </row>
    <row r="106" spans="1:23" ht="13" customHeight="1" x14ac:dyDescent="0.35">
      <c r="A106" s="11">
        <v>100</v>
      </c>
      <c r="B106" s="47">
        <v>204373628</v>
      </c>
      <c r="C106" s="94" t="s">
        <v>118</v>
      </c>
      <c r="D106" s="11" t="s">
        <v>1945</v>
      </c>
      <c r="E106" s="48" t="s">
        <v>31</v>
      </c>
      <c r="F106" s="48" t="s">
        <v>74</v>
      </c>
      <c r="G106" s="11" t="s">
        <v>64</v>
      </c>
      <c r="H106" s="11" t="s">
        <v>75</v>
      </c>
      <c r="I106" s="11">
        <v>1299</v>
      </c>
      <c r="J106" s="49" t="s">
        <v>32</v>
      </c>
      <c r="K106" s="49" t="s">
        <v>76</v>
      </c>
      <c r="L106" s="49" t="s">
        <v>78</v>
      </c>
      <c r="M106" s="49" t="s">
        <v>92</v>
      </c>
      <c r="N106" s="48" t="s">
        <v>86</v>
      </c>
      <c r="O106" s="49" t="s">
        <v>67</v>
      </c>
      <c r="P106" s="11" t="s">
        <v>80</v>
      </c>
      <c r="Q106" s="11" t="s">
        <v>87</v>
      </c>
      <c r="R106" s="11" t="s">
        <v>82</v>
      </c>
      <c r="S106" s="11" t="s">
        <v>2729</v>
      </c>
      <c r="T106" s="90" t="s">
        <v>1</v>
      </c>
      <c r="U106" s="90"/>
      <c r="V106" s="51">
        <v>45593</v>
      </c>
      <c r="W106" s="11" t="s">
        <v>1575</v>
      </c>
    </row>
    <row r="107" spans="1:23" ht="13" customHeight="1" x14ac:dyDescent="0.35">
      <c r="A107" s="11">
        <v>101</v>
      </c>
      <c r="B107" s="47">
        <v>206957730</v>
      </c>
      <c r="C107" s="94" t="s">
        <v>2126</v>
      </c>
      <c r="D107" s="11" t="s">
        <v>2049</v>
      </c>
      <c r="E107" s="48" t="s">
        <v>31</v>
      </c>
      <c r="F107" s="48" t="s">
        <v>74</v>
      </c>
      <c r="G107" s="11" t="s">
        <v>64</v>
      </c>
      <c r="H107" s="11" t="s">
        <v>75</v>
      </c>
      <c r="I107" s="11">
        <v>1299</v>
      </c>
      <c r="J107" s="49" t="s">
        <v>32</v>
      </c>
      <c r="K107" s="49" t="s">
        <v>76</v>
      </c>
      <c r="L107" s="49" t="s">
        <v>95</v>
      </c>
      <c r="M107" s="49" t="s">
        <v>77</v>
      </c>
      <c r="N107" s="49" t="s">
        <v>89</v>
      </c>
      <c r="O107" s="49" t="s">
        <v>67</v>
      </c>
      <c r="P107" s="11" t="s">
        <v>80</v>
      </c>
      <c r="Q107" s="11" t="s">
        <v>96</v>
      </c>
      <c r="R107" s="11" t="s">
        <v>82</v>
      </c>
      <c r="S107" s="11" t="s">
        <v>2729</v>
      </c>
      <c r="T107" s="90" t="s">
        <v>1</v>
      </c>
      <c r="U107" s="90"/>
      <c r="V107" s="51">
        <v>46048</v>
      </c>
      <c r="W107" s="11" t="s">
        <v>1575</v>
      </c>
    </row>
    <row r="108" spans="1:23" ht="13" customHeight="1" x14ac:dyDescent="0.35">
      <c r="A108" s="11">
        <v>102</v>
      </c>
      <c r="B108" s="47">
        <v>201456034</v>
      </c>
      <c r="C108" s="94" t="s">
        <v>119</v>
      </c>
      <c r="D108" s="11" t="s">
        <v>1946</v>
      </c>
      <c r="E108" s="48" t="s">
        <v>31</v>
      </c>
      <c r="F108" s="48" t="s">
        <v>74</v>
      </c>
      <c r="G108" s="11" t="s">
        <v>64</v>
      </c>
      <c r="H108" s="11" t="s">
        <v>75</v>
      </c>
      <c r="I108" s="11">
        <v>1299</v>
      </c>
      <c r="J108" s="49" t="s">
        <v>32</v>
      </c>
      <c r="K108" s="49" t="s">
        <v>76</v>
      </c>
      <c r="L108" s="49" t="s">
        <v>95</v>
      </c>
      <c r="M108" s="49" t="s">
        <v>77</v>
      </c>
      <c r="N108" s="48" t="s">
        <v>79</v>
      </c>
      <c r="O108" s="49" t="s">
        <v>67</v>
      </c>
      <c r="P108" s="11" t="s">
        <v>80</v>
      </c>
      <c r="Q108" s="11" t="s">
        <v>81</v>
      </c>
      <c r="R108" s="11" t="s">
        <v>82</v>
      </c>
      <c r="S108" s="11" t="s">
        <v>2729</v>
      </c>
      <c r="T108" s="90" t="s">
        <v>1</v>
      </c>
      <c r="U108" s="90"/>
      <c r="V108" s="51">
        <v>45603</v>
      </c>
      <c r="W108" s="11" t="s">
        <v>1575</v>
      </c>
    </row>
    <row r="109" spans="1:23" ht="13" customHeight="1" x14ac:dyDescent="0.35">
      <c r="A109" s="11">
        <v>103</v>
      </c>
      <c r="B109" s="47">
        <v>206953803</v>
      </c>
      <c r="C109" s="94" t="s">
        <v>2122</v>
      </c>
      <c r="D109" s="11" t="s">
        <v>2045</v>
      </c>
      <c r="E109" s="48" t="s">
        <v>31</v>
      </c>
      <c r="F109" s="48" t="s">
        <v>74</v>
      </c>
      <c r="G109" s="11" t="s">
        <v>64</v>
      </c>
      <c r="H109" s="11" t="s">
        <v>75</v>
      </c>
      <c r="I109" s="11">
        <v>1299</v>
      </c>
      <c r="J109" s="49" t="s">
        <v>32</v>
      </c>
      <c r="K109" s="49" t="s">
        <v>76</v>
      </c>
      <c r="L109" s="49" t="s">
        <v>36</v>
      </c>
      <c r="M109" s="49" t="s">
        <v>95</v>
      </c>
      <c r="N109" s="49" t="s">
        <v>79</v>
      </c>
      <c r="O109" s="49" t="s">
        <v>67</v>
      </c>
      <c r="P109" s="11" t="s">
        <v>80</v>
      </c>
      <c r="Q109" s="11" t="s">
        <v>96</v>
      </c>
      <c r="R109" s="11" t="s">
        <v>82</v>
      </c>
      <c r="S109" s="11" t="s">
        <v>2729</v>
      </c>
      <c r="T109" s="90" t="s">
        <v>1</v>
      </c>
      <c r="U109" s="90" t="s">
        <v>2919</v>
      </c>
      <c r="V109" s="51">
        <v>46048</v>
      </c>
      <c r="W109" s="11" t="s">
        <v>1575</v>
      </c>
    </row>
    <row r="110" spans="1:23" ht="13" customHeight="1" x14ac:dyDescent="0.35">
      <c r="A110" s="11">
        <v>104</v>
      </c>
      <c r="B110" s="47">
        <v>206192268</v>
      </c>
      <c r="C110" s="94" t="s">
        <v>1605</v>
      </c>
      <c r="D110" s="11" t="s">
        <v>1947</v>
      </c>
      <c r="E110" s="48" t="s">
        <v>31</v>
      </c>
      <c r="F110" s="48" t="s">
        <v>74</v>
      </c>
      <c r="G110" s="11" t="s">
        <v>64</v>
      </c>
      <c r="H110" s="11" t="s">
        <v>75</v>
      </c>
      <c r="I110" s="11">
        <v>1299</v>
      </c>
      <c r="J110" s="49" t="s">
        <v>32</v>
      </c>
      <c r="K110" s="49" t="s">
        <v>76</v>
      </c>
      <c r="L110" s="49" t="s">
        <v>95</v>
      </c>
      <c r="M110" s="49" t="s">
        <v>77</v>
      </c>
      <c r="N110" s="49" t="s">
        <v>79</v>
      </c>
      <c r="O110" s="49" t="s">
        <v>67</v>
      </c>
      <c r="P110" s="11" t="s">
        <v>80</v>
      </c>
      <c r="Q110" s="11" t="s">
        <v>96</v>
      </c>
      <c r="R110" s="11" t="s">
        <v>82</v>
      </c>
      <c r="S110" s="11" t="s">
        <v>2729</v>
      </c>
      <c r="T110" s="90" t="s">
        <v>1</v>
      </c>
      <c r="U110" s="90"/>
      <c r="V110" s="51">
        <v>45936</v>
      </c>
      <c r="W110" s="11" t="s">
        <v>1575</v>
      </c>
    </row>
    <row r="111" spans="1:23" ht="13" customHeight="1" x14ac:dyDescent="0.35">
      <c r="A111" s="11">
        <v>105</v>
      </c>
      <c r="B111" s="47">
        <v>203469395</v>
      </c>
      <c r="C111" s="94" t="s">
        <v>120</v>
      </c>
      <c r="D111" s="11" t="s">
        <v>1948</v>
      </c>
      <c r="E111" s="48" t="s">
        <v>31</v>
      </c>
      <c r="F111" s="48" t="s">
        <v>74</v>
      </c>
      <c r="G111" s="11" t="s">
        <v>64</v>
      </c>
      <c r="H111" s="11" t="s">
        <v>75</v>
      </c>
      <c r="I111" s="11">
        <v>1299</v>
      </c>
      <c r="J111" s="49" t="s">
        <v>32</v>
      </c>
      <c r="K111" s="49" t="s">
        <v>76</v>
      </c>
      <c r="L111" s="49" t="s">
        <v>78</v>
      </c>
      <c r="M111" s="49" t="s">
        <v>92</v>
      </c>
      <c r="N111" s="48" t="s">
        <v>86</v>
      </c>
      <c r="O111" s="49" t="s">
        <v>67</v>
      </c>
      <c r="P111" s="11" t="s">
        <v>80</v>
      </c>
      <c r="Q111" s="11" t="s">
        <v>99</v>
      </c>
      <c r="R111" s="11" t="s">
        <v>82</v>
      </c>
      <c r="S111" s="11" t="s">
        <v>2729</v>
      </c>
      <c r="T111" s="90" t="s">
        <v>1</v>
      </c>
      <c r="U111" s="90"/>
      <c r="V111" s="51">
        <v>45456</v>
      </c>
      <c r="W111" s="11" t="s">
        <v>1575</v>
      </c>
    </row>
    <row r="112" spans="1:23" ht="13" customHeight="1" x14ac:dyDescent="0.35">
      <c r="A112" s="11">
        <v>106</v>
      </c>
      <c r="B112" s="47">
        <v>102582334</v>
      </c>
      <c r="C112" s="94" t="s">
        <v>2723</v>
      </c>
      <c r="D112" s="11" t="s">
        <v>2724</v>
      </c>
      <c r="E112" s="48" t="s">
        <v>34</v>
      </c>
      <c r="F112" s="48" t="s">
        <v>74</v>
      </c>
      <c r="G112" s="11" t="s">
        <v>64</v>
      </c>
      <c r="H112" s="11" t="s">
        <v>75</v>
      </c>
      <c r="I112" s="11">
        <v>1299</v>
      </c>
      <c r="J112" s="49" t="s">
        <v>32</v>
      </c>
      <c r="K112" s="49" t="s">
        <v>76</v>
      </c>
      <c r="L112" s="49" t="s">
        <v>95</v>
      </c>
      <c r="M112" s="49" t="s">
        <v>77</v>
      </c>
      <c r="N112" s="48" t="s">
        <v>108</v>
      </c>
      <c r="O112" s="49" t="s">
        <v>67</v>
      </c>
      <c r="P112" s="11" t="s">
        <v>80</v>
      </c>
      <c r="Q112" s="11" t="s">
        <v>98</v>
      </c>
      <c r="R112" s="11" t="s">
        <v>2727</v>
      </c>
      <c r="S112" s="11" t="s">
        <v>2728</v>
      </c>
      <c r="T112" s="90" t="s">
        <v>1</v>
      </c>
      <c r="U112" s="90"/>
      <c r="V112" s="51">
        <v>42960</v>
      </c>
      <c r="W112" s="11" t="s">
        <v>1575</v>
      </c>
    </row>
    <row r="113" spans="1:23" ht="13" customHeight="1" x14ac:dyDescent="0.35">
      <c r="A113" s="11">
        <v>107</v>
      </c>
      <c r="B113" s="47">
        <v>203687851</v>
      </c>
      <c r="C113" s="94" t="s">
        <v>2269</v>
      </c>
      <c r="D113" s="11" t="s">
        <v>2270</v>
      </c>
      <c r="E113" s="48" t="s">
        <v>31</v>
      </c>
      <c r="F113" s="48" t="s">
        <v>74</v>
      </c>
      <c r="G113" s="11" t="s">
        <v>64</v>
      </c>
      <c r="H113" s="11" t="s">
        <v>75</v>
      </c>
      <c r="I113" s="11">
        <v>1299</v>
      </c>
      <c r="J113" s="49" t="s">
        <v>39</v>
      </c>
      <c r="K113" s="49" t="s">
        <v>76</v>
      </c>
      <c r="L113" s="49" t="s">
        <v>77</v>
      </c>
      <c r="M113" s="49" t="s">
        <v>78</v>
      </c>
      <c r="N113" s="48" t="s">
        <v>86</v>
      </c>
      <c r="O113" s="49" t="s">
        <v>67</v>
      </c>
      <c r="P113" s="11" t="s">
        <v>80</v>
      </c>
      <c r="Q113" s="11" t="s">
        <v>99</v>
      </c>
      <c r="R113" s="11" t="s">
        <v>82</v>
      </c>
      <c r="S113" s="11" t="s">
        <v>2729</v>
      </c>
      <c r="T113" s="90" t="s">
        <v>1</v>
      </c>
      <c r="U113" s="90"/>
      <c r="V113" s="51">
        <v>45488</v>
      </c>
      <c r="W113" s="11" t="s">
        <v>1575</v>
      </c>
    </row>
    <row r="114" spans="1:23" ht="13" customHeight="1" x14ac:dyDescent="0.35">
      <c r="A114" s="11">
        <v>108</v>
      </c>
      <c r="B114" s="47">
        <v>206953570</v>
      </c>
      <c r="C114" s="94" t="s">
        <v>2123</v>
      </c>
      <c r="D114" s="11" t="s">
        <v>2046</v>
      </c>
      <c r="E114" s="48" t="s">
        <v>31</v>
      </c>
      <c r="F114" s="48" t="s">
        <v>74</v>
      </c>
      <c r="G114" s="11" t="s">
        <v>64</v>
      </c>
      <c r="H114" s="11" t="s">
        <v>75</v>
      </c>
      <c r="I114" s="11">
        <v>1299</v>
      </c>
      <c r="J114" s="49" t="s">
        <v>32</v>
      </c>
      <c r="K114" s="49" t="s">
        <v>76</v>
      </c>
      <c r="L114" s="49" t="s">
        <v>36</v>
      </c>
      <c r="M114" s="49" t="s">
        <v>95</v>
      </c>
      <c r="N114" s="49" t="s">
        <v>79</v>
      </c>
      <c r="O114" s="49" t="s">
        <v>67</v>
      </c>
      <c r="P114" s="11" t="s">
        <v>80</v>
      </c>
      <c r="Q114" s="11" t="s">
        <v>96</v>
      </c>
      <c r="R114" s="11" t="s">
        <v>82</v>
      </c>
      <c r="S114" s="11" t="s">
        <v>2729</v>
      </c>
      <c r="T114" s="90" t="s">
        <v>1</v>
      </c>
      <c r="U114" s="90" t="s">
        <v>2919</v>
      </c>
      <c r="V114" s="51">
        <v>46048</v>
      </c>
      <c r="W114" s="11" t="s">
        <v>1575</v>
      </c>
    </row>
    <row r="115" spans="1:23" ht="13" customHeight="1" x14ac:dyDescent="0.35">
      <c r="A115" s="11">
        <v>109</v>
      </c>
      <c r="B115" s="47">
        <v>203469053</v>
      </c>
      <c r="C115" s="94" t="s">
        <v>121</v>
      </c>
      <c r="D115" s="11" t="s">
        <v>1949</v>
      </c>
      <c r="E115" s="48" t="s">
        <v>31</v>
      </c>
      <c r="F115" s="48" t="s">
        <v>74</v>
      </c>
      <c r="G115" s="11" t="s">
        <v>64</v>
      </c>
      <c r="H115" s="11" t="s">
        <v>75</v>
      </c>
      <c r="I115" s="11">
        <v>1299</v>
      </c>
      <c r="J115" s="49" t="s">
        <v>39</v>
      </c>
      <c r="K115" s="49" t="s">
        <v>76</v>
      </c>
      <c r="L115" s="49" t="s">
        <v>85</v>
      </c>
      <c r="M115" s="49" t="s">
        <v>88</v>
      </c>
      <c r="N115" s="48" t="s">
        <v>79</v>
      </c>
      <c r="O115" s="49" t="s">
        <v>67</v>
      </c>
      <c r="P115" s="11" t="s">
        <v>80</v>
      </c>
      <c r="Q115" s="11" t="s">
        <v>81</v>
      </c>
      <c r="R115" s="11" t="s">
        <v>82</v>
      </c>
      <c r="S115" s="11" t="s">
        <v>2729</v>
      </c>
      <c r="T115" s="90" t="s">
        <v>10</v>
      </c>
      <c r="U115" s="89"/>
      <c r="V115" s="51">
        <v>45456</v>
      </c>
      <c r="W115" s="11" t="s">
        <v>1575</v>
      </c>
    </row>
    <row r="116" spans="1:23" ht="13" customHeight="1" x14ac:dyDescent="0.35">
      <c r="A116" s="11">
        <v>110</v>
      </c>
      <c r="B116" s="47">
        <v>206949312</v>
      </c>
      <c r="C116" s="95" t="s">
        <v>2165</v>
      </c>
      <c r="D116" s="112" t="s">
        <v>2166</v>
      </c>
      <c r="E116" s="112" t="s">
        <v>31</v>
      </c>
      <c r="F116" s="48" t="s">
        <v>74</v>
      </c>
      <c r="G116" s="11" t="s">
        <v>64</v>
      </c>
      <c r="H116" s="11" t="s">
        <v>75</v>
      </c>
      <c r="I116" s="11">
        <v>1299</v>
      </c>
      <c r="J116" s="49" t="s">
        <v>32</v>
      </c>
      <c r="K116" s="49" t="s">
        <v>76</v>
      </c>
      <c r="L116" s="49" t="s">
        <v>88</v>
      </c>
      <c r="M116" s="49" t="s">
        <v>95</v>
      </c>
      <c r="N116" s="48" t="s">
        <v>86</v>
      </c>
      <c r="O116" s="49" t="s">
        <v>67</v>
      </c>
      <c r="P116" s="49" t="s">
        <v>80</v>
      </c>
      <c r="Q116" s="49" t="s">
        <v>90</v>
      </c>
      <c r="R116" s="11" t="s">
        <v>82</v>
      </c>
      <c r="S116" s="11" t="s">
        <v>2729</v>
      </c>
      <c r="T116" s="90" t="s">
        <v>10</v>
      </c>
      <c r="U116" s="89"/>
      <c r="V116" s="51">
        <v>46048</v>
      </c>
      <c r="W116" s="11" t="s">
        <v>1575</v>
      </c>
    </row>
    <row r="117" spans="1:23" ht="13" customHeight="1" x14ac:dyDescent="0.35">
      <c r="A117" s="11">
        <v>111</v>
      </c>
      <c r="B117" s="47">
        <v>203469401</v>
      </c>
      <c r="C117" s="94" t="s">
        <v>122</v>
      </c>
      <c r="D117" s="11" t="s">
        <v>1950</v>
      </c>
      <c r="E117" s="48" t="s">
        <v>31</v>
      </c>
      <c r="F117" s="48" t="s">
        <v>74</v>
      </c>
      <c r="G117" s="11" t="s">
        <v>64</v>
      </c>
      <c r="H117" s="11" t="s">
        <v>75</v>
      </c>
      <c r="I117" s="11">
        <v>1299</v>
      </c>
      <c r="J117" s="49" t="s">
        <v>32</v>
      </c>
      <c r="K117" s="49" t="s">
        <v>76</v>
      </c>
      <c r="L117" s="49" t="s">
        <v>88</v>
      </c>
      <c r="M117" s="49" t="s">
        <v>95</v>
      </c>
      <c r="N117" s="48" t="s">
        <v>86</v>
      </c>
      <c r="O117" s="49" t="s">
        <v>67</v>
      </c>
      <c r="P117" s="11" t="s">
        <v>80</v>
      </c>
      <c r="Q117" s="11" t="s">
        <v>99</v>
      </c>
      <c r="R117" s="11" t="s">
        <v>82</v>
      </c>
      <c r="S117" s="11" t="s">
        <v>2729</v>
      </c>
      <c r="T117" s="90" t="s">
        <v>10</v>
      </c>
      <c r="U117" s="91"/>
      <c r="V117" s="51">
        <v>45456</v>
      </c>
      <c r="W117" s="11" t="s">
        <v>1575</v>
      </c>
    </row>
    <row r="118" spans="1:23" ht="13" customHeight="1" x14ac:dyDescent="0.35">
      <c r="A118" s="11">
        <v>112</v>
      </c>
      <c r="B118" s="47">
        <v>206192274</v>
      </c>
      <c r="C118" s="94" t="s">
        <v>2271</v>
      </c>
      <c r="D118" s="11" t="s">
        <v>2272</v>
      </c>
      <c r="E118" s="48" t="s">
        <v>31</v>
      </c>
      <c r="F118" s="48" t="s">
        <v>74</v>
      </c>
      <c r="G118" s="11" t="s">
        <v>64</v>
      </c>
      <c r="H118" s="11" t="s">
        <v>75</v>
      </c>
      <c r="I118" s="11">
        <v>1299</v>
      </c>
      <c r="J118" s="49" t="s">
        <v>39</v>
      </c>
      <c r="K118" s="49" t="s">
        <v>76</v>
      </c>
      <c r="L118" s="49" t="s">
        <v>85</v>
      </c>
      <c r="M118" s="49" t="s">
        <v>88</v>
      </c>
      <c r="N118" s="49" t="s">
        <v>89</v>
      </c>
      <c r="O118" s="49" t="s">
        <v>67</v>
      </c>
      <c r="P118" s="11" t="s">
        <v>80</v>
      </c>
      <c r="Q118" s="11" t="s">
        <v>96</v>
      </c>
      <c r="R118" s="11" t="s">
        <v>82</v>
      </c>
      <c r="S118" s="11" t="s">
        <v>2729</v>
      </c>
      <c r="T118" s="90" t="s">
        <v>10</v>
      </c>
      <c r="U118" s="90"/>
      <c r="V118" s="51">
        <v>45936</v>
      </c>
      <c r="W118" s="11" t="s">
        <v>1575</v>
      </c>
    </row>
    <row r="119" spans="1:23" ht="13" customHeight="1" x14ac:dyDescent="0.35">
      <c r="A119" s="11">
        <v>113</v>
      </c>
      <c r="B119" s="47">
        <v>203469078</v>
      </c>
      <c r="C119" s="94" t="s">
        <v>123</v>
      </c>
      <c r="D119" s="11" t="s">
        <v>1951</v>
      </c>
      <c r="E119" s="48" t="s">
        <v>31</v>
      </c>
      <c r="F119" s="48" t="s">
        <v>74</v>
      </c>
      <c r="G119" s="11" t="s">
        <v>64</v>
      </c>
      <c r="H119" s="11" t="s">
        <v>75</v>
      </c>
      <c r="I119" s="11">
        <v>1299</v>
      </c>
      <c r="J119" s="49" t="s">
        <v>32</v>
      </c>
      <c r="K119" s="49" t="s">
        <v>76</v>
      </c>
      <c r="L119" s="49" t="s">
        <v>85</v>
      </c>
      <c r="M119" s="49" t="s">
        <v>88</v>
      </c>
      <c r="N119" s="48" t="s">
        <v>79</v>
      </c>
      <c r="O119" s="49" t="s">
        <v>67</v>
      </c>
      <c r="P119" s="11" t="s">
        <v>80</v>
      </c>
      <c r="Q119" s="11" t="s">
        <v>81</v>
      </c>
      <c r="R119" s="11" t="s">
        <v>82</v>
      </c>
      <c r="S119" s="11" t="s">
        <v>2729</v>
      </c>
      <c r="T119" s="90" t="s">
        <v>10</v>
      </c>
      <c r="U119" s="91"/>
      <c r="V119" s="51">
        <v>45456</v>
      </c>
      <c r="W119" s="11" t="s">
        <v>1575</v>
      </c>
    </row>
    <row r="120" spans="1:23" ht="13" customHeight="1" x14ac:dyDescent="0.35">
      <c r="A120" s="11">
        <v>114</v>
      </c>
      <c r="B120" s="47">
        <v>206953972</v>
      </c>
      <c r="C120" s="94" t="s">
        <v>2139</v>
      </c>
      <c r="D120" s="11" t="s">
        <v>2067</v>
      </c>
      <c r="E120" s="48" t="s">
        <v>31</v>
      </c>
      <c r="F120" s="48" t="s">
        <v>74</v>
      </c>
      <c r="G120" s="11" t="s">
        <v>64</v>
      </c>
      <c r="H120" s="11" t="s">
        <v>75</v>
      </c>
      <c r="I120" s="11">
        <v>1299</v>
      </c>
      <c r="J120" s="49" t="s">
        <v>32</v>
      </c>
      <c r="K120" s="49" t="s">
        <v>76</v>
      </c>
      <c r="L120" s="49" t="s">
        <v>88</v>
      </c>
      <c r="M120" s="49" t="s">
        <v>95</v>
      </c>
      <c r="N120" s="48" t="s">
        <v>89</v>
      </c>
      <c r="O120" s="49" t="s">
        <v>67</v>
      </c>
      <c r="P120" s="11" t="s">
        <v>80</v>
      </c>
      <c r="Q120" s="11" t="s">
        <v>90</v>
      </c>
      <c r="R120" s="11" t="s">
        <v>82</v>
      </c>
      <c r="S120" s="11" t="s">
        <v>2729</v>
      </c>
      <c r="T120" s="90" t="s">
        <v>10</v>
      </c>
      <c r="U120" s="91"/>
      <c r="V120" s="51">
        <v>46048</v>
      </c>
      <c r="W120" s="11" t="s">
        <v>1575</v>
      </c>
    </row>
    <row r="121" spans="1:23" ht="13" customHeight="1" x14ac:dyDescent="0.35">
      <c r="A121" s="11">
        <v>115</v>
      </c>
      <c r="B121" s="47">
        <v>203469052</v>
      </c>
      <c r="C121" s="94" t="s">
        <v>124</v>
      </c>
      <c r="D121" s="11" t="s">
        <v>1952</v>
      </c>
      <c r="E121" s="48" t="s">
        <v>31</v>
      </c>
      <c r="F121" s="48" t="s">
        <v>74</v>
      </c>
      <c r="G121" s="11" t="s">
        <v>64</v>
      </c>
      <c r="H121" s="11" t="s">
        <v>75</v>
      </c>
      <c r="I121" s="11">
        <v>1299</v>
      </c>
      <c r="J121" s="49" t="s">
        <v>32</v>
      </c>
      <c r="K121" s="49" t="s">
        <v>76</v>
      </c>
      <c r="L121" s="49" t="s">
        <v>85</v>
      </c>
      <c r="M121" s="49" t="s">
        <v>88</v>
      </c>
      <c r="N121" s="48" t="s">
        <v>79</v>
      </c>
      <c r="O121" s="49" t="s">
        <v>67</v>
      </c>
      <c r="P121" s="11" t="s">
        <v>80</v>
      </c>
      <c r="Q121" s="11" t="s">
        <v>81</v>
      </c>
      <c r="R121" s="11" t="s">
        <v>82</v>
      </c>
      <c r="S121" s="11" t="s">
        <v>2729</v>
      </c>
      <c r="T121" s="90" t="s">
        <v>10</v>
      </c>
      <c r="U121" s="89"/>
      <c r="V121" s="51">
        <v>45456</v>
      </c>
      <c r="W121" s="11" t="s">
        <v>1575</v>
      </c>
    </row>
    <row r="122" spans="1:23" ht="13" customHeight="1" x14ac:dyDescent="0.35">
      <c r="A122" s="11">
        <v>116</v>
      </c>
      <c r="B122" s="47">
        <v>206875598</v>
      </c>
      <c r="C122" s="94" t="s">
        <v>1746</v>
      </c>
      <c r="D122" s="11" t="s">
        <v>1747</v>
      </c>
      <c r="E122" s="48" t="s">
        <v>31</v>
      </c>
      <c r="F122" s="48" t="s">
        <v>74</v>
      </c>
      <c r="G122" s="48" t="s">
        <v>64</v>
      </c>
      <c r="H122" s="48" t="s">
        <v>75</v>
      </c>
      <c r="I122" s="11">
        <v>1299</v>
      </c>
      <c r="J122" s="49" t="s">
        <v>32</v>
      </c>
      <c r="K122" s="49" t="s">
        <v>76</v>
      </c>
      <c r="L122" s="49" t="s">
        <v>77</v>
      </c>
      <c r="M122" s="49" t="s">
        <v>78</v>
      </c>
      <c r="N122" s="49" t="s">
        <v>89</v>
      </c>
      <c r="O122" s="48" t="s">
        <v>67</v>
      </c>
      <c r="P122" s="48" t="s">
        <v>80</v>
      </c>
      <c r="Q122" s="11" t="s">
        <v>90</v>
      </c>
      <c r="R122" s="11" t="s">
        <v>82</v>
      </c>
      <c r="S122" s="11" t="s">
        <v>2729</v>
      </c>
      <c r="T122" s="90" t="s">
        <v>1</v>
      </c>
      <c r="U122" s="91"/>
      <c r="V122" s="51">
        <v>46020</v>
      </c>
      <c r="W122" s="11" t="s">
        <v>1575</v>
      </c>
    </row>
    <row r="123" spans="1:23" ht="13" customHeight="1" x14ac:dyDescent="0.35">
      <c r="A123" s="11">
        <v>117</v>
      </c>
      <c r="B123" s="47">
        <v>206957734</v>
      </c>
      <c r="C123" s="94" t="s">
        <v>2127</v>
      </c>
      <c r="D123" s="11" t="s">
        <v>2050</v>
      </c>
      <c r="E123" s="48" t="s">
        <v>31</v>
      </c>
      <c r="F123" s="48" t="s">
        <v>74</v>
      </c>
      <c r="G123" s="11" t="s">
        <v>64</v>
      </c>
      <c r="H123" s="11" t="s">
        <v>75</v>
      </c>
      <c r="I123" s="11">
        <v>1299</v>
      </c>
      <c r="J123" s="49" t="s">
        <v>32</v>
      </c>
      <c r="K123" s="49" t="s">
        <v>76</v>
      </c>
      <c r="L123" s="49" t="s">
        <v>78</v>
      </c>
      <c r="M123" s="49" t="s">
        <v>92</v>
      </c>
      <c r="N123" s="49" t="s">
        <v>89</v>
      </c>
      <c r="O123" s="49" t="s">
        <v>67</v>
      </c>
      <c r="P123" s="11" t="s">
        <v>80</v>
      </c>
      <c r="Q123" s="11" t="s">
        <v>96</v>
      </c>
      <c r="R123" s="11" t="s">
        <v>82</v>
      </c>
      <c r="S123" s="11" t="s">
        <v>2729</v>
      </c>
      <c r="T123" s="90" t="s">
        <v>1</v>
      </c>
      <c r="U123" s="89"/>
      <c r="V123" s="51">
        <v>46048</v>
      </c>
      <c r="W123" s="11" t="s">
        <v>1575</v>
      </c>
    </row>
    <row r="124" spans="1:23" ht="13" customHeight="1" x14ac:dyDescent="0.35">
      <c r="A124" s="11">
        <v>118</v>
      </c>
      <c r="B124" s="47">
        <v>202199024</v>
      </c>
      <c r="C124" s="94" t="s">
        <v>125</v>
      </c>
      <c r="D124" s="11" t="s">
        <v>1953</v>
      </c>
      <c r="E124" s="48" t="s">
        <v>31</v>
      </c>
      <c r="F124" s="48" t="s">
        <v>74</v>
      </c>
      <c r="G124" s="11" t="s">
        <v>64</v>
      </c>
      <c r="H124" s="11" t="s">
        <v>75</v>
      </c>
      <c r="I124" s="11">
        <v>1299</v>
      </c>
      <c r="J124" s="49" t="s">
        <v>39</v>
      </c>
      <c r="K124" s="49" t="s">
        <v>76</v>
      </c>
      <c r="L124" s="49" t="s">
        <v>77</v>
      </c>
      <c r="M124" s="49" t="s">
        <v>78</v>
      </c>
      <c r="N124" s="48" t="s">
        <v>86</v>
      </c>
      <c r="O124" s="49" t="s">
        <v>67</v>
      </c>
      <c r="P124" s="11" t="s">
        <v>80</v>
      </c>
      <c r="Q124" s="11" t="s">
        <v>87</v>
      </c>
      <c r="R124" s="11" t="s">
        <v>82</v>
      </c>
      <c r="S124" s="11" t="s">
        <v>2729</v>
      </c>
      <c r="T124" s="90" t="s">
        <v>1</v>
      </c>
      <c r="U124" s="89"/>
      <c r="V124" s="51">
        <v>45589</v>
      </c>
      <c r="W124" s="11" t="s">
        <v>1575</v>
      </c>
    </row>
    <row r="125" spans="1:23" ht="13" customHeight="1" x14ac:dyDescent="0.35">
      <c r="A125" s="11">
        <v>119</v>
      </c>
      <c r="B125" s="47">
        <v>203817155</v>
      </c>
      <c r="C125" s="94" t="s">
        <v>126</v>
      </c>
      <c r="D125" s="11" t="s">
        <v>1954</v>
      </c>
      <c r="E125" s="48" t="s">
        <v>31</v>
      </c>
      <c r="F125" s="48" t="s">
        <v>74</v>
      </c>
      <c r="G125" s="11" t="s">
        <v>64</v>
      </c>
      <c r="H125" s="11" t="s">
        <v>75</v>
      </c>
      <c r="I125" s="11">
        <v>1299</v>
      </c>
      <c r="J125" s="49" t="s">
        <v>32</v>
      </c>
      <c r="K125" s="49" t="s">
        <v>76</v>
      </c>
      <c r="L125" s="49" t="s">
        <v>92</v>
      </c>
      <c r="M125" s="49" t="s">
        <v>84</v>
      </c>
      <c r="N125" s="48" t="s">
        <v>79</v>
      </c>
      <c r="O125" s="49" t="s">
        <v>67</v>
      </c>
      <c r="P125" s="11" t="s">
        <v>80</v>
      </c>
      <c r="Q125" s="11" t="s">
        <v>81</v>
      </c>
      <c r="R125" s="11" t="s">
        <v>2727</v>
      </c>
      <c r="S125" s="11" t="s">
        <v>2728</v>
      </c>
      <c r="T125" s="90" t="s">
        <v>1</v>
      </c>
      <c r="U125" s="91"/>
      <c r="V125" s="51">
        <v>45517</v>
      </c>
      <c r="W125" s="11" t="s">
        <v>1575</v>
      </c>
    </row>
    <row r="126" spans="1:23" ht="13" customHeight="1" x14ac:dyDescent="0.35">
      <c r="A126" s="11">
        <v>120</v>
      </c>
      <c r="B126" s="47">
        <v>203679319</v>
      </c>
      <c r="C126" s="94" t="s">
        <v>2465</v>
      </c>
      <c r="D126" s="11" t="s">
        <v>2466</v>
      </c>
      <c r="E126" s="48" t="s">
        <v>31</v>
      </c>
      <c r="F126" s="48" t="s">
        <v>74</v>
      </c>
      <c r="G126" s="11" t="s">
        <v>64</v>
      </c>
      <c r="H126" s="11" t="s">
        <v>75</v>
      </c>
      <c r="I126" s="11">
        <v>1299</v>
      </c>
      <c r="J126" s="49" t="s">
        <v>32</v>
      </c>
      <c r="K126" s="49" t="s">
        <v>76</v>
      </c>
      <c r="L126" s="49" t="s">
        <v>95</v>
      </c>
      <c r="M126" s="49" t="s">
        <v>77</v>
      </c>
      <c r="N126" s="48" t="s">
        <v>79</v>
      </c>
      <c r="O126" s="49" t="s">
        <v>67</v>
      </c>
      <c r="P126" s="11" t="s">
        <v>80</v>
      </c>
      <c r="Q126" s="11" t="s">
        <v>81</v>
      </c>
      <c r="R126" s="11" t="s">
        <v>2727</v>
      </c>
      <c r="S126" s="11" t="s">
        <v>2728</v>
      </c>
      <c r="T126" s="90" t="s">
        <v>1</v>
      </c>
      <c r="U126" s="91"/>
      <c r="V126" s="51">
        <v>45488</v>
      </c>
      <c r="W126" s="11" t="s">
        <v>1575</v>
      </c>
    </row>
    <row r="127" spans="1:23" ht="13" customHeight="1" x14ac:dyDescent="0.35">
      <c r="A127" s="11">
        <v>121</v>
      </c>
      <c r="B127" s="47">
        <v>206953967</v>
      </c>
      <c r="C127" s="94" t="s">
        <v>2138</v>
      </c>
      <c r="D127" s="11" t="s">
        <v>2066</v>
      </c>
      <c r="E127" s="48" t="s">
        <v>31</v>
      </c>
      <c r="F127" s="48" t="s">
        <v>74</v>
      </c>
      <c r="G127" s="11" t="s">
        <v>64</v>
      </c>
      <c r="H127" s="11" t="s">
        <v>75</v>
      </c>
      <c r="I127" s="11">
        <v>1299</v>
      </c>
      <c r="J127" s="49" t="s">
        <v>32</v>
      </c>
      <c r="K127" s="49" t="s">
        <v>76</v>
      </c>
      <c r="L127" s="49" t="s">
        <v>88</v>
      </c>
      <c r="M127" s="49" t="s">
        <v>95</v>
      </c>
      <c r="N127" s="48" t="s">
        <v>86</v>
      </c>
      <c r="O127" s="49" t="s">
        <v>67</v>
      </c>
      <c r="P127" s="11" t="s">
        <v>80</v>
      </c>
      <c r="Q127" s="11" t="s">
        <v>90</v>
      </c>
      <c r="R127" s="11" t="s">
        <v>2727</v>
      </c>
      <c r="S127" s="11" t="s">
        <v>2728</v>
      </c>
      <c r="T127" s="90" t="s">
        <v>10</v>
      </c>
      <c r="U127" s="91"/>
      <c r="V127" s="51">
        <v>46048</v>
      </c>
      <c r="W127" s="11" t="s">
        <v>1575</v>
      </c>
    </row>
    <row r="128" spans="1:23" ht="13" customHeight="1" x14ac:dyDescent="0.35">
      <c r="A128" s="11">
        <v>122</v>
      </c>
      <c r="B128" s="47">
        <v>206174652</v>
      </c>
      <c r="C128" s="94" t="s">
        <v>2273</v>
      </c>
      <c r="D128" s="11" t="s">
        <v>2274</v>
      </c>
      <c r="E128" s="48" t="s">
        <v>31</v>
      </c>
      <c r="F128" s="48" t="s">
        <v>74</v>
      </c>
      <c r="G128" s="11" t="s">
        <v>64</v>
      </c>
      <c r="H128" s="11" t="s">
        <v>75</v>
      </c>
      <c r="I128" s="11">
        <v>1299</v>
      </c>
      <c r="J128" s="49" t="s">
        <v>39</v>
      </c>
      <c r="K128" s="49" t="s">
        <v>76</v>
      </c>
      <c r="L128" s="49" t="s">
        <v>78</v>
      </c>
      <c r="M128" s="49" t="s">
        <v>92</v>
      </c>
      <c r="N128" s="49" t="s">
        <v>89</v>
      </c>
      <c r="O128" s="49" t="s">
        <v>67</v>
      </c>
      <c r="P128" s="11" t="s">
        <v>80</v>
      </c>
      <c r="Q128" s="11" t="s">
        <v>81</v>
      </c>
      <c r="R128" s="11" t="s">
        <v>2727</v>
      </c>
      <c r="S128" s="11" t="s">
        <v>2728</v>
      </c>
      <c r="T128" s="90" t="s">
        <v>1</v>
      </c>
      <c r="U128" s="91"/>
      <c r="V128" s="51">
        <v>45932</v>
      </c>
      <c r="W128" s="11" t="s">
        <v>1575</v>
      </c>
    </row>
    <row r="129" spans="1:23" ht="13" customHeight="1" x14ac:dyDescent="0.35">
      <c r="A129" s="11">
        <v>123</v>
      </c>
      <c r="B129" s="47">
        <v>203679318</v>
      </c>
      <c r="C129" s="94" t="s">
        <v>127</v>
      </c>
      <c r="D129" s="11" t="s">
        <v>1955</v>
      </c>
      <c r="E129" s="48" t="s">
        <v>31</v>
      </c>
      <c r="F129" s="48" t="s">
        <v>74</v>
      </c>
      <c r="G129" s="11" t="s">
        <v>64</v>
      </c>
      <c r="H129" s="11" t="s">
        <v>75</v>
      </c>
      <c r="I129" s="11">
        <v>1299</v>
      </c>
      <c r="J129" s="49" t="s">
        <v>39</v>
      </c>
      <c r="K129" s="49" t="s">
        <v>76</v>
      </c>
      <c r="L129" s="49" t="s">
        <v>77</v>
      </c>
      <c r="M129" s="49" t="s">
        <v>78</v>
      </c>
      <c r="N129" s="48" t="s">
        <v>79</v>
      </c>
      <c r="O129" s="49" t="s">
        <v>67</v>
      </c>
      <c r="P129" s="11" t="s">
        <v>80</v>
      </c>
      <c r="Q129" s="11" t="s">
        <v>81</v>
      </c>
      <c r="R129" s="11" t="s">
        <v>2727</v>
      </c>
      <c r="S129" s="11" t="s">
        <v>2728</v>
      </c>
      <c r="T129" s="90" t="s">
        <v>1</v>
      </c>
      <c r="U129" s="91"/>
      <c r="V129" s="51">
        <v>45488</v>
      </c>
      <c r="W129" s="11" t="s">
        <v>1575</v>
      </c>
    </row>
    <row r="130" spans="1:23" ht="13" customHeight="1" x14ac:dyDescent="0.35">
      <c r="A130" s="11">
        <v>124</v>
      </c>
      <c r="B130" s="47">
        <v>206853664</v>
      </c>
      <c r="C130" s="94" t="s">
        <v>1740</v>
      </c>
      <c r="D130" s="11" t="s">
        <v>1741</v>
      </c>
      <c r="E130" s="48" t="s">
        <v>31</v>
      </c>
      <c r="F130" s="48" t="s">
        <v>74</v>
      </c>
      <c r="G130" s="48" t="s">
        <v>64</v>
      </c>
      <c r="H130" s="48" t="s">
        <v>75</v>
      </c>
      <c r="I130" s="11">
        <v>1299</v>
      </c>
      <c r="J130" s="49" t="s">
        <v>32</v>
      </c>
      <c r="K130" s="49" t="s">
        <v>76</v>
      </c>
      <c r="L130" s="49" t="s">
        <v>85</v>
      </c>
      <c r="M130" s="49" t="s">
        <v>88</v>
      </c>
      <c r="N130" s="49" t="s">
        <v>89</v>
      </c>
      <c r="O130" s="48" t="s">
        <v>67</v>
      </c>
      <c r="P130" s="48" t="s">
        <v>80</v>
      </c>
      <c r="Q130" s="11" t="s">
        <v>90</v>
      </c>
      <c r="R130" s="11" t="s">
        <v>2727</v>
      </c>
      <c r="S130" s="11" t="s">
        <v>2728</v>
      </c>
      <c r="T130" s="90" t="s">
        <v>10</v>
      </c>
      <c r="U130" s="89"/>
      <c r="V130" s="51">
        <v>46020</v>
      </c>
      <c r="W130" s="11" t="s">
        <v>1575</v>
      </c>
    </row>
    <row r="131" spans="1:23" ht="13" customHeight="1" x14ac:dyDescent="0.35">
      <c r="A131" s="11">
        <v>125</v>
      </c>
      <c r="B131" s="47">
        <v>206875332</v>
      </c>
      <c r="C131" s="94" t="s">
        <v>2003</v>
      </c>
      <c r="D131" s="11" t="s">
        <v>1739</v>
      </c>
      <c r="E131" s="48" t="s">
        <v>31</v>
      </c>
      <c r="F131" s="48" t="s">
        <v>74</v>
      </c>
      <c r="G131" s="48" t="s">
        <v>64</v>
      </c>
      <c r="H131" s="48" t="s">
        <v>75</v>
      </c>
      <c r="I131" s="11">
        <v>1299</v>
      </c>
      <c r="J131" s="49" t="s">
        <v>32</v>
      </c>
      <c r="K131" s="49" t="s">
        <v>76</v>
      </c>
      <c r="L131" s="49" t="s">
        <v>85</v>
      </c>
      <c r="M131" s="49" t="s">
        <v>88</v>
      </c>
      <c r="N131" s="49" t="s">
        <v>89</v>
      </c>
      <c r="O131" s="48" t="s">
        <v>67</v>
      </c>
      <c r="P131" s="48" t="s">
        <v>80</v>
      </c>
      <c r="Q131" s="11" t="s">
        <v>90</v>
      </c>
      <c r="R131" s="11" t="s">
        <v>2727</v>
      </c>
      <c r="S131" s="11" t="s">
        <v>2728</v>
      </c>
      <c r="T131" s="90" t="s">
        <v>10</v>
      </c>
      <c r="U131" s="89"/>
      <c r="V131" s="51">
        <v>46020</v>
      </c>
      <c r="W131" s="11" t="s">
        <v>1575</v>
      </c>
    </row>
    <row r="132" spans="1:23" ht="13" customHeight="1" x14ac:dyDescent="0.35">
      <c r="A132" s="11">
        <v>126</v>
      </c>
      <c r="B132" s="11">
        <v>206873877</v>
      </c>
      <c r="C132" s="94" t="s">
        <v>1753</v>
      </c>
      <c r="D132" s="11" t="s">
        <v>1754</v>
      </c>
      <c r="E132" s="48" t="s">
        <v>31</v>
      </c>
      <c r="F132" s="48" t="s">
        <v>74</v>
      </c>
      <c r="G132" s="48" t="s">
        <v>64</v>
      </c>
      <c r="H132" s="48" t="s">
        <v>75</v>
      </c>
      <c r="I132" s="11">
        <v>1299</v>
      </c>
      <c r="J132" s="49" t="s">
        <v>39</v>
      </c>
      <c r="K132" s="49" t="s">
        <v>76</v>
      </c>
      <c r="L132" s="49" t="s">
        <v>78</v>
      </c>
      <c r="M132" s="49" t="s">
        <v>92</v>
      </c>
      <c r="N132" s="49" t="s">
        <v>89</v>
      </c>
      <c r="O132" s="11" t="s">
        <v>67</v>
      </c>
      <c r="P132" s="48" t="s">
        <v>80</v>
      </c>
      <c r="Q132" s="11" t="s">
        <v>90</v>
      </c>
      <c r="R132" s="11" t="s">
        <v>2727</v>
      </c>
      <c r="S132" s="11" t="s">
        <v>2728</v>
      </c>
      <c r="T132" s="90" t="s">
        <v>1</v>
      </c>
      <c r="U132" s="90"/>
      <c r="V132" s="51">
        <v>46020</v>
      </c>
      <c r="W132" s="11" t="s">
        <v>1575</v>
      </c>
    </row>
    <row r="133" spans="1:23" ht="13" customHeight="1" x14ac:dyDescent="0.35">
      <c r="A133" s="11">
        <v>127</v>
      </c>
      <c r="B133" s="47">
        <v>204883244</v>
      </c>
      <c r="C133" s="94" t="s">
        <v>435</v>
      </c>
      <c r="D133" s="11" t="s">
        <v>1956</v>
      </c>
      <c r="E133" s="48" t="s">
        <v>31</v>
      </c>
      <c r="F133" s="48" t="s">
        <v>74</v>
      </c>
      <c r="G133" s="11" t="s">
        <v>64</v>
      </c>
      <c r="H133" s="11" t="s">
        <v>75</v>
      </c>
      <c r="I133" s="11">
        <v>1299</v>
      </c>
      <c r="J133" s="49" t="s">
        <v>32</v>
      </c>
      <c r="K133" s="49" t="s">
        <v>76</v>
      </c>
      <c r="L133" s="49" t="s">
        <v>88</v>
      </c>
      <c r="M133" s="49" t="s">
        <v>95</v>
      </c>
      <c r="N133" s="49" t="s">
        <v>89</v>
      </c>
      <c r="O133" s="49" t="s">
        <v>67</v>
      </c>
      <c r="P133" s="11" t="s">
        <v>80</v>
      </c>
      <c r="Q133" s="11" t="s">
        <v>87</v>
      </c>
      <c r="R133" s="11" t="s">
        <v>2727</v>
      </c>
      <c r="S133" s="11" t="s">
        <v>2728</v>
      </c>
      <c r="T133" s="90" t="s">
        <v>10</v>
      </c>
      <c r="U133" s="90"/>
      <c r="V133" s="51">
        <v>45691</v>
      </c>
      <c r="W133" s="11" t="s">
        <v>1575</v>
      </c>
    </row>
    <row r="134" spans="1:23" ht="13" customHeight="1" x14ac:dyDescent="0.35">
      <c r="A134" s="11">
        <v>128</v>
      </c>
      <c r="B134" s="47">
        <v>203594431</v>
      </c>
      <c r="C134" s="94" t="s">
        <v>440</v>
      </c>
      <c r="D134" s="11" t="s">
        <v>1957</v>
      </c>
      <c r="E134" s="48" t="s">
        <v>31</v>
      </c>
      <c r="F134" s="48" t="s">
        <v>74</v>
      </c>
      <c r="G134" s="11" t="s">
        <v>64</v>
      </c>
      <c r="H134" s="11" t="s">
        <v>75</v>
      </c>
      <c r="I134" s="11">
        <v>1299</v>
      </c>
      <c r="J134" s="49" t="s">
        <v>32</v>
      </c>
      <c r="K134" s="49" t="s">
        <v>76</v>
      </c>
      <c r="L134" s="49" t="s">
        <v>78</v>
      </c>
      <c r="M134" s="49" t="s">
        <v>92</v>
      </c>
      <c r="N134" s="49" t="s">
        <v>89</v>
      </c>
      <c r="O134" s="49" t="s">
        <v>67</v>
      </c>
      <c r="P134" s="11" t="s">
        <v>80</v>
      </c>
      <c r="Q134" s="11" t="s">
        <v>81</v>
      </c>
      <c r="R134" s="11" t="s">
        <v>2727</v>
      </c>
      <c r="S134" s="11" t="s">
        <v>2728</v>
      </c>
      <c r="T134" s="90" t="s">
        <v>7</v>
      </c>
      <c r="U134" s="90" t="s">
        <v>2914</v>
      </c>
      <c r="V134" s="51">
        <v>45915</v>
      </c>
      <c r="W134" s="11" t="s">
        <v>1575</v>
      </c>
    </row>
    <row r="135" spans="1:23" ht="13" customHeight="1" x14ac:dyDescent="0.35">
      <c r="A135" s="11">
        <v>129</v>
      </c>
      <c r="B135" s="47">
        <v>206962042</v>
      </c>
      <c r="C135" s="95" t="s">
        <v>2179</v>
      </c>
      <c r="D135" s="112" t="s">
        <v>2180</v>
      </c>
      <c r="E135" s="112" t="s">
        <v>31</v>
      </c>
      <c r="F135" s="48" t="s">
        <v>74</v>
      </c>
      <c r="G135" s="11" t="s">
        <v>64</v>
      </c>
      <c r="H135" s="11" t="s">
        <v>75</v>
      </c>
      <c r="I135" s="11">
        <v>1299</v>
      </c>
      <c r="J135" s="49" t="s">
        <v>39</v>
      </c>
      <c r="K135" s="49" t="s">
        <v>76</v>
      </c>
      <c r="L135" s="49" t="s">
        <v>92</v>
      </c>
      <c r="M135" s="49" t="s">
        <v>84</v>
      </c>
      <c r="N135" s="49" t="s">
        <v>79</v>
      </c>
      <c r="O135" s="49" t="s">
        <v>67</v>
      </c>
      <c r="P135" s="49" t="s">
        <v>80</v>
      </c>
      <c r="Q135" s="49" t="s">
        <v>96</v>
      </c>
      <c r="R135" s="11" t="s">
        <v>2727</v>
      </c>
      <c r="S135" s="11" t="s">
        <v>2728</v>
      </c>
      <c r="T135" s="90" t="s">
        <v>1</v>
      </c>
      <c r="U135" s="90"/>
      <c r="V135" s="51">
        <v>46048</v>
      </c>
      <c r="W135" s="11" t="s">
        <v>1575</v>
      </c>
    </row>
    <row r="136" spans="1:23" ht="13" customHeight="1" x14ac:dyDescent="0.35">
      <c r="A136" s="11">
        <v>130</v>
      </c>
      <c r="B136" s="47">
        <v>205608624</v>
      </c>
      <c r="C136" s="94" t="s">
        <v>451</v>
      </c>
      <c r="D136" s="11" t="s">
        <v>1958</v>
      </c>
      <c r="E136" s="48" t="s">
        <v>31</v>
      </c>
      <c r="F136" s="48" t="s">
        <v>74</v>
      </c>
      <c r="G136" s="11" t="s">
        <v>64</v>
      </c>
      <c r="H136" s="11" t="s">
        <v>75</v>
      </c>
      <c r="I136" s="11">
        <v>1299</v>
      </c>
      <c r="J136" s="49" t="s">
        <v>39</v>
      </c>
      <c r="K136" s="49" t="s">
        <v>76</v>
      </c>
      <c r="L136" s="49" t="s">
        <v>85</v>
      </c>
      <c r="M136" s="49" t="s">
        <v>88</v>
      </c>
      <c r="N136" s="49" t="s">
        <v>89</v>
      </c>
      <c r="O136" s="49" t="s">
        <v>67</v>
      </c>
      <c r="P136" s="11" t="s">
        <v>80</v>
      </c>
      <c r="Q136" s="11" t="s">
        <v>90</v>
      </c>
      <c r="R136" s="11" t="s">
        <v>2727</v>
      </c>
      <c r="S136" s="11" t="s">
        <v>2728</v>
      </c>
      <c r="T136" s="90" t="s">
        <v>10</v>
      </c>
      <c r="U136" s="91"/>
      <c r="V136" s="51">
        <v>45845</v>
      </c>
      <c r="W136" s="11" t="s">
        <v>1575</v>
      </c>
    </row>
    <row r="137" spans="1:23" ht="13" customHeight="1" x14ac:dyDescent="0.35">
      <c r="A137" s="11">
        <v>131</v>
      </c>
      <c r="B137" s="47">
        <v>204869091</v>
      </c>
      <c r="C137" s="94" t="s">
        <v>128</v>
      </c>
      <c r="D137" s="11" t="s">
        <v>129</v>
      </c>
      <c r="E137" s="48" t="s">
        <v>31</v>
      </c>
      <c r="F137" s="48" t="s">
        <v>74</v>
      </c>
      <c r="G137" s="11" t="s">
        <v>64</v>
      </c>
      <c r="H137" s="11" t="s">
        <v>75</v>
      </c>
      <c r="I137" s="11">
        <v>1299</v>
      </c>
      <c r="J137" s="49" t="s">
        <v>39</v>
      </c>
      <c r="K137" s="49" t="s">
        <v>76</v>
      </c>
      <c r="L137" s="49" t="s">
        <v>84</v>
      </c>
      <c r="M137" s="49" t="s">
        <v>85</v>
      </c>
      <c r="N137" s="49" t="s">
        <v>89</v>
      </c>
      <c r="O137" s="49" t="s">
        <v>67</v>
      </c>
      <c r="P137" s="11" t="s">
        <v>80</v>
      </c>
      <c r="Q137" s="11" t="s">
        <v>87</v>
      </c>
      <c r="R137" s="11" t="s">
        <v>2727</v>
      </c>
      <c r="S137" s="11" t="s">
        <v>2728</v>
      </c>
      <c r="T137" s="90" t="s">
        <v>1</v>
      </c>
      <c r="U137" s="91"/>
      <c r="V137" s="51">
        <v>45691</v>
      </c>
      <c r="W137" s="11" t="s">
        <v>1575</v>
      </c>
    </row>
    <row r="138" spans="1:23" ht="13" customHeight="1" x14ac:dyDescent="0.35">
      <c r="A138" s="11">
        <v>132</v>
      </c>
      <c r="B138" s="47">
        <v>203850779</v>
      </c>
      <c r="C138" s="94" t="s">
        <v>130</v>
      </c>
      <c r="D138" s="11" t="s">
        <v>1959</v>
      </c>
      <c r="E138" s="48" t="s">
        <v>31</v>
      </c>
      <c r="F138" s="48" t="s">
        <v>74</v>
      </c>
      <c r="G138" s="11" t="s">
        <v>64</v>
      </c>
      <c r="H138" s="11" t="s">
        <v>75</v>
      </c>
      <c r="I138" s="11">
        <v>1299</v>
      </c>
      <c r="J138" s="49" t="s">
        <v>39</v>
      </c>
      <c r="K138" s="49" t="s">
        <v>76</v>
      </c>
      <c r="L138" s="49" t="s">
        <v>85</v>
      </c>
      <c r="M138" s="49" t="s">
        <v>88</v>
      </c>
      <c r="N138" s="48" t="s">
        <v>79</v>
      </c>
      <c r="O138" s="49" t="s">
        <v>67</v>
      </c>
      <c r="P138" s="11" t="s">
        <v>80</v>
      </c>
      <c r="Q138" s="11" t="s">
        <v>81</v>
      </c>
      <c r="R138" s="11" t="s">
        <v>2727</v>
      </c>
      <c r="S138" s="11" t="s">
        <v>2728</v>
      </c>
      <c r="T138" s="90" t="s">
        <v>10</v>
      </c>
      <c r="U138" s="89"/>
      <c r="V138" s="51">
        <v>45524</v>
      </c>
      <c r="W138" s="11" t="s">
        <v>1575</v>
      </c>
    </row>
    <row r="139" spans="1:23" ht="13" customHeight="1" x14ac:dyDescent="0.35">
      <c r="A139" s="11">
        <v>133</v>
      </c>
      <c r="B139" s="47">
        <v>206958279</v>
      </c>
      <c r="C139" s="94" t="s">
        <v>2128</v>
      </c>
      <c r="D139" s="11" t="s">
        <v>2051</v>
      </c>
      <c r="E139" s="48" t="s">
        <v>31</v>
      </c>
      <c r="F139" s="48" t="s">
        <v>74</v>
      </c>
      <c r="G139" s="11" t="s">
        <v>64</v>
      </c>
      <c r="H139" s="11" t="s">
        <v>75</v>
      </c>
      <c r="I139" s="11">
        <v>1299</v>
      </c>
      <c r="J139" s="49" t="s">
        <v>32</v>
      </c>
      <c r="K139" s="49" t="s">
        <v>76</v>
      </c>
      <c r="L139" s="49" t="s">
        <v>92</v>
      </c>
      <c r="M139" s="49" t="s">
        <v>84</v>
      </c>
      <c r="N139" s="49" t="s">
        <v>89</v>
      </c>
      <c r="O139" s="49" t="s">
        <v>67</v>
      </c>
      <c r="P139" s="11" t="s">
        <v>80</v>
      </c>
      <c r="Q139" s="11" t="s">
        <v>96</v>
      </c>
      <c r="R139" s="11" t="s">
        <v>2727</v>
      </c>
      <c r="S139" s="11" t="s">
        <v>2728</v>
      </c>
      <c r="T139" s="90" t="s">
        <v>1</v>
      </c>
      <c r="U139" s="89"/>
      <c r="V139" s="51">
        <v>46048</v>
      </c>
      <c r="W139" s="11" t="s">
        <v>1575</v>
      </c>
    </row>
    <row r="140" spans="1:23" ht="13" customHeight="1" x14ac:dyDescent="0.35">
      <c r="A140" s="11">
        <v>134</v>
      </c>
      <c r="B140" s="47">
        <v>203555407</v>
      </c>
      <c r="C140" s="94" t="s">
        <v>2275</v>
      </c>
      <c r="D140" s="11" t="s">
        <v>2276</v>
      </c>
      <c r="E140" s="48" t="s">
        <v>31</v>
      </c>
      <c r="F140" s="48" t="s">
        <v>74</v>
      </c>
      <c r="G140" s="11" t="s">
        <v>64</v>
      </c>
      <c r="H140" s="11" t="s">
        <v>75</v>
      </c>
      <c r="I140" s="11">
        <v>1299</v>
      </c>
      <c r="J140" s="49" t="s">
        <v>32</v>
      </c>
      <c r="K140" s="49" t="s">
        <v>76</v>
      </c>
      <c r="L140" s="49" t="s">
        <v>78</v>
      </c>
      <c r="M140" s="49" t="s">
        <v>92</v>
      </c>
      <c r="N140" s="48" t="s">
        <v>79</v>
      </c>
      <c r="O140" s="49" t="s">
        <v>67</v>
      </c>
      <c r="P140" s="11" t="s">
        <v>80</v>
      </c>
      <c r="Q140" s="11" t="s">
        <v>81</v>
      </c>
      <c r="R140" s="11" t="s">
        <v>2727</v>
      </c>
      <c r="S140" s="11" t="s">
        <v>2728</v>
      </c>
      <c r="T140" s="90" t="s">
        <v>1</v>
      </c>
      <c r="U140" s="90"/>
      <c r="V140" s="51">
        <v>45470</v>
      </c>
      <c r="W140" s="11" t="s">
        <v>1575</v>
      </c>
    </row>
    <row r="141" spans="1:23" ht="13" customHeight="1" x14ac:dyDescent="0.35">
      <c r="A141" s="11">
        <v>135</v>
      </c>
      <c r="B141" s="47">
        <v>206175159</v>
      </c>
      <c r="C141" s="94" t="s">
        <v>2494</v>
      </c>
      <c r="D141" s="11" t="s">
        <v>2495</v>
      </c>
      <c r="E141" s="48" t="s">
        <v>31</v>
      </c>
      <c r="F141" s="48" t="s">
        <v>74</v>
      </c>
      <c r="G141" s="11" t="s">
        <v>64</v>
      </c>
      <c r="H141" s="11" t="s">
        <v>75</v>
      </c>
      <c r="I141" s="11">
        <v>1299</v>
      </c>
      <c r="J141" s="49" t="s">
        <v>39</v>
      </c>
      <c r="K141" s="49" t="s">
        <v>76</v>
      </c>
      <c r="L141" s="49" t="s">
        <v>95</v>
      </c>
      <c r="M141" s="49" t="s">
        <v>77</v>
      </c>
      <c r="N141" s="49" t="s">
        <v>89</v>
      </c>
      <c r="O141" s="49" t="s">
        <v>67</v>
      </c>
      <c r="P141" s="11" t="s">
        <v>80</v>
      </c>
      <c r="Q141" s="11" t="s">
        <v>81</v>
      </c>
      <c r="R141" s="11" t="s">
        <v>2727</v>
      </c>
      <c r="S141" s="11" t="s">
        <v>2728</v>
      </c>
      <c r="T141" s="90" t="s">
        <v>1</v>
      </c>
      <c r="U141" s="90"/>
      <c r="V141" s="51">
        <v>45932</v>
      </c>
      <c r="W141" s="11" t="s">
        <v>1575</v>
      </c>
    </row>
    <row r="142" spans="1:23" ht="13" customHeight="1" x14ac:dyDescent="0.35">
      <c r="A142" s="11">
        <v>136</v>
      </c>
      <c r="B142" s="47">
        <v>203850775</v>
      </c>
      <c r="C142" s="94" t="s">
        <v>2277</v>
      </c>
      <c r="D142" s="11" t="s">
        <v>2278</v>
      </c>
      <c r="E142" s="48" t="s">
        <v>31</v>
      </c>
      <c r="F142" s="48" t="s">
        <v>74</v>
      </c>
      <c r="G142" s="11" t="s">
        <v>64</v>
      </c>
      <c r="H142" s="11" t="s">
        <v>75</v>
      </c>
      <c r="I142" s="11">
        <v>1299</v>
      </c>
      <c r="J142" s="49" t="s">
        <v>32</v>
      </c>
      <c r="K142" s="49" t="s">
        <v>76</v>
      </c>
      <c r="L142" s="49" t="s">
        <v>88</v>
      </c>
      <c r="M142" s="49" t="s">
        <v>95</v>
      </c>
      <c r="N142" s="48" t="s">
        <v>79</v>
      </c>
      <c r="O142" s="49" t="s">
        <v>67</v>
      </c>
      <c r="P142" s="11" t="s">
        <v>80</v>
      </c>
      <c r="Q142" s="11" t="s">
        <v>81</v>
      </c>
      <c r="R142" s="11" t="s">
        <v>2727</v>
      </c>
      <c r="S142" s="11" t="s">
        <v>2728</v>
      </c>
      <c r="T142" s="90" t="s">
        <v>10</v>
      </c>
      <c r="U142" s="90"/>
      <c r="V142" s="51">
        <v>45524</v>
      </c>
      <c r="W142" s="11" t="s">
        <v>1575</v>
      </c>
    </row>
    <row r="143" spans="1:23" ht="13" customHeight="1" x14ac:dyDescent="0.35">
      <c r="A143" s="11">
        <v>137</v>
      </c>
      <c r="B143" s="47">
        <v>203469169</v>
      </c>
      <c r="C143" s="94" t="s">
        <v>2279</v>
      </c>
      <c r="D143" s="11" t="s">
        <v>2280</v>
      </c>
      <c r="E143" s="48" t="s">
        <v>31</v>
      </c>
      <c r="F143" s="48" t="s">
        <v>74</v>
      </c>
      <c r="G143" s="11" t="s">
        <v>64</v>
      </c>
      <c r="H143" s="11" t="s">
        <v>75</v>
      </c>
      <c r="I143" s="11">
        <v>1299</v>
      </c>
      <c r="J143" s="49" t="s">
        <v>32</v>
      </c>
      <c r="K143" s="49" t="s">
        <v>76</v>
      </c>
      <c r="L143" s="49" t="s">
        <v>84</v>
      </c>
      <c r="M143" s="49" t="s">
        <v>85</v>
      </c>
      <c r="N143" s="48" t="s">
        <v>79</v>
      </c>
      <c r="O143" s="49" t="s">
        <v>67</v>
      </c>
      <c r="P143" s="11" t="s">
        <v>80</v>
      </c>
      <c r="Q143" s="11" t="s">
        <v>81</v>
      </c>
      <c r="R143" s="11" t="s">
        <v>2727</v>
      </c>
      <c r="S143" s="11" t="s">
        <v>2728</v>
      </c>
      <c r="T143" s="90" t="s">
        <v>1</v>
      </c>
      <c r="U143" s="91"/>
      <c r="V143" s="51">
        <v>45456</v>
      </c>
      <c r="W143" s="11" t="s">
        <v>1575</v>
      </c>
    </row>
    <row r="144" spans="1:23" ht="13" customHeight="1" x14ac:dyDescent="0.35">
      <c r="A144" s="11">
        <v>138</v>
      </c>
      <c r="B144" s="47">
        <v>205502952</v>
      </c>
      <c r="C144" s="94" t="s">
        <v>456</v>
      </c>
      <c r="D144" s="11" t="s">
        <v>1960</v>
      </c>
      <c r="E144" s="48" t="s">
        <v>31</v>
      </c>
      <c r="F144" s="48" t="s">
        <v>74</v>
      </c>
      <c r="G144" s="11" t="s">
        <v>64</v>
      </c>
      <c r="H144" s="11" t="s">
        <v>75</v>
      </c>
      <c r="I144" s="11">
        <v>1299</v>
      </c>
      <c r="J144" s="49" t="s">
        <v>32</v>
      </c>
      <c r="K144" s="49" t="s">
        <v>76</v>
      </c>
      <c r="L144" s="49" t="s">
        <v>85</v>
      </c>
      <c r="M144" s="49" t="s">
        <v>88</v>
      </c>
      <c r="N144" s="49" t="s">
        <v>89</v>
      </c>
      <c r="O144" s="49" t="s">
        <v>67</v>
      </c>
      <c r="P144" s="11" t="s">
        <v>80</v>
      </c>
      <c r="Q144" s="11" t="s">
        <v>96</v>
      </c>
      <c r="R144" s="11" t="s">
        <v>2727</v>
      </c>
      <c r="S144" s="11" t="s">
        <v>2728</v>
      </c>
      <c r="T144" s="90" t="s">
        <v>10</v>
      </c>
      <c r="U144" s="89"/>
      <c r="V144" s="51">
        <v>45831</v>
      </c>
      <c r="W144" s="11" t="s">
        <v>1575</v>
      </c>
    </row>
    <row r="145" spans="1:23" ht="13" customHeight="1" x14ac:dyDescent="0.35">
      <c r="A145" s="11">
        <v>139</v>
      </c>
      <c r="B145" s="47">
        <v>205608619</v>
      </c>
      <c r="C145" s="94" t="s">
        <v>463</v>
      </c>
      <c r="D145" s="11" t="s">
        <v>1961</v>
      </c>
      <c r="E145" s="48" t="s">
        <v>31</v>
      </c>
      <c r="F145" s="48" t="s">
        <v>74</v>
      </c>
      <c r="G145" s="11" t="s">
        <v>64</v>
      </c>
      <c r="H145" s="11" t="s">
        <v>75</v>
      </c>
      <c r="I145" s="11">
        <v>1299</v>
      </c>
      <c r="J145" s="49" t="s">
        <v>32</v>
      </c>
      <c r="K145" s="49" t="s">
        <v>76</v>
      </c>
      <c r="L145" s="49" t="s">
        <v>88</v>
      </c>
      <c r="M145" s="49" t="s">
        <v>95</v>
      </c>
      <c r="N145" s="49" t="s">
        <v>89</v>
      </c>
      <c r="O145" s="49" t="s">
        <v>67</v>
      </c>
      <c r="P145" s="11" t="s">
        <v>80</v>
      </c>
      <c r="Q145" s="11" t="s">
        <v>90</v>
      </c>
      <c r="R145" s="11" t="s">
        <v>2727</v>
      </c>
      <c r="S145" s="11" t="s">
        <v>2728</v>
      </c>
      <c r="T145" s="90" t="s">
        <v>10</v>
      </c>
      <c r="U145" s="90"/>
      <c r="V145" s="51">
        <v>45845</v>
      </c>
      <c r="W145" s="11" t="s">
        <v>1575</v>
      </c>
    </row>
    <row r="146" spans="1:23" ht="13" customHeight="1" x14ac:dyDescent="0.35">
      <c r="A146" s="11">
        <v>140</v>
      </c>
      <c r="B146" s="47">
        <v>202219229</v>
      </c>
      <c r="C146" s="94" t="s">
        <v>2496</v>
      </c>
      <c r="D146" s="11" t="s">
        <v>2497</v>
      </c>
      <c r="E146" s="48" t="s">
        <v>31</v>
      </c>
      <c r="F146" s="48" t="s">
        <v>74</v>
      </c>
      <c r="G146" s="11" t="s">
        <v>64</v>
      </c>
      <c r="H146" s="11" t="s">
        <v>75</v>
      </c>
      <c r="I146" s="11">
        <v>1299</v>
      </c>
      <c r="J146" s="49" t="s">
        <v>32</v>
      </c>
      <c r="K146" s="49" t="s">
        <v>76</v>
      </c>
      <c r="L146" s="49" t="s">
        <v>84</v>
      </c>
      <c r="M146" s="49" t="s">
        <v>85</v>
      </c>
      <c r="N146" s="48" t="s">
        <v>79</v>
      </c>
      <c r="O146" s="49" t="s">
        <v>67</v>
      </c>
      <c r="P146" s="11" t="s">
        <v>80</v>
      </c>
      <c r="Q146" s="11" t="s">
        <v>81</v>
      </c>
      <c r="R146" s="11" t="s">
        <v>2727</v>
      </c>
      <c r="S146" s="11" t="s">
        <v>2728</v>
      </c>
      <c r="T146" s="90" t="s">
        <v>1</v>
      </c>
      <c r="U146" s="91"/>
      <c r="V146" s="51">
        <v>45596</v>
      </c>
      <c r="W146" s="11" t="s">
        <v>1575</v>
      </c>
    </row>
    <row r="147" spans="1:23" ht="13" customHeight="1" x14ac:dyDescent="0.35">
      <c r="A147" s="11">
        <v>141</v>
      </c>
      <c r="B147" s="47">
        <v>206953971</v>
      </c>
      <c r="C147" s="94" t="s">
        <v>2140</v>
      </c>
      <c r="D147" s="11" t="s">
        <v>2068</v>
      </c>
      <c r="E147" s="48" t="s">
        <v>31</v>
      </c>
      <c r="F147" s="48" t="s">
        <v>74</v>
      </c>
      <c r="G147" s="11" t="s">
        <v>64</v>
      </c>
      <c r="H147" s="11" t="s">
        <v>75</v>
      </c>
      <c r="I147" s="11">
        <v>1299</v>
      </c>
      <c r="J147" s="49" t="s">
        <v>32</v>
      </c>
      <c r="K147" s="49" t="s">
        <v>76</v>
      </c>
      <c r="L147" s="49" t="s">
        <v>88</v>
      </c>
      <c r="M147" s="49" t="s">
        <v>95</v>
      </c>
      <c r="N147" s="48" t="s">
        <v>89</v>
      </c>
      <c r="O147" s="49" t="s">
        <v>67</v>
      </c>
      <c r="P147" s="11" t="s">
        <v>80</v>
      </c>
      <c r="Q147" s="11" t="s">
        <v>90</v>
      </c>
      <c r="R147" s="11" t="s">
        <v>2727</v>
      </c>
      <c r="S147" s="11" t="s">
        <v>2728</v>
      </c>
      <c r="T147" s="90" t="s">
        <v>10</v>
      </c>
      <c r="U147" s="90"/>
      <c r="V147" s="51">
        <v>46048</v>
      </c>
      <c r="W147" s="11" t="s">
        <v>1575</v>
      </c>
    </row>
    <row r="148" spans="1:23" ht="13" customHeight="1" x14ac:dyDescent="0.35">
      <c r="A148" s="11">
        <v>142</v>
      </c>
      <c r="B148" s="47">
        <v>203800602</v>
      </c>
      <c r="C148" s="94" t="s">
        <v>2281</v>
      </c>
      <c r="D148" s="11" t="s">
        <v>2282</v>
      </c>
      <c r="E148" s="48" t="s">
        <v>31</v>
      </c>
      <c r="F148" s="48" t="s">
        <v>74</v>
      </c>
      <c r="G148" s="11" t="s">
        <v>64</v>
      </c>
      <c r="H148" s="11" t="s">
        <v>75</v>
      </c>
      <c r="I148" s="11">
        <v>1299</v>
      </c>
      <c r="J148" s="49" t="s">
        <v>39</v>
      </c>
      <c r="K148" s="49" t="s">
        <v>76</v>
      </c>
      <c r="L148" s="49" t="s">
        <v>92</v>
      </c>
      <c r="M148" s="49" t="s">
        <v>84</v>
      </c>
      <c r="N148" s="49" t="s">
        <v>89</v>
      </c>
      <c r="O148" s="49" t="s">
        <v>67</v>
      </c>
      <c r="P148" s="11" t="s">
        <v>80</v>
      </c>
      <c r="Q148" s="11" t="s">
        <v>90</v>
      </c>
      <c r="R148" s="11" t="s">
        <v>2727</v>
      </c>
      <c r="S148" s="11" t="s">
        <v>2728</v>
      </c>
      <c r="T148" s="90" t="s">
        <v>1</v>
      </c>
      <c r="U148" s="89"/>
      <c r="V148" s="51">
        <v>45516</v>
      </c>
      <c r="W148" s="11" t="s">
        <v>1575</v>
      </c>
    </row>
    <row r="149" spans="1:23" ht="13" customHeight="1" x14ac:dyDescent="0.35">
      <c r="A149" s="11">
        <v>143</v>
      </c>
      <c r="B149" s="47">
        <v>203800375</v>
      </c>
      <c r="C149" s="94" t="s">
        <v>132</v>
      </c>
      <c r="D149" s="11" t="s">
        <v>1962</v>
      </c>
      <c r="E149" s="48" t="s">
        <v>31</v>
      </c>
      <c r="F149" s="48" t="s">
        <v>74</v>
      </c>
      <c r="G149" s="11" t="s">
        <v>64</v>
      </c>
      <c r="H149" s="11" t="s">
        <v>75</v>
      </c>
      <c r="I149" s="11">
        <v>1299</v>
      </c>
      <c r="J149" s="49" t="s">
        <v>32</v>
      </c>
      <c r="K149" s="49" t="s">
        <v>76</v>
      </c>
      <c r="L149" s="49" t="s">
        <v>92</v>
      </c>
      <c r="M149" s="49" t="s">
        <v>84</v>
      </c>
      <c r="N149" s="49" t="s">
        <v>89</v>
      </c>
      <c r="O149" s="49" t="s">
        <v>67</v>
      </c>
      <c r="P149" s="11" t="s">
        <v>80</v>
      </c>
      <c r="Q149" s="11" t="s">
        <v>90</v>
      </c>
      <c r="R149" s="11" t="s">
        <v>2727</v>
      </c>
      <c r="S149" s="11" t="s">
        <v>2728</v>
      </c>
      <c r="T149" s="90" t="s">
        <v>1</v>
      </c>
      <c r="U149" s="90"/>
      <c r="V149" s="51">
        <v>45516</v>
      </c>
      <c r="W149" s="11" t="s">
        <v>1575</v>
      </c>
    </row>
    <row r="150" spans="1:23" ht="13" customHeight="1" x14ac:dyDescent="0.35">
      <c r="A150" s="11">
        <v>144</v>
      </c>
      <c r="B150" s="47">
        <v>203555405</v>
      </c>
      <c r="C150" s="94" t="s">
        <v>2283</v>
      </c>
      <c r="D150" s="11" t="s">
        <v>2284</v>
      </c>
      <c r="E150" s="48" t="s">
        <v>31</v>
      </c>
      <c r="F150" s="48" t="s">
        <v>74</v>
      </c>
      <c r="G150" s="11" t="s">
        <v>64</v>
      </c>
      <c r="H150" s="11" t="s">
        <v>75</v>
      </c>
      <c r="I150" s="11">
        <v>1299</v>
      </c>
      <c r="J150" s="49" t="s">
        <v>32</v>
      </c>
      <c r="K150" s="49" t="s">
        <v>76</v>
      </c>
      <c r="L150" s="49" t="s">
        <v>88</v>
      </c>
      <c r="M150" s="49" t="s">
        <v>95</v>
      </c>
      <c r="N150" s="48" t="s">
        <v>79</v>
      </c>
      <c r="O150" s="49" t="s">
        <v>67</v>
      </c>
      <c r="P150" s="11" t="s">
        <v>80</v>
      </c>
      <c r="Q150" s="11" t="s">
        <v>81</v>
      </c>
      <c r="R150" s="11" t="s">
        <v>2727</v>
      </c>
      <c r="S150" s="11" t="s">
        <v>2728</v>
      </c>
      <c r="T150" s="90" t="s">
        <v>10</v>
      </c>
      <c r="U150" s="91"/>
      <c r="V150" s="51">
        <v>45470</v>
      </c>
      <c r="W150" s="11" t="s">
        <v>1575</v>
      </c>
    </row>
    <row r="151" spans="1:23" ht="13" customHeight="1" x14ac:dyDescent="0.35">
      <c r="A151" s="11">
        <v>145</v>
      </c>
      <c r="B151" s="47">
        <v>203469396</v>
      </c>
      <c r="C151" s="94" t="s">
        <v>133</v>
      </c>
      <c r="D151" s="11" t="s">
        <v>1963</v>
      </c>
      <c r="E151" s="48" t="s">
        <v>31</v>
      </c>
      <c r="F151" s="48" t="s">
        <v>74</v>
      </c>
      <c r="G151" s="11" t="s">
        <v>64</v>
      </c>
      <c r="H151" s="11" t="s">
        <v>75</v>
      </c>
      <c r="I151" s="11">
        <v>1299</v>
      </c>
      <c r="J151" s="49" t="s">
        <v>39</v>
      </c>
      <c r="K151" s="49" t="s">
        <v>76</v>
      </c>
      <c r="L151" s="49" t="s">
        <v>95</v>
      </c>
      <c r="M151" s="49" t="s">
        <v>77</v>
      </c>
      <c r="N151" s="48" t="s">
        <v>86</v>
      </c>
      <c r="O151" s="49" t="s">
        <v>67</v>
      </c>
      <c r="P151" s="11" t="s">
        <v>80</v>
      </c>
      <c r="Q151" s="11" t="s">
        <v>99</v>
      </c>
      <c r="R151" s="11" t="s">
        <v>2727</v>
      </c>
      <c r="S151" s="11" t="s">
        <v>2728</v>
      </c>
      <c r="T151" s="90" t="s">
        <v>1</v>
      </c>
      <c r="U151" s="90"/>
      <c r="V151" s="51">
        <v>45456</v>
      </c>
      <c r="W151" s="11" t="s">
        <v>1575</v>
      </c>
    </row>
    <row r="152" spans="1:23" ht="13" customHeight="1" x14ac:dyDescent="0.35">
      <c r="A152" s="11">
        <v>146</v>
      </c>
      <c r="B152" s="47">
        <v>206514852</v>
      </c>
      <c r="C152" s="94" t="s">
        <v>1707</v>
      </c>
      <c r="D152" s="11" t="s">
        <v>1964</v>
      </c>
      <c r="E152" s="48" t="s">
        <v>31</v>
      </c>
      <c r="F152" s="48" t="s">
        <v>74</v>
      </c>
      <c r="G152" s="11" t="s">
        <v>64</v>
      </c>
      <c r="H152" s="11" t="s">
        <v>75</v>
      </c>
      <c r="I152" s="11">
        <v>1299</v>
      </c>
      <c r="J152" s="49" t="s">
        <v>39</v>
      </c>
      <c r="K152" s="49" t="s">
        <v>76</v>
      </c>
      <c r="L152" s="49" t="s">
        <v>92</v>
      </c>
      <c r="M152" s="49" t="s">
        <v>84</v>
      </c>
      <c r="N152" s="49" t="s">
        <v>89</v>
      </c>
      <c r="O152" s="49" t="s">
        <v>67</v>
      </c>
      <c r="P152" s="11" t="s">
        <v>80</v>
      </c>
      <c r="Q152" s="11" t="s">
        <v>90</v>
      </c>
      <c r="R152" s="11" t="s">
        <v>2727</v>
      </c>
      <c r="S152" s="11" t="s">
        <v>2728</v>
      </c>
      <c r="T152" s="90" t="s">
        <v>1</v>
      </c>
      <c r="U152" s="90"/>
      <c r="V152" s="51">
        <v>45971</v>
      </c>
      <c r="W152" s="11" t="s">
        <v>1575</v>
      </c>
    </row>
    <row r="153" spans="1:23" ht="13" customHeight="1" x14ac:dyDescent="0.35">
      <c r="A153" s="11">
        <v>147</v>
      </c>
      <c r="B153" s="47">
        <v>203555401</v>
      </c>
      <c r="C153" s="94" t="s">
        <v>2285</v>
      </c>
      <c r="D153" s="11" t="s">
        <v>2286</v>
      </c>
      <c r="E153" s="48" t="s">
        <v>31</v>
      </c>
      <c r="F153" s="48" t="s">
        <v>74</v>
      </c>
      <c r="G153" s="11" t="s">
        <v>64</v>
      </c>
      <c r="H153" s="11" t="s">
        <v>75</v>
      </c>
      <c r="I153" s="11">
        <v>1299</v>
      </c>
      <c r="J153" s="49" t="s">
        <v>32</v>
      </c>
      <c r="K153" s="49" t="s">
        <v>76</v>
      </c>
      <c r="L153" s="49" t="s">
        <v>77</v>
      </c>
      <c r="M153" s="49" t="s">
        <v>78</v>
      </c>
      <c r="N153" s="48" t="s">
        <v>79</v>
      </c>
      <c r="O153" s="49" t="s">
        <v>67</v>
      </c>
      <c r="P153" s="11" t="s">
        <v>80</v>
      </c>
      <c r="Q153" s="11" t="s">
        <v>81</v>
      </c>
      <c r="R153" s="11" t="s">
        <v>2727</v>
      </c>
      <c r="S153" s="11" t="s">
        <v>2728</v>
      </c>
      <c r="T153" s="90" t="s">
        <v>1</v>
      </c>
      <c r="U153" s="89"/>
      <c r="V153" s="51">
        <v>45470</v>
      </c>
      <c r="W153" s="11" t="s">
        <v>1575</v>
      </c>
    </row>
    <row r="154" spans="1:23" ht="13" customHeight="1" x14ac:dyDescent="0.35">
      <c r="A154" s="11">
        <v>148</v>
      </c>
      <c r="B154" s="47">
        <v>205647583</v>
      </c>
      <c r="C154" s="94" t="s">
        <v>2287</v>
      </c>
      <c r="D154" s="11" t="s">
        <v>2288</v>
      </c>
      <c r="E154" s="48" t="s">
        <v>31</v>
      </c>
      <c r="F154" s="48" t="s">
        <v>74</v>
      </c>
      <c r="G154" s="11" t="s">
        <v>64</v>
      </c>
      <c r="H154" s="11" t="s">
        <v>75</v>
      </c>
      <c r="I154" s="11">
        <v>1299</v>
      </c>
      <c r="J154" s="49" t="s">
        <v>39</v>
      </c>
      <c r="K154" s="49" t="s">
        <v>76</v>
      </c>
      <c r="L154" s="49" t="s">
        <v>77</v>
      </c>
      <c r="M154" s="49" t="s">
        <v>78</v>
      </c>
      <c r="N154" s="49" t="s">
        <v>89</v>
      </c>
      <c r="O154" s="49" t="s">
        <v>67</v>
      </c>
      <c r="P154" s="11" t="s">
        <v>80</v>
      </c>
      <c r="Q154" s="11" t="s">
        <v>96</v>
      </c>
      <c r="R154" s="11" t="s">
        <v>2727</v>
      </c>
      <c r="S154" s="11" t="s">
        <v>2728</v>
      </c>
      <c r="T154" s="90" t="s">
        <v>1</v>
      </c>
      <c r="U154" s="91"/>
      <c r="V154" s="51">
        <v>45852</v>
      </c>
      <c r="W154" s="11" t="s">
        <v>1575</v>
      </c>
    </row>
    <row r="155" spans="1:23" ht="13" customHeight="1" x14ac:dyDescent="0.35">
      <c r="A155" s="11">
        <v>149</v>
      </c>
      <c r="B155" s="47">
        <v>206949318</v>
      </c>
      <c r="C155" s="95" t="s">
        <v>2169</v>
      </c>
      <c r="D155" s="112" t="s">
        <v>2170</v>
      </c>
      <c r="E155" s="112" t="s">
        <v>31</v>
      </c>
      <c r="F155" s="48" t="s">
        <v>74</v>
      </c>
      <c r="G155" s="11" t="s">
        <v>64</v>
      </c>
      <c r="H155" s="11" t="s">
        <v>75</v>
      </c>
      <c r="I155" s="11">
        <v>1299</v>
      </c>
      <c r="J155" s="49" t="s">
        <v>32</v>
      </c>
      <c r="K155" s="49" t="s">
        <v>76</v>
      </c>
      <c r="L155" s="49" t="s">
        <v>84</v>
      </c>
      <c r="M155" s="49" t="s">
        <v>85</v>
      </c>
      <c r="N155" s="48" t="s">
        <v>86</v>
      </c>
      <c r="O155" s="49" t="s">
        <v>67</v>
      </c>
      <c r="P155" s="49" t="s">
        <v>80</v>
      </c>
      <c r="Q155" s="49" t="s">
        <v>90</v>
      </c>
      <c r="R155" s="11" t="s">
        <v>2727</v>
      </c>
      <c r="S155" s="11" t="s">
        <v>2728</v>
      </c>
      <c r="T155" s="90" t="s">
        <v>1</v>
      </c>
      <c r="U155" s="89"/>
      <c r="V155" s="51">
        <v>46048</v>
      </c>
      <c r="W155" s="11" t="s">
        <v>1575</v>
      </c>
    </row>
    <row r="156" spans="1:23" ht="13" customHeight="1" x14ac:dyDescent="0.35">
      <c r="A156" s="11">
        <v>150</v>
      </c>
      <c r="B156" s="47">
        <v>206934491</v>
      </c>
      <c r="C156" s="94" t="s">
        <v>2135</v>
      </c>
      <c r="D156" s="11" t="s">
        <v>2061</v>
      </c>
      <c r="E156" s="48" t="s">
        <v>31</v>
      </c>
      <c r="F156" s="48" t="s">
        <v>74</v>
      </c>
      <c r="G156" s="11" t="s">
        <v>64</v>
      </c>
      <c r="H156" s="11" t="s">
        <v>75</v>
      </c>
      <c r="I156" s="11">
        <v>1299</v>
      </c>
      <c r="J156" s="49" t="s">
        <v>32</v>
      </c>
      <c r="K156" s="49" t="s">
        <v>76</v>
      </c>
      <c r="L156" s="49" t="s">
        <v>77</v>
      </c>
      <c r="M156" s="49" t="s">
        <v>78</v>
      </c>
      <c r="N156" s="48" t="s">
        <v>86</v>
      </c>
      <c r="O156" s="49" t="s">
        <v>67</v>
      </c>
      <c r="P156" s="11" t="s">
        <v>80</v>
      </c>
      <c r="Q156" s="11" t="s">
        <v>90</v>
      </c>
      <c r="R156" s="11" t="s">
        <v>2727</v>
      </c>
      <c r="S156" s="11" t="s">
        <v>2728</v>
      </c>
      <c r="T156" s="90" t="s">
        <v>1</v>
      </c>
      <c r="U156" s="91"/>
      <c r="V156" s="51">
        <v>46048</v>
      </c>
      <c r="W156" s="11" t="s">
        <v>1575</v>
      </c>
    </row>
    <row r="157" spans="1:23" ht="13" customHeight="1" x14ac:dyDescent="0.35">
      <c r="A157" s="11">
        <v>151</v>
      </c>
      <c r="B157" s="47">
        <v>103775146</v>
      </c>
      <c r="C157" s="94" t="s">
        <v>2333</v>
      </c>
      <c r="D157" s="11" t="s">
        <v>2334</v>
      </c>
      <c r="E157" s="48" t="s">
        <v>34</v>
      </c>
      <c r="F157" s="48" t="s">
        <v>74</v>
      </c>
      <c r="G157" s="11" t="s">
        <v>64</v>
      </c>
      <c r="H157" s="11" t="s">
        <v>75</v>
      </c>
      <c r="I157" s="11">
        <v>1299</v>
      </c>
      <c r="J157" s="49" t="s">
        <v>32</v>
      </c>
      <c r="K157" s="49" t="s">
        <v>76</v>
      </c>
      <c r="L157" s="49" t="s">
        <v>78</v>
      </c>
      <c r="M157" s="49" t="s">
        <v>92</v>
      </c>
      <c r="N157" s="48" t="s">
        <v>97</v>
      </c>
      <c r="O157" s="49" t="s">
        <v>67</v>
      </c>
      <c r="P157" s="11" t="s">
        <v>80</v>
      </c>
      <c r="Q157" s="11" t="s">
        <v>98</v>
      </c>
      <c r="R157" s="11" t="s">
        <v>2727</v>
      </c>
      <c r="S157" s="11" t="s">
        <v>2728</v>
      </c>
      <c r="T157" s="90" t="s">
        <v>1</v>
      </c>
      <c r="U157" s="89"/>
      <c r="V157" s="51">
        <v>44067</v>
      </c>
      <c r="W157" s="49" t="s">
        <v>1575</v>
      </c>
    </row>
    <row r="158" spans="1:23" ht="13" customHeight="1" x14ac:dyDescent="0.35">
      <c r="A158" s="11">
        <v>152</v>
      </c>
      <c r="B158" s="47">
        <v>102206211</v>
      </c>
      <c r="C158" s="94" t="s">
        <v>2289</v>
      </c>
      <c r="D158" s="11" t="s">
        <v>2290</v>
      </c>
      <c r="E158" s="48" t="s">
        <v>34</v>
      </c>
      <c r="F158" s="48" t="s">
        <v>74</v>
      </c>
      <c r="G158" s="11" t="s">
        <v>64</v>
      </c>
      <c r="H158" s="11" t="s">
        <v>75</v>
      </c>
      <c r="I158" s="11">
        <v>1299</v>
      </c>
      <c r="J158" s="49" t="s">
        <v>32</v>
      </c>
      <c r="K158" s="49" t="s">
        <v>76</v>
      </c>
      <c r="L158" s="49" t="s">
        <v>77</v>
      </c>
      <c r="M158" s="49" t="s">
        <v>78</v>
      </c>
      <c r="N158" s="48" t="s">
        <v>108</v>
      </c>
      <c r="O158" s="49" t="s">
        <v>67</v>
      </c>
      <c r="P158" s="11" t="s">
        <v>80</v>
      </c>
      <c r="Q158" s="11" t="s">
        <v>98</v>
      </c>
      <c r="R158" s="11" t="s">
        <v>82</v>
      </c>
      <c r="S158" s="11" t="s">
        <v>2729</v>
      </c>
      <c r="T158" s="90" t="s">
        <v>1</v>
      </c>
      <c r="U158" s="89"/>
      <c r="V158" s="51">
        <v>42868</v>
      </c>
      <c r="W158" s="11" t="s">
        <v>1575</v>
      </c>
    </row>
    <row r="159" spans="1:23" ht="13" customHeight="1" x14ac:dyDescent="0.35">
      <c r="A159" s="11">
        <v>153</v>
      </c>
      <c r="B159" s="47">
        <v>203816296</v>
      </c>
      <c r="C159" s="94" t="s">
        <v>1713</v>
      </c>
      <c r="D159" s="11" t="s">
        <v>1965</v>
      </c>
      <c r="E159" s="48" t="s">
        <v>31</v>
      </c>
      <c r="F159" s="48" t="s">
        <v>74</v>
      </c>
      <c r="G159" s="11" t="s">
        <v>64</v>
      </c>
      <c r="H159" s="11" t="s">
        <v>75</v>
      </c>
      <c r="I159" s="11">
        <v>1299</v>
      </c>
      <c r="J159" s="49" t="s">
        <v>32</v>
      </c>
      <c r="K159" s="49" t="s">
        <v>76</v>
      </c>
      <c r="L159" s="49" t="s">
        <v>85</v>
      </c>
      <c r="M159" s="49" t="s">
        <v>88</v>
      </c>
      <c r="N159" s="49" t="s">
        <v>89</v>
      </c>
      <c r="O159" s="49" t="s">
        <v>67</v>
      </c>
      <c r="P159" s="11" t="s">
        <v>80</v>
      </c>
      <c r="Q159" s="11" t="s">
        <v>90</v>
      </c>
      <c r="R159" s="11" t="s">
        <v>2727</v>
      </c>
      <c r="S159" s="11" t="s">
        <v>2728</v>
      </c>
      <c r="T159" s="90" t="s">
        <v>10</v>
      </c>
      <c r="U159" s="91"/>
      <c r="V159" s="51">
        <v>45518</v>
      </c>
      <c r="W159" s="11" t="s">
        <v>1575</v>
      </c>
    </row>
    <row r="160" spans="1:23" ht="13" customHeight="1" x14ac:dyDescent="0.35">
      <c r="A160" s="11">
        <v>154</v>
      </c>
      <c r="B160" s="47">
        <v>102205456</v>
      </c>
      <c r="C160" s="94" t="s">
        <v>2700</v>
      </c>
      <c r="D160" s="11" t="s">
        <v>2726</v>
      </c>
      <c r="E160" s="48" t="s">
        <v>34</v>
      </c>
      <c r="F160" s="48" t="s">
        <v>74</v>
      </c>
      <c r="G160" s="11" t="s">
        <v>64</v>
      </c>
      <c r="H160" s="11" t="s">
        <v>75</v>
      </c>
      <c r="I160" s="11">
        <v>1299</v>
      </c>
      <c r="J160" s="49" t="s">
        <v>32</v>
      </c>
      <c r="K160" s="49" t="s">
        <v>76</v>
      </c>
      <c r="L160" s="49" t="s">
        <v>88</v>
      </c>
      <c r="M160" s="49" t="s">
        <v>95</v>
      </c>
      <c r="N160" s="48" t="s">
        <v>108</v>
      </c>
      <c r="O160" s="49" t="s">
        <v>67</v>
      </c>
      <c r="P160" s="11" t="s">
        <v>80</v>
      </c>
      <c r="Q160" s="11" t="s">
        <v>98</v>
      </c>
      <c r="R160" s="11" t="s">
        <v>82</v>
      </c>
      <c r="S160" s="11" t="s">
        <v>2729</v>
      </c>
      <c r="T160" s="90" t="s">
        <v>10</v>
      </c>
      <c r="U160" s="91"/>
      <c r="V160" s="51">
        <v>42868</v>
      </c>
      <c r="W160" s="11" t="s">
        <v>1575</v>
      </c>
    </row>
    <row r="161" spans="1:23" ht="13" customHeight="1" x14ac:dyDescent="0.35">
      <c r="A161" s="11">
        <v>155</v>
      </c>
      <c r="B161" s="47">
        <v>203469404</v>
      </c>
      <c r="C161" s="94" t="s">
        <v>134</v>
      </c>
      <c r="D161" s="11" t="s">
        <v>1966</v>
      </c>
      <c r="E161" s="48" t="s">
        <v>31</v>
      </c>
      <c r="F161" s="48" t="s">
        <v>74</v>
      </c>
      <c r="G161" s="11" t="s">
        <v>64</v>
      </c>
      <c r="H161" s="11" t="s">
        <v>75</v>
      </c>
      <c r="I161" s="11">
        <v>1299</v>
      </c>
      <c r="J161" s="49" t="s">
        <v>32</v>
      </c>
      <c r="K161" s="49" t="s">
        <v>76</v>
      </c>
      <c r="L161" s="49" t="s">
        <v>77</v>
      </c>
      <c r="M161" s="49" t="s">
        <v>78</v>
      </c>
      <c r="N161" s="48" t="s">
        <v>86</v>
      </c>
      <c r="O161" s="49" t="s">
        <v>67</v>
      </c>
      <c r="P161" s="11" t="s">
        <v>80</v>
      </c>
      <c r="Q161" s="11" t="s">
        <v>99</v>
      </c>
      <c r="R161" s="11" t="s">
        <v>2727</v>
      </c>
      <c r="S161" s="11" t="s">
        <v>2728</v>
      </c>
      <c r="T161" s="90" t="s">
        <v>1</v>
      </c>
      <c r="U161" s="90"/>
      <c r="V161" s="51">
        <v>45456</v>
      </c>
      <c r="W161" s="11" t="s">
        <v>1575</v>
      </c>
    </row>
    <row r="162" spans="1:23" ht="13" customHeight="1" x14ac:dyDescent="0.35">
      <c r="A162" s="11">
        <v>156</v>
      </c>
      <c r="B162" s="47">
        <v>206514788</v>
      </c>
      <c r="C162" s="94" t="s">
        <v>1708</v>
      </c>
      <c r="D162" s="11" t="s">
        <v>1967</v>
      </c>
      <c r="E162" s="48" t="s">
        <v>31</v>
      </c>
      <c r="F162" s="48" t="s">
        <v>74</v>
      </c>
      <c r="G162" s="11" t="s">
        <v>64</v>
      </c>
      <c r="H162" s="11" t="s">
        <v>75</v>
      </c>
      <c r="I162" s="11">
        <v>1299</v>
      </c>
      <c r="J162" s="49" t="s">
        <v>39</v>
      </c>
      <c r="K162" s="49" t="s">
        <v>76</v>
      </c>
      <c r="L162" s="49" t="s">
        <v>77</v>
      </c>
      <c r="M162" s="49" t="s">
        <v>78</v>
      </c>
      <c r="N162" s="49" t="s">
        <v>89</v>
      </c>
      <c r="O162" s="49" t="s">
        <v>67</v>
      </c>
      <c r="P162" s="11" t="s">
        <v>80</v>
      </c>
      <c r="Q162" s="11" t="s">
        <v>90</v>
      </c>
      <c r="R162" s="11" t="s">
        <v>2727</v>
      </c>
      <c r="S162" s="11" t="s">
        <v>2728</v>
      </c>
      <c r="T162" s="90" t="s">
        <v>1</v>
      </c>
      <c r="U162" s="91"/>
      <c r="V162" s="51">
        <v>45971</v>
      </c>
      <c r="W162" s="11" t="s">
        <v>1575</v>
      </c>
    </row>
    <row r="163" spans="1:23" ht="13" customHeight="1" x14ac:dyDescent="0.35">
      <c r="A163" s="11">
        <v>157</v>
      </c>
      <c r="B163" s="47">
        <v>205647581</v>
      </c>
      <c r="C163" s="94" t="s">
        <v>135</v>
      </c>
      <c r="D163" s="11" t="s">
        <v>1968</v>
      </c>
      <c r="E163" s="48" t="s">
        <v>31</v>
      </c>
      <c r="F163" s="48" t="s">
        <v>74</v>
      </c>
      <c r="G163" s="11" t="s">
        <v>64</v>
      </c>
      <c r="H163" s="11" t="s">
        <v>75</v>
      </c>
      <c r="I163" s="11">
        <v>1299</v>
      </c>
      <c r="J163" s="49" t="s">
        <v>39</v>
      </c>
      <c r="K163" s="49" t="s">
        <v>76</v>
      </c>
      <c r="L163" s="49" t="s">
        <v>95</v>
      </c>
      <c r="M163" s="49" t="s">
        <v>77</v>
      </c>
      <c r="N163" s="49" t="s">
        <v>89</v>
      </c>
      <c r="O163" s="49" t="s">
        <v>67</v>
      </c>
      <c r="P163" s="11" t="s">
        <v>80</v>
      </c>
      <c r="Q163" s="11" t="s">
        <v>96</v>
      </c>
      <c r="R163" s="11" t="s">
        <v>2727</v>
      </c>
      <c r="S163" s="11" t="s">
        <v>2728</v>
      </c>
      <c r="T163" s="90" t="s">
        <v>1</v>
      </c>
      <c r="U163" s="91"/>
      <c r="V163" s="51">
        <v>45852</v>
      </c>
      <c r="W163" s="11" t="s">
        <v>1575</v>
      </c>
    </row>
    <row r="164" spans="1:23" ht="13" customHeight="1" x14ac:dyDescent="0.35">
      <c r="A164" s="11">
        <v>158</v>
      </c>
      <c r="B164" s="47">
        <v>102981768</v>
      </c>
      <c r="C164" s="94" t="s">
        <v>2291</v>
      </c>
      <c r="D164" s="11" t="s">
        <v>2292</v>
      </c>
      <c r="E164" s="48" t="s">
        <v>34</v>
      </c>
      <c r="F164" s="48" t="s">
        <v>74</v>
      </c>
      <c r="G164" s="11" t="s">
        <v>64</v>
      </c>
      <c r="H164" s="11" t="s">
        <v>75</v>
      </c>
      <c r="I164" s="11">
        <v>1299</v>
      </c>
      <c r="J164" s="49" t="s">
        <v>39</v>
      </c>
      <c r="K164" s="49" t="s">
        <v>76</v>
      </c>
      <c r="L164" s="49" t="s">
        <v>84</v>
      </c>
      <c r="M164" s="49" t="s">
        <v>85</v>
      </c>
      <c r="N164" s="48" t="s">
        <v>97</v>
      </c>
      <c r="O164" s="49" t="s">
        <v>67</v>
      </c>
      <c r="P164" s="11" t="s">
        <v>80</v>
      </c>
      <c r="Q164" s="11" t="s">
        <v>98</v>
      </c>
      <c r="R164" s="11" t="s">
        <v>82</v>
      </c>
      <c r="S164" s="11" t="s">
        <v>2729</v>
      </c>
      <c r="T164" s="90" t="s">
        <v>1</v>
      </c>
      <c r="U164" s="91"/>
      <c r="V164" s="51">
        <v>43044</v>
      </c>
      <c r="W164" s="11" t="s">
        <v>1575</v>
      </c>
    </row>
    <row r="165" spans="1:23" ht="13" customHeight="1" x14ac:dyDescent="0.35">
      <c r="A165" s="11">
        <v>159</v>
      </c>
      <c r="B165" s="47">
        <v>203801393</v>
      </c>
      <c r="C165" s="94" t="s">
        <v>136</v>
      </c>
      <c r="D165" s="11" t="s">
        <v>1969</v>
      </c>
      <c r="E165" s="48" t="s">
        <v>31</v>
      </c>
      <c r="F165" s="48" t="s">
        <v>74</v>
      </c>
      <c r="G165" s="11" t="s">
        <v>64</v>
      </c>
      <c r="H165" s="11" t="s">
        <v>75</v>
      </c>
      <c r="I165" s="11">
        <v>1299</v>
      </c>
      <c r="J165" s="49" t="s">
        <v>32</v>
      </c>
      <c r="K165" s="49" t="s">
        <v>76</v>
      </c>
      <c r="L165" s="49" t="s">
        <v>92</v>
      </c>
      <c r="M165" s="49" t="s">
        <v>84</v>
      </c>
      <c r="N165" s="48" t="s">
        <v>79</v>
      </c>
      <c r="O165" s="49" t="s">
        <v>67</v>
      </c>
      <c r="P165" s="11" t="s">
        <v>80</v>
      </c>
      <c r="Q165" s="11" t="s">
        <v>81</v>
      </c>
      <c r="R165" s="11" t="s">
        <v>2727</v>
      </c>
      <c r="S165" s="11" t="s">
        <v>2728</v>
      </c>
      <c r="T165" s="90" t="s">
        <v>1</v>
      </c>
      <c r="U165" s="89"/>
      <c r="V165" s="51">
        <v>45517</v>
      </c>
      <c r="W165" s="11" t="s">
        <v>1575</v>
      </c>
    </row>
    <row r="166" spans="1:23" ht="13" customHeight="1" x14ac:dyDescent="0.35">
      <c r="A166" s="11">
        <v>160</v>
      </c>
      <c r="B166" s="47">
        <v>204864416</v>
      </c>
      <c r="C166" s="94" t="s">
        <v>137</v>
      </c>
      <c r="D166" s="11" t="s">
        <v>1970</v>
      </c>
      <c r="E166" s="48" t="s">
        <v>31</v>
      </c>
      <c r="F166" s="48" t="s">
        <v>74</v>
      </c>
      <c r="G166" s="11" t="s">
        <v>64</v>
      </c>
      <c r="H166" s="11" t="s">
        <v>75</v>
      </c>
      <c r="I166" s="11">
        <v>1299</v>
      </c>
      <c r="J166" s="49" t="s">
        <v>32</v>
      </c>
      <c r="K166" s="49" t="s">
        <v>76</v>
      </c>
      <c r="L166" s="49" t="s">
        <v>85</v>
      </c>
      <c r="M166" s="49" t="s">
        <v>88</v>
      </c>
      <c r="N166" s="49" t="s">
        <v>89</v>
      </c>
      <c r="O166" s="49" t="s">
        <v>67</v>
      </c>
      <c r="P166" s="11" t="s">
        <v>80</v>
      </c>
      <c r="Q166" s="11" t="s">
        <v>90</v>
      </c>
      <c r="R166" s="11" t="s">
        <v>2727</v>
      </c>
      <c r="S166" s="11" t="s">
        <v>2728</v>
      </c>
      <c r="T166" s="90" t="s">
        <v>10</v>
      </c>
      <c r="U166" s="91"/>
      <c r="V166" s="51">
        <v>45684</v>
      </c>
      <c r="W166" s="11" t="s">
        <v>1575</v>
      </c>
    </row>
    <row r="167" spans="1:23" ht="13" customHeight="1" x14ac:dyDescent="0.35">
      <c r="A167" s="11">
        <v>161</v>
      </c>
      <c r="B167" s="47">
        <v>206016552</v>
      </c>
      <c r="C167" s="94" t="s">
        <v>527</v>
      </c>
      <c r="D167" s="11" t="s">
        <v>1971</v>
      </c>
      <c r="E167" s="48" t="s">
        <v>31</v>
      </c>
      <c r="F167" s="48" t="s">
        <v>74</v>
      </c>
      <c r="G167" s="11" t="s">
        <v>64</v>
      </c>
      <c r="H167" s="11" t="s">
        <v>75</v>
      </c>
      <c r="I167" s="11">
        <v>1299</v>
      </c>
      <c r="J167" s="49" t="s">
        <v>32</v>
      </c>
      <c r="K167" s="49" t="s">
        <v>76</v>
      </c>
      <c r="L167" s="49" t="s">
        <v>77</v>
      </c>
      <c r="M167" s="49" t="s">
        <v>78</v>
      </c>
      <c r="N167" s="49" t="s">
        <v>89</v>
      </c>
      <c r="O167" s="49" t="s">
        <v>67</v>
      </c>
      <c r="P167" s="11" t="s">
        <v>80</v>
      </c>
      <c r="Q167" s="11" t="s">
        <v>81</v>
      </c>
      <c r="R167" s="11" t="s">
        <v>2727</v>
      </c>
      <c r="S167" s="11" t="s">
        <v>2728</v>
      </c>
      <c r="T167" s="90" t="s">
        <v>7</v>
      </c>
      <c r="U167" s="90" t="s">
        <v>2914</v>
      </c>
      <c r="V167" s="51">
        <v>45915</v>
      </c>
      <c r="W167" s="11" t="s">
        <v>1575</v>
      </c>
    </row>
    <row r="168" spans="1:23" ht="13" customHeight="1" x14ac:dyDescent="0.35">
      <c r="A168" s="11">
        <v>162</v>
      </c>
      <c r="B168" s="47">
        <v>204403811</v>
      </c>
      <c r="C168" s="94" t="s">
        <v>138</v>
      </c>
      <c r="D168" s="11" t="s">
        <v>1972</v>
      </c>
      <c r="E168" s="48" t="s">
        <v>31</v>
      </c>
      <c r="F168" s="48" t="s">
        <v>74</v>
      </c>
      <c r="G168" s="11" t="s">
        <v>64</v>
      </c>
      <c r="H168" s="11" t="s">
        <v>75</v>
      </c>
      <c r="I168" s="11">
        <v>1299</v>
      </c>
      <c r="J168" s="49" t="s">
        <v>32</v>
      </c>
      <c r="K168" s="49" t="s">
        <v>76</v>
      </c>
      <c r="L168" s="49" t="s">
        <v>92</v>
      </c>
      <c r="M168" s="49" t="s">
        <v>84</v>
      </c>
      <c r="N168" s="48" t="s">
        <v>79</v>
      </c>
      <c r="O168" s="49" t="s">
        <v>67</v>
      </c>
      <c r="P168" s="11" t="s">
        <v>80</v>
      </c>
      <c r="Q168" s="11" t="s">
        <v>81</v>
      </c>
      <c r="R168" s="11" t="s">
        <v>2727</v>
      </c>
      <c r="S168" s="11" t="s">
        <v>2728</v>
      </c>
      <c r="T168" s="90" t="s">
        <v>7</v>
      </c>
      <c r="U168" s="90" t="s">
        <v>2914</v>
      </c>
      <c r="V168" s="51">
        <v>45596</v>
      </c>
      <c r="W168" s="11" t="s">
        <v>1575</v>
      </c>
    </row>
    <row r="169" spans="1:23" ht="13" customHeight="1" x14ac:dyDescent="0.35">
      <c r="A169" s="11">
        <v>163</v>
      </c>
      <c r="B169" s="47">
        <v>206348053</v>
      </c>
      <c r="C169" s="94" t="s">
        <v>1702</v>
      </c>
      <c r="D169" s="11" t="s">
        <v>2000</v>
      </c>
      <c r="E169" s="48" t="s">
        <v>31</v>
      </c>
      <c r="F169" s="48" t="s">
        <v>74</v>
      </c>
      <c r="G169" s="11" t="s">
        <v>64</v>
      </c>
      <c r="H169" s="11" t="s">
        <v>75</v>
      </c>
      <c r="I169" s="11">
        <v>1299</v>
      </c>
      <c r="J169" s="49" t="s">
        <v>39</v>
      </c>
      <c r="K169" s="49" t="s">
        <v>76</v>
      </c>
      <c r="L169" s="49" t="s">
        <v>84</v>
      </c>
      <c r="M169" s="49" t="s">
        <v>85</v>
      </c>
      <c r="N169" s="49" t="s">
        <v>89</v>
      </c>
      <c r="O169" s="49" t="s">
        <v>67</v>
      </c>
      <c r="P169" s="11" t="s">
        <v>80</v>
      </c>
      <c r="Q169" s="11" t="s">
        <v>81</v>
      </c>
      <c r="R169" s="11" t="s">
        <v>2727</v>
      </c>
      <c r="S169" s="11" t="s">
        <v>2728</v>
      </c>
      <c r="T169" s="90" t="s">
        <v>1</v>
      </c>
      <c r="U169" s="90"/>
      <c r="V169" s="51">
        <v>45957</v>
      </c>
      <c r="W169" s="11" t="s">
        <v>1575</v>
      </c>
    </row>
    <row r="170" spans="1:23" ht="13" customHeight="1" x14ac:dyDescent="0.35">
      <c r="A170" s="11">
        <v>164</v>
      </c>
      <c r="B170" s="47">
        <v>206915011</v>
      </c>
      <c r="C170" s="94" t="s">
        <v>2131</v>
      </c>
      <c r="D170" s="11" t="s">
        <v>2056</v>
      </c>
      <c r="E170" s="48" t="s">
        <v>31</v>
      </c>
      <c r="F170" s="48" t="s">
        <v>74</v>
      </c>
      <c r="G170" s="11" t="s">
        <v>64</v>
      </c>
      <c r="H170" s="11" t="s">
        <v>75</v>
      </c>
      <c r="I170" s="11">
        <v>1299</v>
      </c>
      <c r="J170" s="49" t="s">
        <v>32</v>
      </c>
      <c r="K170" s="49" t="s">
        <v>76</v>
      </c>
      <c r="L170" s="49" t="s">
        <v>92</v>
      </c>
      <c r="M170" s="49" t="s">
        <v>84</v>
      </c>
      <c r="N170" s="48" t="s">
        <v>86</v>
      </c>
      <c r="O170" s="49" t="s">
        <v>67</v>
      </c>
      <c r="P170" s="11" t="s">
        <v>80</v>
      </c>
      <c r="Q170" s="11" t="s">
        <v>90</v>
      </c>
      <c r="R170" s="11" t="s">
        <v>2727</v>
      </c>
      <c r="S170" s="11" t="s">
        <v>2728</v>
      </c>
      <c r="T170" s="90" t="s">
        <v>1</v>
      </c>
      <c r="U170" s="90"/>
      <c r="V170" s="51">
        <v>46048</v>
      </c>
      <c r="W170" s="11" t="s">
        <v>1575</v>
      </c>
    </row>
    <row r="171" spans="1:23" ht="13" customHeight="1" x14ac:dyDescent="0.35">
      <c r="A171" s="11">
        <v>165</v>
      </c>
      <c r="B171" s="47">
        <v>203850788</v>
      </c>
      <c r="C171" s="94" t="s">
        <v>2293</v>
      </c>
      <c r="D171" s="11" t="s">
        <v>2294</v>
      </c>
      <c r="E171" s="48" t="s">
        <v>31</v>
      </c>
      <c r="F171" s="48" t="s">
        <v>74</v>
      </c>
      <c r="G171" s="11" t="s">
        <v>64</v>
      </c>
      <c r="H171" s="11" t="s">
        <v>75</v>
      </c>
      <c r="I171" s="11">
        <v>1299</v>
      </c>
      <c r="J171" s="49" t="s">
        <v>39</v>
      </c>
      <c r="K171" s="49" t="s">
        <v>76</v>
      </c>
      <c r="L171" s="49" t="s">
        <v>84</v>
      </c>
      <c r="M171" s="49" t="s">
        <v>85</v>
      </c>
      <c r="N171" s="48" t="s">
        <v>79</v>
      </c>
      <c r="O171" s="49" t="s">
        <v>67</v>
      </c>
      <c r="P171" s="11" t="s">
        <v>80</v>
      </c>
      <c r="Q171" s="11" t="s">
        <v>81</v>
      </c>
      <c r="R171" s="11" t="s">
        <v>2727</v>
      </c>
      <c r="S171" s="11" t="s">
        <v>2728</v>
      </c>
      <c r="T171" s="90" t="s">
        <v>1</v>
      </c>
      <c r="U171" s="90"/>
      <c r="V171" s="51">
        <v>45524</v>
      </c>
      <c r="W171" s="11" t="s">
        <v>1575</v>
      </c>
    </row>
    <row r="172" spans="1:23" ht="13" customHeight="1" x14ac:dyDescent="0.35">
      <c r="A172" s="11">
        <v>166</v>
      </c>
      <c r="B172" s="11">
        <v>206873785</v>
      </c>
      <c r="C172" s="94" t="s">
        <v>1755</v>
      </c>
      <c r="D172" s="11" t="s">
        <v>1756</v>
      </c>
      <c r="E172" s="48" t="s">
        <v>31</v>
      </c>
      <c r="F172" s="48" t="s">
        <v>74</v>
      </c>
      <c r="G172" s="48" t="s">
        <v>64</v>
      </c>
      <c r="H172" s="48" t="s">
        <v>75</v>
      </c>
      <c r="I172" s="11">
        <v>1299</v>
      </c>
      <c r="J172" s="49" t="s">
        <v>39</v>
      </c>
      <c r="K172" s="49" t="s">
        <v>76</v>
      </c>
      <c r="L172" s="49" t="s">
        <v>84</v>
      </c>
      <c r="M172" s="49" t="s">
        <v>85</v>
      </c>
      <c r="N172" s="49" t="s">
        <v>89</v>
      </c>
      <c r="O172" s="11" t="s">
        <v>67</v>
      </c>
      <c r="P172" s="48" t="s">
        <v>80</v>
      </c>
      <c r="Q172" s="11" t="s">
        <v>90</v>
      </c>
      <c r="R172" s="11" t="s">
        <v>2727</v>
      </c>
      <c r="S172" s="11" t="s">
        <v>2728</v>
      </c>
      <c r="T172" s="90" t="s">
        <v>1</v>
      </c>
      <c r="U172" s="89"/>
      <c r="V172" s="51">
        <v>46020</v>
      </c>
      <c r="W172" s="11" t="s">
        <v>1575</v>
      </c>
    </row>
    <row r="173" spans="1:23" ht="13" customHeight="1" x14ac:dyDescent="0.35">
      <c r="A173" s="11">
        <v>167</v>
      </c>
      <c r="B173" s="47">
        <v>204319468</v>
      </c>
      <c r="C173" s="94" t="s">
        <v>139</v>
      </c>
      <c r="D173" s="11" t="s">
        <v>1973</v>
      </c>
      <c r="E173" s="48" t="s">
        <v>31</v>
      </c>
      <c r="F173" s="48" t="s">
        <v>74</v>
      </c>
      <c r="G173" s="11" t="s">
        <v>64</v>
      </c>
      <c r="H173" s="11" t="s">
        <v>75</v>
      </c>
      <c r="I173" s="11">
        <v>1299</v>
      </c>
      <c r="J173" s="49" t="s">
        <v>32</v>
      </c>
      <c r="K173" s="49" t="s">
        <v>76</v>
      </c>
      <c r="L173" s="49" t="s">
        <v>92</v>
      </c>
      <c r="M173" s="49" t="s">
        <v>84</v>
      </c>
      <c r="N173" s="48" t="s">
        <v>86</v>
      </c>
      <c r="O173" s="49" t="s">
        <v>67</v>
      </c>
      <c r="P173" s="11" t="s">
        <v>80</v>
      </c>
      <c r="Q173" s="11" t="s">
        <v>87</v>
      </c>
      <c r="R173" s="11" t="s">
        <v>2727</v>
      </c>
      <c r="S173" s="11" t="s">
        <v>2728</v>
      </c>
      <c r="T173" s="90" t="s">
        <v>1</v>
      </c>
      <c r="U173" s="89"/>
      <c r="V173" s="51">
        <v>45589</v>
      </c>
      <c r="W173" s="11" t="s">
        <v>1575</v>
      </c>
    </row>
    <row r="174" spans="1:23" ht="13" customHeight="1" x14ac:dyDescent="0.35">
      <c r="A174" s="11">
        <v>168</v>
      </c>
      <c r="B174" s="47">
        <v>204868856</v>
      </c>
      <c r="C174" s="94" t="s">
        <v>140</v>
      </c>
      <c r="D174" s="11" t="s">
        <v>141</v>
      </c>
      <c r="E174" s="48" t="s">
        <v>31</v>
      </c>
      <c r="F174" s="48" t="s">
        <v>74</v>
      </c>
      <c r="G174" s="11" t="s">
        <v>64</v>
      </c>
      <c r="H174" s="11" t="s">
        <v>75</v>
      </c>
      <c r="I174" s="11">
        <v>1299</v>
      </c>
      <c r="J174" s="49" t="s">
        <v>39</v>
      </c>
      <c r="K174" s="49" t="s">
        <v>76</v>
      </c>
      <c r="L174" s="49" t="s">
        <v>88</v>
      </c>
      <c r="M174" s="49" t="s">
        <v>95</v>
      </c>
      <c r="N174" s="49" t="s">
        <v>89</v>
      </c>
      <c r="O174" s="49" t="s">
        <v>67</v>
      </c>
      <c r="P174" s="11" t="s">
        <v>80</v>
      </c>
      <c r="Q174" s="11" t="s">
        <v>87</v>
      </c>
      <c r="R174" s="11" t="s">
        <v>2727</v>
      </c>
      <c r="S174" s="11" t="s">
        <v>2728</v>
      </c>
      <c r="T174" s="90" t="s">
        <v>10</v>
      </c>
      <c r="U174" s="90"/>
      <c r="V174" s="51">
        <v>45691</v>
      </c>
      <c r="W174" s="11" t="s">
        <v>1575</v>
      </c>
    </row>
    <row r="175" spans="1:23" ht="13" customHeight="1" x14ac:dyDescent="0.35">
      <c r="A175" s="11">
        <v>169</v>
      </c>
      <c r="B175" s="47">
        <v>206953812</v>
      </c>
      <c r="C175" s="94" t="s">
        <v>2141</v>
      </c>
      <c r="D175" s="11" t="s">
        <v>2069</v>
      </c>
      <c r="E175" s="48" t="s">
        <v>31</v>
      </c>
      <c r="F175" s="48" t="s">
        <v>74</v>
      </c>
      <c r="G175" s="11" t="s">
        <v>64</v>
      </c>
      <c r="H175" s="11" t="s">
        <v>75</v>
      </c>
      <c r="I175" s="11">
        <v>1299</v>
      </c>
      <c r="J175" s="49" t="s">
        <v>32</v>
      </c>
      <c r="K175" s="49" t="s">
        <v>76</v>
      </c>
      <c r="L175" s="49" t="s">
        <v>88</v>
      </c>
      <c r="M175" s="49" t="s">
        <v>95</v>
      </c>
      <c r="N175" s="48" t="s">
        <v>89</v>
      </c>
      <c r="O175" s="49" t="s">
        <v>67</v>
      </c>
      <c r="P175" s="11" t="s">
        <v>80</v>
      </c>
      <c r="Q175" s="11" t="s">
        <v>90</v>
      </c>
      <c r="R175" s="11" t="s">
        <v>2727</v>
      </c>
      <c r="S175" s="11" t="s">
        <v>2728</v>
      </c>
      <c r="T175" s="90" t="s">
        <v>10</v>
      </c>
      <c r="U175" s="91"/>
      <c r="V175" s="51">
        <v>46048</v>
      </c>
      <c r="W175" s="11" t="s">
        <v>1575</v>
      </c>
    </row>
    <row r="176" spans="1:23" ht="13" customHeight="1" x14ac:dyDescent="0.35">
      <c r="A176" s="11">
        <v>170</v>
      </c>
      <c r="B176" s="47">
        <v>205495602</v>
      </c>
      <c r="C176" s="94" t="s">
        <v>546</v>
      </c>
      <c r="D176" s="11" t="s">
        <v>1974</v>
      </c>
      <c r="E176" s="48" t="s">
        <v>31</v>
      </c>
      <c r="F176" s="48" t="s">
        <v>74</v>
      </c>
      <c r="G176" s="11" t="s">
        <v>64</v>
      </c>
      <c r="H176" s="11" t="s">
        <v>75</v>
      </c>
      <c r="I176" s="11">
        <v>1299</v>
      </c>
      <c r="J176" s="49" t="s">
        <v>39</v>
      </c>
      <c r="K176" s="49" t="s">
        <v>76</v>
      </c>
      <c r="L176" s="49" t="s">
        <v>95</v>
      </c>
      <c r="M176" s="49" t="s">
        <v>77</v>
      </c>
      <c r="N176" s="49" t="s">
        <v>89</v>
      </c>
      <c r="O176" s="49" t="s">
        <v>67</v>
      </c>
      <c r="P176" s="11" t="s">
        <v>80</v>
      </c>
      <c r="Q176" s="11" t="s">
        <v>96</v>
      </c>
      <c r="R176" s="11" t="s">
        <v>2727</v>
      </c>
      <c r="S176" s="11" t="s">
        <v>2728</v>
      </c>
      <c r="T176" s="90" t="s">
        <v>1</v>
      </c>
      <c r="U176" s="90"/>
      <c r="V176" s="51">
        <v>45831</v>
      </c>
      <c r="W176" s="11" t="s">
        <v>1575</v>
      </c>
    </row>
    <row r="177" spans="1:23" ht="13" customHeight="1" x14ac:dyDescent="0.35">
      <c r="A177" s="11">
        <v>171</v>
      </c>
      <c r="B177" s="47">
        <v>204299909</v>
      </c>
      <c r="C177" s="94" t="s">
        <v>2295</v>
      </c>
      <c r="D177" s="11" t="s">
        <v>2296</v>
      </c>
      <c r="E177" s="48" t="s">
        <v>31</v>
      </c>
      <c r="F177" s="48" t="s">
        <v>74</v>
      </c>
      <c r="G177" s="11" t="s">
        <v>64</v>
      </c>
      <c r="H177" s="11" t="s">
        <v>75</v>
      </c>
      <c r="I177" s="11">
        <v>1299</v>
      </c>
      <c r="J177" s="49" t="s">
        <v>32</v>
      </c>
      <c r="K177" s="49" t="s">
        <v>76</v>
      </c>
      <c r="L177" s="49" t="s">
        <v>77</v>
      </c>
      <c r="M177" s="49" t="s">
        <v>78</v>
      </c>
      <c r="N177" s="48" t="s">
        <v>86</v>
      </c>
      <c r="O177" s="49" t="s">
        <v>67</v>
      </c>
      <c r="P177" s="11" t="s">
        <v>80</v>
      </c>
      <c r="Q177" s="11" t="s">
        <v>87</v>
      </c>
      <c r="R177" s="11" t="s">
        <v>2727</v>
      </c>
      <c r="S177" s="11" t="s">
        <v>2728</v>
      </c>
      <c r="T177" s="90" t="s">
        <v>1</v>
      </c>
      <c r="U177" s="91"/>
      <c r="V177" s="51">
        <v>45589</v>
      </c>
      <c r="W177" s="11" t="s">
        <v>1575</v>
      </c>
    </row>
    <row r="178" spans="1:23" ht="13" customHeight="1" x14ac:dyDescent="0.35">
      <c r="A178" s="11">
        <v>172</v>
      </c>
      <c r="B178" s="47">
        <v>203850935</v>
      </c>
      <c r="C178" s="94" t="s">
        <v>2297</v>
      </c>
      <c r="D178" s="11" t="s">
        <v>2298</v>
      </c>
      <c r="E178" s="48" t="s">
        <v>31</v>
      </c>
      <c r="F178" s="48" t="s">
        <v>74</v>
      </c>
      <c r="G178" s="11" t="s">
        <v>64</v>
      </c>
      <c r="H178" s="11" t="s">
        <v>75</v>
      </c>
      <c r="I178" s="11">
        <v>1299</v>
      </c>
      <c r="J178" s="49" t="s">
        <v>32</v>
      </c>
      <c r="K178" s="49" t="s">
        <v>76</v>
      </c>
      <c r="L178" s="49" t="s">
        <v>77</v>
      </c>
      <c r="M178" s="49" t="s">
        <v>78</v>
      </c>
      <c r="N178" s="48" t="s">
        <v>79</v>
      </c>
      <c r="O178" s="49" t="s">
        <v>67</v>
      </c>
      <c r="P178" s="11" t="s">
        <v>80</v>
      </c>
      <c r="Q178" s="11" t="s">
        <v>81</v>
      </c>
      <c r="R178" s="11" t="s">
        <v>2727</v>
      </c>
      <c r="S178" s="11" t="s">
        <v>2728</v>
      </c>
      <c r="T178" s="90" t="s">
        <v>1</v>
      </c>
      <c r="U178" s="89"/>
      <c r="V178" s="51">
        <v>45524</v>
      </c>
      <c r="W178" s="11" t="s">
        <v>1575</v>
      </c>
    </row>
    <row r="179" spans="1:23" ht="13" customHeight="1" x14ac:dyDescent="0.35">
      <c r="A179" s="11">
        <v>173</v>
      </c>
      <c r="B179" s="47">
        <v>203679325</v>
      </c>
      <c r="C179" s="94" t="s">
        <v>2498</v>
      </c>
      <c r="D179" s="11" t="s">
        <v>2499</v>
      </c>
      <c r="E179" s="48" t="s">
        <v>31</v>
      </c>
      <c r="F179" s="48" t="s">
        <v>74</v>
      </c>
      <c r="G179" s="11" t="s">
        <v>64</v>
      </c>
      <c r="H179" s="11" t="s">
        <v>75</v>
      </c>
      <c r="I179" s="11">
        <v>1299</v>
      </c>
      <c r="J179" s="49" t="s">
        <v>32</v>
      </c>
      <c r="K179" s="49" t="s">
        <v>76</v>
      </c>
      <c r="L179" s="49" t="s">
        <v>92</v>
      </c>
      <c r="M179" s="49" t="s">
        <v>84</v>
      </c>
      <c r="N179" s="48" t="s">
        <v>79</v>
      </c>
      <c r="O179" s="49" t="s">
        <v>67</v>
      </c>
      <c r="P179" s="11" t="s">
        <v>80</v>
      </c>
      <c r="Q179" s="11" t="s">
        <v>81</v>
      </c>
      <c r="R179" s="11" t="s">
        <v>2727</v>
      </c>
      <c r="S179" s="11" t="s">
        <v>2728</v>
      </c>
      <c r="T179" s="90" t="s">
        <v>1</v>
      </c>
      <c r="U179" s="91"/>
      <c r="V179" s="51">
        <v>45488</v>
      </c>
      <c r="W179" s="11" t="s">
        <v>1575</v>
      </c>
    </row>
    <row r="180" spans="1:23" ht="13" customHeight="1" x14ac:dyDescent="0.35">
      <c r="A180" s="11">
        <v>174</v>
      </c>
      <c r="B180" s="47">
        <v>202238249</v>
      </c>
      <c r="C180" s="94" t="s">
        <v>142</v>
      </c>
      <c r="D180" s="11" t="s">
        <v>1975</v>
      </c>
      <c r="E180" s="48" t="s">
        <v>31</v>
      </c>
      <c r="F180" s="48" t="s">
        <v>74</v>
      </c>
      <c r="G180" s="11" t="s">
        <v>64</v>
      </c>
      <c r="H180" s="11" t="s">
        <v>75</v>
      </c>
      <c r="I180" s="11">
        <v>1299</v>
      </c>
      <c r="J180" s="49" t="s">
        <v>32</v>
      </c>
      <c r="K180" s="49" t="s">
        <v>76</v>
      </c>
      <c r="L180" s="49" t="s">
        <v>78</v>
      </c>
      <c r="M180" s="49" t="s">
        <v>92</v>
      </c>
      <c r="N180" s="48" t="s">
        <v>86</v>
      </c>
      <c r="O180" s="49" t="s">
        <v>67</v>
      </c>
      <c r="P180" s="11" t="s">
        <v>80</v>
      </c>
      <c r="Q180" s="11" t="s">
        <v>87</v>
      </c>
      <c r="R180" s="11" t="s">
        <v>2727</v>
      </c>
      <c r="S180" s="11" t="s">
        <v>2728</v>
      </c>
      <c r="T180" s="90" t="s">
        <v>1</v>
      </c>
      <c r="U180" s="89"/>
      <c r="V180" s="51">
        <v>45586</v>
      </c>
      <c r="W180" s="11" t="s">
        <v>1575</v>
      </c>
    </row>
    <row r="181" spans="1:23" ht="13" customHeight="1" x14ac:dyDescent="0.35">
      <c r="A181" s="11">
        <v>175</v>
      </c>
      <c r="B181" s="47">
        <v>102207652</v>
      </c>
      <c r="C181" s="94" t="s">
        <v>143</v>
      </c>
      <c r="D181" s="11" t="s">
        <v>1976</v>
      </c>
      <c r="E181" s="48" t="s">
        <v>34</v>
      </c>
      <c r="F181" s="48" t="s">
        <v>74</v>
      </c>
      <c r="G181" s="11" t="s">
        <v>64</v>
      </c>
      <c r="H181" s="11" t="s">
        <v>75</v>
      </c>
      <c r="I181" s="11">
        <v>1299</v>
      </c>
      <c r="J181" s="49" t="s">
        <v>39</v>
      </c>
      <c r="K181" s="49" t="s">
        <v>76</v>
      </c>
      <c r="L181" s="49" t="s">
        <v>88</v>
      </c>
      <c r="M181" s="49" t="s">
        <v>95</v>
      </c>
      <c r="N181" s="48" t="s">
        <v>108</v>
      </c>
      <c r="O181" s="49" t="s">
        <v>67</v>
      </c>
      <c r="P181" s="11" t="s">
        <v>80</v>
      </c>
      <c r="Q181" s="11" t="s">
        <v>98</v>
      </c>
      <c r="R181" s="11" t="s">
        <v>82</v>
      </c>
      <c r="S181" s="11" t="s">
        <v>2729</v>
      </c>
      <c r="T181" s="90" t="s">
        <v>10</v>
      </c>
      <c r="U181" s="89"/>
      <c r="V181" s="51">
        <v>42868</v>
      </c>
      <c r="W181" s="11" t="s">
        <v>1575</v>
      </c>
    </row>
    <row r="182" spans="1:23" ht="13" customHeight="1" x14ac:dyDescent="0.35">
      <c r="A182" s="11">
        <v>176</v>
      </c>
      <c r="B182" s="47">
        <v>203813085</v>
      </c>
      <c r="C182" s="94" t="s">
        <v>2299</v>
      </c>
      <c r="D182" s="11" t="s">
        <v>2300</v>
      </c>
      <c r="E182" s="48" t="s">
        <v>31</v>
      </c>
      <c r="F182" s="48" t="s">
        <v>74</v>
      </c>
      <c r="G182" s="11" t="s">
        <v>64</v>
      </c>
      <c r="H182" s="11" t="s">
        <v>75</v>
      </c>
      <c r="I182" s="11">
        <v>1299</v>
      </c>
      <c r="J182" s="49" t="s">
        <v>32</v>
      </c>
      <c r="K182" s="49" t="s">
        <v>76</v>
      </c>
      <c r="L182" s="49" t="s">
        <v>92</v>
      </c>
      <c r="M182" s="49" t="s">
        <v>84</v>
      </c>
      <c r="N182" s="48" t="s">
        <v>86</v>
      </c>
      <c r="O182" s="49" t="s">
        <v>67</v>
      </c>
      <c r="P182" s="11" t="s">
        <v>80</v>
      </c>
      <c r="Q182" s="11" t="s">
        <v>99</v>
      </c>
      <c r="R182" s="11" t="s">
        <v>2727</v>
      </c>
      <c r="S182" s="11" t="s">
        <v>2728</v>
      </c>
      <c r="T182" s="90" t="s">
        <v>1</v>
      </c>
      <c r="U182" s="91"/>
      <c r="V182" s="51">
        <v>45517</v>
      </c>
      <c r="W182" s="11" t="s">
        <v>1575</v>
      </c>
    </row>
    <row r="183" spans="1:23" ht="13" customHeight="1" x14ac:dyDescent="0.35">
      <c r="A183" s="11">
        <v>177</v>
      </c>
      <c r="B183" s="47">
        <v>206875145</v>
      </c>
      <c r="C183" s="94" t="s">
        <v>1731</v>
      </c>
      <c r="D183" s="11" t="s">
        <v>1732</v>
      </c>
      <c r="E183" s="48" t="s">
        <v>31</v>
      </c>
      <c r="F183" s="48" t="s">
        <v>74</v>
      </c>
      <c r="G183" s="48" t="s">
        <v>64</v>
      </c>
      <c r="H183" s="48" t="s">
        <v>75</v>
      </c>
      <c r="I183" s="11">
        <v>1299</v>
      </c>
      <c r="J183" s="49" t="s">
        <v>32</v>
      </c>
      <c r="K183" s="49" t="s">
        <v>76</v>
      </c>
      <c r="L183" s="49" t="s">
        <v>92</v>
      </c>
      <c r="M183" s="49" t="s">
        <v>84</v>
      </c>
      <c r="N183" s="49" t="s">
        <v>89</v>
      </c>
      <c r="O183" s="48" t="s">
        <v>67</v>
      </c>
      <c r="P183" s="48" t="s">
        <v>80</v>
      </c>
      <c r="Q183" s="11" t="s">
        <v>90</v>
      </c>
      <c r="R183" s="11" t="s">
        <v>2727</v>
      </c>
      <c r="S183" s="11" t="s">
        <v>2728</v>
      </c>
      <c r="T183" s="90" t="s">
        <v>1</v>
      </c>
      <c r="U183" s="89"/>
      <c r="V183" s="51">
        <v>46020</v>
      </c>
      <c r="W183" s="11" t="s">
        <v>1575</v>
      </c>
    </row>
    <row r="184" spans="1:23" ht="13" customHeight="1" x14ac:dyDescent="0.35">
      <c r="A184" s="11">
        <v>178</v>
      </c>
      <c r="B184" s="47">
        <v>206136724</v>
      </c>
      <c r="C184" s="94" t="s">
        <v>2500</v>
      </c>
      <c r="D184" s="11" t="s">
        <v>2501</v>
      </c>
      <c r="E184" s="48" t="s">
        <v>31</v>
      </c>
      <c r="F184" s="48" t="s">
        <v>74</v>
      </c>
      <c r="G184" s="11" t="s">
        <v>64</v>
      </c>
      <c r="H184" s="11" t="s">
        <v>75</v>
      </c>
      <c r="I184" s="11">
        <v>1299</v>
      </c>
      <c r="J184" s="49" t="s">
        <v>32</v>
      </c>
      <c r="K184" s="49" t="s">
        <v>76</v>
      </c>
      <c r="L184" s="49" t="s">
        <v>92</v>
      </c>
      <c r="M184" s="49" t="s">
        <v>84</v>
      </c>
      <c r="N184" s="49" t="s">
        <v>89</v>
      </c>
      <c r="O184" s="49" t="s">
        <v>67</v>
      </c>
      <c r="P184" s="11" t="s">
        <v>80</v>
      </c>
      <c r="Q184" s="11" t="s">
        <v>81</v>
      </c>
      <c r="R184" s="11" t="s">
        <v>2727</v>
      </c>
      <c r="S184" s="11" t="s">
        <v>2728</v>
      </c>
      <c r="T184" s="90" t="s">
        <v>1</v>
      </c>
      <c r="U184" s="91"/>
      <c r="V184" s="51">
        <v>45932</v>
      </c>
      <c r="W184" s="11" t="s">
        <v>1575</v>
      </c>
    </row>
    <row r="185" spans="1:23" ht="13" customHeight="1" x14ac:dyDescent="0.35">
      <c r="A185" s="11">
        <v>179</v>
      </c>
      <c r="B185" s="47">
        <v>204329123</v>
      </c>
      <c r="C185" s="94" t="s">
        <v>2301</v>
      </c>
      <c r="D185" s="11" t="s">
        <v>2302</v>
      </c>
      <c r="E185" s="48" t="s">
        <v>31</v>
      </c>
      <c r="F185" s="48" t="s">
        <v>74</v>
      </c>
      <c r="G185" s="11" t="s">
        <v>64</v>
      </c>
      <c r="H185" s="11" t="s">
        <v>75</v>
      </c>
      <c r="I185" s="11">
        <v>1299</v>
      </c>
      <c r="J185" s="49" t="s">
        <v>39</v>
      </c>
      <c r="K185" s="49" t="s">
        <v>76</v>
      </c>
      <c r="L185" s="49" t="s">
        <v>77</v>
      </c>
      <c r="M185" s="49" t="s">
        <v>78</v>
      </c>
      <c r="N185" s="48" t="s">
        <v>86</v>
      </c>
      <c r="O185" s="49" t="s">
        <v>67</v>
      </c>
      <c r="P185" s="11" t="s">
        <v>80</v>
      </c>
      <c r="Q185" s="11" t="s">
        <v>87</v>
      </c>
      <c r="R185" s="11" t="s">
        <v>2727</v>
      </c>
      <c r="S185" s="11" t="s">
        <v>2728</v>
      </c>
      <c r="T185" s="90" t="s">
        <v>1</v>
      </c>
      <c r="U185" s="89"/>
      <c r="V185" s="51">
        <v>45589</v>
      </c>
      <c r="W185" s="11" t="s">
        <v>1575</v>
      </c>
    </row>
    <row r="186" spans="1:23" ht="13" customHeight="1" x14ac:dyDescent="0.35">
      <c r="A186" s="11">
        <v>180</v>
      </c>
      <c r="B186" s="47">
        <v>206851163</v>
      </c>
      <c r="C186" s="94" t="s">
        <v>1742</v>
      </c>
      <c r="D186" s="11" t="s">
        <v>1743</v>
      </c>
      <c r="E186" s="48" t="s">
        <v>31</v>
      </c>
      <c r="F186" s="48" t="s">
        <v>74</v>
      </c>
      <c r="G186" s="48" t="s">
        <v>64</v>
      </c>
      <c r="H186" s="48" t="s">
        <v>75</v>
      </c>
      <c r="I186" s="11">
        <v>1299</v>
      </c>
      <c r="J186" s="49" t="s">
        <v>32</v>
      </c>
      <c r="K186" s="49" t="s">
        <v>76</v>
      </c>
      <c r="L186" s="49" t="s">
        <v>85</v>
      </c>
      <c r="M186" s="49" t="s">
        <v>88</v>
      </c>
      <c r="N186" s="49" t="s">
        <v>89</v>
      </c>
      <c r="O186" s="48" t="s">
        <v>67</v>
      </c>
      <c r="P186" s="48" t="s">
        <v>80</v>
      </c>
      <c r="Q186" s="11" t="s">
        <v>90</v>
      </c>
      <c r="R186" s="11" t="s">
        <v>2727</v>
      </c>
      <c r="S186" s="11" t="s">
        <v>2728</v>
      </c>
      <c r="T186" s="90" t="s">
        <v>10</v>
      </c>
      <c r="U186" s="91"/>
      <c r="V186" s="51">
        <v>46020</v>
      </c>
      <c r="W186" s="11" t="s">
        <v>1575</v>
      </c>
    </row>
    <row r="187" spans="1:23" ht="13" customHeight="1" x14ac:dyDescent="0.35">
      <c r="A187" s="11">
        <v>181</v>
      </c>
      <c r="B187" s="47">
        <v>203469083</v>
      </c>
      <c r="C187" s="94" t="s">
        <v>2303</v>
      </c>
      <c r="D187" s="11" t="s">
        <v>2304</v>
      </c>
      <c r="E187" s="48" t="s">
        <v>31</v>
      </c>
      <c r="F187" s="48" t="s">
        <v>74</v>
      </c>
      <c r="G187" s="11" t="s">
        <v>64</v>
      </c>
      <c r="H187" s="11" t="s">
        <v>75</v>
      </c>
      <c r="I187" s="11">
        <v>1299</v>
      </c>
      <c r="J187" s="49" t="s">
        <v>39</v>
      </c>
      <c r="K187" s="49" t="s">
        <v>76</v>
      </c>
      <c r="L187" s="49" t="s">
        <v>92</v>
      </c>
      <c r="M187" s="49" t="s">
        <v>84</v>
      </c>
      <c r="N187" s="48" t="s">
        <v>79</v>
      </c>
      <c r="O187" s="49" t="s">
        <v>67</v>
      </c>
      <c r="P187" s="11" t="s">
        <v>80</v>
      </c>
      <c r="Q187" s="11" t="s">
        <v>81</v>
      </c>
      <c r="R187" s="11" t="s">
        <v>2727</v>
      </c>
      <c r="S187" s="11" t="s">
        <v>2728</v>
      </c>
      <c r="T187" s="90" t="s">
        <v>1</v>
      </c>
      <c r="U187" s="89"/>
      <c r="V187" s="51">
        <v>45456</v>
      </c>
      <c r="W187" s="11" t="s">
        <v>1575</v>
      </c>
    </row>
    <row r="188" spans="1:23" ht="13" customHeight="1" x14ac:dyDescent="0.35">
      <c r="A188" s="11">
        <v>182</v>
      </c>
      <c r="B188" s="47">
        <v>203679326</v>
      </c>
      <c r="C188" s="94" t="s">
        <v>2305</v>
      </c>
      <c r="D188" s="11" t="s">
        <v>2306</v>
      </c>
      <c r="E188" s="48" t="s">
        <v>31</v>
      </c>
      <c r="F188" s="48" t="s">
        <v>74</v>
      </c>
      <c r="G188" s="11" t="s">
        <v>64</v>
      </c>
      <c r="H188" s="11" t="s">
        <v>75</v>
      </c>
      <c r="I188" s="11">
        <v>1299</v>
      </c>
      <c r="J188" s="49" t="s">
        <v>32</v>
      </c>
      <c r="K188" s="49" t="s">
        <v>76</v>
      </c>
      <c r="L188" s="49" t="s">
        <v>77</v>
      </c>
      <c r="M188" s="49" t="s">
        <v>78</v>
      </c>
      <c r="N188" s="48" t="s">
        <v>79</v>
      </c>
      <c r="O188" s="49" t="s">
        <v>67</v>
      </c>
      <c r="P188" s="11" t="s">
        <v>80</v>
      </c>
      <c r="Q188" s="11" t="s">
        <v>81</v>
      </c>
      <c r="R188" s="11" t="s">
        <v>2727</v>
      </c>
      <c r="S188" s="11" t="s">
        <v>2728</v>
      </c>
      <c r="T188" s="90" t="s">
        <v>1</v>
      </c>
      <c r="U188" s="91"/>
      <c r="V188" s="51">
        <v>45488</v>
      </c>
      <c r="W188" s="11" t="s">
        <v>1575</v>
      </c>
    </row>
    <row r="189" spans="1:23" ht="13" customHeight="1" x14ac:dyDescent="0.35">
      <c r="A189" s="11">
        <v>183</v>
      </c>
      <c r="B189" s="47">
        <v>205301874</v>
      </c>
      <c r="C189" s="94" t="s">
        <v>1664</v>
      </c>
      <c r="D189" s="11" t="s">
        <v>1977</v>
      </c>
      <c r="E189" s="48" t="s">
        <v>31</v>
      </c>
      <c r="F189" s="48" t="s">
        <v>74</v>
      </c>
      <c r="G189" s="11" t="s">
        <v>64</v>
      </c>
      <c r="H189" s="11" t="s">
        <v>75</v>
      </c>
      <c r="I189" s="11">
        <v>1299</v>
      </c>
      <c r="J189" s="49" t="s">
        <v>32</v>
      </c>
      <c r="K189" s="49" t="s">
        <v>76</v>
      </c>
      <c r="L189" s="49" t="s">
        <v>77</v>
      </c>
      <c r="M189" s="49" t="s">
        <v>78</v>
      </c>
      <c r="N189" s="49" t="s">
        <v>89</v>
      </c>
      <c r="O189" s="49" t="s">
        <v>67</v>
      </c>
      <c r="P189" s="11" t="s">
        <v>80</v>
      </c>
      <c r="Q189" s="11" t="s">
        <v>96</v>
      </c>
      <c r="R189" s="11" t="s">
        <v>2727</v>
      </c>
      <c r="S189" s="11" t="s">
        <v>2728</v>
      </c>
      <c r="T189" s="90" t="s">
        <v>7</v>
      </c>
      <c r="U189" s="90" t="s">
        <v>2914</v>
      </c>
      <c r="V189" s="51">
        <v>45950</v>
      </c>
      <c r="W189" s="11" t="s">
        <v>1575</v>
      </c>
    </row>
    <row r="190" spans="1:23" ht="13" customHeight="1" x14ac:dyDescent="0.35">
      <c r="A190" s="11">
        <v>184</v>
      </c>
      <c r="B190" s="47">
        <v>206008708</v>
      </c>
      <c r="C190" s="94" t="s">
        <v>2307</v>
      </c>
      <c r="D190" s="11" t="s">
        <v>2308</v>
      </c>
      <c r="E190" s="48" t="s">
        <v>31</v>
      </c>
      <c r="F190" s="48" t="s">
        <v>74</v>
      </c>
      <c r="G190" s="11" t="s">
        <v>64</v>
      </c>
      <c r="H190" s="11" t="s">
        <v>75</v>
      </c>
      <c r="I190" s="11">
        <v>1299</v>
      </c>
      <c r="J190" s="49" t="s">
        <v>32</v>
      </c>
      <c r="K190" s="49" t="s">
        <v>76</v>
      </c>
      <c r="L190" s="49" t="s">
        <v>77</v>
      </c>
      <c r="M190" s="49" t="s">
        <v>78</v>
      </c>
      <c r="N190" s="49" t="s">
        <v>89</v>
      </c>
      <c r="O190" s="49" t="s">
        <v>67</v>
      </c>
      <c r="P190" s="11" t="s">
        <v>80</v>
      </c>
      <c r="Q190" s="11" t="s">
        <v>81</v>
      </c>
      <c r="R190" s="11" t="s">
        <v>2727</v>
      </c>
      <c r="S190" s="11" t="s">
        <v>2728</v>
      </c>
      <c r="T190" s="90" t="s">
        <v>1</v>
      </c>
      <c r="U190" s="91"/>
      <c r="V190" s="51">
        <v>45915</v>
      </c>
      <c r="W190" s="11" t="s">
        <v>1575</v>
      </c>
    </row>
    <row r="191" spans="1:23" ht="13" customHeight="1" x14ac:dyDescent="0.35">
      <c r="A191" s="11">
        <v>185</v>
      </c>
      <c r="B191" s="47">
        <v>206873881</v>
      </c>
      <c r="C191" s="94" t="s">
        <v>1715</v>
      </c>
      <c r="D191" s="11" t="s">
        <v>1716</v>
      </c>
      <c r="E191" s="48" t="s">
        <v>31</v>
      </c>
      <c r="F191" s="48" t="s">
        <v>74</v>
      </c>
      <c r="G191" s="48" t="s">
        <v>64</v>
      </c>
      <c r="H191" s="48" t="s">
        <v>75</v>
      </c>
      <c r="I191" s="11">
        <v>1299</v>
      </c>
      <c r="J191" s="49" t="s">
        <v>32</v>
      </c>
      <c r="K191" s="49" t="s">
        <v>76</v>
      </c>
      <c r="L191" s="49" t="s">
        <v>77</v>
      </c>
      <c r="M191" s="49" t="s">
        <v>78</v>
      </c>
      <c r="N191" s="49" t="s">
        <v>89</v>
      </c>
      <c r="O191" s="48" t="s">
        <v>67</v>
      </c>
      <c r="P191" s="48" t="s">
        <v>80</v>
      </c>
      <c r="Q191" s="11" t="s">
        <v>90</v>
      </c>
      <c r="R191" s="11" t="s">
        <v>2727</v>
      </c>
      <c r="S191" s="11" t="s">
        <v>2728</v>
      </c>
      <c r="T191" s="90" t="s">
        <v>1</v>
      </c>
      <c r="U191" s="89"/>
      <c r="V191" s="51">
        <v>46020</v>
      </c>
      <c r="W191" s="11" t="s">
        <v>1575</v>
      </c>
    </row>
    <row r="192" spans="1:23" ht="13" customHeight="1" x14ac:dyDescent="0.35">
      <c r="A192" s="11">
        <v>186</v>
      </c>
      <c r="B192" s="47">
        <v>206175107</v>
      </c>
      <c r="C192" s="94" t="s">
        <v>2502</v>
      </c>
      <c r="D192" s="11" t="s">
        <v>2503</v>
      </c>
      <c r="E192" s="48" t="s">
        <v>31</v>
      </c>
      <c r="F192" s="48" t="s">
        <v>74</v>
      </c>
      <c r="G192" s="11" t="s">
        <v>64</v>
      </c>
      <c r="H192" s="11" t="s">
        <v>75</v>
      </c>
      <c r="I192" s="11">
        <v>1299</v>
      </c>
      <c r="J192" s="49" t="s">
        <v>32</v>
      </c>
      <c r="K192" s="49" t="s">
        <v>76</v>
      </c>
      <c r="L192" s="49" t="s">
        <v>77</v>
      </c>
      <c r="M192" s="49" t="s">
        <v>78</v>
      </c>
      <c r="N192" s="49" t="s">
        <v>89</v>
      </c>
      <c r="O192" s="49" t="s">
        <v>67</v>
      </c>
      <c r="P192" s="11" t="s">
        <v>80</v>
      </c>
      <c r="Q192" s="11" t="s">
        <v>81</v>
      </c>
      <c r="R192" s="11" t="s">
        <v>2727</v>
      </c>
      <c r="S192" s="11" t="s">
        <v>2728</v>
      </c>
      <c r="T192" s="90" t="s">
        <v>7</v>
      </c>
      <c r="U192" s="91"/>
      <c r="V192" s="51">
        <v>45932</v>
      </c>
      <c r="W192" s="11" t="s">
        <v>1575</v>
      </c>
    </row>
    <row r="193" spans="1:23" ht="13" customHeight="1" x14ac:dyDescent="0.35">
      <c r="A193" s="11">
        <v>187</v>
      </c>
      <c r="B193" s="47">
        <v>203469455</v>
      </c>
      <c r="C193" s="94" t="s">
        <v>2309</v>
      </c>
      <c r="D193" s="11" t="s">
        <v>2310</v>
      </c>
      <c r="E193" s="48" t="s">
        <v>31</v>
      </c>
      <c r="F193" s="48" t="s">
        <v>74</v>
      </c>
      <c r="G193" s="11" t="s">
        <v>64</v>
      </c>
      <c r="H193" s="11" t="s">
        <v>75</v>
      </c>
      <c r="I193" s="11">
        <v>1299</v>
      </c>
      <c r="J193" s="49" t="s">
        <v>39</v>
      </c>
      <c r="K193" s="49" t="s">
        <v>76</v>
      </c>
      <c r="L193" s="49" t="s">
        <v>85</v>
      </c>
      <c r="M193" s="49" t="s">
        <v>88</v>
      </c>
      <c r="N193" s="48" t="s">
        <v>86</v>
      </c>
      <c r="O193" s="49" t="s">
        <v>67</v>
      </c>
      <c r="P193" s="11" t="s">
        <v>80</v>
      </c>
      <c r="Q193" s="11" t="s">
        <v>99</v>
      </c>
      <c r="R193" s="11" t="s">
        <v>2727</v>
      </c>
      <c r="S193" s="11" t="s">
        <v>2728</v>
      </c>
      <c r="T193" s="90" t="s">
        <v>10</v>
      </c>
      <c r="U193" s="90"/>
      <c r="V193" s="51">
        <v>45456</v>
      </c>
      <c r="W193" s="11" t="s">
        <v>1575</v>
      </c>
    </row>
    <row r="194" spans="1:23" ht="13" customHeight="1" x14ac:dyDescent="0.35">
      <c r="A194" s="11">
        <v>188</v>
      </c>
      <c r="B194" s="47">
        <v>203813088</v>
      </c>
      <c r="C194" s="94" t="s">
        <v>144</v>
      </c>
      <c r="D194" s="11" t="s">
        <v>1979</v>
      </c>
      <c r="E194" s="48" t="s">
        <v>31</v>
      </c>
      <c r="F194" s="48" t="s">
        <v>74</v>
      </c>
      <c r="G194" s="11" t="s">
        <v>64</v>
      </c>
      <c r="H194" s="11" t="s">
        <v>75</v>
      </c>
      <c r="I194" s="11">
        <v>1299</v>
      </c>
      <c r="J194" s="49" t="s">
        <v>39</v>
      </c>
      <c r="K194" s="49" t="s">
        <v>76</v>
      </c>
      <c r="L194" s="49" t="s">
        <v>92</v>
      </c>
      <c r="M194" s="49" t="s">
        <v>84</v>
      </c>
      <c r="N194" s="48" t="s">
        <v>86</v>
      </c>
      <c r="O194" s="49" t="s">
        <v>67</v>
      </c>
      <c r="P194" s="11" t="s">
        <v>80</v>
      </c>
      <c r="Q194" s="11" t="s">
        <v>99</v>
      </c>
      <c r="R194" s="11" t="s">
        <v>2727</v>
      </c>
      <c r="S194" s="11" t="s">
        <v>2728</v>
      </c>
      <c r="T194" s="90" t="s">
        <v>1</v>
      </c>
      <c r="U194" s="89"/>
      <c r="V194" s="51">
        <v>45517</v>
      </c>
      <c r="W194" s="11" t="s">
        <v>1575</v>
      </c>
    </row>
    <row r="195" spans="1:23" ht="13" customHeight="1" x14ac:dyDescent="0.35">
      <c r="A195" s="11">
        <v>189</v>
      </c>
      <c r="B195" s="47">
        <v>204072320</v>
      </c>
      <c r="C195" s="94" t="s">
        <v>145</v>
      </c>
      <c r="D195" s="11" t="s">
        <v>1980</v>
      </c>
      <c r="E195" s="48" t="s">
        <v>31</v>
      </c>
      <c r="F195" s="48" t="s">
        <v>74</v>
      </c>
      <c r="G195" s="11" t="s">
        <v>64</v>
      </c>
      <c r="H195" s="11" t="s">
        <v>75</v>
      </c>
      <c r="I195" s="11">
        <v>1299</v>
      </c>
      <c r="J195" s="49" t="s">
        <v>39</v>
      </c>
      <c r="K195" s="49" t="s">
        <v>76</v>
      </c>
      <c r="L195" s="49" t="s">
        <v>85</v>
      </c>
      <c r="M195" s="49" t="s">
        <v>88</v>
      </c>
      <c r="N195" s="49" t="s">
        <v>89</v>
      </c>
      <c r="O195" s="49" t="s">
        <v>67</v>
      </c>
      <c r="P195" s="11" t="s">
        <v>80</v>
      </c>
      <c r="Q195" s="11" t="s">
        <v>90</v>
      </c>
      <c r="R195" s="11" t="s">
        <v>2727</v>
      </c>
      <c r="S195" s="11" t="s">
        <v>2728</v>
      </c>
      <c r="T195" s="90" t="s">
        <v>10</v>
      </c>
      <c r="U195" s="89"/>
      <c r="V195" s="51">
        <v>45684</v>
      </c>
      <c r="W195" s="11" t="s">
        <v>1575</v>
      </c>
    </row>
    <row r="196" spans="1:23" ht="13" customHeight="1" x14ac:dyDescent="0.35">
      <c r="A196" s="11">
        <v>190</v>
      </c>
      <c r="B196" s="47">
        <v>204299908</v>
      </c>
      <c r="C196" s="94" t="s">
        <v>146</v>
      </c>
      <c r="D196" s="11" t="s">
        <v>1981</v>
      </c>
      <c r="E196" s="48" t="s">
        <v>31</v>
      </c>
      <c r="F196" s="48" t="s">
        <v>74</v>
      </c>
      <c r="G196" s="11" t="s">
        <v>64</v>
      </c>
      <c r="H196" s="11" t="s">
        <v>75</v>
      </c>
      <c r="I196" s="11">
        <v>1299</v>
      </c>
      <c r="J196" s="49" t="s">
        <v>39</v>
      </c>
      <c r="K196" s="49" t="s">
        <v>76</v>
      </c>
      <c r="L196" s="49" t="s">
        <v>77</v>
      </c>
      <c r="M196" s="49" t="s">
        <v>78</v>
      </c>
      <c r="N196" s="48" t="s">
        <v>86</v>
      </c>
      <c r="O196" s="49" t="s">
        <v>67</v>
      </c>
      <c r="P196" s="11" t="s">
        <v>80</v>
      </c>
      <c r="Q196" s="11" t="s">
        <v>87</v>
      </c>
      <c r="R196" s="11" t="s">
        <v>2727</v>
      </c>
      <c r="S196" s="11" t="s">
        <v>2728</v>
      </c>
      <c r="T196" s="90" t="s">
        <v>1</v>
      </c>
      <c r="U196" s="89"/>
      <c r="V196" s="51">
        <v>45589</v>
      </c>
      <c r="W196" s="11" t="s">
        <v>1575</v>
      </c>
    </row>
    <row r="197" spans="1:23" ht="13" customHeight="1" x14ac:dyDescent="0.35">
      <c r="A197" s="11">
        <v>191</v>
      </c>
      <c r="B197" s="47">
        <v>205647585</v>
      </c>
      <c r="C197" s="94" t="s">
        <v>2311</v>
      </c>
      <c r="D197" s="11" t="s">
        <v>2312</v>
      </c>
      <c r="E197" s="48" t="s">
        <v>31</v>
      </c>
      <c r="F197" s="48" t="s">
        <v>74</v>
      </c>
      <c r="G197" s="11" t="s">
        <v>64</v>
      </c>
      <c r="H197" s="11" t="s">
        <v>75</v>
      </c>
      <c r="I197" s="11">
        <v>1299</v>
      </c>
      <c r="J197" s="49" t="s">
        <v>32</v>
      </c>
      <c r="K197" s="49" t="s">
        <v>76</v>
      </c>
      <c r="L197" s="49" t="s">
        <v>95</v>
      </c>
      <c r="M197" s="49" t="s">
        <v>77</v>
      </c>
      <c r="N197" s="49" t="s">
        <v>89</v>
      </c>
      <c r="O197" s="49" t="s">
        <v>67</v>
      </c>
      <c r="P197" s="11" t="s">
        <v>80</v>
      </c>
      <c r="Q197" s="11" t="s">
        <v>96</v>
      </c>
      <c r="R197" s="11" t="s">
        <v>2727</v>
      </c>
      <c r="S197" s="11" t="s">
        <v>2728</v>
      </c>
      <c r="T197" s="90" t="s">
        <v>1</v>
      </c>
      <c r="U197" s="89"/>
      <c r="V197" s="51">
        <v>45852</v>
      </c>
      <c r="W197" s="11" t="s">
        <v>1575</v>
      </c>
    </row>
    <row r="198" spans="1:23" ht="13" customHeight="1" x14ac:dyDescent="0.35">
      <c r="A198" s="11">
        <v>192</v>
      </c>
      <c r="B198" s="47">
        <v>205647825</v>
      </c>
      <c r="C198" s="94" t="s">
        <v>147</v>
      </c>
      <c r="D198" s="11" t="s">
        <v>1982</v>
      </c>
      <c r="E198" s="48" t="s">
        <v>31</v>
      </c>
      <c r="F198" s="48" t="s">
        <v>74</v>
      </c>
      <c r="G198" s="11" t="s">
        <v>64</v>
      </c>
      <c r="H198" s="11" t="s">
        <v>75</v>
      </c>
      <c r="I198" s="11">
        <v>1299</v>
      </c>
      <c r="J198" s="49" t="s">
        <v>32</v>
      </c>
      <c r="K198" s="49" t="s">
        <v>76</v>
      </c>
      <c r="L198" s="49" t="s">
        <v>88</v>
      </c>
      <c r="M198" s="49" t="s">
        <v>95</v>
      </c>
      <c r="N198" s="49" t="s">
        <v>89</v>
      </c>
      <c r="O198" s="49" t="s">
        <v>67</v>
      </c>
      <c r="P198" s="11" t="s">
        <v>80</v>
      </c>
      <c r="Q198" s="11" t="s">
        <v>96</v>
      </c>
      <c r="R198" s="11" t="s">
        <v>2727</v>
      </c>
      <c r="S198" s="11" t="s">
        <v>2728</v>
      </c>
      <c r="T198" s="90" t="s">
        <v>10</v>
      </c>
      <c r="U198" s="91"/>
      <c r="V198" s="51">
        <v>45852</v>
      </c>
      <c r="W198" s="11" t="s">
        <v>1575</v>
      </c>
    </row>
    <row r="199" spans="1:23" ht="13" customHeight="1" x14ac:dyDescent="0.35">
      <c r="A199" s="11">
        <v>193</v>
      </c>
      <c r="B199" s="47">
        <v>206297429</v>
      </c>
      <c r="C199" s="94" t="s">
        <v>1666</v>
      </c>
      <c r="D199" s="11" t="s">
        <v>1983</v>
      </c>
      <c r="E199" s="48" t="s">
        <v>31</v>
      </c>
      <c r="F199" s="48" t="s">
        <v>74</v>
      </c>
      <c r="G199" s="11" t="s">
        <v>64</v>
      </c>
      <c r="H199" s="11" t="s">
        <v>75</v>
      </c>
      <c r="I199" s="11">
        <v>1299</v>
      </c>
      <c r="J199" s="49" t="s">
        <v>39</v>
      </c>
      <c r="K199" s="49" t="s">
        <v>76</v>
      </c>
      <c r="L199" s="49" t="s">
        <v>77</v>
      </c>
      <c r="M199" s="49" t="s">
        <v>78</v>
      </c>
      <c r="N199" s="49" t="s">
        <v>79</v>
      </c>
      <c r="O199" s="49" t="s">
        <v>67</v>
      </c>
      <c r="P199" s="11" t="s">
        <v>80</v>
      </c>
      <c r="Q199" s="11" t="s">
        <v>96</v>
      </c>
      <c r="R199" s="11" t="s">
        <v>2727</v>
      </c>
      <c r="S199" s="11" t="s">
        <v>2728</v>
      </c>
      <c r="T199" s="90" t="s">
        <v>1</v>
      </c>
      <c r="U199" s="91"/>
      <c r="V199" s="51">
        <v>45950</v>
      </c>
      <c r="W199" s="11" t="s">
        <v>1575</v>
      </c>
    </row>
    <row r="200" spans="1:23" ht="13" customHeight="1" x14ac:dyDescent="0.35">
      <c r="A200" s="11">
        <v>194</v>
      </c>
      <c r="B200" s="47">
        <v>203469406</v>
      </c>
      <c r="C200" s="94" t="s">
        <v>148</v>
      </c>
      <c r="D200" s="11" t="s">
        <v>1984</v>
      </c>
      <c r="E200" s="48" t="s">
        <v>31</v>
      </c>
      <c r="F200" s="48" t="s">
        <v>74</v>
      </c>
      <c r="G200" s="11" t="s">
        <v>64</v>
      </c>
      <c r="H200" s="11" t="s">
        <v>75</v>
      </c>
      <c r="I200" s="11">
        <v>1299</v>
      </c>
      <c r="J200" s="49" t="s">
        <v>32</v>
      </c>
      <c r="K200" s="49" t="s">
        <v>76</v>
      </c>
      <c r="L200" s="49" t="s">
        <v>85</v>
      </c>
      <c r="M200" s="49" t="s">
        <v>88</v>
      </c>
      <c r="N200" s="48" t="s">
        <v>86</v>
      </c>
      <c r="O200" s="49" t="s">
        <v>67</v>
      </c>
      <c r="P200" s="11" t="s">
        <v>80</v>
      </c>
      <c r="Q200" s="11" t="s">
        <v>99</v>
      </c>
      <c r="R200" s="11" t="s">
        <v>2727</v>
      </c>
      <c r="S200" s="11" t="s">
        <v>2728</v>
      </c>
      <c r="T200" s="90" t="s">
        <v>10</v>
      </c>
      <c r="U200" s="90"/>
      <c r="V200" s="51">
        <v>45456</v>
      </c>
      <c r="W200" s="11" t="s">
        <v>1575</v>
      </c>
    </row>
    <row r="201" spans="1:23" ht="13" customHeight="1" x14ac:dyDescent="0.35">
      <c r="A201" s="11">
        <v>195</v>
      </c>
      <c r="B201" s="47">
        <v>203555408</v>
      </c>
      <c r="C201" s="94" t="s">
        <v>149</v>
      </c>
      <c r="D201" s="11" t="s">
        <v>1985</v>
      </c>
      <c r="E201" s="48" t="s">
        <v>31</v>
      </c>
      <c r="F201" s="48" t="s">
        <v>74</v>
      </c>
      <c r="G201" s="11" t="s">
        <v>64</v>
      </c>
      <c r="H201" s="11" t="s">
        <v>75</v>
      </c>
      <c r="I201" s="11">
        <v>1299</v>
      </c>
      <c r="J201" s="49" t="s">
        <v>39</v>
      </c>
      <c r="K201" s="49" t="s">
        <v>76</v>
      </c>
      <c r="L201" s="49" t="s">
        <v>77</v>
      </c>
      <c r="M201" s="49" t="s">
        <v>78</v>
      </c>
      <c r="N201" s="48" t="s">
        <v>79</v>
      </c>
      <c r="O201" s="49" t="s">
        <v>67</v>
      </c>
      <c r="P201" s="11" t="s">
        <v>80</v>
      </c>
      <c r="Q201" s="11" t="s">
        <v>81</v>
      </c>
      <c r="R201" s="11" t="s">
        <v>2727</v>
      </c>
      <c r="S201" s="11" t="s">
        <v>2728</v>
      </c>
      <c r="T201" s="90" t="s">
        <v>1</v>
      </c>
      <c r="U201" s="90"/>
      <c r="V201" s="51">
        <v>45470</v>
      </c>
      <c r="W201" s="11" t="s">
        <v>1575</v>
      </c>
    </row>
    <row r="202" spans="1:23" ht="13" customHeight="1" x14ac:dyDescent="0.35">
      <c r="A202" s="11">
        <v>196</v>
      </c>
      <c r="B202" s="47">
        <v>203469114</v>
      </c>
      <c r="C202" s="94" t="s">
        <v>150</v>
      </c>
      <c r="D202" s="11" t="s">
        <v>1986</v>
      </c>
      <c r="E202" s="48" t="s">
        <v>31</v>
      </c>
      <c r="F202" s="48" t="s">
        <v>74</v>
      </c>
      <c r="G202" s="11" t="s">
        <v>64</v>
      </c>
      <c r="H202" s="11" t="s">
        <v>75</v>
      </c>
      <c r="I202" s="11">
        <v>1299</v>
      </c>
      <c r="J202" s="49" t="s">
        <v>32</v>
      </c>
      <c r="K202" s="49" t="s">
        <v>76</v>
      </c>
      <c r="L202" s="49" t="s">
        <v>88</v>
      </c>
      <c r="M202" s="49" t="s">
        <v>95</v>
      </c>
      <c r="N202" s="48" t="s">
        <v>79</v>
      </c>
      <c r="O202" s="49" t="s">
        <v>67</v>
      </c>
      <c r="P202" s="11" t="s">
        <v>80</v>
      </c>
      <c r="Q202" s="11" t="s">
        <v>81</v>
      </c>
      <c r="R202" s="11" t="s">
        <v>2727</v>
      </c>
      <c r="S202" s="11" t="s">
        <v>2728</v>
      </c>
      <c r="T202" s="90" t="s">
        <v>10</v>
      </c>
      <c r="U202" s="91"/>
      <c r="V202" s="51">
        <v>45456</v>
      </c>
      <c r="W202" s="11" t="s">
        <v>1575</v>
      </c>
    </row>
    <row r="203" spans="1:23" ht="13" customHeight="1" x14ac:dyDescent="0.35">
      <c r="A203" s="11">
        <v>197</v>
      </c>
      <c r="B203" s="47">
        <v>203813078</v>
      </c>
      <c r="C203" s="94" t="s">
        <v>151</v>
      </c>
      <c r="D203" s="11" t="s">
        <v>1987</v>
      </c>
      <c r="E203" s="48" t="s">
        <v>31</v>
      </c>
      <c r="F203" s="48" t="s">
        <v>74</v>
      </c>
      <c r="G203" s="11" t="s">
        <v>64</v>
      </c>
      <c r="H203" s="11" t="s">
        <v>75</v>
      </c>
      <c r="I203" s="11">
        <v>1299</v>
      </c>
      <c r="J203" s="49" t="s">
        <v>32</v>
      </c>
      <c r="K203" s="49" t="s">
        <v>76</v>
      </c>
      <c r="L203" s="49" t="s">
        <v>78</v>
      </c>
      <c r="M203" s="49" t="s">
        <v>92</v>
      </c>
      <c r="N203" s="48" t="s">
        <v>86</v>
      </c>
      <c r="O203" s="49" t="s">
        <v>67</v>
      </c>
      <c r="P203" s="11" t="s">
        <v>80</v>
      </c>
      <c r="Q203" s="11" t="s">
        <v>99</v>
      </c>
      <c r="R203" s="11" t="s">
        <v>2727</v>
      </c>
      <c r="S203" s="11" t="s">
        <v>2728</v>
      </c>
      <c r="T203" s="90" t="s">
        <v>1</v>
      </c>
      <c r="U203" s="90"/>
      <c r="V203" s="51">
        <v>45517</v>
      </c>
      <c r="W203" s="11" t="s">
        <v>1575</v>
      </c>
    </row>
    <row r="204" spans="1:23" ht="13" customHeight="1" x14ac:dyDescent="0.35">
      <c r="A204" s="11">
        <v>198</v>
      </c>
      <c r="B204" s="47">
        <v>206952968</v>
      </c>
      <c r="C204" s="94" t="s">
        <v>2130</v>
      </c>
      <c r="D204" s="11" t="s">
        <v>2053</v>
      </c>
      <c r="E204" s="48" t="s">
        <v>31</v>
      </c>
      <c r="F204" s="48" t="s">
        <v>74</v>
      </c>
      <c r="G204" s="11" t="s">
        <v>64</v>
      </c>
      <c r="H204" s="11" t="s">
        <v>75</v>
      </c>
      <c r="I204" s="11">
        <v>1299</v>
      </c>
      <c r="J204" s="49" t="s">
        <v>32</v>
      </c>
      <c r="K204" s="49" t="s">
        <v>76</v>
      </c>
      <c r="L204" s="49" t="s">
        <v>84</v>
      </c>
      <c r="M204" s="49" t="s">
        <v>85</v>
      </c>
      <c r="N204" s="48" t="s">
        <v>86</v>
      </c>
      <c r="O204" s="49" t="s">
        <v>67</v>
      </c>
      <c r="P204" s="11" t="s">
        <v>80</v>
      </c>
      <c r="Q204" s="11" t="s">
        <v>90</v>
      </c>
      <c r="R204" s="11" t="s">
        <v>2727</v>
      </c>
      <c r="S204" s="11" t="s">
        <v>2728</v>
      </c>
      <c r="T204" s="90" t="s">
        <v>1</v>
      </c>
      <c r="U204" s="89"/>
      <c r="V204" s="51">
        <v>46048</v>
      </c>
      <c r="W204" s="11" t="s">
        <v>1575</v>
      </c>
    </row>
    <row r="205" spans="1:23" ht="13" customHeight="1" x14ac:dyDescent="0.35">
      <c r="A205" s="11">
        <v>199</v>
      </c>
      <c r="B205" s="47">
        <v>205608882</v>
      </c>
      <c r="C205" s="94" t="s">
        <v>595</v>
      </c>
      <c r="D205" s="11" t="s">
        <v>1988</v>
      </c>
      <c r="E205" s="48" t="s">
        <v>31</v>
      </c>
      <c r="F205" s="48" t="s">
        <v>74</v>
      </c>
      <c r="G205" s="11" t="s">
        <v>64</v>
      </c>
      <c r="H205" s="11" t="s">
        <v>75</v>
      </c>
      <c r="I205" s="11">
        <v>1299</v>
      </c>
      <c r="J205" s="49" t="s">
        <v>39</v>
      </c>
      <c r="K205" s="49" t="s">
        <v>76</v>
      </c>
      <c r="L205" s="49" t="s">
        <v>92</v>
      </c>
      <c r="M205" s="49" t="s">
        <v>84</v>
      </c>
      <c r="N205" s="49" t="s">
        <v>89</v>
      </c>
      <c r="O205" s="49" t="s">
        <v>67</v>
      </c>
      <c r="P205" s="11" t="s">
        <v>80</v>
      </c>
      <c r="Q205" s="11" t="s">
        <v>90</v>
      </c>
      <c r="R205" s="11" t="s">
        <v>2727</v>
      </c>
      <c r="S205" s="11" t="s">
        <v>2728</v>
      </c>
      <c r="T205" s="90" t="s">
        <v>1</v>
      </c>
      <c r="U205" s="89"/>
      <c r="V205" s="51">
        <v>45845</v>
      </c>
      <c r="W205" s="11" t="s">
        <v>1575</v>
      </c>
    </row>
    <row r="206" spans="1:23" ht="13" customHeight="1" x14ac:dyDescent="0.35">
      <c r="A206" s="11">
        <v>200</v>
      </c>
      <c r="B206" s="47">
        <v>205276100</v>
      </c>
      <c r="C206" s="94" t="s">
        <v>1441</v>
      </c>
      <c r="D206" s="11" t="s">
        <v>2001</v>
      </c>
      <c r="E206" s="48" t="s">
        <v>31</v>
      </c>
      <c r="F206" s="48" t="s">
        <v>74</v>
      </c>
      <c r="G206" s="11" t="s">
        <v>64</v>
      </c>
      <c r="H206" s="11" t="s">
        <v>75</v>
      </c>
      <c r="I206" s="11">
        <v>1299</v>
      </c>
      <c r="J206" s="49" t="s">
        <v>39</v>
      </c>
      <c r="K206" s="49" t="s">
        <v>76</v>
      </c>
      <c r="L206" s="49" t="s">
        <v>77</v>
      </c>
      <c r="M206" s="49" t="s">
        <v>78</v>
      </c>
      <c r="N206" s="48" t="s">
        <v>89</v>
      </c>
      <c r="O206" s="49" t="s">
        <v>67</v>
      </c>
      <c r="P206" s="11" t="s">
        <v>80</v>
      </c>
      <c r="Q206" s="11" t="s">
        <v>90</v>
      </c>
      <c r="R206" s="11" t="s">
        <v>2727</v>
      </c>
      <c r="S206" s="11" t="s">
        <v>2728</v>
      </c>
      <c r="T206" s="90" t="s">
        <v>1</v>
      </c>
      <c r="U206" s="89"/>
      <c r="V206" s="51">
        <v>45796</v>
      </c>
      <c r="W206" s="11" t="s">
        <v>1575</v>
      </c>
    </row>
    <row r="207" spans="1:23" ht="13" customHeight="1" x14ac:dyDescent="0.35">
      <c r="A207" s="11">
        <v>201</v>
      </c>
      <c r="B207" s="47">
        <v>203908354</v>
      </c>
      <c r="C207" s="94" t="s">
        <v>2313</v>
      </c>
      <c r="D207" s="11" t="s">
        <v>2314</v>
      </c>
      <c r="E207" s="48" t="s">
        <v>31</v>
      </c>
      <c r="F207" s="48" t="s">
        <v>74</v>
      </c>
      <c r="G207" s="11" t="s">
        <v>64</v>
      </c>
      <c r="H207" s="11" t="s">
        <v>75</v>
      </c>
      <c r="I207" s="11">
        <v>1299</v>
      </c>
      <c r="J207" s="49" t="s">
        <v>39</v>
      </c>
      <c r="K207" s="49" t="s">
        <v>76</v>
      </c>
      <c r="L207" s="49" t="s">
        <v>95</v>
      </c>
      <c r="M207" s="49" t="s">
        <v>77</v>
      </c>
      <c r="N207" s="49" t="s">
        <v>89</v>
      </c>
      <c r="O207" s="49" t="s">
        <v>67</v>
      </c>
      <c r="P207" s="11" t="s">
        <v>80</v>
      </c>
      <c r="Q207" s="11" t="s">
        <v>90</v>
      </c>
      <c r="R207" s="11" t="s">
        <v>2727</v>
      </c>
      <c r="S207" s="11" t="s">
        <v>2728</v>
      </c>
      <c r="T207" s="90" t="s">
        <v>1</v>
      </c>
      <c r="U207" s="89"/>
      <c r="V207" s="51">
        <v>45684</v>
      </c>
      <c r="W207" s="11" t="s">
        <v>1575</v>
      </c>
    </row>
    <row r="208" spans="1:23" ht="13" customHeight="1" x14ac:dyDescent="0.35">
      <c r="A208" s="11">
        <v>202</v>
      </c>
      <c r="B208" s="47">
        <v>205647835</v>
      </c>
      <c r="C208" s="94" t="s">
        <v>2315</v>
      </c>
      <c r="D208" s="11" t="s">
        <v>2316</v>
      </c>
      <c r="E208" s="48" t="s">
        <v>31</v>
      </c>
      <c r="F208" s="48" t="s">
        <v>74</v>
      </c>
      <c r="G208" s="11" t="s">
        <v>64</v>
      </c>
      <c r="H208" s="11" t="s">
        <v>75</v>
      </c>
      <c r="I208" s="11">
        <v>1299</v>
      </c>
      <c r="J208" s="49" t="s">
        <v>32</v>
      </c>
      <c r="K208" s="49" t="s">
        <v>76</v>
      </c>
      <c r="L208" s="49" t="s">
        <v>85</v>
      </c>
      <c r="M208" s="49" t="s">
        <v>88</v>
      </c>
      <c r="N208" s="49" t="s">
        <v>89</v>
      </c>
      <c r="O208" s="49" t="s">
        <v>67</v>
      </c>
      <c r="P208" s="11" t="s">
        <v>80</v>
      </c>
      <c r="Q208" s="11" t="s">
        <v>96</v>
      </c>
      <c r="R208" s="11" t="s">
        <v>2727</v>
      </c>
      <c r="S208" s="11" t="s">
        <v>2728</v>
      </c>
      <c r="T208" s="90" t="s">
        <v>10</v>
      </c>
      <c r="U208" s="89"/>
      <c r="V208" s="51">
        <v>45852</v>
      </c>
      <c r="W208" s="11" t="s">
        <v>1575</v>
      </c>
    </row>
    <row r="209" spans="1:23" ht="13" customHeight="1" x14ac:dyDescent="0.35">
      <c r="A209" s="11">
        <v>203</v>
      </c>
      <c r="B209" s="47">
        <v>203850776</v>
      </c>
      <c r="C209" s="94" t="s">
        <v>2504</v>
      </c>
      <c r="D209" s="11" t="s">
        <v>2505</v>
      </c>
      <c r="E209" s="48" t="s">
        <v>31</v>
      </c>
      <c r="F209" s="48" t="s">
        <v>74</v>
      </c>
      <c r="G209" s="11" t="s">
        <v>64</v>
      </c>
      <c r="H209" s="11" t="s">
        <v>75</v>
      </c>
      <c r="I209" s="11">
        <v>1299</v>
      </c>
      <c r="J209" s="49" t="s">
        <v>32</v>
      </c>
      <c r="K209" s="49" t="s">
        <v>76</v>
      </c>
      <c r="L209" s="49" t="s">
        <v>77</v>
      </c>
      <c r="M209" s="49" t="s">
        <v>78</v>
      </c>
      <c r="N209" s="48" t="s">
        <v>79</v>
      </c>
      <c r="O209" s="49" t="s">
        <v>67</v>
      </c>
      <c r="P209" s="11" t="s">
        <v>80</v>
      </c>
      <c r="Q209" s="11" t="s">
        <v>81</v>
      </c>
      <c r="R209" s="11" t="s">
        <v>2727</v>
      </c>
      <c r="S209" s="11" t="s">
        <v>2728</v>
      </c>
      <c r="T209" s="90" t="s">
        <v>1</v>
      </c>
      <c r="U209" s="90"/>
      <c r="V209" s="51">
        <v>45524</v>
      </c>
      <c r="W209" s="11" t="s">
        <v>1575</v>
      </c>
    </row>
    <row r="210" spans="1:23" ht="13" customHeight="1" x14ac:dyDescent="0.35">
      <c r="A210" s="11">
        <v>204</v>
      </c>
      <c r="B210" s="47">
        <v>203469168</v>
      </c>
      <c r="C210" s="94" t="s">
        <v>2317</v>
      </c>
      <c r="D210" s="11" t="s">
        <v>2318</v>
      </c>
      <c r="E210" s="48" t="s">
        <v>31</v>
      </c>
      <c r="F210" s="48" t="s">
        <v>74</v>
      </c>
      <c r="G210" s="11" t="s">
        <v>64</v>
      </c>
      <c r="H210" s="11" t="s">
        <v>75</v>
      </c>
      <c r="I210" s="11">
        <v>1299</v>
      </c>
      <c r="J210" s="49" t="s">
        <v>39</v>
      </c>
      <c r="K210" s="49" t="s">
        <v>76</v>
      </c>
      <c r="L210" s="49" t="s">
        <v>84</v>
      </c>
      <c r="M210" s="49" t="s">
        <v>85</v>
      </c>
      <c r="N210" s="48" t="s">
        <v>79</v>
      </c>
      <c r="O210" s="49" t="s">
        <v>67</v>
      </c>
      <c r="P210" s="11" t="s">
        <v>80</v>
      </c>
      <c r="Q210" s="11" t="s">
        <v>81</v>
      </c>
      <c r="R210" s="11" t="s">
        <v>2727</v>
      </c>
      <c r="S210" s="11" t="s">
        <v>2728</v>
      </c>
      <c r="T210" s="90" t="s">
        <v>1</v>
      </c>
      <c r="U210" s="90"/>
      <c r="V210" s="51">
        <v>45456</v>
      </c>
      <c r="W210" s="11" t="s">
        <v>1575</v>
      </c>
    </row>
    <row r="211" spans="1:23" ht="13" customHeight="1" x14ac:dyDescent="0.35">
      <c r="A211" s="11">
        <v>205</v>
      </c>
      <c r="B211" s="47">
        <v>205651024</v>
      </c>
      <c r="C211" s="94" t="s">
        <v>2319</v>
      </c>
      <c r="D211" s="11" t="s">
        <v>2320</v>
      </c>
      <c r="E211" s="48" t="s">
        <v>31</v>
      </c>
      <c r="F211" s="48" t="s">
        <v>74</v>
      </c>
      <c r="G211" s="11" t="s">
        <v>64</v>
      </c>
      <c r="H211" s="11" t="s">
        <v>75</v>
      </c>
      <c r="I211" s="11">
        <v>1299</v>
      </c>
      <c r="J211" s="49" t="s">
        <v>32</v>
      </c>
      <c r="K211" s="49" t="s">
        <v>76</v>
      </c>
      <c r="L211" s="49" t="s">
        <v>95</v>
      </c>
      <c r="M211" s="49" t="s">
        <v>77</v>
      </c>
      <c r="N211" s="49" t="s">
        <v>89</v>
      </c>
      <c r="O211" s="49" t="s">
        <v>67</v>
      </c>
      <c r="P211" s="11" t="s">
        <v>80</v>
      </c>
      <c r="Q211" s="11" t="s">
        <v>96</v>
      </c>
      <c r="R211" s="11" t="s">
        <v>2727</v>
      </c>
      <c r="S211" s="11" t="s">
        <v>2728</v>
      </c>
      <c r="T211" s="90" t="s">
        <v>1</v>
      </c>
      <c r="U211" s="91"/>
      <c r="V211" s="51">
        <v>45852</v>
      </c>
      <c r="W211" s="11" t="s">
        <v>1575</v>
      </c>
    </row>
    <row r="212" spans="1:23" ht="13" customHeight="1" x14ac:dyDescent="0.35">
      <c r="A212" s="11">
        <v>206</v>
      </c>
      <c r="B212" s="47">
        <v>205647828</v>
      </c>
      <c r="C212" s="94" t="s">
        <v>2321</v>
      </c>
      <c r="D212" s="11" t="s">
        <v>2322</v>
      </c>
      <c r="E212" s="48" t="s">
        <v>31</v>
      </c>
      <c r="F212" s="48" t="s">
        <v>74</v>
      </c>
      <c r="G212" s="11" t="s">
        <v>64</v>
      </c>
      <c r="H212" s="11" t="s">
        <v>75</v>
      </c>
      <c r="I212" s="11">
        <v>1299</v>
      </c>
      <c r="J212" s="49" t="s">
        <v>32</v>
      </c>
      <c r="K212" s="49" t="s">
        <v>76</v>
      </c>
      <c r="L212" s="49" t="s">
        <v>92</v>
      </c>
      <c r="M212" s="49" t="s">
        <v>84</v>
      </c>
      <c r="N212" s="49" t="s">
        <v>89</v>
      </c>
      <c r="O212" s="49" t="s">
        <v>67</v>
      </c>
      <c r="P212" s="11" t="s">
        <v>80</v>
      </c>
      <c r="Q212" s="11" t="s">
        <v>96</v>
      </c>
      <c r="R212" s="11" t="s">
        <v>2727</v>
      </c>
      <c r="S212" s="11" t="s">
        <v>2728</v>
      </c>
      <c r="T212" s="90" t="s">
        <v>1</v>
      </c>
      <c r="U212" s="91"/>
      <c r="V212" s="51">
        <v>45852</v>
      </c>
      <c r="W212" s="11" t="s">
        <v>1575</v>
      </c>
    </row>
    <row r="213" spans="1:23" ht="13" customHeight="1" x14ac:dyDescent="0.35">
      <c r="A213" s="11">
        <v>207</v>
      </c>
      <c r="B213" s="47">
        <v>203555404</v>
      </c>
      <c r="C213" s="94" t="s">
        <v>2323</v>
      </c>
      <c r="D213" s="11" t="s">
        <v>2324</v>
      </c>
      <c r="E213" s="48" t="s">
        <v>31</v>
      </c>
      <c r="F213" s="48" t="s">
        <v>74</v>
      </c>
      <c r="G213" s="11" t="s">
        <v>64</v>
      </c>
      <c r="H213" s="11" t="s">
        <v>75</v>
      </c>
      <c r="I213" s="11">
        <v>1299</v>
      </c>
      <c r="J213" s="49" t="s">
        <v>32</v>
      </c>
      <c r="K213" s="49" t="s">
        <v>76</v>
      </c>
      <c r="L213" s="49" t="s">
        <v>88</v>
      </c>
      <c r="M213" s="49" t="s">
        <v>95</v>
      </c>
      <c r="N213" s="48" t="s">
        <v>79</v>
      </c>
      <c r="O213" s="49" t="s">
        <v>67</v>
      </c>
      <c r="P213" s="11" t="s">
        <v>80</v>
      </c>
      <c r="Q213" s="11" t="s">
        <v>81</v>
      </c>
      <c r="R213" s="11" t="s">
        <v>2727</v>
      </c>
      <c r="S213" s="11" t="s">
        <v>2728</v>
      </c>
      <c r="T213" s="90" t="s">
        <v>10</v>
      </c>
      <c r="U213" s="89"/>
      <c r="V213" s="51">
        <v>45470</v>
      </c>
      <c r="W213" s="11" t="s">
        <v>1575</v>
      </c>
    </row>
    <row r="214" spans="1:23" ht="13" customHeight="1" x14ac:dyDescent="0.35">
      <c r="A214" s="11">
        <v>208</v>
      </c>
      <c r="B214" s="47">
        <v>102434105</v>
      </c>
      <c r="C214" s="94" t="s">
        <v>152</v>
      </c>
      <c r="D214" s="11" t="s">
        <v>153</v>
      </c>
      <c r="E214" s="48" t="s">
        <v>34</v>
      </c>
      <c r="F214" s="48" t="s">
        <v>74</v>
      </c>
      <c r="G214" s="11" t="s">
        <v>64</v>
      </c>
      <c r="H214" s="11" t="s">
        <v>75</v>
      </c>
      <c r="I214" s="11">
        <v>1299</v>
      </c>
      <c r="J214" s="49" t="s">
        <v>32</v>
      </c>
      <c r="K214" s="49" t="s">
        <v>76</v>
      </c>
      <c r="L214" s="49" t="s">
        <v>78</v>
      </c>
      <c r="M214" s="49" t="s">
        <v>92</v>
      </c>
      <c r="N214" s="48" t="s">
        <v>108</v>
      </c>
      <c r="O214" s="49" t="s">
        <v>67</v>
      </c>
      <c r="P214" s="11" t="s">
        <v>80</v>
      </c>
      <c r="Q214" s="11" t="s">
        <v>98</v>
      </c>
      <c r="R214" s="11" t="s">
        <v>2727</v>
      </c>
      <c r="S214" s="11" t="s">
        <v>2728</v>
      </c>
      <c r="T214" s="90" t="s">
        <v>1</v>
      </c>
      <c r="U214" s="91"/>
      <c r="V214" s="51">
        <v>42883</v>
      </c>
      <c r="W214" s="11" t="s">
        <v>1575</v>
      </c>
    </row>
    <row r="215" spans="1:23" ht="13" customHeight="1" x14ac:dyDescent="0.35">
      <c r="A215" s="11">
        <v>209</v>
      </c>
      <c r="B215" s="47">
        <v>204319805</v>
      </c>
      <c r="C215" s="94" t="s">
        <v>2325</v>
      </c>
      <c r="D215" s="11" t="s">
        <v>2326</v>
      </c>
      <c r="E215" s="48" t="s">
        <v>31</v>
      </c>
      <c r="F215" s="48" t="s">
        <v>74</v>
      </c>
      <c r="G215" s="11" t="s">
        <v>64</v>
      </c>
      <c r="H215" s="11" t="s">
        <v>75</v>
      </c>
      <c r="I215" s="11">
        <v>1299</v>
      </c>
      <c r="J215" s="49" t="s">
        <v>39</v>
      </c>
      <c r="K215" s="49" t="s">
        <v>76</v>
      </c>
      <c r="L215" s="49" t="s">
        <v>77</v>
      </c>
      <c r="M215" s="49" t="s">
        <v>78</v>
      </c>
      <c r="N215" s="48" t="s">
        <v>86</v>
      </c>
      <c r="O215" s="49" t="s">
        <v>67</v>
      </c>
      <c r="P215" s="11" t="s">
        <v>80</v>
      </c>
      <c r="Q215" s="11" t="s">
        <v>87</v>
      </c>
      <c r="R215" s="11" t="s">
        <v>2727</v>
      </c>
      <c r="S215" s="11" t="s">
        <v>2728</v>
      </c>
      <c r="T215" s="90" t="s">
        <v>1</v>
      </c>
      <c r="U215" s="90"/>
      <c r="V215" s="51">
        <v>45589</v>
      </c>
      <c r="W215" s="11" t="s">
        <v>1575</v>
      </c>
    </row>
    <row r="216" spans="1:23" ht="13" customHeight="1" x14ac:dyDescent="0.35">
      <c r="A216" s="11">
        <v>210</v>
      </c>
      <c r="B216" s="47">
        <v>206949310</v>
      </c>
      <c r="C216" s="95" t="s">
        <v>2173</v>
      </c>
      <c r="D216" s="112" t="s">
        <v>2174</v>
      </c>
      <c r="E216" s="112" t="s">
        <v>31</v>
      </c>
      <c r="F216" s="48" t="s">
        <v>74</v>
      </c>
      <c r="G216" s="11" t="s">
        <v>64</v>
      </c>
      <c r="H216" s="11" t="s">
        <v>75</v>
      </c>
      <c r="I216" s="11">
        <v>1299</v>
      </c>
      <c r="J216" s="49" t="s">
        <v>32</v>
      </c>
      <c r="K216" s="49" t="s">
        <v>76</v>
      </c>
      <c r="L216" s="49" t="s">
        <v>84</v>
      </c>
      <c r="M216" s="49" t="s">
        <v>85</v>
      </c>
      <c r="N216" s="48" t="s">
        <v>86</v>
      </c>
      <c r="O216" s="49" t="s">
        <v>67</v>
      </c>
      <c r="P216" s="49" t="s">
        <v>80</v>
      </c>
      <c r="Q216" s="49" t="s">
        <v>90</v>
      </c>
      <c r="R216" s="11" t="s">
        <v>2727</v>
      </c>
      <c r="S216" s="11" t="s">
        <v>2728</v>
      </c>
      <c r="T216" s="90" t="s">
        <v>1</v>
      </c>
      <c r="U216" s="89"/>
      <c r="V216" s="51">
        <v>46048</v>
      </c>
      <c r="W216" s="11" t="s">
        <v>1575</v>
      </c>
    </row>
    <row r="217" spans="1:23" ht="13" customHeight="1" x14ac:dyDescent="0.35">
      <c r="A217" s="11">
        <v>211</v>
      </c>
      <c r="B217" s="47">
        <v>206007530</v>
      </c>
      <c r="C217" s="94" t="s">
        <v>610</v>
      </c>
      <c r="D217" s="11" t="s">
        <v>1989</v>
      </c>
      <c r="E217" s="48" t="s">
        <v>31</v>
      </c>
      <c r="F217" s="48" t="s">
        <v>74</v>
      </c>
      <c r="G217" s="11" t="s">
        <v>64</v>
      </c>
      <c r="H217" s="11" t="s">
        <v>75</v>
      </c>
      <c r="I217" s="11">
        <v>1299</v>
      </c>
      <c r="J217" s="49" t="s">
        <v>39</v>
      </c>
      <c r="K217" s="49" t="s">
        <v>76</v>
      </c>
      <c r="L217" s="49" t="s">
        <v>88</v>
      </c>
      <c r="M217" s="49" t="s">
        <v>95</v>
      </c>
      <c r="N217" s="49" t="s">
        <v>89</v>
      </c>
      <c r="O217" s="49" t="s">
        <v>67</v>
      </c>
      <c r="P217" s="11" t="s">
        <v>80</v>
      </c>
      <c r="Q217" s="11" t="s">
        <v>81</v>
      </c>
      <c r="R217" s="11" t="s">
        <v>2727</v>
      </c>
      <c r="S217" s="11" t="s">
        <v>2728</v>
      </c>
      <c r="T217" s="90" t="s">
        <v>10</v>
      </c>
      <c r="U217" s="89"/>
      <c r="V217" s="51">
        <v>45915</v>
      </c>
      <c r="W217" s="11" t="s">
        <v>1575</v>
      </c>
    </row>
    <row r="218" spans="1:23" ht="13" customHeight="1" x14ac:dyDescent="0.35">
      <c r="A218" s="11">
        <v>212</v>
      </c>
      <c r="B218" s="47">
        <v>203800377</v>
      </c>
      <c r="C218" s="94" t="s">
        <v>2327</v>
      </c>
      <c r="D218" s="11" t="s">
        <v>2328</v>
      </c>
      <c r="E218" s="48" t="s">
        <v>31</v>
      </c>
      <c r="F218" s="48" t="s">
        <v>74</v>
      </c>
      <c r="G218" s="11" t="s">
        <v>64</v>
      </c>
      <c r="H218" s="11" t="s">
        <v>75</v>
      </c>
      <c r="I218" s="11">
        <v>1299</v>
      </c>
      <c r="J218" s="49" t="s">
        <v>32</v>
      </c>
      <c r="K218" s="49" t="s">
        <v>76</v>
      </c>
      <c r="L218" s="49" t="s">
        <v>84</v>
      </c>
      <c r="M218" s="49" t="s">
        <v>85</v>
      </c>
      <c r="N218" s="49" t="s">
        <v>89</v>
      </c>
      <c r="O218" s="49" t="s">
        <v>67</v>
      </c>
      <c r="P218" s="11" t="s">
        <v>80</v>
      </c>
      <c r="Q218" s="11" t="s">
        <v>90</v>
      </c>
      <c r="R218" s="11" t="s">
        <v>2727</v>
      </c>
      <c r="S218" s="11" t="s">
        <v>2728</v>
      </c>
      <c r="T218" s="90" t="s">
        <v>1</v>
      </c>
      <c r="U218" s="90"/>
      <c r="V218" s="51">
        <v>45516</v>
      </c>
      <c r="W218" s="11" t="s">
        <v>1575</v>
      </c>
    </row>
    <row r="219" spans="1:23" ht="13" customHeight="1" x14ac:dyDescent="0.35">
      <c r="A219" s="11">
        <v>213</v>
      </c>
      <c r="B219" s="47">
        <v>205609143</v>
      </c>
      <c r="C219" s="94" t="s">
        <v>611</v>
      </c>
      <c r="D219" s="11" t="s">
        <v>1990</v>
      </c>
      <c r="E219" s="48" t="s">
        <v>31</v>
      </c>
      <c r="F219" s="48" t="s">
        <v>74</v>
      </c>
      <c r="G219" s="11" t="s">
        <v>64</v>
      </c>
      <c r="H219" s="11" t="s">
        <v>75</v>
      </c>
      <c r="I219" s="11">
        <v>1299</v>
      </c>
      <c r="J219" s="49" t="s">
        <v>32</v>
      </c>
      <c r="K219" s="49" t="s">
        <v>76</v>
      </c>
      <c r="L219" s="49" t="s">
        <v>88</v>
      </c>
      <c r="M219" s="49" t="s">
        <v>95</v>
      </c>
      <c r="N219" s="49" t="s">
        <v>89</v>
      </c>
      <c r="O219" s="49" t="s">
        <v>67</v>
      </c>
      <c r="P219" s="11" t="s">
        <v>80</v>
      </c>
      <c r="Q219" s="11" t="s">
        <v>90</v>
      </c>
      <c r="R219" s="11" t="s">
        <v>2727</v>
      </c>
      <c r="S219" s="11" t="s">
        <v>2728</v>
      </c>
      <c r="T219" s="90" t="s">
        <v>10</v>
      </c>
      <c r="U219" s="91"/>
      <c r="V219" s="51">
        <v>45845</v>
      </c>
      <c r="W219" s="11" t="s">
        <v>1575</v>
      </c>
    </row>
    <row r="220" spans="1:23" ht="13" customHeight="1" x14ac:dyDescent="0.35">
      <c r="A220" s="11">
        <v>214</v>
      </c>
      <c r="B220" s="47">
        <v>206296205</v>
      </c>
      <c r="C220" s="94" t="s">
        <v>1667</v>
      </c>
      <c r="D220" s="11" t="s">
        <v>1991</v>
      </c>
      <c r="E220" s="48" t="s">
        <v>31</v>
      </c>
      <c r="F220" s="48" t="s">
        <v>74</v>
      </c>
      <c r="G220" s="11" t="s">
        <v>64</v>
      </c>
      <c r="H220" s="11" t="s">
        <v>75</v>
      </c>
      <c r="I220" s="11">
        <v>1299</v>
      </c>
      <c r="J220" s="49" t="s">
        <v>39</v>
      </c>
      <c r="K220" s="49" t="s">
        <v>76</v>
      </c>
      <c r="L220" s="49" t="s">
        <v>92</v>
      </c>
      <c r="M220" s="49" t="s">
        <v>84</v>
      </c>
      <c r="N220" s="49" t="s">
        <v>89</v>
      </c>
      <c r="O220" s="49" t="s">
        <v>67</v>
      </c>
      <c r="P220" s="11" t="s">
        <v>80</v>
      </c>
      <c r="Q220" s="11" t="s">
        <v>96</v>
      </c>
      <c r="R220" s="11" t="s">
        <v>2727</v>
      </c>
      <c r="S220" s="11" t="s">
        <v>2728</v>
      </c>
      <c r="T220" s="90" t="s">
        <v>1</v>
      </c>
      <c r="U220" s="89"/>
      <c r="V220" s="51">
        <v>45950</v>
      </c>
      <c r="W220" s="11" t="s">
        <v>1575</v>
      </c>
    </row>
    <row r="221" spans="1:23" ht="13" customHeight="1" x14ac:dyDescent="0.35">
      <c r="A221" s="11">
        <v>215</v>
      </c>
      <c r="B221" s="47">
        <v>203555406</v>
      </c>
      <c r="C221" s="94" t="s">
        <v>154</v>
      </c>
      <c r="D221" s="11" t="s">
        <v>1992</v>
      </c>
      <c r="E221" s="48" t="s">
        <v>31</v>
      </c>
      <c r="F221" s="48" t="s">
        <v>74</v>
      </c>
      <c r="G221" s="11" t="s">
        <v>64</v>
      </c>
      <c r="H221" s="11" t="s">
        <v>75</v>
      </c>
      <c r="I221" s="11">
        <v>1299</v>
      </c>
      <c r="J221" s="49" t="s">
        <v>32</v>
      </c>
      <c r="K221" s="49" t="s">
        <v>76</v>
      </c>
      <c r="L221" s="49" t="s">
        <v>78</v>
      </c>
      <c r="M221" s="49" t="s">
        <v>92</v>
      </c>
      <c r="N221" s="48" t="s">
        <v>79</v>
      </c>
      <c r="O221" s="49" t="s">
        <v>67</v>
      </c>
      <c r="P221" s="11" t="s">
        <v>80</v>
      </c>
      <c r="Q221" s="11" t="s">
        <v>81</v>
      </c>
      <c r="R221" s="11" t="s">
        <v>2727</v>
      </c>
      <c r="S221" s="11" t="s">
        <v>2728</v>
      </c>
      <c r="T221" s="90" t="s">
        <v>1</v>
      </c>
      <c r="U221" s="90"/>
      <c r="V221" s="51">
        <v>45470</v>
      </c>
      <c r="W221" s="11" t="s">
        <v>1575</v>
      </c>
    </row>
    <row r="222" spans="1:23" ht="13" customHeight="1" x14ac:dyDescent="0.35">
      <c r="A222" s="11">
        <v>216</v>
      </c>
      <c r="B222" s="47">
        <v>203817154</v>
      </c>
      <c r="C222" s="94" t="s">
        <v>2329</v>
      </c>
      <c r="D222" s="11" t="s">
        <v>2330</v>
      </c>
      <c r="E222" s="48" t="s">
        <v>31</v>
      </c>
      <c r="F222" s="48" t="s">
        <v>74</v>
      </c>
      <c r="G222" s="11" t="s">
        <v>64</v>
      </c>
      <c r="H222" s="11" t="s">
        <v>75</v>
      </c>
      <c r="I222" s="11">
        <v>1299</v>
      </c>
      <c r="J222" s="49" t="s">
        <v>39</v>
      </c>
      <c r="K222" s="49" t="s">
        <v>76</v>
      </c>
      <c r="L222" s="49" t="s">
        <v>92</v>
      </c>
      <c r="M222" s="49" t="s">
        <v>84</v>
      </c>
      <c r="N222" s="48" t="s">
        <v>79</v>
      </c>
      <c r="O222" s="49" t="s">
        <v>67</v>
      </c>
      <c r="P222" s="11" t="s">
        <v>80</v>
      </c>
      <c r="Q222" s="11" t="s">
        <v>81</v>
      </c>
      <c r="R222" s="11" t="s">
        <v>2727</v>
      </c>
      <c r="S222" s="11" t="s">
        <v>2728</v>
      </c>
      <c r="T222" s="90" t="s">
        <v>1</v>
      </c>
      <c r="U222" s="90"/>
      <c r="V222" s="51">
        <v>45517</v>
      </c>
      <c r="W222" s="11" t="s">
        <v>1575</v>
      </c>
    </row>
    <row r="223" spans="1:23" ht="13" customHeight="1" x14ac:dyDescent="0.35">
      <c r="A223" s="11">
        <v>217</v>
      </c>
      <c r="B223" s="47">
        <v>206192235</v>
      </c>
      <c r="C223" s="94" t="s">
        <v>1606</v>
      </c>
      <c r="D223" s="11" t="s">
        <v>1993</v>
      </c>
      <c r="E223" s="48" t="s">
        <v>31</v>
      </c>
      <c r="F223" s="48" t="s">
        <v>74</v>
      </c>
      <c r="G223" s="11" t="s">
        <v>64</v>
      </c>
      <c r="H223" s="11" t="s">
        <v>75</v>
      </c>
      <c r="I223" s="11">
        <v>1299</v>
      </c>
      <c r="J223" s="49" t="s">
        <v>32</v>
      </c>
      <c r="K223" s="49" t="s">
        <v>76</v>
      </c>
      <c r="L223" s="49" t="s">
        <v>77</v>
      </c>
      <c r="M223" s="49" t="s">
        <v>78</v>
      </c>
      <c r="N223" s="49" t="s">
        <v>79</v>
      </c>
      <c r="O223" s="49" t="s">
        <v>67</v>
      </c>
      <c r="P223" s="11" t="s">
        <v>80</v>
      </c>
      <c r="Q223" s="11" t="s">
        <v>96</v>
      </c>
      <c r="R223" s="11" t="s">
        <v>2727</v>
      </c>
      <c r="S223" s="11" t="s">
        <v>2728</v>
      </c>
      <c r="T223" s="90" t="s">
        <v>1</v>
      </c>
      <c r="U223" s="90"/>
      <c r="V223" s="51">
        <v>45936</v>
      </c>
      <c r="W223" s="11" t="s">
        <v>1575</v>
      </c>
    </row>
    <row r="224" spans="1:23" ht="13" customHeight="1" x14ac:dyDescent="0.35">
      <c r="A224" s="11">
        <v>218</v>
      </c>
      <c r="B224" s="47">
        <v>203813132</v>
      </c>
      <c r="C224" s="94" t="s">
        <v>155</v>
      </c>
      <c r="D224" s="11" t="s">
        <v>1994</v>
      </c>
      <c r="E224" s="48" t="s">
        <v>31</v>
      </c>
      <c r="F224" s="48" t="s">
        <v>74</v>
      </c>
      <c r="G224" s="11" t="s">
        <v>64</v>
      </c>
      <c r="H224" s="11" t="s">
        <v>75</v>
      </c>
      <c r="I224" s="11">
        <v>1299</v>
      </c>
      <c r="J224" s="49" t="s">
        <v>39</v>
      </c>
      <c r="K224" s="49" t="s">
        <v>76</v>
      </c>
      <c r="L224" s="49" t="s">
        <v>95</v>
      </c>
      <c r="M224" s="49" t="s">
        <v>77</v>
      </c>
      <c r="N224" s="48" t="s">
        <v>86</v>
      </c>
      <c r="O224" s="49" t="s">
        <v>67</v>
      </c>
      <c r="P224" s="11" t="s">
        <v>80</v>
      </c>
      <c r="Q224" s="11" t="s">
        <v>99</v>
      </c>
      <c r="R224" s="11" t="s">
        <v>2727</v>
      </c>
      <c r="S224" s="11" t="s">
        <v>2728</v>
      </c>
      <c r="T224" s="90" t="s">
        <v>1</v>
      </c>
      <c r="U224" s="90"/>
      <c r="V224" s="51">
        <v>45517</v>
      </c>
      <c r="W224" s="11" t="s">
        <v>1575</v>
      </c>
    </row>
    <row r="225" spans="1:23" ht="13" customHeight="1" x14ac:dyDescent="0.35">
      <c r="A225" s="11">
        <v>219</v>
      </c>
      <c r="B225" s="47">
        <v>203735945</v>
      </c>
      <c r="C225" s="94" t="s">
        <v>2482</v>
      </c>
      <c r="D225" s="11" t="s">
        <v>2483</v>
      </c>
      <c r="E225" s="48" t="s">
        <v>31</v>
      </c>
      <c r="F225" s="48" t="s">
        <v>74</v>
      </c>
      <c r="G225" s="11" t="s">
        <v>64</v>
      </c>
      <c r="H225" s="11" t="s">
        <v>75</v>
      </c>
      <c r="I225" s="11">
        <v>1299</v>
      </c>
      <c r="J225" s="49" t="s">
        <v>39</v>
      </c>
      <c r="K225" s="49" t="s">
        <v>76</v>
      </c>
      <c r="L225" s="49" t="s">
        <v>85</v>
      </c>
      <c r="M225" s="49" t="s">
        <v>88</v>
      </c>
      <c r="N225" s="49" t="s">
        <v>89</v>
      </c>
      <c r="O225" s="49" t="s">
        <v>67</v>
      </c>
      <c r="P225" s="11" t="s">
        <v>80</v>
      </c>
      <c r="Q225" s="11" t="s">
        <v>90</v>
      </c>
      <c r="R225" s="11" t="s">
        <v>2727</v>
      </c>
      <c r="S225" s="11" t="s">
        <v>2728</v>
      </c>
      <c r="T225" s="90" t="s">
        <v>10</v>
      </c>
      <c r="U225" s="89"/>
      <c r="V225" s="51">
        <v>45502</v>
      </c>
      <c r="W225" s="11" t="s">
        <v>1575</v>
      </c>
    </row>
    <row r="226" spans="1:23" ht="13" customHeight="1" x14ac:dyDescent="0.35">
      <c r="A226" s="11">
        <v>220</v>
      </c>
      <c r="B226" s="47">
        <v>203816755</v>
      </c>
      <c r="C226" s="94" t="s">
        <v>2484</v>
      </c>
      <c r="D226" s="11" t="s">
        <v>2485</v>
      </c>
      <c r="E226" s="48" t="s">
        <v>31</v>
      </c>
      <c r="F226" s="48" t="s">
        <v>74</v>
      </c>
      <c r="G226" s="11" t="s">
        <v>64</v>
      </c>
      <c r="H226" s="11" t="s">
        <v>75</v>
      </c>
      <c r="I226" s="11">
        <v>1299</v>
      </c>
      <c r="J226" s="49" t="s">
        <v>39</v>
      </c>
      <c r="K226" s="49" t="s">
        <v>76</v>
      </c>
      <c r="L226" s="49" t="s">
        <v>78</v>
      </c>
      <c r="M226" s="49" t="s">
        <v>92</v>
      </c>
      <c r="N226" s="49" t="s">
        <v>89</v>
      </c>
      <c r="O226" s="49" t="s">
        <v>67</v>
      </c>
      <c r="P226" s="11" t="s">
        <v>80</v>
      </c>
      <c r="Q226" s="11" t="s">
        <v>90</v>
      </c>
      <c r="R226" s="11" t="s">
        <v>2727</v>
      </c>
      <c r="S226" s="11" t="s">
        <v>2728</v>
      </c>
      <c r="T226" s="90" t="s">
        <v>1</v>
      </c>
      <c r="U226" s="91"/>
      <c r="V226" s="51">
        <v>45518</v>
      </c>
      <c r="W226" s="11" t="s">
        <v>1575</v>
      </c>
    </row>
    <row r="227" spans="1:23" ht="13" customHeight="1" x14ac:dyDescent="0.35">
      <c r="A227" s="11">
        <v>221</v>
      </c>
      <c r="B227" s="47">
        <v>205275635</v>
      </c>
      <c r="C227" s="94" t="s">
        <v>1668</v>
      </c>
      <c r="D227" s="11" t="s">
        <v>1995</v>
      </c>
      <c r="E227" s="48" t="s">
        <v>31</v>
      </c>
      <c r="F227" s="48" t="s">
        <v>74</v>
      </c>
      <c r="G227" s="11" t="s">
        <v>64</v>
      </c>
      <c r="H227" s="11" t="s">
        <v>75</v>
      </c>
      <c r="I227" s="11">
        <v>1299</v>
      </c>
      <c r="J227" s="49" t="s">
        <v>32</v>
      </c>
      <c r="K227" s="49" t="s">
        <v>76</v>
      </c>
      <c r="L227" s="49" t="s">
        <v>77</v>
      </c>
      <c r="M227" s="49" t="s">
        <v>78</v>
      </c>
      <c r="N227" s="49" t="s">
        <v>89</v>
      </c>
      <c r="O227" s="49" t="s">
        <v>67</v>
      </c>
      <c r="P227" s="11" t="s">
        <v>80</v>
      </c>
      <c r="Q227" s="11" t="s">
        <v>96</v>
      </c>
      <c r="R227" s="11" t="s">
        <v>2727</v>
      </c>
      <c r="S227" s="11" t="s">
        <v>2728</v>
      </c>
      <c r="T227" s="90" t="s">
        <v>1</v>
      </c>
      <c r="U227" s="90"/>
      <c r="V227" s="51">
        <v>45950</v>
      </c>
      <c r="W227" s="11" t="s">
        <v>1575</v>
      </c>
    </row>
    <row r="228" spans="1:23" ht="13" customHeight="1" x14ac:dyDescent="0.35">
      <c r="A228" s="11">
        <v>222</v>
      </c>
      <c r="B228" s="47">
        <v>203468510</v>
      </c>
      <c r="C228" s="94" t="s">
        <v>156</v>
      </c>
      <c r="D228" s="11" t="s">
        <v>157</v>
      </c>
      <c r="E228" s="48" t="s">
        <v>31</v>
      </c>
      <c r="F228" s="48" t="s">
        <v>74</v>
      </c>
      <c r="G228" s="11" t="s">
        <v>64</v>
      </c>
      <c r="H228" s="11" t="s">
        <v>75</v>
      </c>
      <c r="I228" s="11">
        <v>1299</v>
      </c>
      <c r="J228" s="49" t="s">
        <v>2486</v>
      </c>
      <c r="K228" s="49" t="s">
        <v>76</v>
      </c>
      <c r="L228" s="49" t="s">
        <v>95</v>
      </c>
      <c r="M228" s="49" t="s">
        <v>77</v>
      </c>
      <c r="N228" s="48" t="s">
        <v>79</v>
      </c>
      <c r="O228" s="49" t="s">
        <v>33</v>
      </c>
      <c r="P228" s="11" t="s">
        <v>80</v>
      </c>
      <c r="Q228" s="11" t="s">
        <v>81</v>
      </c>
      <c r="R228" s="11" t="s">
        <v>160</v>
      </c>
      <c r="S228" s="11" t="s">
        <v>2730</v>
      </c>
      <c r="T228" s="90" t="s">
        <v>1</v>
      </c>
      <c r="U228" s="90"/>
      <c r="V228" s="51">
        <v>45456</v>
      </c>
      <c r="W228" s="49" t="s">
        <v>1576</v>
      </c>
    </row>
    <row r="229" spans="1:23" ht="13" customHeight="1" x14ac:dyDescent="0.35">
      <c r="A229" s="11">
        <v>223</v>
      </c>
      <c r="B229" s="47">
        <v>202308467</v>
      </c>
      <c r="C229" s="94" t="s">
        <v>158</v>
      </c>
      <c r="D229" s="11" t="s">
        <v>159</v>
      </c>
      <c r="E229" s="48" t="s">
        <v>31</v>
      </c>
      <c r="F229" s="48" t="s">
        <v>74</v>
      </c>
      <c r="G229" s="11" t="s">
        <v>64</v>
      </c>
      <c r="H229" s="11" t="s">
        <v>75</v>
      </c>
      <c r="I229" s="11">
        <v>1299</v>
      </c>
      <c r="J229" s="49" t="s">
        <v>32</v>
      </c>
      <c r="K229" s="49" t="s">
        <v>76</v>
      </c>
      <c r="L229" s="49" t="s">
        <v>85</v>
      </c>
      <c r="M229" s="49" t="s">
        <v>88</v>
      </c>
      <c r="N229" s="48" t="s">
        <v>79</v>
      </c>
      <c r="O229" s="49" t="s">
        <v>33</v>
      </c>
      <c r="P229" s="11" t="s">
        <v>80</v>
      </c>
      <c r="Q229" s="11" t="s">
        <v>81</v>
      </c>
      <c r="R229" s="11" t="s">
        <v>160</v>
      </c>
      <c r="S229" s="11" t="s">
        <v>2730</v>
      </c>
      <c r="T229" s="90" t="s">
        <v>10</v>
      </c>
      <c r="U229" s="89"/>
      <c r="V229" s="51">
        <v>45915</v>
      </c>
      <c r="W229" s="49" t="s">
        <v>1576</v>
      </c>
    </row>
    <row r="230" spans="1:23" ht="13" customHeight="1" x14ac:dyDescent="0.35">
      <c r="A230" s="11">
        <v>224</v>
      </c>
      <c r="B230" s="47">
        <v>204246160</v>
      </c>
      <c r="C230" s="94" t="s">
        <v>161</v>
      </c>
      <c r="D230" s="11" t="s">
        <v>162</v>
      </c>
      <c r="E230" s="48" t="s">
        <v>31</v>
      </c>
      <c r="F230" s="48" t="s">
        <v>74</v>
      </c>
      <c r="G230" s="11" t="s">
        <v>64</v>
      </c>
      <c r="H230" s="11" t="s">
        <v>75</v>
      </c>
      <c r="I230" s="11">
        <v>1299</v>
      </c>
      <c r="J230" s="49" t="s">
        <v>32</v>
      </c>
      <c r="K230" s="49" t="s">
        <v>76</v>
      </c>
      <c r="L230" s="49" t="s">
        <v>84</v>
      </c>
      <c r="M230" s="49" t="s">
        <v>85</v>
      </c>
      <c r="N230" s="48" t="s">
        <v>86</v>
      </c>
      <c r="O230" s="49" t="s">
        <v>33</v>
      </c>
      <c r="P230" s="11" t="s">
        <v>80</v>
      </c>
      <c r="Q230" s="11" t="s">
        <v>87</v>
      </c>
      <c r="R230" s="11" t="s">
        <v>160</v>
      </c>
      <c r="S230" s="11" t="s">
        <v>2730</v>
      </c>
      <c r="T230" s="90" t="s">
        <v>1</v>
      </c>
      <c r="U230" s="90"/>
      <c r="V230" s="51">
        <v>45579</v>
      </c>
      <c r="W230" s="49" t="s">
        <v>1576</v>
      </c>
    </row>
    <row r="231" spans="1:23" ht="13" customHeight="1" x14ac:dyDescent="0.35">
      <c r="A231" s="11">
        <v>225</v>
      </c>
      <c r="B231" s="47">
        <v>207220266</v>
      </c>
      <c r="C231" s="94" t="s">
        <v>2372</v>
      </c>
      <c r="D231" s="11" t="s">
        <v>2373</v>
      </c>
      <c r="E231" s="48" t="s">
        <v>34</v>
      </c>
      <c r="F231" s="48" t="s">
        <v>74</v>
      </c>
      <c r="G231" s="11" t="s">
        <v>64</v>
      </c>
      <c r="H231" s="11" t="s">
        <v>75</v>
      </c>
      <c r="I231" s="11">
        <v>1299</v>
      </c>
      <c r="J231" s="49" t="s">
        <v>32</v>
      </c>
      <c r="K231" s="49" t="s">
        <v>76</v>
      </c>
      <c r="L231" s="49" t="s">
        <v>77</v>
      </c>
      <c r="M231" s="49" t="s">
        <v>78</v>
      </c>
      <c r="N231" s="48" t="s">
        <v>97</v>
      </c>
      <c r="O231" s="49" t="s">
        <v>33</v>
      </c>
      <c r="P231" s="11" t="s">
        <v>80</v>
      </c>
      <c r="Q231" s="11" t="s">
        <v>98</v>
      </c>
      <c r="R231" s="11" t="s">
        <v>160</v>
      </c>
      <c r="S231" s="11" t="s">
        <v>2730</v>
      </c>
      <c r="T231" s="90" t="s">
        <v>1</v>
      </c>
      <c r="U231" s="91"/>
      <c r="V231" s="51">
        <v>46147</v>
      </c>
      <c r="W231" s="49" t="s">
        <v>1576</v>
      </c>
    </row>
    <row r="232" spans="1:23" ht="13" customHeight="1" x14ac:dyDescent="0.35">
      <c r="A232" s="11">
        <v>226</v>
      </c>
      <c r="B232" s="47">
        <v>203850930</v>
      </c>
      <c r="C232" s="94" t="s">
        <v>163</v>
      </c>
      <c r="D232" s="11" t="s">
        <v>164</v>
      </c>
      <c r="E232" s="48" t="s">
        <v>31</v>
      </c>
      <c r="F232" s="48" t="s">
        <v>74</v>
      </c>
      <c r="G232" s="11" t="s">
        <v>64</v>
      </c>
      <c r="H232" s="11" t="s">
        <v>75</v>
      </c>
      <c r="I232" s="11">
        <v>1299</v>
      </c>
      <c r="J232" s="49" t="s">
        <v>32</v>
      </c>
      <c r="K232" s="49" t="s">
        <v>76</v>
      </c>
      <c r="L232" s="49" t="s">
        <v>84</v>
      </c>
      <c r="M232" s="49" t="s">
        <v>85</v>
      </c>
      <c r="N232" s="48" t="s">
        <v>79</v>
      </c>
      <c r="O232" s="49" t="s">
        <v>33</v>
      </c>
      <c r="P232" s="11" t="s">
        <v>80</v>
      </c>
      <c r="Q232" s="11" t="s">
        <v>81</v>
      </c>
      <c r="R232" s="11" t="s">
        <v>160</v>
      </c>
      <c r="S232" s="11" t="s">
        <v>2730</v>
      </c>
      <c r="T232" s="90" t="s">
        <v>1</v>
      </c>
      <c r="U232" s="93"/>
      <c r="V232" s="51">
        <v>45524</v>
      </c>
      <c r="W232" s="49" t="s">
        <v>1576</v>
      </c>
    </row>
    <row r="233" spans="1:23" ht="13" customHeight="1" x14ac:dyDescent="0.35">
      <c r="A233" s="11">
        <v>227</v>
      </c>
      <c r="B233" s="47">
        <v>206953795</v>
      </c>
      <c r="C233" s="94" t="s">
        <v>2116</v>
      </c>
      <c r="D233" s="11" t="s">
        <v>2039</v>
      </c>
      <c r="E233" s="48" t="s">
        <v>31</v>
      </c>
      <c r="F233" s="48" t="s">
        <v>74</v>
      </c>
      <c r="G233" s="11" t="s">
        <v>64</v>
      </c>
      <c r="H233" s="11" t="s">
        <v>75</v>
      </c>
      <c r="I233" s="11">
        <v>1299</v>
      </c>
      <c r="J233" s="49" t="s">
        <v>32</v>
      </c>
      <c r="K233" s="49" t="s">
        <v>76</v>
      </c>
      <c r="L233" s="49" t="s">
        <v>92</v>
      </c>
      <c r="M233" s="49" t="s">
        <v>84</v>
      </c>
      <c r="N233" s="49" t="s">
        <v>86</v>
      </c>
      <c r="O233" s="49" t="s">
        <v>33</v>
      </c>
      <c r="P233" s="11" t="s">
        <v>80</v>
      </c>
      <c r="Q233" s="11" t="s">
        <v>96</v>
      </c>
      <c r="R233" s="11" t="s">
        <v>160</v>
      </c>
      <c r="S233" s="11" t="s">
        <v>2730</v>
      </c>
      <c r="T233" s="90" t="s">
        <v>1</v>
      </c>
      <c r="U233" s="91"/>
      <c r="V233" s="51">
        <v>46048</v>
      </c>
      <c r="W233" s="49" t="s">
        <v>1576</v>
      </c>
    </row>
    <row r="234" spans="1:23" ht="13" customHeight="1" x14ac:dyDescent="0.35">
      <c r="A234" s="11">
        <v>228</v>
      </c>
      <c r="B234" s="47">
        <v>206348033</v>
      </c>
      <c r="C234" s="94" t="s">
        <v>1669</v>
      </c>
      <c r="D234" s="11" t="s">
        <v>1670</v>
      </c>
      <c r="E234" s="48" t="s">
        <v>31</v>
      </c>
      <c r="F234" s="48" t="s">
        <v>74</v>
      </c>
      <c r="G234" s="11" t="s">
        <v>64</v>
      </c>
      <c r="H234" s="11" t="s">
        <v>75</v>
      </c>
      <c r="I234" s="11">
        <v>1299</v>
      </c>
      <c r="J234" s="49" t="s">
        <v>32</v>
      </c>
      <c r="K234" s="49" t="s">
        <v>76</v>
      </c>
      <c r="L234" s="49" t="s">
        <v>77</v>
      </c>
      <c r="M234" s="49" t="s">
        <v>78</v>
      </c>
      <c r="N234" s="48" t="s">
        <v>79</v>
      </c>
      <c r="O234" s="49" t="s">
        <v>33</v>
      </c>
      <c r="P234" s="11" t="s">
        <v>80</v>
      </c>
      <c r="Q234" s="11" t="s">
        <v>81</v>
      </c>
      <c r="R234" s="11" t="s">
        <v>160</v>
      </c>
      <c r="S234" s="11" t="s">
        <v>2730</v>
      </c>
      <c r="T234" s="90" t="s">
        <v>1</v>
      </c>
      <c r="U234" s="89"/>
      <c r="V234" s="51">
        <v>45957</v>
      </c>
      <c r="W234" s="49" t="s">
        <v>1576</v>
      </c>
    </row>
    <row r="235" spans="1:23" ht="13" customHeight="1" x14ac:dyDescent="0.35">
      <c r="A235" s="11">
        <v>229</v>
      </c>
      <c r="B235" s="47">
        <v>205977130</v>
      </c>
      <c r="C235" s="94" t="s">
        <v>165</v>
      </c>
      <c r="D235" s="11" t="s">
        <v>166</v>
      </c>
      <c r="E235" s="48" t="s">
        <v>31</v>
      </c>
      <c r="F235" s="48" t="s">
        <v>74</v>
      </c>
      <c r="G235" s="11" t="s">
        <v>64</v>
      </c>
      <c r="H235" s="11" t="s">
        <v>75</v>
      </c>
      <c r="I235" s="11">
        <v>1299</v>
      </c>
      <c r="J235" s="49" t="s">
        <v>32</v>
      </c>
      <c r="K235" s="49" t="s">
        <v>76</v>
      </c>
      <c r="L235" s="49" t="s">
        <v>92</v>
      </c>
      <c r="M235" s="49" t="s">
        <v>84</v>
      </c>
      <c r="N235" s="48" t="s">
        <v>86</v>
      </c>
      <c r="O235" s="49" t="s">
        <v>33</v>
      </c>
      <c r="P235" s="11" t="s">
        <v>80</v>
      </c>
      <c r="Q235" s="11" t="s">
        <v>90</v>
      </c>
      <c r="R235" s="11" t="s">
        <v>160</v>
      </c>
      <c r="S235" s="11" t="s">
        <v>2730</v>
      </c>
      <c r="T235" s="90" t="s">
        <v>1</v>
      </c>
      <c r="U235" s="91"/>
      <c r="V235" s="51">
        <v>45915</v>
      </c>
      <c r="W235" s="49" t="s">
        <v>1576</v>
      </c>
    </row>
    <row r="236" spans="1:23" ht="13" customHeight="1" x14ac:dyDescent="0.35">
      <c r="A236" s="11">
        <v>230</v>
      </c>
      <c r="B236" s="47">
        <v>203555224</v>
      </c>
      <c r="C236" s="94" t="s">
        <v>1355</v>
      </c>
      <c r="D236" s="11" t="s">
        <v>1356</v>
      </c>
      <c r="E236" s="48" t="s">
        <v>31</v>
      </c>
      <c r="F236" s="48" t="s">
        <v>74</v>
      </c>
      <c r="G236" s="11" t="s">
        <v>64</v>
      </c>
      <c r="H236" s="11" t="s">
        <v>75</v>
      </c>
      <c r="I236" s="11">
        <v>1299</v>
      </c>
      <c r="J236" s="49" t="s">
        <v>32</v>
      </c>
      <c r="K236" s="49" t="s">
        <v>76</v>
      </c>
      <c r="L236" s="49" t="s">
        <v>77</v>
      </c>
      <c r="M236" s="49" t="s">
        <v>78</v>
      </c>
      <c r="N236" s="48" t="s">
        <v>79</v>
      </c>
      <c r="O236" s="49" t="s">
        <v>33</v>
      </c>
      <c r="P236" s="11" t="s">
        <v>80</v>
      </c>
      <c r="Q236" s="11" t="s">
        <v>81</v>
      </c>
      <c r="R236" s="11" t="s">
        <v>160</v>
      </c>
      <c r="S236" s="11" t="s">
        <v>2730</v>
      </c>
      <c r="T236" s="90" t="s">
        <v>1</v>
      </c>
      <c r="U236" s="90"/>
      <c r="V236" s="51">
        <v>45470</v>
      </c>
      <c r="W236" s="49" t="s">
        <v>68</v>
      </c>
    </row>
    <row r="237" spans="1:23" ht="13" customHeight="1" x14ac:dyDescent="0.35">
      <c r="A237" s="11">
        <v>231</v>
      </c>
      <c r="B237" s="47">
        <v>206953381</v>
      </c>
      <c r="C237" s="94" t="s">
        <v>2117</v>
      </c>
      <c r="D237" s="11" t="s">
        <v>2040</v>
      </c>
      <c r="E237" s="48" t="s">
        <v>31</v>
      </c>
      <c r="F237" s="48" t="s">
        <v>74</v>
      </c>
      <c r="G237" s="11" t="s">
        <v>64</v>
      </c>
      <c r="H237" s="11" t="s">
        <v>75</v>
      </c>
      <c r="I237" s="11">
        <v>1299</v>
      </c>
      <c r="J237" s="49" t="s">
        <v>32</v>
      </c>
      <c r="K237" s="49" t="s">
        <v>76</v>
      </c>
      <c r="L237" s="49" t="s">
        <v>92</v>
      </c>
      <c r="M237" s="49" t="s">
        <v>84</v>
      </c>
      <c r="N237" s="49" t="s">
        <v>86</v>
      </c>
      <c r="O237" s="49" t="s">
        <v>33</v>
      </c>
      <c r="P237" s="11" t="s">
        <v>80</v>
      </c>
      <c r="Q237" s="11" t="s">
        <v>96</v>
      </c>
      <c r="R237" s="11" t="s">
        <v>160</v>
      </c>
      <c r="S237" s="11" t="s">
        <v>2730</v>
      </c>
      <c r="T237" s="90" t="s">
        <v>1</v>
      </c>
      <c r="U237" s="91"/>
      <c r="V237" s="51">
        <v>46048</v>
      </c>
      <c r="W237" s="49" t="s">
        <v>1576</v>
      </c>
    </row>
    <row r="238" spans="1:23" ht="13" customHeight="1" x14ac:dyDescent="0.35">
      <c r="A238" s="11">
        <v>232</v>
      </c>
      <c r="B238" s="47">
        <v>205996683</v>
      </c>
      <c r="C238" s="94" t="s">
        <v>167</v>
      </c>
      <c r="D238" s="11" t="s">
        <v>168</v>
      </c>
      <c r="E238" s="48" t="s">
        <v>31</v>
      </c>
      <c r="F238" s="48" t="s">
        <v>74</v>
      </c>
      <c r="G238" s="11" t="s">
        <v>64</v>
      </c>
      <c r="H238" s="11" t="s">
        <v>75</v>
      </c>
      <c r="I238" s="11">
        <v>1299</v>
      </c>
      <c r="J238" s="49" t="s">
        <v>32</v>
      </c>
      <c r="K238" s="49" t="s">
        <v>76</v>
      </c>
      <c r="L238" s="49" t="s">
        <v>84</v>
      </c>
      <c r="M238" s="49" t="s">
        <v>85</v>
      </c>
      <c r="N238" s="48" t="s">
        <v>79</v>
      </c>
      <c r="O238" s="49" t="s">
        <v>33</v>
      </c>
      <c r="P238" s="11" t="s">
        <v>80</v>
      </c>
      <c r="Q238" s="11" t="s">
        <v>81</v>
      </c>
      <c r="R238" s="11" t="s">
        <v>160</v>
      </c>
      <c r="S238" s="11" t="s">
        <v>2730</v>
      </c>
      <c r="T238" s="90" t="s">
        <v>1</v>
      </c>
      <c r="U238" s="89"/>
      <c r="V238" s="51">
        <v>45915</v>
      </c>
      <c r="W238" s="49" t="s">
        <v>1576</v>
      </c>
    </row>
    <row r="239" spans="1:23" ht="13" customHeight="1" x14ac:dyDescent="0.35">
      <c r="A239" s="11">
        <v>233</v>
      </c>
      <c r="B239" s="47">
        <v>206192647</v>
      </c>
      <c r="C239" s="94" t="s">
        <v>1651</v>
      </c>
      <c r="D239" s="11" t="s">
        <v>1637</v>
      </c>
      <c r="E239" s="48" t="s">
        <v>31</v>
      </c>
      <c r="F239" s="48" t="s">
        <v>74</v>
      </c>
      <c r="G239" s="11" t="s">
        <v>64</v>
      </c>
      <c r="H239" s="11" t="s">
        <v>75</v>
      </c>
      <c r="I239" s="11">
        <v>1299</v>
      </c>
      <c r="J239" s="49" t="s">
        <v>32</v>
      </c>
      <c r="K239" s="49" t="s">
        <v>76</v>
      </c>
      <c r="L239" s="49" t="s">
        <v>78</v>
      </c>
      <c r="M239" s="49" t="s">
        <v>92</v>
      </c>
      <c r="N239" s="48" t="s">
        <v>79</v>
      </c>
      <c r="O239" s="49" t="s">
        <v>33</v>
      </c>
      <c r="P239" s="11" t="s">
        <v>80</v>
      </c>
      <c r="Q239" s="11" t="s">
        <v>96</v>
      </c>
      <c r="R239" s="11" t="s">
        <v>160</v>
      </c>
      <c r="S239" s="11" t="s">
        <v>2730</v>
      </c>
      <c r="T239" s="90" t="s">
        <v>3</v>
      </c>
      <c r="U239" s="89"/>
      <c r="V239" s="51">
        <v>45943</v>
      </c>
      <c r="W239" s="49" t="s">
        <v>1576</v>
      </c>
    </row>
    <row r="240" spans="1:23" ht="13" customHeight="1" x14ac:dyDescent="0.35">
      <c r="A240" s="11">
        <v>234</v>
      </c>
      <c r="B240" s="47">
        <v>206953797</v>
      </c>
      <c r="C240" s="94" t="s">
        <v>2118</v>
      </c>
      <c r="D240" s="11" t="s">
        <v>2041</v>
      </c>
      <c r="E240" s="48" t="s">
        <v>31</v>
      </c>
      <c r="F240" s="48" t="s">
        <v>74</v>
      </c>
      <c r="G240" s="11" t="s">
        <v>64</v>
      </c>
      <c r="H240" s="11" t="s">
        <v>75</v>
      </c>
      <c r="I240" s="11">
        <v>1299</v>
      </c>
      <c r="J240" s="49" t="s">
        <v>32</v>
      </c>
      <c r="K240" s="49" t="s">
        <v>76</v>
      </c>
      <c r="L240" s="49" t="s">
        <v>92</v>
      </c>
      <c r="M240" s="49" t="s">
        <v>84</v>
      </c>
      <c r="N240" s="49" t="s">
        <v>86</v>
      </c>
      <c r="O240" s="49" t="s">
        <v>33</v>
      </c>
      <c r="P240" s="11" t="s">
        <v>80</v>
      </c>
      <c r="Q240" s="11" t="s">
        <v>96</v>
      </c>
      <c r="R240" s="11" t="s">
        <v>160</v>
      </c>
      <c r="S240" s="11" t="s">
        <v>2730</v>
      </c>
      <c r="T240" s="90" t="s">
        <v>1</v>
      </c>
      <c r="U240" s="89"/>
      <c r="V240" s="51">
        <v>46048</v>
      </c>
      <c r="W240" s="49" t="s">
        <v>1576</v>
      </c>
    </row>
    <row r="241" spans="1:23" ht="13" customHeight="1" x14ac:dyDescent="0.35">
      <c r="A241" s="11">
        <v>235</v>
      </c>
      <c r="B241" s="47">
        <v>203850932</v>
      </c>
      <c r="C241" s="94" t="s">
        <v>169</v>
      </c>
      <c r="D241" s="11" t="s">
        <v>170</v>
      </c>
      <c r="E241" s="48" t="s">
        <v>31</v>
      </c>
      <c r="F241" s="48" t="s">
        <v>74</v>
      </c>
      <c r="G241" s="11" t="s">
        <v>64</v>
      </c>
      <c r="H241" s="11" t="s">
        <v>75</v>
      </c>
      <c r="I241" s="11">
        <v>1299</v>
      </c>
      <c r="J241" s="49" t="s">
        <v>32</v>
      </c>
      <c r="K241" s="49" t="s">
        <v>76</v>
      </c>
      <c r="L241" s="49" t="s">
        <v>84</v>
      </c>
      <c r="M241" s="49" t="s">
        <v>85</v>
      </c>
      <c r="N241" s="48" t="s">
        <v>79</v>
      </c>
      <c r="O241" s="49" t="s">
        <v>33</v>
      </c>
      <c r="P241" s="11" t="s">
        <v>80</v>
      </c>
      <c r="Q241" s="11" t="s">
        <v>81</v>
      </c>
      <c r="R241" s="11" t="s">
        <v>160</v>
      </c>
      <c r="S241" s="11" t="s">
        <v>2730</v>
      </c>
      <c r="T241" s="90" t="s">
        <v>1</v>
      </c>
      <c r="U241" s="91"/>
      <c r="V241" s="51">
        <v>45524</v>
      </c>
      <c r="W241" s="49" t="s">
        <v>1576</v>
      </c>
    </row>
    <row r="242" spans="1:23" ht="13" customHeight="1" x14ac:dyDescent="0.35">
      <c r="A242" s="11">
        <v>236</v>
      </c>
      <c r="B242" s="47">
        <v>203709877</v>
      </c>
      <c r="C242" s="94" t="s">
        <v>171</v>
      </c>
      <c r="D242" s="11" t="s">
        <v>172</v>
      </c>
      <c r="E242" s="48" t="s">
        <v>31</v>
      </c>
      <c r="F242" s="48" t="s">
        <v>74</v>
      </c>
      <c r="G242" s="11" t="s">
        <v>64</v>
      </c>
      <c r="H242" s="11" t="s">
        <v>75</v>
      </c>
      <c r="I242" s="11">
        <v>1299</v>
      </c>
      <c r="J242" s="49" t="s">
        <v>32</v>
      </c>
      <c r="K242" s="49" t="s">
        <v>76</v>
      </c>
      <c r="L242" s="49" t="s">
        <v>77</v>
      </c>
      <c r="M242" s="49" t="s">
        <v>78</v>
      </c>
      <c r="N242" s="48" t="s">
        <v>86</v>
      </c>
      <c r="O242" s="49" t="s">
        <v>33</v>
      </c>
      <c r="P242" s="11" t="s">
        <v>80</v>
      </c>
      <c r="Q242" s="11" t="s">
        <v>99</v>
      </c>
      <c r="R242" s="11" t="s">
        <v>160</v>
      </c>
      <c r="S242" s="11" t="s">
        <v>2730</v>
      </c>
      <c r="T242" s="90" t="s">
        <v>1</v>
      </c>
      <c r="U242" s="89"/>
      <c r="V242" s="51">
        <v>45495</v>
      </c>
      <c r="W242" s="49" t="s">
        <v>1576</v>
      </c>
    </row>
    <row r="243" spans="1:23" ht="13" customHeight="1" x14ac:dyDescent="0.35">
      <c r="A243" s="11">
        <v>237</v>
      </c>
      <c r="B243" s="47">
        <v>206953796</v>
      </c>
      <c r="C243" s="94" t="s">
        <v>2119</v>
      </c>
      <c r="D243" s="11" t="s">
        <v>2042</v>
      </c>
      <c r="E243" s="48" t="s">
        <v>31</v>
      </c>
      <c r="F243" s="48" t="s">
        <v>74</v>
      </c>
      <c r="G243" s="11" t="s">
        <v>64</v>
      </c>
      <c r="H243" s="11" t="s">
        <v>75</v>
      </c>
      <c r="I243" s="11">
        <v>1299</v>
      </c>
      <c r="J243" s="49" t="s">
        <v>32</v>
      </c>
      <c r="K243" s="49" t="s">
        <v>76</v>
      </c>
      <c r="L243" s="49" t="s">
        <v>92</v>
      </c>
      <c r="M243" s="49" t="s">
        <v>84</v>
      </c>
      <c r="N243" s="49" t="s">
        <v>86</v>
      </c>
      <c r="O243" s="49" t="s">
        <v>33</v>
      </c>
      <c r="P243" s="11" t="s">
        <v>80</v>
      </c>
      <c r="Q243" s="11" t="s">
        <v>96</v>
      </c>
      <c r="R243" s="11" t="s">
        <v>160</v>
      </c>
      <c r="S243" s="11" t="s">
        <v>2730</v>
      </c>
      <c r="T243" s="90" t="s">
        <v>1</v>
      </c>
      <c r="U243" s="91"/>
      <c r="V243" s="51">
        <v>46048</v>
      </c>
      <c r="W243" s="49" t="s">
        <v>1576</v>
      </c>
    </row>
    <row r="244" spans="1:23" ht="13" customHeight="1" x14ac:dyDescent="0.35">
      <c r="A244" s="11">
        <v>238</v>
      </c>
      <c r="B244" s="47">
        <v>203850933</v>
      </c>
      <c r="C244" s="94" t="s">
        <v>173</v>
      </c>
      <c r="D244" s="11" t="s">
        <v>174</v>
      </c>
      <c r="E244" s="48" t="s">
        <v>31</v>
      </c>
      <c r="F244" s="48" t="s">
        <v>74</v>
      </c>
      <c r="G244" s="11" t="s">
        <v>64</v>
      </c>
      <c r="H244" s="11" t="s">
        <v>75</v>
      </c>
      <c r="I244" s="11">
        <v>1299</v>
      </c>
      <c r="J244" s="49" t="s">
        <v>32</v>
      </c>
      <c r="K244" s="49" t="s">
        <v>76</v>
      </c>
      <c r="L244" s="49" t="s">
        <v>95</v>
      </c>
      <c r="M244" s="49" t="s">
        <v>77</v>
      </c>
      <c r="N244" s="48" t="s">
        <v>79</v>
      </c>
      <c r="O244" s="49" t="s">
        <v>33</v>
      </c>
      <c r="P244" s="11" t="s">
        <v>80</v>
      </c>
      <c r="Q244" s="11" t="s">
        <v>81</v>
      </c>
      <c r="R244" s="11" t="s">
        <v>160</v>
      </c>
      <c r="S244" s="11" t="s">
        <v>2730</v>
      </c>
      <c r="T244" s="90" t="s">
        <v>1</v>
      </c>
      <c r="U244" s="89"/>
      <c r="V244" s="51">
        <v>45524</v>
      </c>
      <c r="W244" s="49" t="s">
        <v>1576</v>
      </c>
    </row>
    <row r="245" spans="1:23" ht="13" customHeight="1" x14ac:dyDescent="0.35">
      <c r="A245" s="11">
        <v>239</v>
      </c>
      <c r="B245" s="47">
        <v>203468509</v>
      </c>
      <c r="C245" s="94" t="s">
        <v>175</v>
      </c>
      <c r="D245" s="11" t="s">
        <v>176</v>
      </c>
      <c r="E245" s="48" t="s">
        <v>31</v>
      </c>
      <c r="F245" s="48" t="s">
        <v>74</v>
      </c>
      <c r="G245" s="11" t="s">
        <v>64</v>
      </c>
      <c r="H245" s="11" t="s">
        <v>75</v>
      </c>
      <c r="I245" s="11">
        <v>1299</v>
      </c>
      <c r="J245" s="49" t="s">
        <v>32</v>
      </c>
      <c r="K245" s="49" t="s">
        <v>76</v>
      </c>
      <c r="L245" s="49" t="s">
        <v>95</v>
      </c>
      <c r="M245" s="49" t="s">
        <v>77</v>
      </c>
      <c r="N245" s="48" t="s">
        <v>79</v>
      </c>
      <c r="O245" s="49" t="s">
        <v>33</v>
      </c>
      <c r="P245" s="11" t="s">
        <v>80</v>
      </c>
      <c r="Q245" s="11" t="s">
        <v>81</v>
      </c>
      <c r="R245" s="11" t="s">
        <v>160</v>
      </c>
      <c r="S245" s="11" t="s">
        <v>2730</v>
      </c>
      <c r="T245" s="90" t="s">
        <v>7</v>
      </c>
      <c r="U245" s="90" t="s">
        <v>2914</v>
      </c>
      <c r="V245" s="51">
        <v>45456</v>
      </c>
      <c r="W245" s="49" t="s">
        <v>1576</v>
      </c>
    </row>
    <row r="246" spans="1:23" ht="13" customHeight="1" x14ac:dyDescent="0.35">
      <c r="A246" s="11">
        <v>240</v>
      </c>
      <c r="B246" s="47">
        <v>206361763</v>
      </c>
      <c r="C246" s="94" t="s">
        <v>1671</v>
      </c>
      <c r="D246" s="11" t="s">
        <v>1672</v>
      </c>
      <c r="E246" s="48" t="s">
        <v>31</v>
      </c>
      <c r="F246" s="48" t="s">
        <v>74</v>
      </c>
      <c r="G246" s="11" t="s">
        <v>64</v>
      </c>
      <c r="H246" s="11" t="s">
        <v>75</v>
      </c>
      <c r="I246" s="11">
        <v>1299</v>
      </c>
      <c r="J246" s="49" t="s">
        <v>32</v>
      </c>
      <c r="K246" s="49" t="s">
        <v>76</v>
      </c>
      <c r="L246" s="49" t="s">
        <v>92</v>
      </c>
      <c r="M246" s="49" t="s">
        <v>84</v>
      </c>
      <c r="N246" s="49" t="s">
        <v>89</v>
      </c>
      <c r="O246" s="49" t="s">
        <v>33</v>
      </c>
      <c r="P246" s="11" t="s">
        <v>80</v>
      </c>
      <c r="Q246" s="11" t="s">
        <v>81</v>
      </c>
      <c r="R246" s="11" t="s">
        <v>160</v>
      </c>
      <c r="S246" s="11" t="s">
        <v>2730</v>
      </c>
      <c r="T246" s="90" t="s">
        <v>1</v>
      </c>
      <c r="U246" s="90"/>
      <c r="V246" s="51">
        <v>45957</v>
      </c>
      <c r="W246" s="49" t="s">
        <v>1576</v>
      </c>
    </row>
    <row r="247" spans="1:23" ht="13" customHeight="1" x14ac:dyDescent="0.35">
      <c r="A247" s="11">
        <v>241</v>
      </c>
      <c r="B247" s="47">
        <v>203850934</v>
      </c>
      <c r="C247" s="94" t="s">
        <v>177</v>
      </c>
      <c r="D247" s="11" t="s">
        <v>178</v>
      </c>
      <c r="E247" s="48" t="s">
        <v>31</v>
      </c>
      <c r="F247" s="48" t="s">
        <v>74</v>
      </c>
      <c r="G247" s="11" t="s">
        <v>64</v>
      </c>
      <c r="H247" s="11" t="s">
        <v>75</v>
      </c>
      <c r="I247" s="11">
        <v>1299</v>
      </c>
      <c r="J247" s="49" t="s">
        <v>32</v>
      </c>
      <c r="K247" s="49" t="s">
        <v>76</v>
      </c>
      <c r="L247" s="49" t="s">
        <v>85</v>
      </c>
      <c r="M247" s="49" t="s">
        <v>88</v>
      </c>
      <c r="N247" s="48" t="s">
        <v>79</v>
      </c>
      <c r="O247" s="49" t="s">
        <v>33</v>
      </c>
      <c r="P247" s="11" t="s">
        <v>80</v>
      </c>
      <c r="Q247" s="11" t="s">
        <v>81</v>
      </c>
      <c r="R247" s="11" t="s">
        <v>160</v>
      </c>
      <c r="S247" s="11" t="s">
        <v>2730</v>
      </c>
      <c r="T247" s="90" t="s">
        <v>10</v>
      </c>
      <c r="U247" s="90"/>
      <c r="V247" s="51">
        <v>45524</v>
      </c>
      <c r="W247" s="49" t="s">
        <v>1576</v>
      </c>
    </row>
    <row r="248" spans="1:23" ht="13" customHeight="1" x14ac:dyDescent="0.35">
      <c r="A248" s="11">
        <v>242</v>
      </c>
      <c r="B248" s="47">
        <v>205996686</v>
      </c>
      <c r="C248" s="94" t="s">
        <v>179</v>
      </c>
      <c r="D248" s="11" t="s">
        <v>180</v>
      </c>
      <c r="E248" s="48" t="s">
        <v>31</v>
      </c>
      <c r="F248" s="48" t="s">
        <v>74</v>
      </c>
      <c r="G248" s="11" t="s">
        <v>64</v>
      </c>
      <c r="H248" s="11" t="s">
        <v>75</v>
      </c>
      <c r="I248" s="11">
        <v>1299</v>
      </c>
      <c r="J248" s="49" t="s">
        <v>32</v>
      </c>
      <c r="K248" s="49" t="s">
        <v>76</v>
      </c>
      <c r="L248" s="49" t="s">
        <v>88</v>
      </c>
      <c r="M248" s="49" t="s">
        <v>95</v>
      </c>
      <c r="N248" s="49" t="s">
        <v>89</v>
      </c>
      <c r="O248" s="49" t="s">
        <v>33</v>
      </c>
      <c r="P248" s="11" t="s">
        <v>80</v>
      </c>
      <c r="Q248" s="11" t="s">
        <v>81</v>
      </c>
      <c r="R248" s="11" t="s">
        <v>160</v>
      </c>
      <c r="S248" s="11" t="s">
        <v>2730</v>
      </c>
      <c r="T248" s="90" t="s">
        <v>10</v>
      </c>
      <c r="U248" s="90"/>
      <c r="V248" s="51">
        <v>45915</v>
      </c>
      <c r="W248" s="49" t="s">
        <v>1576</v>
      </c>
    </row>
    <row r="249" spans="1:23" ht="13" customHeight="1" x14ac:dyDescent="0.35">
      <c r="A249" s="11">
        <v>243</v>
      </c>
      <c r="B249" s="47">
        <v>203468508</v>
      </c>
      <c r="C249" s="94" t="s">
        <v>181</v>
      </c>
      <c r="D249" s="11" t="s">
        <v>182</v>
      </c>
      <c r="E249" s="48" t="s">
        <v>31</v>
      </c>
      <c r="F249" s="48" t="s">
        <v>74</v>
      </c>
      <c r="G249" s="11" t="s">
        <v>64</v>
      </c>
      <c r="H249" s="11" t="s">
        <v>75</v>
      </c>
      <c r="I249" s="11">
        <v>1299</v>
      </c>
      <c r="J249" s="49" t="s">
        <v>32</v>
      </c>
      <c r="K249" s="49" t="s">
        <v>76</v>
      </c>
      <c r="L249" s="49" t="s">
        <v>84</v>
      </c>
      <c r="M249" s="49" t="s">
        <v>85</v>
      </c>
      <c r="N249" s="48" t="s">
        <v>79</v>
      </c>
      <c r="O249" s="49" t="s">
        <v>33</v>
      </c>
      <c r="P249" s="11" t="s">
        <v>80</v>
      </c>
      <c r="Q249" s="11" t="s">
        <v>81</v>
      </c>
      <c r="R249" s="11" t="s">
        <v>160</v>
      </c>
      <c r="S249" s="11" t="s">
        <v>2730</v>
      </c>
      <c r="T249" s="90" t="s">
        <v>1</v>
      </c>
      <c r="U249" s="91"/>
      <c r="V249" s="51">
        <v>45456</v>
      </c>
      <c r="W249" s="49" t="s">
        <v>1576</v>
      </c>
    </row>
    <row r="250" spans="1:23" ht="13" customHeight="1" x14ac:dyDescent="0.35">
      <c r="A250" s="11">
        <v>244</v>
      </c>
      <c r="B250" s="47">
        <v>204941770</v>
      </c>
      <c r="C250" s="94" t="s">
        <v>183</v>
      </c>
      <c r="D250" s="11" t="s">
        <v>184</v>
      </c>
      <c r="E250" s="48" t="s">
        <v>34</v>
      </c>
      <c r="F250" s="48" t="s">
        <v>74</v>
      </c>
      <c r="G250" s="11" t="s">
        <v>64</v>
      </c>
      <c r="H250" s="11" t="s">
        <v>75</v>
      </c>
      <c r="I250" s="11">
        <v>1299</v>
      </c>
      <c r="J250" s="49" t="s">
        <v>32</v>
      </c>
      <c r="K250" s="49" t="s">
        <v>76</v>
      </c>
      <c r="L250" s="49" t="s">
        <v>78</v>
      </c>
      <c r="M250" s="49" t="s">
        <v>92</v>
      </c>
      <c r="N250" s="48" t="s">
        <v>97</v>
      </c>
      <c r="O250" s="49" t="s">
        <v>33</v>
      </c>
      <c r="P250" s="11" t="s">
        <v>80</v>
      </c>
      <c r="Q250" s="11" t="s">
        <v>98</v>
      </c>
      <c r="R250" s="11" t="s">
        <v>160</v>
      </c>
      <c r="S250" s="11" t="s">
        <v>2730</v>
      </c>
      <c r="T250" s="90" t="s">
        <v>1</v>
      </c>
      <c r="U250" s="91"/>
      <c r="V250" s="51">
        <v>45733</v>
      </c>
      <c r="W250" s="49" t="s">
        <v>1576</v>
      </c>
    </row>
    <row r="251" spans="1:23" ht="13" customHeight="1" x14ac:dyDescent="0.35">
      <c r="A251" s="11">
        <v>245</v>
      </c>
      <c r="B251" s="47">
        <v>203468507</v>
      </c>
      <c r="C251" s="94" t="s">
        <v>185</v>
      </c>
      <c r="D251" s="11" t="s">
        <v>186</v>
      </c>
      <c r="E251" s="48" t="s">
        <v>31</v>
      </c>
      <c r="F251" s="48" t="s">
        <v>74</v>
      </c>
      <c r="G251" s="11" t="s">
        <v>64</v>
      </c>
      <c r="H251" s="11" t="s">
        <v>75</v>
      </c>
      <c r="I251" s="11">
        <v>1299</v>
      </c>
      <c r="J251" s="49" t="s">
        <v>39</v>
      </c>
      <c r="K251" s="49" t="s">
        <v>76</v>
      </c>
      <c r="L251" s="49" t="s">
        <v>85</v>
      </c>
      <c r="M251" s="49" t="s">
        <v>88</v>
      </c>
      <c r="N251" s="48" t="s">
        <v>79</v>
      </c>
      <c r="O251" s="49" t="s">
        <v>33</v>
      </c>
      <c r="P251" s="11" t="s">
        <v>80</v>
      </c>
      <c r="Q251" s="11" t="s">
        <v>81</v>
      </c>
      <c r="R251" s="11" t="s">
        <v>160</v>
      </c>
      <c r="S251" s="11" t="s">
        <v>2730</v>
      </c>
      <c r="T251" s="90" t="s">
        <v>10</v>
      </c>
      <c r="U251" s="90"/>
      <c r="V251" s="51">
        <v>45456</v>
      </c>
      <c r="W251" s="49" t="s">
        <v>1576</v>
      </c>
    </row>
    <row r="252" spans="1:23" ht="13" customHeight="1" x14ac:dyDescent="0.35">
      <c r="A252" s="11">
        <v>246</v>
      </c>
      <c r="B252" s="47">
        <v>106268319</v>
      </c>
      <c r="C252" s="94" t="s">
        <v>187</v>
      </c>
      <c r="D252" s="11" t="s">
        <v>188</v>
      </c>
      <c r="E252" s="48" t="s">
        <v>34</v>
      </c>
      <c r="F252" s="48" t="s">
        <v>74</v>
      </c>
      <c r="G252" s="11" t="s">
        <v>64</v>
      </c>
      <c r="H252" s="11" t="s">
        <v>75</v>
      </c>
      <c r="I252" s="11">
        <v>1299</v>
      </c>
      <c r="J252" s="49" t="s">
        <v>32</v>
      </c>
      <c r="K252" s="49" t="s">
        <v>76</v>
      </c>
      <c r="L252" s="49" t="s">
        <v>95</v>
      </c>
      <c r="M252" s="49" t="s">
        <v>77</v>
      </c>
      <c r="N252" s="48" t="s">
        <v>108</v>
      </c>
      <c r="O252" s="49" t="s">
        <v>33</v>
      </c>
      <c r="P252" s="11" t="s">
        <v>80</v>
      </c>
      <c r="Q252" s="11" t="s">
        <v>98</v>
      </c>
      <c r="R252" s="11" t="s">
        <v>160</v>
      </c>
      <c r="S252" s="11" t="s">
        <v>2730</v>
      </c>
      <c r="T252" s="90" t="s">
        <v>1</v>
      </c>
      <c r="U252" s="89"/>
      <c r="V252" s="51">
        <v>44757</v>
      </c>
      <c r="W252" s="49" t="s">
        <v>1576</v>
      </c>
    </row>
    <row r="253" spans="1:23" ht="13" customHeight="1" x14ac:dyDescent="0.35">
      <c r="A253" s="11">
        <v>247</v>
      </c>
      <c r="B253" s="47">
        <v>206149617</v>
      </c>
      <c r="C253" s="94" t="s">
        <v>189</v>
      </c>
      <c r="D253" s="11" t="s">
        <v>190</v>
      </c>
      <c r="E253" s="48" t="s">
        <v>31</v>
      </c>
      <c r="F253" s="48" t="s">
        <v>74</v>
      </c>
      <c r="G253" s="11" t="s">
        <v>64</v>
      </c>
      <c r="H253" s="11" t="s">
        <v>75</v>
      </c>
      <c r="I253" s="11">
        <v>1299</v>
      </c>
      <c r="J253" s="49" t="s">
        <v>32</v>
      </c>
      <c r="K253" s="49" t="s">
        <v>76</v>
      </c>
      <c r="L253" s="49" t="s">
        <v>78</v>
      </c>
      <c r="M253" s="49" t="s">
        <v>92</v>
      </c>
      <c r="N253" s="48" t="s">
        <v>79</v>
      </c>
      <c r="O253" s="49" t="s">
        <v>33</v>
      </c>
      <c r="P253" s="11" t="s">
        <v>80</v>
      </c>
      <c r="Q253" s="11" t="s">
        <v>81</v>
      </c>
      <c r="R253" s="11" t="s">
        <v>160</v>
      </c>
      <c r="S253" s="11" t="s">
        <v>2730</v>
      </c>
      <c r="T253" s="90" t="s">
        <v>1</v>
      </c>
      <c r="U253" s="90"/>
      <c r="V253" s="51">
        <v>45929</v>
      </c>
      <c r="W253" s="49" t="s">
        <v>1576</v>
      </c>
    </row>
    <row r="254" spans="1:23" ht="13" customHeight="1" x14ac:dyDescent="0.35">
      <c r="A254" s="11">
        <v>248</v>
      </c>
      <c r="B254" s="47">
        <v>102577243</v>
      </c>
      <c r="C254" s="94" t="s">
        <v>191</v>
      </c>
      <c r="D254" s="11" t="s">
        <v>192</v>
      </c>
      <c r="E254" s="48" t="s">
        <v>34</v>
      </c>
      <c r="F254" s="48" t="s">
        <v>74</v>
      </c>
      <c r="G254" s="11" t="s">
        <v>64</v>
      </c>
      <c r="H254" s="11" t="s">
        <v>75</v>
      </c>
      <c r="I254" s="11">
        <v>1299</v>
      </c>
      <c r="J254" s="49" t="s">
        <v>32</v>
      </c>
      <c r="K254" s="49" t="s">
        <v>76</v>
      </c>
      <c r="L254" s="49" t="s">
        <v>95</v>
      </c>
      <c r="M254" s="49" t="s">
        <v>77</v>
      </c>
      <c r="N254" s="48" t="s">
        <v>97</v>
      </c>
      <c r="O254" s="49" t="s">
        <v>33</v>
      </c>
      <c r="P254" s="11" t="s">
        <v>80</v>
      </c>
      <c r="Q254" s="11" t="s">
        <v>98</v>
      </c>
      <c r="R254" s="11" t="s">
        <v>160</v>
      </c>
      <c r="S254" s="11" t="s">
        <v>2730</v>
      </c>
      <c r="T254" s="90" t="s">
        <v>1</v>
      </c>
      <c r="U254" s="90"/>
      <c r="V254" s="51">
        <v>42913</v>
      </c>
      <c r="W254" s="49" t="s">
        <v>1576</v>
      </c>
    </row>
    <row r="255" spans="1:23" ht="13" customHeight="1" x14ac:dyDescent="0.35">
      <c r="A255" s="11">
        <v>249</v>
      </c>
      <c r="B255" s="47">
        <v>204095446</v>
      </c>
      <c r="C255" s="94" t="s">
        <v>1393</v>
      </c>
      <c r="D255" s="11" t="s">
        <v>1394</v>
      </c>
      <c r="E255" s="48" t="s">
        <v>31</v>
      </c>
      <c r="F255" s="48" t="s">
        <v>74</v>
      </c>
      <c r="G255" s="11" t="s">
        <v>64</v>
      </c>
      <c r="H255" s="11" t="s">
        <v>75</v>
      </c>
      <c r="I255" s="11">
        <v>1181</v>
      </c>
      <c r="J255" s="49" t="s">
        <v>32</v>
      </c>
      <c r="K255" s="49" t="s">
        <v>76</v>
      </c>
      <c r="L255" s="49" t="s">
        <v>85</v>
      </c>
      <c r="M255" s="49" t="s">
        <v>88</v>
      </c>
      <c r="N255" s="48" t="s">
        <v>86</v>
      </c>
      <c r="O255" s="49" t="s">
        <v>33</v>
      </c>
      <c r="P255" s="11" t="s">
        <v>80</v>
      </c>
      <c r="Q255" s="11" t="s">
        <v>87</v>
      </c>
      <c r="R255" s="11" t="s">
        <v>160</v>
      </c>
      <c r="S255" s="11" t="s">
        <v>2730</v>
      </c>
      <c r="T255" s="90" t="s">
        <v>10</v>
      </c>
      <c r="U255" s="90"/>
      <c r="V255" s="51">
        <v>45561</v>
      </c>
      <c r="W255" s="49" t="s">
        <v>1576</v>
      </c>
    </row>
    <row r="256" spans="1:23" ht="13" customHeight="1" x14ac:dyDescent="0.35">
      <c r="A256" s="11">
        <v>250</v>
      </c>
      <c r="B256" s="47">
        <v>206239528</v>
      </c>
      <c r="C256" s="94" t="s">
        <v>1652</v>
      </c>
      <c r="D256" s="11" t="s">
        <v>1636</v>
      </c>
      <c r="E256" s="48" t="s">
        <v>31</v>
      </c>
      <c r="F256" s="48" t="s">
        <v>74</v>
      </c>
      <c r="G256" s="11" t="s">
        <v>64</v>
      </c>
      <c r="H256" s="11" t="s">
        <v>75</v>
      </c>
      <c r="I256" s="11">
        <v>1299</v>
      </c>
      <c r="J256" s="49" t="s">
        <v>32</v>
      </c>
      <c r="K256" s="49" t="s">
        <v>76</v>
      </c>
      <c r="L256" s="49" t="s">
        <v>95</v>
      </c>
      <c r="M256" s="49" t="s">
        <v>77</v>
      </c>
      <c r="N256" s="48" t="s">
        <v>79</v>
      </c>
      <c r="O256" s="49" t="s">
        <v>33</v>
      </c>
      <c r="P256" s="11" t="s">
        <v>80</v>
      </c>
      <c r="Q256" s="11" t="s">
        <v>81</v>
      </c>
      <c r="R256" s="11" t="s">
        <v>160</v>
      </c>
      <c r="S256" s="11" t="s">
        <v>2730</v>
      </c>
      <c r="T256" s="90" t="s">
        <v>1</v>
      </c>
      <c r="U256" s="91"/>
      <c r="V256" s="51">
        <v>45943</v>
      </c>
      <c r="W256" s="49" t="s">
        <v>1576</v>
      </c>
    </row>
    <row r="257" spans="1:23" ht="13" customHeight="1" x14ac:dyDescent="0.35">
      <c r="A257" s="11">
        <v>251</v>
      </c>
      <c r="B257" s="47">
        <v>203709876</v>
      </c>
      <c r="C257" s="94" t="s">
        <v>193</v>
      </c>
      <c r="D257" s="11" t="s">
        <v>194</v>
      </c>
      <c r="E257" s="48" t="s">
        <v>31</v>
      </c>
      <c r="F257" s="48" t="s">
        <v>74</v>
      </c>
      <c r="G257" s="11" t="s">
        <v>64</v>
      </c>
      <c r="H257" s="11" t="s">
        <v>75</v>
      </c>
      <c r="I257" s="11">
        <v>1299</v>
      </c>
      <c r="J257" s="49" t="s">
        <v>32</v>
      </c>
      <c r="K257" s="49" t="s">
        <v>76</v>
      </c>
      <c r="L257" s="49" t="s">
        <v>95</v>
      </c>
      <c r="M257" s="49" t="s">
        <v>77</v>
      </c>
      <c r="N257" s="48" t="s">
        <v>86</v>
      </c>
      <c r="O257" s="49" t="s">
        <v>33</v>
      </c>
      <c r="P257" s="11" t="s">
        <v>80</v>
      </c>
      <c r="Q257" s="11" t="s">
        <v>99</v>
      </c>
      <c r="R257" s="11" t="s">
        <v>160</v>
      </c>
      <c r="S257" s="11" t="s">
        <v>2730</v>
      </c>
      <c r="T257" s="90" t="s">
        <v>1</v>
      </c>
      <c r="U257" s="90"/>
      <c r="V257" s="51">
        <v>45495</v>
      </c>
      <c r="W257" s="49" t="s">
        <v>1576</v>
      </c>
    </row>
    <row r="258" spans="1:23" ht="13" customHeight="1" x14ac:dyDescent="0.35">
      <c r="A258" s="11">
        <v>252</v>
      </c>
      <c r="B258" s="47">
        <v>201228114</v>
      </c>
      <c r="C258" s="94" t="s">
        <v>195</v>
      </c>
      <c r="D258" s="11" t="s">
        <v>196</v>
      </c>
      <c r="E258" s="48" t="s">
        <v>31</v>
      </c>
      <c r="F258" s="48" t="s">
        <v>74</v>
      </c>
      <c r="G258" s="11" t="s">
        <v>64</v>
      </c>
      <c r="H258" s="11" t="s">
        <v>75</v>
      </c>
      <c r="I258" s="11">
        <v>1299</v>
      </c>
      <c r="J258" s="49" t="s">
        <v>2486</v>
      </c>
      <c r="K258" s="49" t="s">
        <v>76</v>
      </c>
      <c r="L258" s="49" t="s">
        <v>78</v>
      </c>
      <c r="M258" s="49" t="s">
        <v>92</v>
      </c>
      <c r="N258" s="48" t="s">
        <v>86</v>
      </c>
      <c r="O258" s="49" t="s">
        <v>33</v>
      </c>
      <c r="P258" s="11" t="s">
        <v>80</v>
      </c>
      <c r="Q258" s="11" t="s">
        <v>87</v>
      </c>
      <c r="R258" s="11" t="s">
        <v>160</v>
      </c>
      <c r="S258" s="11" t="s">
        <v>2730</v>
      </c>
      <c r="T258" s="90" t="s">
        <v>1</v>
      </c>
      <c r="U258" s="90"/>
      <c r="V258" s="51">
        <v>45596</v>
      </c>
      <c r="W258" s="49" t="s">
        <v>1576</v>
      </c>
    </row>
    <row r="259" spans="1:23" ht="13" customHeight="1" x14ac:dyDescent="0.35">
      <c r="A259" s="11">
        <v>253</v>
      </c>
      <c r="B259" s="47">
        <v>206348034</v>
      </c>
      <c r="C259" s="94" t="s">
        <v>1697</v>
      </c>
      <c r="D259" s="11" t="s">
        <v>1710</v>
      </c>
      <c r="E259" s="48" t="s">
        <v>31</v>
      </c>
      <c r="F259" s="48" t="s">
        <v>74</v>
      </c>
      <c r="G259" s="11" t="s">
        <v>64</v>
      </c>
      <c r="H259" s="11" t="s">
        <v>75</v>
      </c>
      <c r="I259" s="11">
        <v>1181</v>
      </c>
      <c r="J259" s="49" t="s">
        <v>32</v>
      </c>
      <c r="K259" s="49" t="s">
        <v>76</v>
      </c>
      <c r="L259" s="49" t="s">
        <v>84</v>
      </c>
      <c r="M259" s="49" t="s">
        <v>85</v>
      </c>
      <c r="N259" s="49" t="s">
        <v>89</v>
      </c>
      <c r="O259" s="49" t="s">
        <v>33</v>
      </c>
      <c r="P259" s="11" t="s">
        <v>80</v>
      </c>
      <c r="Q259" s="11" t="s">
        <v>81</v>
      </c>
      <c r="R259" s="11" t="s">
        <v>160</v>
      </c>
      <c r="S259" s="11" t="s">
        <v>2730</v>
      </c>
      <c r="T259" s="90" t="s">
        <v>1</v>
      </c>
      <c r="U259" s="89"/>
      <c r="V259" s="51">
        <v>45957</v>
      </c>
      <c r="W259" s="49" t="s">
        <v>1576</v>
      </c>
    </row>
    <row r="260" spans="1:23" ht="13" customHeight="1" x14ac:dyDescent="0.35">
      <c r="A260" s="11">
        <v>254</v>
      </c>
      <c r="B260" s="47">
        <v>203850938</v>
      </c>
      <c r="C260" s="94" t="s">
        <v>197</v>
      </c>
      <c r="D260" s="11" t="s">
        <v>198</v>
      </c>
      <c r="E260" s="48" t="s">
        <v>31</v>
      </c>
      <c r="F260" s="48" t="s">
        <v>74</v>
      </c>
      <c r="G260" s="11" t="s">
        <v>64</v>
      </c>
      <c r="H260" s="11" t="s">
        <v>75</v>
      </c>
      <c r="I260" s="11">
        <v>1299</v>
      </c>
      <c r="J260" s="49" t="s">
        <v>32</v>
      </c>
      <c r="K260" s="49" t="s">
        <v>76</v>
      </c>
      <c r="L260" s="49" t="s">
        <v>84</v>
      </c>
      <c r="M260" s="49" t="s">
        <v>85</v>
      </c>
      <c r="N260" s="48" t="s">
        <v>79</v>
      </c>
      <c r="O260" s="49" t="s">
        <v>33</v>
      </c>
      <c r="P260" s="11" t="s">
        <v>80</v>
      </c>
      <c r="Q260" s="11" t="s">
        <v>81</v>
      </c>
      <c r="R260" s="11" t="s">
        <v>160</v>
      </c>
      <c r="S260" s="11" t="s">
        <v>2730</v>
      </c>
      <c r="T260" s="90" t="s">
        <v>1</v>
      </c>
      <c r="U260" s="89"/>
      <c r="V260" s="51">
        <v>45524</v>
      </c>
      <c r="W260" s="49" t="s">
        <v>1576</v>
      </c>
    </row>
    <row r="261" spans="1:23" ht="13" customHeight="1" x14ac:dyDescent="0.35">
      <c r="A261" s="11">
        <v>255</v>
      </c>
      <c r="B261" s="47">
        <v>203709886</v>
      </c>
      <c r="C261" s="94" t="s">
        <v>199</v>
      </c>
      <c r="D261" s="11" t="s">
        <v>200</v>
      </c>
      <c r="E261" s="48" t="s">
        <v>31</v>
      </c>
      <c r="F261" s="48" t="s">
        <v>74</v>
      </c>
      <c r="G261" s="11" t="s">
        <v>64</v>
      </c>
      <c r="H261" s="11" t="s">
        <v>75</v>
      </c>
      <c r="I261" s="11">
        <v>1299</v>
      </c>
      <c r="J261" s="49" t="s">
        <v>2486</v>
      </c>
      <c r="K261" s="49" t="s">
        <v>76</v>
      </c>
      <c r="L261" s="49" t="s">
        <v>95</v>
      </c>
      <c r="M261" s="49" t="s">
        <v>77</v>
      </c>
      <c r="N261" s="48" t="s">
        <v>86</v>
      </c>
      <c r="O261" s="49" t="s">
        <v>33</v>
      </c>
      <c r="P261" s="11" t="s">
        <v>80</v>
      </c>
      <c r="Q261" s="11" t="s">
        <v>99</v>
      </c>
      <c r="R261" s="11" t="s">
        <v>160</v>
      </c>
      <c r="S261" s="11" t="s">
        <v>2730</v>
      </c>
      <c r="T261" s="90" t="s">
        <v>1</v>
      </c>
      <c r="U261" s="89"/>
      <c r="V261" s="51">
        <v>45495</v>
      </c>
      <c r="W261" s="49" t="s">
        <v>1576</v>
      </c>
    </row>
    <row r="262" spans="1:23" ht="13" customHeight="1" x14ac:dyDescent="0.35">
      <c r="A262" s="11">
        <v>256</v>
      </c>
      <c r="B262" s="47">
        <v>103875256</v>
      </c>
      <c r="C262" s="94" t="s">
        <v>201</v>
      </c>
      <c r="D262" s="11" t="s">
        <v>202</v>
      </c>
      <c r="E262" s="48" t="s">
        <v>34</v>
      </c>
      <c r="F262" s="48" t="s">
        <v>74</v>
      </c>
      <c r="G262" s="11" t="s">
        <v>64</v>
      </c>
      <c r="H262" s="11" t="s">
        <v>75</v>
      </c>
      <c r="I262" s="11">
        <v>1299</v>
      </c>
      <c r="J262" s="49" t="s">
        <v>32</v>
      </c>
      <c r="K262" s="49" t="s">
        <v>76</v>
      </c>
      <c r="L262" s="49" t="s">
        <v>88</v>
      </c>
      <c r="M262" s="49" t="s">
        <v>95</v>
      </c>
      <c r="N262" s="48" t="s">
        <v>108</v>
      </c>
      <c r="O262" s="49" t="s">
        <v>33</v>
      </c>
      <c r="P262" s="11" t="s">
        <v>80</v>
      </c>
      <c r="Q262" s="11" t="s">
        <v>98</v>
      </c>
      <c r="R262" s="11" t="s">
        <v>160</v>
      </c>
      <c r="S262" s="11" t="s">
        <v>2730</v>
      </c>
      <c r="T262" s="90" t="s">
        <v>10</v>
      </c>
      <c r="U262" s="89"/>
      <c r="V262" s="51">
        <v>44782</v>
      </c>
      <c r="W262" s="49" t="s">
        <v>1576</v>
      </c>
    </row>
    <row r="263" spans="1:23" ht="13" customHeight="1" x14ac:dyDescent="0.35">
      <c r="A263" s="11">
        <v>257</v>
      </c>
      <c r="B263" s="47">
        <v>204883087</v>
      </c>
      <c r="C263" s="94" t="s">
        <v>203</v>
      </c>
      <c r="D263" s="11" t="s">
        <v>204</v>
      </c>
      <c r="E263" s="48" t="s">
        <v>31</v>
      </c>
      <c r="F263" s="48" t="s">
        <v>74</v>
      </c>
      <c r="G263" s="11" t="s">
        <v>64</v>
      </c>
      <c r="H263" s="11" t="s">
        <v>75</v>
      </c>
      <c r="I263" s="11">
        <v>1299</v>
      </c>
      <c r="J263" s="49" t="s">
        <v>32</v>
      </c>
      <c r="K263" s="49" t="s">
        <v>76</v>
      </c>
      <c r="L263" s="49" t="s">
        <v>95</v>
      </c>
      <c r="M263" s="49" t="s">
        <v>77</v>
      </c>
      <c r="N263" s="48" t="s">
        <v>86</v>
      </c>
      <c r="O263" s="49" t="s">
        <v>33</v>
      </c>
      <c r="P263" s="11" t="s">
        <v>80</v>
      </c>
      <c r="Q263" s="11" t="s">
        <v>87</v>
      </c>
      <c r="R263" s="11" t="s">
        <v>160</v>
      </c>
      <c r="S263" s="11" t="s">
        <v>2730</v>
      </c>
      <c r="T263" s="90" t="s">
        <v>1</v>
      </c>
      <c r="U263" s="90"/>
      <c r="V263" s="51">
        <v>45691</v>
      </c>
      <c r="W263" s="49" t="s">
        <v>1576</v>
      </c>
    </row>
    <row r="264" spans="1:23" ht="13" customHeight="1" x14ac:dyDescent="0.35">
      <c r="A264" s="11">
        <v>258</v>
      </c>
      <c r="B264" s="47">
        <v>204967040</v>
      </c>
      <c r="C264" s="94" t="s">
        <v>205</v>
      </c>
      <c r="D264" s="11" t="s">
        <v>206</v>
      </c>
      <c r="E264" s="48" t="s">
        <v>31</v>
      </c>
      <c r="F264" s="48" t="s">
        <v>74</v>
      </c>
      <c r="G264" s="11" t="s">
        <v>64</v>
      </c>
      <c r="H264" s="11" t="s">
        <v>75</v>
      </c>
      <c r="I264" s="11">
        <v>1299</v>
      </c>
      <c r="J264" s="49" t="s">
        <v>2486</v>
      </c>
      <c r="K264" s="49" t="s">
        <v>76</v>
      </c>
      <c r="L264" s="49" t="s">
        <v>78</v>
      </c>
      <c r="M264" s="49" t="s">
        <v>92</v>
      </c>
      <c r="N264" s="48" t="s">
        <v>86</v>
      </c>
      <c r="O264" s="49" t="s">
        <v>33</v>
      </c>
      <c r="P264" s="11" t="s">
        <v>80</v>
      </c>
      <c r="Q264" s="11" t="s">
        <v>90</v>
      </c>
      <c r="R264" s="11" t="s">
        <v>160</v>
      </c>
      <c r="S264" s="11" t="s">
        <v>2730</v>
      </c>
      <c r="T264" s="90" t="s">
        <v>1</v>
      </c>
      <c r="U264" s="90"/>
      <c r="V264" s="51">
        <v>45719</v>
      </c>
      <c r="W264" s="49" t="s">
        <v>1576</v>
      </c>
    </row>
    <row r="265" spans="1:23" ht="13" customHeight="1" x14ac:dyDescent="0.35">
      <c r="A265" s="11">
        <v>259</v>
      </c>
      <c r="B265" s="47">
        <v>203470082</v>
      </c>
      <c r="C265" s="94" t="s">
        <v>207</v>
      </c>
      <c r="D265" s="11" t="s">
        <v>208</v>
      </c>
      <c r="E265" s="48" t="s">
        <v>31</v>
      </c>
      <c r="F265" s="48" t="s">
        <v>74</v>
      </c>
      <c r="G265" s="11" t="s">
        <v>64</v>
      </c>
      <c r="H265" s="11" t="s">
        <v>75</v>
      </c>
      <c r="I265" s="11">
        <v>1299</v>
      </c>
      <c r="J265" s="49" t="s">
        <v>2486</v>
      </c>
      <c r="K265" s="49" t="s">
        <v>76</v>
      </c>
      <c r="L265" s="49" t="s">
        <v>84</v>
      </c>
      <c r="M265" s="49" t="s">
        <v>85</v>
      </c>
      <c r="N265" s="48" t="s">
        <v>86</v>
      </c>
      <c r="O265" s="49" t="s">
        <v>33</v>
      </c>
      <c r="P265" s="11" t="s">
        <v>80</v>
      </c>
      <c r="Q265" s="11" t="s">
        <v>99</v>
      </c>
      <c r="R265" s="11" t="s">
        <v>160</v>
      </c>
      <c r="S265" s="11" t="s">
        <v>2730</v>
      </c>
      <c r="T265" s="90" t="s">
        <v>1</v>
      </c>
      <c r="U265" s="89"/>
      <c r="V265" s="51">
        <v>45456</v>
      </c>
      <c r="W265" s="49" t="s">
        <v>1576</v>
      </c>
    </row>
    <row r="266" spans="1:23" ht="13" customHeight="1" x14ac:dyDescent="0.35">
      <c r="A266" s="11">
        <v>260</v>
      </c>
      <c r="B266" s="47">
        <v>206015654</v>
      </c>
      <c r="C266" s="94" t="s">
        <v>209</v>
      </c>
      <c r="D266" s="11" t="s">
        <v>210</v>
      </c>
      <c r="E266" s="48" t="s">
        <v>31</v>
      </c>
      <c r="F266" s="48" t="s">
        <v>74</v>
      </c>
      <c r="G266" s="11" t="s">
        <v>64</v>
      </c>
      <c r="H266" s="11" t="s">
        <v>75</v>
      </c>
      <c r="I266" s="11">
        <v>1299</v>
      </c>
      <c r="J266" s="49" t="s">
        <v>32</v>
      </c>
      <c r="K266" s="49" t="s">
        <v>76</v>
      </c>
      <c r="L266" s="49" t="s">
        <v>92</v>
      </c>
      <c r="M266" s="49" t="s">
        <v>84</v>
      </c>
      <c r="N266" s="48" t="s">
        <v>79</v>
      </c>
      <c r="O266" s="49" t="s">
        <v>33</v>
      </c>
      <c r="P266" s="11" t="s">
        <v>80</v>
      </c>
      <c r="Q266" s="11" t="s">
        <v>81</v>
      </c>
      <c r="R266" s="11" t="s">
        <v>160</v>
      </c>
      <c r="S266" s="11" t="s">
        <v>2730</v>
      </c>
      <c r="T266" s="90" t="s">
        <v>1</v>
      </c>
      <c r="U266" s="90" t="s">
        <v>2914</v>
      </c>
      <c r="V266" s="51">
        <v>45915</v>
      </c>
      <c r="W266" s="49" t="s">
        <v>1576</v>
      </c>
    </row>
    <row r="267" spans="1:23" ht="13" customHeight="1" x14ac:dyDescent="0.35">
      <c r="A267" s="11">
        <v>261</v>
      </c>
      <c r="B267" s="47">
        <v>203635600</v>
      </c>
      <c r="C267" s="94" t="s">
        <v>211</v>
      </c>
      <c r="D267" s="11" t="s">
        <v>212</v>
      </c>
      <c r="E267" s="48" t="s">
        <v>31</v>
      </c>
      <c r="F267" s="48" t="s">
        <v>74</v>
      </c>
      <c r="G267" s="11" t="s">
        <v>64</v>
      </c>
      <c r="H267" s="11" t="s">
        <v>75</v>
      </c>
      <c r="I267" s="11">
        <v>1299</v>
      </c>
      <c r="J267" s="49" t="s">
        <v>32</v>
      </c>
      <c r="K267" s="49" t="s">
        <v>76</v>
      </c>
      <c r="L267" s="49" t="s">
        <v>36</v>
      </c>
      <c r="M267" s="49" t="s">
        <v>95</v>
      </c>
      <c r="N267" s="48" t="s">
        <v>79</v>
      </c>
      <c r="O267" s="49" t="s">
        <v>33</v>
      </c>
      <c r="P267" s="11" t="s">
        <v>80</v>
      </c>
      <c r="Q267" s="11" t="s">
        <v>81</v>
      </c>
      <c r="R267" s="11" t="s">
        <v>160</v>
      </c>
      <c r="S267" s="11" t="s">
        <v>2730</v>
      </c>
      <c r="T267" s="90" t="s">
        <v>1</v>
      </c>
      <c r="U267" s="90" t="s">
        <v>2919</v>
      </c>
      <c r="V267" s="51">
        <v>45481</v>
      </c>
      <c r="W267" s="49" t="s">
        <v>1576</v>
      </c>
    </row>
    <row r="268" spans="1:23" ht="13" customHeight="1" x14ac:dyDescent="0.35">
      <c r="A268" s="11">
        <v>262</v>
      </c>
      <c r="B268" s="47">
        <v>204013736</v>
      </c>
      <c r="C268" s="94" t="s">
        <v>213</v>
      </c>
      <c r="D268" s="11" t="s">
        <v>214</v>
      </c>
      <c r="E268" s="48" t="s">
        <v>31</v>
      </c>
      <c r="F268" s="48" t="s">
        <v>74</v>
      </c>
      <c r="G268" s="11" t="s">
        <v>64</v>
      </c>
      <c r="H268" s="11" t="s">
        <v>75</v>
      </c>
      <c r="I268" s="11">
        <v>1299</v>
      </c>
      <c r="J268" s="49" t="s">
        <v>2486</v>
      </c>
      <c r="K268" s="49" t="s">
        <v>76</v>
      </c>
      <c r="L268" s="49" t="s">
        <v>77</v>
      </c>
      <c r="M268" s="49" t="s">
        <v>78</v>
      </c>
      <c r="N268" s="48" t="s">
        <v>79</v>
      </c>
      <c r="O268" s="49" t="s">
        <v>33</v>
      </c>
      <c r="P268" s="11" t="s">
        <v>80</v>
      </c>
      <c r="Q268" s="11" t="s">
        <v>81</v>
      </c>
      <c r="R268" s="11" t="s">
        <v>160</v>
      </c>
      <c r="S268" s="11" t="s">
        <v>2730</v>
      </c>
      <c r="T268" s="90" t="s">
        <v>7</v>
      </c>
      <c r="U268" s="90" t="s">
        <v>2914</v>
      </c>
      <c r="V268" s="51">
        <v>45551</v>
      </c>
      <c r="W268" s="49" t="s">
        <v>1576</v>
      </c>
    </row>
    <row r="269" spans="1:23" ht="13" customHeight="1" x14ac:dyDescent="0.35">
      <c r="A269" s="11">
        <v>263</v>
      </c>
      <c r="B269" s="47">
        <v>206953819</v>
      </c>
      <c r="C269" s="94" t="s">
        <v>2113</v>
      </c>
      <c r="D269" s="11" t="s">
        <v>2036</v>
      </c>
      <c r="E269" s="48" t="s">
        <v>31</v>
      </c>
      <c r="F269" s="48" t="s">
        <v>74</v>
      </c>
      <c r="G269" s="11" t="s">
        <v>64</v>
      </c>
      <c r="H269" s="11" t="s">
        <v>75</v>
      </c>
      <c r="I269" s="11">
        <v>1299</v>
      </c>
      <c r="J269" s="49" t="s">
        <v>32</v>
      </c>
      <c r="K269" s="49" t="s">
        <v>76</v>
      </c>
      <c r="L269" s="49" t="s">
        <v>36</v>
      </c>
      <c r="M269" s="49" t="s">
        <v>95</v>
      </c>
      <c r="N269" s="49" t="s">
        <v>89</v>
      </c>
      <c r="O269" s="49" t="s">
        <v>33</v>
      </c>
      <c r="P269" s="11" t="s">
        <v>80</v>
      </c>
      <c r="Q269" s="11" t="s">
        <v>96</v>
      </c>
      <c r="R269" s="11" t="s">
        <v>160</v>
      </c>
      <c r="S269" s="11" t="s">
        <v>2730</v>
      </c>
      <c r="T269" s="90" t="s">
        <v>1</v>
      </c>
      <c r="U269" s="90" t="s">
        <v>2919</v>
      </c>
      <c r="V269" s="51">
        <v>46048</v>
      </c>
      <c r="W269" s="49" t="s">
        <v>1576</v>
      </c>
    </row>
    <row r="270" spans="1:23" ht="13" customHeight="1" x14ac:dyDescent="0.35">
      <c r="A270" s="11">
        <v>264</v>
      </c>
      <c r="B270" s="47">
        <v>206348214</v>
      </c>
      <c r="C270" s="94" t="s">
        <v>1673</v>
      </c>
      <c r="D270" s="11" t="s">
        <v>1674</v>
      </c>
      <c r="E270" s="48" t="s">
        <v>31</v>
      </c>
      <c r="F270" s="48" t="s">
        <v>74</v>
      </c>
      <c r="G270" s="11" t="s">
        <v>64</v>
      </c>
      <c r="H270" s="11" t="s">
        <v>75</v>
      </c>
      <c r="I270" s="11">
        <v>1299</v>
      </c>
      <c r="J270" s="49" t="s">
        <v>32</v>
      </c>
      <c r="K270" s="49" t="s">
        <v>76</v>
      </c>
      <c r="L270" s="49" t="s">
        <v>77</v>
      </c>
      <c r="M270" s="49" t="s">
        <v>78</v>
      </c>
      <c r="N270" s="49" t="s">
        <v>89</v>
      </c>
      <c r="O270" s="49" t="s">
        <v>33</v>
      </c>
      <c r="P270" s="11" t="s">
        <v>80</v>
      </c>
      <c r="Q270" s="11" t="s">
        <v>81</v>
      </c>
      <c r="R270" s="11" t="s">
        <v>160</v>
      </c>
      <c r="S270" s="11" t="s">
        <v>2730</v>
      </c>
      <c r="T270" s="90" t="s">
        <v>7</v>
      </c>
      <c r="U270" s="90" t="s">
        <v>2914</v>
      </c>
      <c r="V270" s="51">
        <v>45957</v>
      </c>
      <c r="W270" s="49" t="s">
        <v>1576</v>
      </c>
    </row>
    <row r="271" spans="1:23" ht="13" customHeight="1" x14ac:dyDescent="0.35">
      <c r="A271" s="11">
        <v>265</v>
      </c>
      <c r="B271" s="47">
        <v>206148779</v>
      </c>
      <c r="C271" s="94" t="s">
        <v>215</v>
      </c>
      <c r="D271" s="11" t="s">
        <v>216</v>
      </c>
      <c r="E271" s="48" t="s">
        <v>31</v>
      </c>
      <c r="F271" s="48" t="s">
        <v>74</v>
      </c>
      <c r="G271" s="11" t="s">
        <v>64</v>
      </c>
      <c r="H271" s="11" t="s">
        <v>75</v>
      </c>
      <c r="I271" s="11">
        <v>1299</v>
      </c>
      <c r="J271" s="49" t="s">
        <v>32</v>
      </c>
      <c r="K271" s="49" t="s">
        <v>76</v>
      </c>
      <c r="L271" s="49" t="s">
        <v>95</v>
      </c>
      <c r="M271" s="49" t="s">
        <v>77</v>
      </c>
      <c r="N271" s="48" t="s">
        <v>79</v>
      </c>
      <c r="O271" s="49" t="s">
        <v>33</v>
      </c>
      <c r="P271" s="11" t="s">
        <v>80</v>
      </c>
      <c r="Q271" s="11" t="s">
        <v>81</v>
      </c>
      <c r="R271" s="11" t="s">
        <v>160</v>
      </c>
      <c r="S271" s="11" t="s">
        <v>2730</v>
      </c>
      <c r="T271" s="90" t="s">
        <v>1</v>
      </c>
      <c r="U271" s="90"/>
      <c r="V271" s="51">
        <v>45929</v>
      </c>
      <c r="W271" s="49" t="s">
        <v>1576</v>
      </c>
    </row>
    <row r="272" spans="1:23" ht="13" customHeight="1" x14ac:dyDescent="0.35">
      <c r="A272" s="11">
        <v>266</v>
      </c>
      <c r="B272" s="47">
        <v>206192491</v>
      </c>
      <c r="C272" s="94" t="s">
        <v>1653</v>
      </c>
      <c r="D272" s="11" t="s">
        <v>1638</v>
      </c>
      <c r="E272" s="48" t="s">
        <v>31</v>
      </c>
      <c r="F272" s="48" t="s">
        <v>74</v>
      </c>
      <c r="G272" s="11" t="s">
        <v>64</v>
      </c>
      <c r="H272" s="11" t="s">
        <v>75</v>
      </c>
      <c r="I272" s="11">
        <v>1299</v>
      </c>
      <c r="J272" s="49" t="s">
        <v>32</v>
      </c>
      <c r="K272" s="49" t="s">
        <v>76</v>
      </c>
      <c r="L272" s="49" t="s">
        <v>85</v>
      </c>
      <c r="M272" s="49" t="s">
        <v>88</v>
      </c>
      <c r="N272" s="48" t="s">
        <v>79</v>
      </c>
      <c r="O272" s="49" t="s">
        <v>33</v>
      </c>
      <c r="P272" s="11" t="s">
        <v>80</v>
      </c>
      <c r="Q272" s="11" t="s">
        <v>96</v>
      </c>
      <c r="R272" s="11" t="s">
        <v>160</v>
      </c>
      <c r="S272" s="11" t="s">
        <v>2730</v>
      </c>
      <c r="T272" s="90" t="s">
        <v>10</v>
      </c>
      <c r="U272" s="91"/>
      <c r="V272" s="51">
        <v>45943</v>
      </c>
      <c r="W272" s="49" t="s">
        <v>1576</v>
      </c>
    </row>
    <row r="273" spans="1:23" ht="13" customHeight="1" x14ac:dyDescent="0.35">
      <c r="A273" s="11">
        <v>267</v>
      </c>
      <c r="B273" s="47">
        <v>206953568</v>
      </c>
      <c r="C273" s="94" t="s">
        <v>2114</v>
      </c>
      <c r="D273" s="11" t="s">
        <v>2037</v>
      </c>
      <c r="E273" s="48" t="s">
        <v>31</v>
      </c>
      <c r="F273" s="48" t="s">
        <v>74</v>
      </c>
      <c r="G273" s="11" t="s">
        <v>64</v>
      </c>
      <c r="H273" s="11" t="s">
        <v>75</v>
      </c>
      <c r="I273" s="11">
        <v>1299</v>
      </c>
      <c r="J273" s="49" t="s">
        <v>32</v>
      </c>
      <c r="K273" s="49" t="s">
        <v>76</v>
      </c>
      <c r="L273" s="49" t="s">
        <v>36</v>
      </c>
      <c r="M273" s="49" t="s">
        <v>95</v>
      </c>
      <c r="N273" s="49" t="s">
        <v>89</v>
      </c>
      <c r="O273" s="49" t="s">
        <v>33</v>
      </c>
      <c r="P273" s="11" t="s">
        <v>80</v>
      </c>
      <c r="Q273" s="11" t="s">
        <v>96</v>
      </c>
      <c r="R273" s="11" t="s">
        <v>160</v>
      </c>
      <c r="S273" s="11" t="s">
        <v>2730</v>
      </c>
      <c r="T273" s="90" t="s">
        <v>1</v>
      </c>
      <c r="U273" s="90" t="s">
        <v>2919</v>
      </c>
      <c r="V273" s="51">
        <v>46048</v>
      </c>
      <c r="W273" s="49" t="s">
        <v>1576</v>
      </c>
    </row>
    <row r="274" spans="1:23" ht="13" customHeight="1" x14ac:dyDescent="0.35">
      <c r="A274" s="11">
        <v>268</v>
      </c>
      <c r="B274" s="47">
        <v>206953818</v>
      </c>
      <c r="C274" s="94" t="s">
        <v>2115</v>
      </c>
      <c r="D274" s="11" t="s">
        <v>2038</v>
      </c>
      <c r="E274" s="48" t="s">
        <v>31</v>
      </c>
      <c r="F274" s="48" t="s">
        <v>74</v>
      </c>
      <c r="G274" s="11" t="s">
        <v>64</v>
      </c>
      <c r="H274" s="11" t="s">
        <v>75</v>
      </c>
      <c r="I274" s="11">
        <v>1299</v>
      </c>
      <c r="J274" s="49" t="s">
        <v>32</v>
      </c>
      <c r="K274" s="49" t="s">
        <v>76</v>
      </c>
      <c r="L274" s="49" t="s">
        <v>92</v>
      </c>
      <c r="M274" s="49" t="s">
        <v>84</v>
      </c>
      <c r="N274" s="49" t="s">
        <v>89</v>
      </c>
      <c r="O274" s="49" t="s">
        <v>33</v>
      </c>
      <c r="P274" s="11" t="s">
        <v>80</v>
      </c>
      <c r="Q274" s="11" t="s">
        <v>96</v>
      </c>
      <c r="R274" s="11" t="s">
        <v>160</v>
      </c>
      <c r="S274" s="11" t="s">
        <v>2730</v>
      </c>
      <c r="T274" s="90" t="s">
        <v>1</v>
      </c>
      <c r="U274" s="90"/>
      <c r="V274" s="51">
        <v>46048</v>
      </c>
      <c r="W274" s="49" t="s">
        <v>1576</v>
      </c>
    </row>
    <row r="275" spans="1:23" ht="13" customHeight="1" x14ac:dyDescent="0.35">
      <c r="A275" s="11">
        <v>269</v>
      </c>
      <c r="B275" s="47">
        <v>203709884</v>
      </c>
      <c r="C275" s="94" t="s">
        <v>217</v>
      </c>
      <c r="D275" s="11" t="s">
        <v>218</v>
      </c>
      <c r="E275" s="48" t="s">
        <v>31</v>
      </c>
      <c r="F275" s="48" t="s">
        <v>74</v>
      </c>
      <c r="G275" s="11" t="s">
        <v>64</v>
      </c>
      <c r="H275" s="11" t="s">
        <v>75</v>
      </c>
      <c r="I275" s="11">
        <v>1299</v>
      </c>
      <c r="J275" s="49" t="s">
        <v>32</v>
      </c>
      <c r="K275" s="49" t="s">
        <v>76</v>
      </c>
      <c r="L275" s="49" t="s">
        <v>77</v>
      </c>
      <c r="M275" s="49" t="s">
        <v>78</v>
      </c>
      <c r="N275" s="48" t="s">
        <v>86</v>
      </c>
      <c r="O275" s="49" t="s">
        <v>33</v>
      </c>
      <c r="P275" s="11" t="s">
        <v>80</v>
      </c>
      <c r="Q275" s="11" t="s">
        <v>99</v>
      </c>
      <c r="R275" s="11" t="s">
        <v>160</v>
      </c>
      <c r="S275" s="11" t="s">
        <v>2730</v>
      </c>
      <c r="T275" s="90" t="s">
        <v>1</v>
      </c>
      <c r="U275" s="89"/>
      <c r="V275" s="51">
        <v>45495</v>
      </c>
      <c r="W275" s="49" t="s">
        <v>1576</v>
      </c>
    </row>
    <row r="276" spans="1:23" ht="13" customHeight="1" x14ac:dyDescent="0.35">
      <c r="A276" s="11">
        <v>270</v>
      </c>
      <c r="B276" s="47">
        <v>203709883</v>
      </c>
      <c r="C276" s="94" t="s">
        <v>219</v>
      </c>
      <c r="D276" s="11" t="s">
        <v>220</v>
      </c>
      <c r="E276" s="48" t="s">
        <v>31</v>
      </c>
      <c r="F276" s="48" t="s">
        <v>74</v>
      </c>
      <c r="G276" s="11" t="s">
        <v>64</v>
      </c>
      <c r="H276" s="11" t="s">
        <v>75</v>
      </c>
      <c r="I276" s="11">
        <v>1299</v>
      </c>
      <c r="J276" s="49" t="s">
        <v>32</v>
      </c>
      <c r="K276" s="49" t="s">
        <v>76</v>
      </c>
      <c r="L276" s="49" t="s">
        <v>85</v>
      </c>
      <c r="M276" s="49" t="s">
        <v>88</v>
      </c>
      <c r="N276" s="48" t="s">
        <v>86</v>
      </c>
      <c r="O276" s="49" t="s">
        <v>33</v>
      </c>
      <c r="P276" s="11" t="s">
        <v>80</v>
      </c>
      <c r="Q276" s="11" t="s">
        <v>99</v>
      </c>
      <c r="R276" s="11" t="s">
        <v>160</v>
      </c>
      <c r="S276" s="11" t="s">
        <v>2730</v>
      </c>
      <c r="T276" s="90" t="s">
        <v>10</v>
      </c>
      <c r="U276" s="89"/>
      <c r="V276" s="51">
        <v>45495</v>
      </c>
      <c r="W276" s="49" t="s">
        <v>1576</v>
      </c>
    </row>
    <row r="277" spans="1:23" ht="13" customHeight="1" x14ac:dyDescent="0.35">
      <c r="A277" s="11">
        <v>271</v>
      </c>
      <c r="B277" s="47">
        <v>203470579</v>
      </c>
      <c r="C277" s="94" t="s">
        <v>221</v>
      </c>
      <c r="D277" s="11" t="s">
        <v>222</v>
      </c>
      <c r="E277" s="48" t="s">
        <v>31</v>
      </c>
      <c r="F277" s="48" t="s">
        <v>74</v>
      </c>
      <c r="G277" s="11" t="s">
        <v>64</v>
      </c>
      <c r="H277" s="11" t="s">
        <v>75</v>
      </c>
      <c r="I277" s="11">
        <v>1299</v>
      </c>
      <c r="J277" s="49" t="s">
        <v>32</v>
      </c>
      <c r="K277" s="49" t="s">
        <v>76</v>
      </c>
      <c r="L277" s="49" t="s">
        <v>77</v>
      </c>
      <c r="M277" s="49" t="s">
        <v>78</v>
      </c>
      <c r="N277" s="48" t="s">
        <v>86</v>
      </c>
      <c r="O277" s="49" t="s">
        <v>33</v>
      </c>
      <c r="P277" s="11" t="s">
        <v>80</v>
      </c>
      <c r="Q277" s="11" t="s">
        <v>99</v>
      </c>
      <c r="R277" s="11" t="s">
        <v>160</v>
      </c>
      <c r="S277" s="11" t="s">
        <v>2730</v>
      </c>
      <c r="T277" s="90" t="s">
        <v>7</v>
      </c>
      <c r="U277" s="90" t="s">
        <v>2914</v>
      </c>
      <c r="V277" s="51">
        <v>45456</v>
      </c>
      <c r="W277" s="49" t="s">
        <v>1576</v>
      </c>
    </row>
    <row r="278" spans="1:23" ht="13" customHeight="1" x14ac:dyDescent="0.35">
      <c r="A278" s="11">
        <v>272</v>
      </c>
      <c r="B278" s="47">
        <v>206791751</v>
      </c>
      <c r="C278" s="94" t="s">
        <v>2506</v>
      </c>
      <c r="D278" s="11" t="s">
        <v>2507</v>
      </c>
      <c r="E278" s="48" t="s">
        <v>31</v>
      </c>
      <c r="F278" s="48" t="s">
        <v>74</v>
      </c>
      <c r="G278" s="11" t="s">
        <v>64</v>
      </c>
      <c r="H278" s="11" t="s">
        <v>75</v>
      </c>
      <c r="I278" s="11">
        <v>1299</v>
      </c>
      <c r="J278" s="49" t="s">
        <v>32</v>
      </c>
      <c r="K278" s="49" t="s">
        <v>76</v>
      </c>
      <c r="L278" s="49" t="s">
        <v>78</v>
      </c>
      <c r="M278" s="49" t="s">
        <v>92</v>
      </c>
      <c r="N278" s="49" t="s">
        <v>89</v>
      </c>
      <c r="O278" s="49" t="s">
        <v>35</v>
      </c>
      <c r="P278" s="11" t="s">
        <v>80</v>
      </c>
      <c r="Q278" s="11" t="s">
        <v>90</v>
      </c>
      <c r="R278" s="11" t="s">
        <v>225</v>
      </c>
      <c r="S278" s="11" t="s">
        <v>2731</v>
      </c>
      <c r="T278" s="90" t="s">
        <v>1</v>
      </c>
      <c r="U278" s="90"/>
      <c r="V278" s="51">
        <v>45999</v>
      </c>
      <c r="W278" s="49" t="s">
        <v>1580</v>
      </c>
    </row>
    <row r="279" spans="1:23" ht="13" customHeight="1" x14ac:dyDescent="0.35">
      <c r="A279" s="11">
        <v>273</v>
      </c>
      <c r="B279" s="47">
        <v>111231851</v>
      </c>
      <c r="C279" s="94" t="s">
        <v>223</v>
      </c>
      <c r="D279" s="11" t="s">
        <v>224</v>
      </c>
      <c r="E279" s="48" t="s">
        <v>34</v>
      </c>
      <c r="F279" s="48" t="s">
        <v>74</v>
      </c>
      <c r="G279" s="11" t="s">
        <v>64</v>
      </c>
      <c r="H279" s="11" t="s">
        <v>75</v>
      </c>
      <c r="I279" s="11">
        <v>1299</v>
      </c>
      <c r="J279" s="49" t="s">
        <v>32</v>
      </c>
      <c r="K279" s="49" t="s">
        <v>76</v>
      </c>
      <c r="L279" s="49" t="s">
        <v>88</v>
      </c>
      <c r="M279" s="49" t="s">
        <v>95</v>
      </c>
      <c r="N279" s="48" t="s">
        <v>108</v>
      </c>
      <c r="O279" s="49" t="s">
        <v>35</v>
      </c>
      <c r="P279" s="11" t="s">
        <v>80</v>
      </c>
      <c r="Q279" s="11" t="s">
        <v>98</v>
      </c>
      <c r="R279" s="11" t="s">
        <v>225</v>
      </c>
      <c r="S279" s="11" t="s">
        <v>2731</v>
      </c>
      <c r="T279" s="90" t="s">
        <v>10</v>
      </c>
      <c r="U279" s="91"/>
      <c r="V279" s="51">
        <v>44782</v>
      </c>
      <c r="W279" s="49" t="s">
        <v>1577</v>
      </c>
    </row>
    <row r="280" spans="1:23" ht="13" customHeight="1" x14ac:dyDescent="0.35">
      <c r="A280" s="11">
        <v>274</v>
      </c>
      <c r="B280" s="47">
        <v>206791753</v>
      </c>
      <c r="C280" s="94" t="s">
        <v>2508</v>
      </c>
      <c r="D280" s="11" t="s">
        <v>2509</v>
      </c>
      <c r="E280" s="48" t="s">
        <v>31</v>
      </c>
      <c r="F280" s="48" t="s">
        <v>74</v>
      </c>
      <c r="G280" s="11" t="s">
        <v>64</v>
      </c>
      <c r="H280" s="11" t="s">
        <v>75</v>
      </c>
      <c r="I280" s="11">
        <v>1299</v>
      </c>
      <c r="J280" s="49" t="s">
        <v>39</v>
      </c>
      <c r="K280" s="49" t="s">
        <v>76</v>
      </c>
      <c r="L280" s="49" t="s">
        <v>88</v>
      </c>
      <c r="M280" s="49" t="s">
        <v>95</v>
      </c>
      <c r="N280" s="49" t="s">
        <v>89</v>
      </c>
      <c r="O280" s="49" t="s">
        <v>35</v>
      </c>
      <c r="P280" s="11" t="s">
        <v>80</v>
      </c>
      <c r="Q280" s="11" t="s">
        <v>90</v>
      </c>
      <c r="R280" s="11" t="s">
        <v>226</v>
      </c>
      <c r="S280" s="11" t="s">
        <v>227</v>
      </c>
      <c r="T280" s="90" t="s">
        <v>10</v>
      </c>
      <c r="U280" s="91"/>
      <c r="V280" s="51">
        <v>45999</v>
      </c>
      <c r="W280" s="49" t="s">
        <v>1581</v>
      </c>
    </row>
    <row r="281" spans="1:23" ht="13" customHeight="1" x14ac:dyDescent="0.35">
      <c r="A281" s="11">
        <v>275</v>
      </c>
      <c r="B281" s="47">
        <v>203850647</v>
      </c>
      <c r="C281" s="94" t="s">
        <v>2510</v>
      </c>
      <c r="D281" s="11" t="s">
        <v>2511</v>
      </c>
      <c r="E281" s="48" t="s">
        <v>31</v>
      </c>
      <c r="F281" s="48" t="s">
        <v>74</v>
      </c>
      <c r="G281" s="11" t="s">
        <v>64</v>
      </c>
      <c r="H281" s="11" t="s">
        <v>75</v>
      </c>
      <c r="I281" s="11">
        <v>1299</v>
      </c>
      <c r="J281" s="49" t="s">
        <v>32</v>
      </c>
      <c r="K281" s="49" t="s">
        <v>76</v>
      </c>
      <c r="L281" s="49" t="s">
        <v>78</v>
      </c>
      <c r="M281" s="49" t="s">
        <v>92</v>
      </c>
      <c r="N281" s="48" t="s">
        <v>86</v>
      </c>
      <c r="O281" s="49" t="s">
        <v>35</v>
      </c>
      <c r="P281" s="11" t="s">
        <v>80</v>
      </c>
      <c r="Q281" s="11" t="s">
        <v>90</v>
      </c>
      <c r="R281" s="11" t="s">
        <v>226</v>
      </c>
      <c r="S281" s="11" t="s">
        <v>227</v>
      </c>
      <c r="T281" s="90" t="s">
        <v>1</v>
      </c>
      <c r="U281" s="89"/>
      <c r="V281" s="51">
        <v>45524</v>
      </c>
      <c r="W281" s="49" t="s">
        <v>1579</v>
      </c>
    </row>
    <row r="282" spans="1:23" ht="13" customHeight="1" x14ac:dyDescent="0.35">
      <c r="A282" s="11">
        <v>276</v>
      </c>
      <c r="B282" s="47">
        <v>203816837</v>
      </c>
      <c r="C282" s="94" t="s">
        <v>228</v>
      </c>
      <c r="D282" s="11" t="s">
        <v>229</v>
      </c>
      <c r="E282" s="48" t="s">
        <v>31</v>
      </c>
      <c r="F282" s="48" t="s">
        <v>74</v>
      </c>
      <c r="G282" s="11" t="s">
        <v>64</v>
      </c>
      <c r="H282" s="11" t="s">
        <v>75</v>
      </c>
      <c r="I282" s="11">
        <v>1299</v>
      </c>
      <c r="J282" s="49" t="s">
        <v>32</v>
      </c>
      <c r="K282" s="49" t="s">
        <v>76</v>
      </c>
      <c r="L282" s="49" t="s">
        <v>78</v>
      </c>
      <c r="M282" s="49" t="s">
        <v>92</v>
      </c>
      <c r="N282" s="48" t="s">
        <v>86</v>
      </c>
      <c r="O282" s="49" t="s">
        <v>35</v>
      </c>
      <c r="P282" s="11" t="s">
        <v>80</v>
      </c>
      <c r="Q282" s="11" t="s">
        <v>99</v>
      </c>
      <c r="R282" s="11" t="s">
        <v>226</v>
      </c>
      <c r="S282" s="11" t="s">
        <v>227</v>
      </c>
      <c r="T282" s="90" t="s">
        <v>1</v>
      </c>
      <c r="U282" s="89"/>
      <c r="V282" s="51">
        <v>45517</v>
      </c>
      <c r="W282" s="49" t="s">
        <v>1580</v>
      </c>
    </row>
    <row r="283" spans="1:23" ht="13" customHeight="1" x14ac:dyDescent="0.35">
      <c r="A283" s="11">
        <v>277</v>
      </c>
      <c r="B283" s="47">
        <v>206006416</v>
      </c>
      <c r="C283" s="94" t="s">
        <v>230</v>
      </c>
      <c r="D283" s="11" t="s">
        <v>231</v>
      </c>
      <c r="E283" s="48" t="s">
        <v>31</v>
      </c>
      <c r="F283" s="48" t="s">
        <v>74</v>
      </c>
      <c r="G283" s="11" t="s">
        <v>64</v>
      </c>
      <c r="H283" s="11" t="s">
        <v>75</v>
      </c>
      <c r="I283" s="11">
        <v>1299</v>
      </c>
      <c r="J283" s="49" t="s">
        <v>32</v>
      </c>
      <c r="K283" s="49" t="s">
        <v>76</v>
      </c>
      <c r="L283" s="49" t="s">
        <v>78</v>
      </c>
      <c r="M283" s="49" t="s">
        <v>92</v>
      </c>
      <c r="N283" s="48" t="s">
        <v>79</v>
      </c>
      <c r="O283" s="49" t="s">
        <v>35</v>
      </c>
      <c r="P283" s="11" t="s">
        <v>80</v>
      </c>
      <c r="Q283" s="11" t="s">
        <v>81</v>
      </c>
      <c r="R283" s="11" t="s">
        <v>232</v>
      </c>
      <c r="S283" s="11" t="s">
        <v>1760</v>
      </c>
      <c r="T283" s="90" t="s">
        <v>7</v>
      </c>
      <c r="U283" s="90" t="s">
        <v>2914</v>
      </c>
      <c r="V283" s="51">
        <v>45915</v>
      </c>
      <c r="W283" s="49" t="s">
        <v>1580</v>
      </c>
    </row>
    <row r="284" spans="1:23" ht="13" customHeight="1" x14ac:dyDescent="0.35">
      <c r="A284" s="11">
        <v>278</v>
      </c>
      <c r="B284" s="47">
        <v>203850646</v>
      </c>
      <c r="C284" s="94" t="s">
        <v>2512</v>
      </c>
      <c r="D284" s="11" t="s">
        <v>2513</v>
      </c>
      <c r="E284" s="48" t="s">
        <v>31</v>
      </c>
      <c r="F284" s="48" t="s">
        <v>74</v>
      </c>
      <c r="G284" s="11" t="s">
        <v>64</v>
      </c>
      <c r="H284" s="11" t="s">
        <v>75</v>
      </c>
      <c r="I284" s="11">
        <v>1299</v>
      </c>
      <c r="J284" s="49" t="s">
        <v>32</v>
      </c>
      <c r="K284" s="49" t="s">
        <v>76</v>
      </c>
      <c r="L284" s="49" t="s">
        <v>36</v>
      </c>
      <c r="M284" s="49" t="s">
        <v>95</v>
      </c>
      <c r="N284" s="48" t="s">
        <v>86</v>
      </c>
      <c r="O284" s="49" t="s">
        <v>35</v>
      </c>
      <c r="P284" s="11" t="s">
        <v>80</v>
      </c>
      <c r="Q284" s="11" t="s">
        <v>90</v>
      </c>
      <c r="R284" s="11" t="s">
        <v>226</v>
      </c>
      <c r="S284" s="11" t="s">
        <v>227</v>
      </c>
      <c r="T284" s="90" t="s">
        <v>1</v>
      </c>
      <c r="U284" s="90" t="s">
        <v>2919</v>
      </c>
      <c r="V284" s="51">
        <v>45524</v>
      </c>
      <c r="W284" s="49" t="s">
        <v>1579</v>
      </c>
    </row>
    <row r="285" spans="1:23" ht="13" customHeight="1" x14ac:dyDescent="0.35">
      <c r="A285" s="11">
        <v>279</v>
      </c>
      <c r="B285" s="47">
        <v>203741314</v>
      </c>
      <c r="C285" s="94" t="s">
        <v>234</v>
      </c>
      <c r="D285" s="11" t="s">
        <v>235</v>
      </c>
      <c r="E285" s="48" t="s">
        <v>31</v>
      </c>
      <c r="F285" s="48" t="s">
        <v>74</v>
      </c>
      <c r="G285" s="11" t="s">
        <v>64</v>
      </c>
      <c r="H285" s="11" t="s">
        <v>75</v>
      </c>
      <c r="I285" s="11">
        <v>1299</v>
      </c>
      <c r="J285" s="49" t="s">
        <v>32</v>
      </c>
      <c r="K285" s="49" t="s">
        <v>76</v>
      </c>
      <c r="L285" s="49" t="s">
        <v>77</v>
      </c>
      <c r="M285" s="49" t="s">
        <v>78</v>
      </c>
      <c r="N285" s="48" t="s">
        <v>79</v>
      </c>
      <c r="O285" s="49" t="s">
        <v>35</v>
      </c>
      <c r="P285" s="11" t="s">
        <v>80</v>
      </c>
      <c r="Q285" s="11" t="s">
        <v>81</v>
      </c>
      <c r="R285" s="11" t="s">
        <v>225</v>
      </c>
      <c r="S285" s="11" t="s">
        <v>2731</v>
      </c>
      <c r="T285" s="90" t="s">
        <v>1</v>
      </c>
      <c r="U285" s="91"/>
      <c r="V285" s="51">
        <v>45502</v>
      </c>
      <c r="W285" s="49" t="s">
        <v>1580</v>
      </c>
    </row>
    <row r="286" spans="1:23" ht="13" customHeight="1" x14ac:dyDescent="0.35">
      <c r="A286" s="11">
        <v>280</v>
      </c>
      <c r="B286" s="47">
        <v>203813034</v>
      </c>
      <c r="C286" s="94" t="s">
        <v>236</v>
      </c>
      <c r="D286" s="11" t="s">
        <v>237</v>
      </c>
      <c r="E286" s="48" t="s">
        <v>31</v>
      </c>
      <c r="F286" s="48" t="s">
        <v>74</v>
      </c>
      <c r="G286" s="11" t="s">
        <v>64</v>
      </c>
      <c r="H286" s="11" t="s">
        <v>75</v>
      </c>
      <c r="I286" s="11">
        <v>1299</v>
      </c>
      <c r="J286" s="49" t="s">
        <v>32</v>
      </c>
      <c r="K286" s="49" t="s">
        <v>76</v>
      </c>
      <c r="L286" s="49" t="s">
        <v>77</v>
      </c>
      <c r="M286" s="49" t="s">
        <v>78</v>
      </c>
      <c r="N286" s="48" t="s">
        <v>86</v>
      </c>
      <c r="O286" s="49" t="s">
        <v>35</v>
      </c>
      <c r="P286" s="11" t="s">
        <v>80</v>
      </c>
      <c r="Q286" s="11" t="s">
        <v>99</v>
      </c>
      <c r="R286" s="11" t="s">
        <v>226</v>
      </c>
      <c r="S286" s="11" t="s">
        <v>227</v>
      </c>
      <c r="T286" s="90" t="s">
        <v>1</v>
      </c>
      <c r="U286" s="89"/>
      <c r="V286" s="51">
        <v>45517</v>
      </c>
      <c r="W286" s="49" t="s">
        <v>1580</v>
      </c>
    </row>
    <row r="287" spans="1:23" ht="13" customHeight="1" x14ac:dyDescent="0.35">
      <c r="A287" s="11">
        <v>281</v>
      </c>
      <c r="B287" s="47">
        <v>203813038</v>
      </c>
      <c r="C287" s="94" t="s">
        <v>238</v>
      </c>
      <c r="D287" s="11" t="s">
        <v>239</v>
      </c>
      <c r="E287" s="48" t="s">
        <v>31</v>
      </c>
      <c r="F287" s="48" t="s">
        <v>74</v>
      </c>
      <c r="G287" s="11" t="s">
        <v>64</v>
      </c>
      <c r="H287" s="11" t="s">
        <v>75</v>
      </c>
      <c r="I287" s="11">
        <v>1299</v>
      </c>
      <c r="J287" s="49" t="s">
        <v>32</v>
      </c>
      <c r="K287" s="49" t="s">
        <v>76</v>
      </c>
      <c r="L287" s="49" t="s">
        <v>84</v>
      </c>
      <c r="M287" s="49" t="s">
        <v>85</v>
      </c>
      <c r="N287" s="48" t="s">
        <v>86</v>
      </c>
      <c r="O287" s="49" t="s">
        <v>35</v>
      </c>
      <c r="P287" s="11" t="s">
        <v>80</v>
      </c>
      <c r="Q287" s="11" t="s">
        <v>99</v>
      </c>
      <c r="R287" s="11" t="s">
        <v>226</v>
      </c>
      <c r="S287" s="11" t="s">
        <v>227</v>
      </c>
      <c r="T287" s="90" t="s">
        <v>1</v>
      </c>
      <c r="U287" s="89"/>
      <c r="V287" s="51">
        <v>45517</v>
      </c>
      <c r="W287" s="49" t="s">
        <v>1580</v>
      </c>
    </row>
    <row r="288" spans="1:23" ht="13" customHeight="1" x14ac:dyDescent="0.35">
      <c r="A288" s="11">
        <v>282</v>
      </c>
      <c r="B288" s="47">
        <v>203813033</v>
      </c>
      <c r="C288" s="94" t="s">
        <v>240</v>
      </c>
      <c r="D288" s="11" t="s">
        <v>241</v>
      </c>
      <c r="E288" s="48" t="s">
        <v>31</v>
      </c>
      <c r="F288" s="48" t="s">
        <v>74</v>
      </c>
      <c r="G288" s="11" t="s">
        <v>64</v>
      </c>
      <c r="H288" s="11" t="s">
        <v>75</v>
      </c>
      <c r="I288" s="11">
        <v>1299</v>
      </c>
      <c r="J288" s="49" t="s">
        <v>39</v>
      </c>
      <c r="K288" s="49" t="s">
        <v>76</v>
      </c>
      <c r="L288" s="49" t="s">
        <v>78</v>
      </c>
      <c r="M288" s="49" t="s">
        <v>92</v>
      </c>
      <c r="N288" s="48" t="s">
        <v>86</v>
      </c>
      <c r="O288" s="49" t="s">
        <v>35</v>
      </c>
      <c r="P288" s="11" t="s">
        <v>80</v>
      </c>
      <c r="Q288" s="11" t="s">
        <v>99</v>
      </c>
      <c r="R288" s="11" t="s">
        <v>226</v>
      </c>
      <c r="S288" s="11" t="s">
        <v>227</v>
      </c>
      <c r="T288" s="90" t="s">
        <v>1</v>
      </c>
      <c r="U288" s="90"/>
      <c r="V288" s="51">
        <v>45517</v>
      </c>
      <c r="W288" s="49" t="s">
        <v>1580</v>
      </c>
    </row>
    <row r="289" spans="1:23" ht="13" customHeight="1" x14ac:dyDescent="0.35">
      <c r="A289" s="11">
        <v>283</v>
      </c>
      <c r="B289" s="47">
        <v>205977111</v>
      </c>
      <c r="C289" s="94" t="s">
        <v>242</v>
      </c>
      <c r="D289" s="11" t="s">
        <v>243</v>
      </c>
      <c r="E289" s="48" t="s">
        <v>31</v>
      </c>
      <c r="F289" s="48" t="s">
        <v>74</v>
      </c>
      <c r="G289" s="11" t="s">
        <v>64</v>
      </c>
      <c r="H289" s="11" t="s">
        <v>75</v>
      </c>
      <c r="I289" s="11">
        <v>1299</v>
      </c>
      <c r="J289" s="49" t="s">
        <v>32</v>
      </c>
      <c r="K289" s="49" t="s">
        <v>76</v>
      </c>
      <c r="L289" s="49" t="s">
        <v>85</v>
      </c>
      <c r="M289" s="49" t="s">
        <v>88</v>
      </c>
      <c r="N289" s="48" t="s">
        <v>86</v>
      </c>
      <c r="O289" s="49" t="s">
        <v>35</v>
      </c>
      <c r="P289" s="11" t="s">
        <v>80</v>
      </c>
      <c r="Q289" s="11" t="s">
        <v>90</v>
      </c>
      <c r="R289" s="11" t="s">
        <v>232</v>
      </c>
      <c r="S289" s="11" t="s">
        <v>1760</v>
      </c>
      <c r="T289" s="90" t="s">
        <v>10</v>
      </c>
      <c r="U289" s="91"/>
      <c r="V289" s="51">
        <v>45915</v>
      </c>
      <c r="W289" s="49" t="s">
        <v>1578</v>
      </c>
    </row>
    <row r="290" spans="1:23" ht="13" customHeight="1" x14ac:dyDescent="0.35">
      <c r="A290" s="11">
        <v>284</v>
      </c>
      <c r="B290" s="47">
        <v>204319797</v>
      </c>
      <c r="C290" s="94" t="s">
        <v>244</v>
      </c>
      <c r="D290" s="11" t="s">
        <v>245</v>
      </c>
      <c r="E290" s="48" t="s">
        <v>31</v>
      </c>
      <c r="F290" s="48" t="s">
        <v>74</v>
      </c>
      <c r="G290" s="11" t="s">
        <v>64</v>
      </c>
      <c r="H290" s="11" t="s">
        <v>75</v>
      </c>
      <c r="I290" s="11">
        <v>1299</v>
      </c>
      <c r="J290" s="49" t="s">
        <v>32</v>
      </c>
      <c r="K290" s="49" t="s">
        <v>76</v>
      </c>
      <c r="L290" s="49" t="s">
        <v>84</v>
      </c>
      <c r="M290" s="49" t="s">
        <v>85</v>
      </c>
      <c r="N290" s="48" t="s">
        <v>86</v>
      </c>
      <c r="O290" s="49" t="s">
        <v>35</v>
      </c>
      <c r="P290" s="11" t="s">
        <v>80</v>
      </c>
      <c r="Q290" s="11" t="s">
        <v>87</v>
      </c>
      <c r="R290" s="11" t="s">
        <v>226</v>
      </c>
      <c r="S290" s="11" t="s">
        <v>227</v>
      </c>
      <c r="T290" s="90" t="s">
        <v>1</v>
      </c>
      <c r="U290" s="89"/>
      <c r="V290" s="51">
        <v>45589</v>
      </c>
      <c r="W290" s="49" t="s">
        <v>1580</v>
      </c>
    </row>
    <row r="291" spans="1:23" ht="13" customHeight="1" x14ac:dyDescent="0.35">
      <c r="A291" s="11">
        <v>285</v>
      </c>
      <c r="B291" s="11">
        <v>206871907</v>
      </c>
      <c r="C291" s="94" t="s">
        <v>1779</v>
      </c>
      <c r="D291" s="11" t="s">
        <v>1780</v>
      </c>
      <c r="E291" s="48" t="s">
        <v>31</v>
      </c>
      <c r="F291" s="48" t="s">
        <v>74</v>
      </c>
      <c r="G291" s="48" t="s">
        <v>64</v>
      </c>
      <c r="H291" s="48" t="s">
        <v>75</v>
      </c>
      <c r="I291" s="11">
        <v>1299</v>
      </c>
      <c r="J291" s="49" t="s">
        <v>2486</v>
      </c>
      <c r="K291" s="49" t="s">
        <v>76</v>
      </c>
      <c r="L291" s="49" t="s">
        <v>84</v>
      </c>
      <c r="M291" s="49" t="s">
        <v>85</v>
      </c>
      <c r="N291" s="49" t="s">
        <v>89</v>
      </c>
      <c r="O291" s="48" t="s">
        <v>35</v>
      </c>
      <c r="P291" s="48" t="s">
        <v>80</v>
      </c>
      <c r="Q291" s="11" t="s">
        <v>81</v>
      </c>
      <c r="R291" s="11" t="s">
        <v>226</v>
      </c>
      <c r="S291" s="11" t="s">
        <v>227</v>
      </c>
      <c r="T291" s="90" t="s">
        <v>1</v>
      </c>
      <c r="U291" s="90"/>
      <c r="V291" s="51">
        <v>46020</v>
      </c>
      <c r="W291" s="49" t="s">
        <v>1579</v>
      </c>
    </row>
    <row r="292" spans="1:23" ht="13" customHeight="1" x14ac:dyDescent="0.35">
      <c r="A292" s="11">
        <v>286</v>
      </c>
      <c r="B292" s="47">
        <v>110330601</v>
      </c>
      <c r="C292" s="94" t="s">
        <v>246</v>
      </c>
      <c r="D292" s="11" t="s">
        <v>247</v>
      </c>
      <c r="E292" s="48" t="s">
        <v>34</v>
      </c>
      <c r="F292" s="48" t="s">
        <v>74</v>
      </c>
      <c r="G292" s="11" t="s">
        <v>64</v>
      </c>
      <c r="H292" s="11" t="s">
        <v>75</v>
      </c>
      <c r="I292" s="11">
        <v>1299</v>
      </c>
      <c r="J292" s="49" t="s">
        <v>39</v>
      </c>
      <c r="K292" s="49" t="s">
        <v>76</v>
      </c>
      <c r="L292" s="49" t="s">
        <v>95</v>
      </c>
      <c r="M292" s="49" t="s">
        <v>77</v>
      </c>
      <c r="N292" s="48" t="s">
        <v>108</v>
      </c>
      <c r="O292" s="49" t="s">
        <v>35</v>
      </c>
      <c r="P292" s="11" t="s">
        <v>80</v>
      </c>
      <c r="Q292" s="11" t="s">
        <v>98</v>
      </c>
      <c r="R292" s="11" t="s">
        <v>225</v>
      </c>
      <c r="S292" s="11" t="s">
        <v>2731</v>
      </c>
      <c r="T292" s="90" t="s">
        <v>7</v>
      </c>
      <c r="U292" s="90" t="s">
        <v>2914</v>
      </c>
      <c r="V292" s="51">
        <v>44757</v>
      </c>
      <c r="W292" s="49" t="s">
        <v>1577</v>
      </c>
    </row>
    <row r="293" spans="1:23" ht="13" customHeight="1" x14ac:dyDescent="0.35">
      <c r="A293" s="11">
        <v>287</v>
      </c>
      <c r="B293" s="47">
        <v>203796734</v>
      </c>
      <c r="C293" s="94" t="s">
        <v>248</v>
      </c>
      <c r="D293" s="11" t="s">
        <v>249</v>
      </c>
      <c r="E293" s="48" t="s">
        <v>31</v>
      </c>
      <c r="F293" s="48" t="s">
        <v>74</v>
      </c>
      <c r="G293" s="11" t="s">
        <v>64</v>
      </c>
      <c r="H293" s="11" t="s">
        <v>75</v>
      </c>
      <c r="I293" s="11">
        <v>1299</v>
      </c>
      <c r="J293" s="49" t="s">
        <v>32</v>
      </c>
      <c r="K293" s="49" t="s">
        <v>76</v>
      </c>
      <c r="L293" s="49" t="s">
        <v>78</v>
      </c>
      <c r="M293" s="49" t="s">
        <v>92</v>
      </c>
      <c r="N293" s="48" t="s">
        <v>79</v>
      </c>
      <c r="O293" s="49" t="s">
        <v>35</v>
      </c>
      <c r="P293" s="11" t="s">
        <v>80</v>
      </c>
      <c r="Q293" s="11" t="s">
        <v>81</v>
      </c>
      <c r="R293" s="11" t="s">
        <v>226</v>
      </c>
      <c r="S293" s="11" t="s">
        <v>227</v>
      </c>
      <c r="T293" s="90" t="s">
        <v>1</v>
      </c>
      <c r="U293" s="90"/>
      <c r="V293" s="51">
        <v>45517</v>
      </c>
      <c r="W293" s="49" t="s">
        <v>1580</v>
      </c>
    </row>
    <row r="294" spans="1:23" ht="13" customHeight="1" x14ac:dyDescent="0.35">
      <c r="A294" s="11">
        <v>288</v>
      </c>
      <c r="B294" s="47">
        <v>206883746</v>
      </c>
      <c r="C294" s="94" t="s">
        <v>1797</v>
      </c>
      <c r="D294" s="11" t="s">
        <v>1798</v>
      </c>
      <c r="E294" s="11" t="s">
        <v>31</v>
      </c>
      <c r="F294" s="11" t="s">
        <v>74</v>
      </c>
      <c r="G294" s="11" t="s">
        <v>64</v>
      </c>
      <c r="H294" s="11" t="s">
        <v>75</v>
      </c>
      <c r="I294" s="11">
        <v>1299</v>
      </c>
      <c r="J294" s="49" t="s">
        <v>32</v>
      </c>
      <c r="K294" s="49" t="s">
        <v>76</v>
      </c>
      <c r="L294" s="49" t="s">
        <v>78</v>
      </c>
      <c r="M294" s="49" t="s">
        <v>92</v>
      </c>
      <c r="N294" s="49" t="s">
        <v>89</v>
      </c>
      <c r="O294" s="11" t="s">
        <v>35</v>
      </c>
      <c r="P294" s="11" t="s">
        <v>80</v>
      </c>
      <c r="Q294" s="11" t="s">
        <v>96</v>
      </c>
      <c r="R294" s="11" t="s">
        <v>232</v>
      </c>
      <c r="S294" s="11" t="s">
        <v>1760</v>
      </c>
      <c r="T294" s="90" t="s">
        <v>1</v>
      </c>
      <c r="U294" s="89"/>
      <c r="V294" s="51">
        <v>46027</v>
      </c>
      <c r="W294" s="11" t="s">
        <v>1580</v>
      </c>
    </row>
    <row r="295" spans="1:23" ht="13" customHeight="1" x14ac:dyDescent="0.35">
      <c r="A295" s="11">
        <v>289</v>
      </c>
      <c r="B295" s="47">
        <v>206958448</v>
      </c>
      <c r="C295" s="95" t="s">
        <v>2181</v>
      </c>
      <c r="D295" s="112" t="s">
        <v>2182</v>
      </c>
      <c r="E295" s="112" t="s">
        <v>31</v>
      </c>
      <c r="F295" s="48" t="s">
        <v>74</v>
      </c>
      <c r="G295" s="11" t="s">
        <v>64</v>
      </c>
      <c r="H295" s="11" t="s">
        <v>75</v>
      </c>
      <c r="I295" s="11">
        <v>1299</v>
      </c>
      <c r="J295" s="49" t="s">
        <v>39</v>
      </c>
      <c r="K295" s="49" t="s">
        <v>76</v>
      </c>
      <c r="L295" s="49" t="s">
        <v>78</v>
      </c>
      <c r="M295" s="49" t="s">
        <v>92</v>
      </c>
      <c r="N295" s="49" t="s">
        <v>89</v>
      </c>
      <c r="O295" s="49" t="s">
        <v>35</v>
      </c>
      <c r="P295" s="49" t="s">
        <v>80</v>
      </c>
      <c r="Q295" s="49" t="s">
        <v>96</v>
      </c>
      <c r="R295" s="11" t="s">
        <v>225</v>
      </c>
      <c r="S295" s="49" t="s">
        <v>2731</v>
      </c>
      <c r="T295" s="90" t="s">
        <v>1</v>
      </c>
      <c r="U295" s="90"/>
      <c r="V295" s="51">
        <v>46048</v>
      </c>
      <c r="W295" s="49" t="s">
        <v>1580</v>
      </c>
    </row>
    <row r="296" spans="1:23" ht="13" customHeight="1" x14ac:dyDescent="0.35">
      <c r="A296" s="11">
        <v>290</v>
      </c>
      <c r="B296" s="47">
        <v>205477618</v>
      </c>
      <c r="C296" s="94" t="s">
        <v>250</v>
      </c>
      <c r="D296" s="11" t="s">
        <v>251</v>
      </c>
      <c r="E296" s="48" t="s">
        <v>31</v>
      </c>
      <c r="F296" s="48" t="s">
        <v>74</v>
      </c>
      <c r="G296" s="11" t="s">
        <v>64</v>
      </c>
      <c r="H296" s="11" t="s">
        <v>75</v>
      </c>
      <c r="I296" s="11">
        <v>1299</v>
      </c>
      <c r="J296" s="49" t="s">
        <v>32</v>
      </c>
      <c r="K296" s="49" t="s">
        <v>76</v>
      </c>
      <c r="L296" s="49" t="s">
        <v>78</v>
      </c>
      <c r="M296" s="49" t="s">
        <v>92</v>
      </c>
      <c r="N296" s="48" t="s">
        <v>86</v>
      </c>
      <c r="O296" s="49" t="s">
        <v>35</v>
      </c>
      <c r="P296" s="11" t="s">
        <v>80</v>
      </c>
      <c r="Q296" s="11" t="s">
        <v>90</v>
      </c>
      <c r="R296" s="11" t="s">
        <v>226</v>
      </c>
      <c r="S296" s="11" t="s">
        <v>227</v>
      </c>
      <c r="T296" s="90" t="s">
        <v>1</v>
      </c>
      <c r="U296" s="89"/>
      <c r="V296" s="51">
        <v>45831</v>
      </c>
      <c r="W296" s="49" t="s">
        <v>1581</v>
      </c>
    </row>
    <row r="297" spans="1:23" ht="13" customHeight="1" x14ac:dyDescent="0.35">
      <c r="A297" s="11">
        <v>291</v>
      </c>
      <c r="B297" s="47">
        <v>206015600</v>
      </c>
      <c r="C297" s="94" t="s">
        <v>253</v>
      </c>
      <c r="D297" s="11" t="s">
        <v>254</v>
      </c>
      <c r="E297" s="48" t="s">
        <v>31</v>
      </c>
      <c r="F297" s="48" t="s">
        <v>74</v>
      </c>
      <c r="G297" s="11" t="s">
        <v>64</v>
      </c>
      <c r="H297" s="11" t="s">
        <v>75</v>
      </c>
      <c r="I297" s="11">
        <v>1299</v>
      </c>
      <c r="J297" s="49" t="s">
        <v>32</v>
      </c>
      <c r="K297" s="49" t="s">
        <v>76</v>
      </c>
      <c r="L297" s="49" t="s">
        <v>78</v>
      </c>
      <c r="M297" s="49" t="s">
        <v>92</v>
      </c>
      <c r="N297" s="48" t="s">
        <v>79</v>
      </c>
      <c r="O297" s="49" t="s">
        <v>35</v>
      </c>
      <c r="P297" s="11" t="s">
        <v>80</v>
      </c>
      <c r="Q297" s="11" t="s">
        <v>81</v>
      </c>
      <c r="R297" s="11" t="s">
        <v>232</v>
      </c>
      <c r="S297" s="11" t="s">
        <v>1760</v>
      </c>
      <c r="T297" s="90" t="s">
        <v>1</v>
      </c>
      <c r="U297" s="90"/>
      <c r="V297" s="51">
        <v>45915</v>
      </c>
      <c r="W297" s="49" t="s">
        <v>1580</v>
      </c>
    </row>
    <row r="298" spans="1:23" ht="13" customHeight="1" x14ac:dyDescent="0.35">
      <c r="A298" s="11">
        <v>292</v>
      </c>
      <c r="B298" s="47">
        <v>203880236</v>
      </c>
      <c r="C298" s="94" t="s">
        <v>255</v>
      </c>
      <c r="D298" s="11" t="s">
        <v>256</v>
      </c>
      <c r="E298" s="48" t="s">
        <v>31</v>
      </c>
      <c r="F298" s="48" t="s">
        <v>74</v>
      </c>
      <c r="G298" s="11" t="s">
        <v>64</v>
      </c>
      <c r="H298" s="11" t="s">
        <v>75</v>
      </c>
      <c r="I298" s="11">
        <v>1299</v>
      </c>
      <c r="J298" s="49" t="s">
        <v>32</v>
      </c>
      <c r="K298" s="49" t="s">
        <v>76</v>
      </c>
      <c r="L298" s="49" t="s">
        <v>78</v>
      </c>
      <c r="M298" s="49" t="s">
        <v>92</v>
      </c>
      <c r="N298" s="48" t="s">
        <v>79</v>
      </c>
      <c r="O298" s="49" t="s">
        <v>35</v>
      </c>
      <c r="P298" s="11" t="s">
        <v>80</v>
      </c>
      <c r="Q298" s="11" t="s">
        <v>81</v>
      </c>
      <c r="R298" s="11" t="s">
        <v>226</v>
      </c>
      <c r="S298" s="11" t="s">
        <v>227</v>
      </c>
      <c r="T298" s="90" t="s">
        <v>1</v>
      </c>
      <c r="U298" s="90"/>
      <c r="V298" s="51">
        <v>45530</v>
      </c>
      <c r="W298" s="49" t="s">
        <v>1580</v>
      </c>
    </row>
    <row r="299" spans="1:23" ht="13" customHeight="1" x14ac:dyDescent="0.35">
      <c r="A299" s="11">
        <v>293</v>
      </c>
      <c r="B299" s="47">
        <v>203741612</v>
      </c>
      <c r="C299" s="94" t="s">
        <v>257</v>
      </c>
      <c r="D299" s="11" t="s">
        <v>258</v>
      </c>
      <c r="E299" s="48" t="s">
        <v>31</v>
      </c>
      <c r="F299" s="48" t="s">
        <v>74</v>
      </c>
      <c r="G299" s="11" t="s">
        <v>64</v>
      </c>
      <c r="H299" s="11" t="s">
        <v>75</v>
      </c>
      <c r="I299" s="11">
        <v>1299</v>
      </c>
      <c r="J299" s="49" t="s">
        <v>39</v>
      </c>
      <c r="K299" s="49" t="s">
        <v>76</v>
      </c>
      <c r="L299" s="49" t="s">
        <v>78</v>
      </c>
      <c r="M299" s="49" t="s">
        <v>92</v>
      </c>
      <c r="N299" s="48" t="s">
        <v>79</v>
      </c>
      <c r="O299" s="49" t="s">
        <v>35</v>
      </c>
      <c r="P299" s="11" t="s">
        <v>80</v>
      </c>
      <c r="Q299" s="11" t="s">
        <v>81</v>
      </c>
      <c r="R299" s="11" t="s">
        <v>225</v>
      </c>
      <c r="S299" s="11" t="s">
        <v>2731</v>
      </c>
      <c r="T299" s="90" t="s">
        <v>1</v>
      </c>
      <c r="U299" s="89"/>
      <c r="V299" s="51">
        <v>45516</v>
      </c>
      <c r="W299" s="49" t="s">
        <v>1580</v>
      </c>
    </row>
    <row r="300" spans="1:23" ht="13" customHeight="1" x14ac:dyDescent="0.35">
      <c r="A300" s="11">
        <v>294</v>
      </c>
      <c r="B300" s="47">
        <v>203737145</v>
      </c>
      <c r="C300" s="94" t="s">
        <v>259</v>
      </c>
      <c r="D300" s="11" t="s">
        <v>260</v>
      </c>
      <c r="E300" s="48" t="s">
        <v>31</v>
      </c>
      <c r="F300" s="48" t="s">
        <v>74</v>
      </c>
      <c r="G300" s="11" t="s">
        <v>64</v>
      </c>
      <c r="H300" s="11" t="s">
        <v>75</v>
      </c>
      <c r="I300" s="11">
        <v>1299</v>
      </c>
      <c r="J300" s="49" t="s">
        <v>2486</v>
      </c>
      <c r="K300" s="49" t="s">
        <v>76</v>
      </c>
      <c r="L300" s="49" t="s">
        <v>78</v>
      </c>
      <c r="M300" s="49" t="s">
        <v>92</v>
      </c>
      <c r="N300" s="48" t="s">
        <v>79</v>
      </c>
      <c r="O300" s="49" t="s">
        <v>35</v>
      </c>
      <c r="P300" s="11" t="s">
        <v>80</v>
      </c>
      <c r="Q300" s="11" t="s">
        <v>81</v>
      </c>
      <c r="R300" s="11" t="s">
        <v>225</v>
      </c>
      <c r="S300" s="11" t="s">
        <v>2731</v>
      </c>
      <c r="T300" s="90" t="s">
        <v>1</v>
      </c>
      <c r="U300" s="89"/>
      <c r="V300" s="51">
        <v>45502</v>
      </c>
      <c r="W300" s="49" t="s">
        <v>1580</v>
      </c>
    </row>
    <row r="301" spans="1:23" ht="13" customHeight="1" x14ac:dyDescent="0.35">
      <c r="A301" s="11">
        <v>295</v>
      </c>
      <c r="B301" s="47">
        <v>203813036</v>
      </c>
      <c r="C301" s="94" t="s">
        <v>261</v>
      </c>
      <c r="D301" s="11" t="s">
        <v>262</v>
      </c>
      <c r="E301" s="48" t="s">
        <v>31</v>
      </c>
      <c r="F301" s="48" t="s">
        <v>74</v>
      </c>
      <c r="G301" s="11" t="s">
        <v>64</v>
      </c>
      <c r="H301" s="11" t="s">
        <v>75</v>
      </c>
      <c r="I301" s="11">
        <v>1299</v>
      </c>
      <c r="J301" s="49" t="s">
        <v>32</v>
      </c>
      <c r="K301" s="49" t="s">
        <v>76</v>
      </c>
      <c r="L301" s="49" t="s">
        <v>84</v>
      </c>
      <c r="M301" s="49" t="s">
        <v>85</v>
      </c>
      <c r="N301" s="48" t="s">
        <v>86</v>
      </c>
      <c r="O301" s="49" t="s">
        <v>35</v>
      </c>
      <c r="P301" s="11" t="s">
        <v>80</v>
      </c>
      <c r="Q301" s="11" t="s">
        <v>99</v>
      </c>
      <c r="R301" s="11" t="s">
        <v>226</v>
      </c>
      <c r="S301" s="11" t="s">
        <v>227</v>
      </c>
      <c r="T301" s="90" t="s">
        <v>1</v>
      </c>
      <c r="U301" s="89"/>
      <c r="V301" s="51">
        <v>45517</v>
      </c>
      <c r="W301" s="49" t="s">
        <v>1581</v>
      </c>
    </row>
    <row r="302" spans="1:23" ht="13" customHeight="1" x14ac:dyDescent="0.35">
      <c r="A302" s="11">
        <v>296</v>
      </c>
      <c r="B302" s="47">
        <v>203813037</v>
      </c>
      <c r="C302" s="94" t="s">
        <v>263</v>
      </c>
      <c r="D302" s="11" t="s">
        <v>264</v>
      </c>
      <c r="E302" s="48" t="s">
        <v>31</v>
      </c>
      <c r="F302" s="48" t="s">
        <v>74</v>
      </c>
      <c r="G302" s="11" t="s">
        <v>64</v>
      </c>
      <c r="H302" s="11" t="s">
        <v>75</v>
      </c>
      <c r="I302" s="11">
        <v>1299</v>
      </c>
      <c r="J302" s="49" t="s">
        <v>32</v>
      </c>
      <c r="K302" s="49" t="s">
        <v>76</v>
      </c>
      <c r="L302" s="49" t="s">
        <v>78</v>
      </c>
      <c r="M302" s="49" t="s">
        <v>92</v>
      </c>
      <c r="N302" s="48" t="s">
        <v>86</v>
      </c>
      <c r="O302" s="49" t="s">
        <v>35</v>
      </c>
      <c r="P302" s="11" t="s">
        <v>80</v>
      </c>
      <c r="Q302" s="11" t="s">
        <v>99</v>
      </c>
      <c r="R302" s="11" t="s">
        <v>226</v>
      </c>
      <c r="S302" s="11" t="s">
        <v>227</v>
      </c>
      <c r="T302" s="90" t="s">
        <v>1</v>
      </c>
      <c r="U302" s="90"/>
      <c r="V302" s="51">
        <v>45517</v>
      </c>
      <c r="W302" s="49" t="s">
        <v>1580</v>
      </c>
    </row>
    <row r="303" spans="1:23" ht="13" customHeight="1" x14ac:dyDescent="0.35">
      <c r="A303" s="11">
        <v>297</v>
      </c>
      <c r="B303" s="47">
        <v>206958086</v>
      </c>
      <c r="C303" s="94" t="s">
        <v>2514</v>
      </c>
      <c r="D303" s="11" t="s">
        <v>2515</v>
      </c>
      <c r="E303" s="48" t="s">
        <v>31</v>
      </c>
      <c r="F303" s="48" t="s">
        <v>74</v>
      </c>
      <c r="G303" s="11" t="s">
        <v>64</v>
      </c>
      <c r="H303" s="11" t="s">
        <v>75</v>
      </c>
      <c r="I303" s="11">
        <v>1299</v>
      </c>
      <c r="J303" s="49" t="s">
        <v>32</v>
      </c>
      <c r="K303" s="49" t="s">
        <v>76</v>
      </c>
      <c r="L303" s="49" t="s">
        <v>78</v>
      </c>
      <c r="M303" s="49" t="s">
        <v>92</v>
      </c>
      <c r="N303" s="49" t="s">
        <v>89</v>
      </c>
      <c r="O303" s="49" t="s">
        <v>35</v>
      </c>
      <c r="P303" s="11" t="s">
        <v>80</v>
      </c>
      <c r="Q303" s="11" t="s">
        <v>96</v>
      </c>
      <c r="R303" s="11" t="s">
        <v>225</v>
      </c>
      <c r="S303" s="11" t="s">
        <v>2731</v>
      </c>
      <c r="T303" s="90" t="s">
        <v>1</v>
      </c>
      <c r="U303" s="90"/>
      <c r="V303" s="51">
        <v>46048</v>
      </c>
      <c r="W303" s="49" t="s">
        <v>1580</v>
      </c>
    </row>
    <row r="304" spans="1:23" ht="13" customHeight="1" x14ac:dyDescent="0.35">
      <c r="A304" s="11">
        <v>298</v>
      </c>
      <c r="B304" s="47">
        <v>204868861</v>
      </c>
      <c r="C304" s="94" t="s">
        <v>265</v>
      </c>
      <c r="D304" s="11" t="s">
        <v>266</v>
      </c>
      <c r="E304" s="48" t="s">
        <v>31</v>
      </c>
      <c r="F304" s="48" t="s">
        <v>74</v>
      </c>
      <c r="G304" s="11" t="s">
        <v>64</v>
      </c>
      <c r="H304" s="11" t="s">
        <v>75</v>
      </c>
      <c r="I304" s="11">
        <v>1299</v>
      </c>
      <c r="J304" s="49" t="s">
        <v>32</v>
      </c>
      <c r="K304" s="49" t="s">
        <v>76</v>
      </c>
      <c r="L304" s="49" t="s">
        <v>77</v>
      </c>
      <c r="M304" s="49" t="s">
        <v>78</v>
      </c>
      <c r="N304" s="48" t="s">
        <v>86</v>
      </c>
      <c r="O304" s="49" t="s">
        <v>35</v>
      </c>
      <c r="P304" s="11" t="s">
        <v>80</v>
      </c>
      <c r="Q304" s="11" t="s">
        <v>87</v>
      </c>
      <c r="R304" s="11" t="s">
        <v>225</v>
      </c>
      <c r="S304" s="11" t="s">
        <v>2731</v>
      </c>
      <c r="T304" s="90" t="s">
        <v>7</v>
      </c>
      <c r="U304" s="90" t="s">
        <v>2914</v>
      </c>
      <c r="V304" s="51">
        <v>45691</v>
      </c>
      <c r="W304" s="49" t="s">
        <v>1580</v>
      </c>
    </row>
    <row r="305" spans="1:23" ht="13" customHeight="1" x14ac:dyDescent="0.35">
      <c r="A305" s="11">
        <v>299</v>
      </c>
      <c r="B305" s="47">
        <v>206883741</v>
      </c>
      <c r="C305" s="94" t="s">
        <v>1799</v>
      </c>
      <c r="D305" s="11" t="s">
        <v>1800</v>
      </c>
      <c r="E305" s="11" t="s">
        <v>31</v>
      </c>
      <c r="F305" s="11" t="s">
        <v>74</v>
      </c>
      <c r="G305" s="11" t="s">
        <v>64</v>
      </c>
      <c r="H305" s="11" t="s">
        <v>75</v>
      </c>
      <c r="I305" s="11">
        <v>1299</v>
      </c>
      <c r="J305" s="49" t="s">
        <v>32</v>
      </c>
      <c r="K305" s="49" t="s">
        <v>76</v>
      </c>
      <c r="L305" s="49" t="s">
        <v>78</v>
      </c>
      <c r="M305" s="49" t="s">
        <v>92</v>
      </c>
      <c r="N305" s="49" t="s">
        <v>89</v>
      </c>
      <c r="O305" s="11" t="s">
        <v>35</v>
      </c>
      <c r="P305" s="11" t="s">
        <v>80</v>
      </c>
      <c r="Q305" s="11" t="s">
        <v>96</v>
      </c>
      <c r="R305" s="11" t="s">
        <v>232</v>
      </c>
      <c r="S305" s="11" t="s">
        <v>1760</v>
      </c>
      <c r="T305" s="90" t="s">
        <v>1</v>
      </c>
      <c r="U305" s="90"/>
      <c r="V305" s="51">
        <v>46027</v>
      </c>
      <c r="W305" s="11" t="s">
        <v>1580</v>
      </c>
    </row>
    <row r="306" spans="1:23" ht="13" customHeight="1" x14ac:dyDescent="0.35">
      <c r="A306" s="11">
        <v>300</v>
      </c>
      <c r="B306" s="47">
        <v>203813035</v>
      </c>
      <c r="C306" s="94" t="s">
        <v>268</v>
      </c>
      <c r="D306" s="11" t="s">
        <v>269</v>
      </c>
      <c r="E306" s="48" t="s">
        <v>31</v>
      </c>
      <c r="F306" s="48" t="s">
        <v>74</v>
      </c>
      <c r="G306" s="11" t="s">
        <v>64</v>
      </c>
      <c r="H306" s="11" t="s">
        <v>75</v>
      </c>
      <c r="I306" s="11">
        <v>1299</v>
      </c>
      <c r="J306" s="49" t="s">
        <v>2486</v>
      </c>
      <c r="K306" s="49" t="s">
        <v>76</v>
      </c>
      <c r="L306" s="49" t="s">
        <v>78</v>
      </c>
      <c r="M306" s="49" t="s">
        <v>92</v>
      </c>
      <c r="N306" s="48" t="s">
        <v>86</v>
      </c>
      <c r="O306" s="49" t="s">
        <v>35</v>
      </c>
      <c r="P306" s="11" t="s">
        <v>80</v>
      </c>
      <c r="Q306" s="11" t="s">
        <v>99</v>
      </c>
      <c r="R306" s="11" t="s">
        <v>225</v>
      </c>
      <c r="S306" s="11" t="s">
        <v>2731</v>
      </c>
      <c r="T306" s="90" t="s">
        <v>1</v>
      </c>
      <c r="U306" s="89"/>
      <c r="V306" s="51">
        <v>45517</v>
      </c>
      <c r="W306" s="49" t="s">
        <v>1580</v>
      </c>
    </row>
    <row r="307" spans="1:23" ht="13" customHeight="1" x14ac:dyDescent="0.35">
      <c r="A307" s="11">
        <v>301</v>
      </c>
      <c r="B307" s="47">
        <v>203736754</v>
      </c>
      <c r="C307" s="94" t="s">
        <v>270</v>
      </c>
      <c r="D307" s="11" t="s">
        <v>271</v>
      </c>
      <c r="E307" s="48" t="s">
        <v>31</v>
      </c>
      <c r="F307" s="48" t="s">
        <v>74</v>
      </c>
      <c r="G307" s="11" t="s">
        <v>64</v>
      </c>
      <c r="H307" s="11" t="s">
        <v>75</v>
      </c>
      <c r="I307" s="11">
        <v>1299</v>
      </c>
      <c r="J307" s="49" t="s">
        <v>32</v>
      </c>
      <c r="K307" s="49" t="s">
        <v>76</v>
      </c>
      <c r="L307" s="49" t="s">
        <v>84</v>
      </c>
      <c r="M307" s="49" t="s">
        <v>85</v>
      </c>
      <c r="N307" s="48" t="s">
        <v>86</v>
      </c>
      <c r="O307" s="49" t="s">
        <v>35</v>
      </c>
      <c r="P307" s="11" t="s">
        <v>80</v>
      </c>
      <c r="Q307" s="11" t="s">
        <v>99</v>
      </c>
      <c r="R307" s="11" t="s">
        <v>225</v>
      </c>
      <c r="S307" s="11" t="s">
        <v>2731</v>
      </c>
      <c r="T307" s="90" t="s">
        <v>1</v>
      </c>
      <c r="U307" s="90"/>
      <c r="V307" s="51">
        <v>45502</v>
      </c>
      <c r="W307" s="49" t="s">
        <v>1580</v>
      </c>
    </row>
    <row r="308" spans="1:23" ht="13" customHeight="1" x14ac:dyDescent="0.35">
      <c r="A308" s="11">
        <v>302</v>
      </c>
      <c r="B308" s="47">
        <v>203709740</v>
      </c>
      <c r="C308" s="94" t="s">
        <v>272</v>
      </c>
      <c r="D308" s="11" t="s">
        <v>273</v>
      </c>
      <c r="E308" s="48" t="s">
        <v>31</v>
      </c>
      <c r="F308" s="48" t="s">
        <v>74</v>
      </c>
      <c r="G308" s="11" t="s">
        <v>64</v>
      </c>
      <c r="H308" s="11" t="s">
        <v>75</v>
      </c>
      <c r="I308" s="11">
        <v>1299</v>
      </c>
      <c r="J308" s="49" t="s">
        <v>39</v>
      </c>
      <c r="K308" s="49" t="s">
        <v>76</v>
      </c>
      <c r="L308" s="49" t="s">
        <v>85</v>
      </c>
      <c r="M308" s="49" t="s">
        <v>88</v>
      </c>
      <c r="N308" s="48" t="s">
        <v>86</v>
      </c>
      <c r="O308" s="49" t="s">
        <v>35</v>
      </c>
      <c r="P308" s="11" t="s">
        <v>80</v>
      </c>
      <c r="Q308" s="11" t="s">
        <v>99</v>
      </c>
      <c r="R308" s="11" t="s">
        <v>225</v>
      </c>
      <c r="S308" s="11" t="s">
        <v>2731</v>
      </c>
      <c r="T308" s="90" t="s">
        <v>10</v>
      </c>
      <c r="U308" s="89"/>
      <c r="V308" s="51">
        <v>45495</v>
      </c>
      <c r="W308" s="49" t="s">
        <v>1580</v>
      </c>
    </row>
    <row r="309" spans="1:23" ht="13" customHeight="1" x14ac:dyDescent="0.35">
      <c r="A309" s="11">
        <v>303</v>
      </c>
      <c r="B309" s="47">
        <v>203802272</v>
      </c>
      <c r="C309" s="94" t="s">
        <v>274</v>
      </c>
      <c r="D309" s="11" t="s">
        <v>275</v>
      </c>
      <c r="E309" s="48" t="s">
        <v>31</v>
      </c>
      <c r="F309" s="48" t="s">
        <v>74</v>
      </c>
      <c r="G309" s="11" t="s">
        <v>64</v>
      </c>
      <c r="H309" s="11" t="s">
        <v>75</v>
      </c>
      <c r="I309" s="11">
        <v>1299</v>
      </c>
      <c r="J309" s="49" t="s">
        <v>32</v>
      </c>
      <c r="K309" s="49" t="s">
        <v>76</v>
      </c>
      <c r="L309" s="49" t="s">
        <v>84</v>
      </c>
      <c r="M309" s="49" t="s">
        <v>85</v>
      </c>
      <c r="N309" s="48" t="s">
        <v>79</v>
      </c>
      <c r="O309" s="49" t="s">
        <v>35</v>
      </c>
      <c r="P309" s="11" t="s">
        <v>80</v>
      </c>
      <c r="Q309" s="11" t="s">
        <v>81</v>
      </c>
      <c r="R309" s="11" t="s">
        <v>225</v>
      </c>
      <c r="S309" s="11" t="s">
        <v>2731</v>
      </c>
      <c r="T309" s="90" t="s">
        <v>1</v>
      </c>
      <c r="U309" s="89"/>
      <c r="V309" s="51">
        <v>45517</v>
      </c>
      <c r="W309" s="49" t="s">
        <v>1580</v>
      </c>
    </row>
    <row r="310" spans="1:23" ht="13" customHeight="1" x14ac:dyDescent="0.35">
      <c r="A310" s="11">
        <v>304</v>
      </c>
      <c r="B310" s="47">
        <v>204869090</v>
      </c>
      <c r="C310" s="94" t="s">
        <v>276</v>
      </c>
      <c r="D310" s="11" t="s">
        <v>277</v>
      </c>
      <c r="E310" s="48" t="s">
        <v>31</v>
      </c>
      <c r="F310" s="48" t="s">
        <v>74</v>
      </c>
      <c r="G310" s="11" t="s">
        <v>64</v>
      </c>
      <c r="H310" s="11" t="s">
        <v>75</v>
      </c>
      <c r="I310" s="11">
        <v>1299</v>
      </c>
      <c r="J310" s="49" t="s">
        <v>32</v>
      </c>
      <c r="K310" s="49" t="s">
        <v>76</v>
      </c>
      <c r="L310" s="49" t="s">
        <v>95</v>
      </c>
      <c r="M310" s="49" t="s">
        <v>77</v>
      </c>
      <c r="N310" s="48" t="s">
        <v>86</v>
      </c>
      <c r="O310" s="49" t="s">
        <v>35</v>
      </c>
      <c r="P310" s="11" t="s">
        <v>80</v>
      </c>
      <c r="Q310" s="11" t="s">
        <v>87</v>
      </c>
      <c r="R310" s="11" t="s">
        <v>226</v>
      </c>
      <c r="S310" s="11" t="s">
        <v>227</v>
      </c>
      <c r="T310" s="90" t="s">
        <v>1</v>
      </c>
      <c r="U310" s="89"/>
      <c r="V310" s="51">
        <v>45691</v>
      </c>
      <c r="W310" s="49" t="s">
        <v>1579</v>
      </c>
    </row>
    <row r="311" spans="1:23" ht="13" customHeight="1" x14ac:dyDescent="0.35">
      <c r="A311" s="11">
        <v>305</v>
      </c>
      <c r="B311" s="47">
        <v>206845692</v>
      </c>
      <c r="C311" s="94" t="s">
        <v>2516</v>
      </c>
      <c r="D311" s="47" t="s">
        <v>2517</v>
      </c>
      <c r="E311" s="47" t="s">
        <v>31</v>
      </c>
      <c r="F311" s="47" t="s">
        <v>74</v>
      </c>
      <c r="G311" s="47" t="s">
        <v>64</v>
      </c>
      <c r="H311" s="47" t="s">
        <v>75</v>
      </c>
      <c r="I311" s="47">
        <v>1299</v>
      </c>
      <c r="J311" s="49" t="s">
        <v>32</v>
      </c>
      <c r="K311" s="49" t="s">
        <v>76</v>
      </c>
      <c r="L311" s="49" t="s">
        <v>78</v>
      </c>
      <c r="M311" s="49" t="s">
        <v>92</v>
      </c>
      <c r="N311" s="49" t="s">
        <v>89</v>
      </c>
      <c r="O311" s="47" t="s">
        <v>35</v>
      </c>
      <c r="P311" s="47" t="s">
        <v>80</v>
      </c>
      <c r="Q311" s="47" t="s">
        <v>90</v>
      </c>
      <c r="R311" s="11" t="s">
        <v>232</v>
      </c>
      <c r="S311" s="47" t="s">
        <v>1760</v>
      </c>
      <c r="T311" s="90" t="s">
        <v>1</v>
      </c>
      <c r="U311" s="89"/>
      <c r="V311" s="51">
        <v>46013</v>
      </c>
      <c r="W311" s="47" t="s">
        <v>1580</v>
      </c>
    </row>
    <row r="312" spans="1:23" ht="13" customHeight="1" x14ac:dyDescent="0.35">
      <c r="A312" s="11">
        <v>306</v>
      </c>
      <c r="B312" s="47">
        <v>203635501</v>
      </c>
      <c r="C312" s="94" t="s">
        <v>278</v>
      </c>
      <c r="D312" s="11" t="s">
        <v>279</v>
      </c>
      <c r="E312" s="48" t="s">
        <v>31</v>
      </c>
      <c r="F312" s="48" t="s">
        <v>74</v>
      </c>
      <c r="G312" s="11" t="s">
        <v>64</v>
      </c>
      <c r="H312" s="11" t="s">
        <v>75</v>
      </c>
      <c r="I312" s="11">
        <v>1299</v>
      </c>
      <c r="J312" s="49" t="s">
        <v>32</v>
      </c>
      <c r="K312" s="49" t="s">
        <v>76</v>
      </c>
      <c r="L312" s="49" t="s">
        <v>78</v>
      </c>
      <c r="M312" s="49" t="s">
        <v>92</v>
      </c>
      <c r="N312" s="48" t="s">
        <v>79</v>
      </c>
      <c r="O312" s="49" t="s">
        <v>35</v>
      </c>
      <c r="P312" s="11" t="s">
        <v>80</v>
      </c>
      <c r="Q312" s="11" t="s">
        <v>81</v>
      </c>
      <c r="R312" s="11" t="s">
        <v>226</v>
      </c>
      <c r="S312" s="11" t="s">
        <v>227</v>
      </c>
      <c r="T312" s="90" t="s">
        <v>1</v>
      </c>
      <c r="U312" s="89"/>
      <c r="V312" s="51">
        <v>45481</v>
      </c>
      <c r="W312" s="49" t="s">
        <v>1580</v>
      </c>
    </row>
    <row r="313" spans="1:23" ht="13" customHeight="1" x14ac:dyDescent="0.35">
      <c r="A313" s="11">
        <v>307</v>
      </c>
      <c r="B313" s="47">
        <v>206915298</v>
      </c>
      <c r="C313" s="94" t="s">
        <v>2518</v>
      </c>
      <c r="D313" s="11" t="s">
        <v>2519</v>
      </c>
      <c r="E313" s="48" t="s">
        <v>31</v>
      </c>
      <c r="F313" s="48" t="s">
        <v>74</v>
      </c>
      <c r="G313" s="11" t="s">
        <v>64</v>
      </c>
      <c r="H313" s="11" t="s">
        <v>75</v>
      </c>
      <c r="I313" s="11">
        <v>1299</v>
      </c>
      <c r="J313" s="49" t="s">
        <v>32</v>
      </c>
      <c r="K313" s="49" t="s">
        <v>76</v>
      </c>
      <c r="L313" s="49" t="s">
        <v>78</v>
      </c>
      <c r="M313" s="49" t="s">
        <v>92</v>
      </c>
      <c r="N313" s="49" t="s">
        <v>89</v>
      </c>
      <c r="O313" s="49" t="s">
        <v>35</v>
      </c>
      <c r="P313" s="49" t="s">
        <v>80</v>
      </c>
      <c r="Q313" s="49" t="s">
        <v>90</v>
      </c>
      <c r="R313" s="11" t="s">
        <v>225</v>
      </c>
      <c r="S313" s="49" t="s">
        <v>2731</v>
      </c>
      <c r="T313" s="90" t="s">
        <v>1</v>
      </c>
      <c r="U313" s="90"/>
      <c r="V313" s="51">
        <v>46034</v>
      </c>
      <c r="W313" s="49" t="s">
        <v>1580</v>
      </c>
    </row>
    <row r="314" spans="1:23" ht="13" customHeight="1" x14ac:dyDescent="0.35">
      <c r="A314" s="11">
        <v>308</v>
      </c>
      <c r="B314" s="47">
        <v>206504126</v>
      </c>
      <c r="C314" s="94" t="s">
        <v>2520</v>
      </c>
      <c r="D314" s="11" t="s">
        <v>2521</v>
      </c>
      <c r="E314" s="48" t="s">
        <v>31</v>
      </c>
      <c r="F314" s="48" t="s">
        <v>74</v>
      </c>
      <c r="G314" s="11" t="s">
        <v>64</v>
      </c>
      <c r="H314" s="11" t="s">
        <v>75</v>
      </c>
      <c r="I314" s="11">
        <v>1299</v>
      </c>
      <c r="J314" s="49" t="s">
        <v>32</v>
      </c>
      <c r="K314" s="49" t="s">
        <v>76</v>
      </c>
      <c r="L314" s="49" t="s">
        <v>78</v>
      </c>
      <c r="M314" s="49" t="s">
        <v>92</v>
      </c>
      <c r="N314" s="48" t="s">
        <v>86</v>
      </c>
      <c r="O314" s="49" t="s">
        <v>35</v>
      </c>
      <c r="P314" s="11" t="s">
        <v>80</v>
      </c>
      <c r="Q314" s="11" t="s">
        <v>90</v>
      </c>
      <c r="R314" s="11" t="s">
        <v>232</v>
      </c>
      <c r="S314" s="11" t="s">
        <v>1760</v>
      </c>
      <c r="T314" s="90" t="s">
        <v>1</v>
      </c>
      <c r="U314" s="89"/>
      <c r="V314" s="51">
        <v>45971</v>
      </c>
      <c r="W314" s="49" t="s">
        <v>1580</v>
      </c>
    </row>
    <row r="315" spans="1:23" ht="13" customHeight="1" x14ac:dyDescent="0.35">
      <c r="A315" s="11">
        <v>309</v>
      </c>
      <c r="B315" s="47">
        <v>203881598</v>
      </c>
      <c r="C315" s="94" t="s">
        <v>280</v>
      </c>
      <c r="D315" s="11" t="s">
        <v>281</v>
      </c>
      <c r="E315" s="48" t="s">
        <v>31</v>
      </c>
      <c r="F315" s="48" t="s">
        <v>74</v>
      </c>
      <c r="G315" s="11" t="s">
        <v>64</v>
      </c>
      <c r="H315" s="11" t="s">
        <v>75</v>
      </c>
      <c r="I315" s="11">
        <v>1299</v>
      </c>
      <c r="J315" s="49" t="s">
        <v>32</v>
      </c>
      <c r="K315" s="49" t="s">
        <v>76</v>
      </c>
      <c r="L315" s="49" t="s">
        <v>78</v>
      </c>
      <c r="M315" s="49" t="s">
        <v>92</v>
      </c>
      <c r="N315" s="48" t="s">
        <v>79</v>
      </c>
      <c r="O315" s="49" t="s">
        <v>35</v>
      </c>
      <c r="P315" s="11" t="s">
        <v>80</v>
      </c>
      <c r="Q315" s="11" t="s">
        <v>81</v>
      </c>
      <c r="R315" s="11" t="s">
        <v>226</v>
      </c>
      <c r="S315" s="11" t="s">
        <v>227</v>
      </c>
      <c r="T315" s="90" t="s">
        <v>1</v>
      </c>
      <c r="U315" s="89"/>
      <c r="V315" s="51">
        <v>45530</v>
      </c>
      <c r="W315" s="49" t="s">
        <v>1580</v>
      </c>
    </row>
    <row r="316" spans="1:23" ht="13" customHeight="1" x14ac:dyDescent="0.35">
      <c r="A316" s="11">
        <v>310</v>
      </c>
      <c r="B316" s="47">
        <v>206915295</v>
      </c>
      <c r="C316" s="94" t="s">
        <v>2522</v>
      </c>
      <c r="D316" s="11" t="s">
        <v>2523</v>
      </c>
      <c r="E316" s="48" t="s">
        <v>31</v>
      </c>
      <c r="F316" s="48" t="s">
        <v>74</v>
      </c>
      <c r="G316" s="11" t="s">
        <v>64</v>
      </c>
      <c r="H316" s="11" t="s">
        <v>75</v>
      </c>
      <c r="I316" s="11">
        <v>1299</v>
      </c>
      <c r="J316" s="49" t="s">
        <v>32</v>
      </c>
      <c r="K316" s="49" t="s">
        <v>76</v>
      </c>
      <c r="L316" s="49" t="s">
        <v>78</v>
      </c>
      <c r="M316" s="49" t="s">
        <v>92</v>
      </c>
      <c r="N316" s="49" t="s">
        <v>89</v>
      </c>
      <c r="O316" s="49" t="s">
        <v>35</v>
      </c>
      <c r="P316" s="49" t="s">
        <v>80</v>
      </c>
      <c r="Q316" s="49" t="s">
        <v>90</v>
      </c>
      <c r="R316" s="11" t="s">
        <v>225</v>
      </c>
      <c r="S316" s="49" t="s">
        <v>2731</v>
      </c>
      <c r="T316" s="90" t="s">
        <v>1</v>
      </c>
      <c r="U316" s="90"/>
      <c r="V316" s="51">
        <v>46034</v>
      </c>
      <c r="W316" s="49" t="s">
        <v>1580</v>
      </c>
    </row>
    <row r="317" spans="1:23" ht="13" customHeight="1" x14ac:dyDescent="0.35">
      <c r="A317" s="11">
        <v>311</v>
      </c>
      <c r="B317" s="47">
        <v>203712972</v>
      </c>
      <c r="C317" s="94" t="s">
        <v>282</v>
      </c>
      <c r="D317" s="11" t="s">
        <v>283</v>
      </c>
      <c r="E317" s="48" t="s">
        <v>31</v>
      </c>
      <c r="F317" s="48" t="s">
        <v>74</v>
      </c>
      <c r="G317" s="11" t="s">
        <v>64</v>
      </c>
      <c r="H317" s="11" t="s">
        <v>75</v>
      </c>
      <c r="I317" s="11">
        <v>1299</v>
      </c>
      <c r="J317" s="49" t="s">
        <v>32</v>
      </c>
      <c r="K317" s="49" t="s">
        <v>76</v>
      </c>
      <c r="L317" s="49" t="s">
        <v>78</v>
      </c>
      <c r="M317" s="49" t="s">
        <v>92</v>
      </c>
      <c r="N317" s="48" t="s">
        <v>86</v>
      </c>
      <c r="O317" s="49" t="s">
        <v>35</v>
      </c>
      <c r="P317" s="11" t="s">
        <v>80</v>
      </c>
      <c r="Q317" s="11" t="s">
        <v>99</v>
      </c>
      <c r="R317" s="11" t="s">
        <v>226</v>
      </c>
      <c r="S317" s="11" t="s">
        <v>227</v>
      </c>
      <c r="T317" s="90" t="s">
        <v>7</v>
      </c>
      <c r="U317" s="90"/>
      <c r="V317" s="51">
        <v>45517</v>
      </c>
      <c r="W317" s="49" t="s">
        <v>1580</v>
      </c>
    </row>
    <row r="318" spans="1:23" ht="13" customHeight="1" x14ac:dyDescent="0.35">
      <c r="A318" s="11">
        <v>312</v>
      </c>
      <c r="B318" s="47">
        <v>204883250</v>
      </c>
      <c r="C318" s="94" t="s">
        <v>284</v>
      </c>
      <c r="D318" s="11" t="s">
        <v>285</v>
      </c>
      <c r="E318" s="48" t="s">
        <v>31</v>
      </c>
      <c r="F318" s="48" t="s">
        <v>74</v>
      </c>
      <c r="G318" s="11" t="s">
        <v>64</v>
      </c>
      <c r="H318" s="11" t="s">
        <v>75</v>
      </c>
      <c r="I318" s="11">
        <v>1299</v>
      </c>
      <c r="J318" s="49" t="s">
        <v>32</v>
      </c>
      <c r="K318" s="49" t="s">
        <v>76</v>
      </c>
      <c r="L318" s="49" t="s">
        <v>78</v>
      </c>
      <c r="M318" s="49" t="s">
        <v>92</v>
      </c>
      <c r="N318" s="48" t="s">
        <v>86</v>
      </c>
      <c r="O318" s="49" t="s">
        <v>35</v>
      </c>
      <c r="P318" s="11" t="s">
        <v>80</v>
      </c>
      <c r="Q318" s="11" t="s">
        <v>87</v>
      </c>
      <c r="R318" s="11" t="s">
        <v>226</v>
      </c>
      <c r="S318" s="11" t="s">
        <v>227</v>
      </c>
      <c r="T318" s="90" t="s">
        <v>1</v>
      </c>
      <c r="U318" s="90"/>
      <c r="V318" s="51">
        <v>45691</v>
      </c>
      <c r="W318" s="49" t="s">
        <v>1579</v>
      </c>
    </row>
    <row r="319" spans="1:23" ht="13" customHeight="1" x14ac:dyDescent="0.35">
      <c r="A319" s="11">
        <v>313</v>
      </c>
      <c r="B319" s="47">
        <v>203521129</v>
      </c>
      <c r="C319" s="94" t="s">
        <v>286</v>
      </c>
      <c r="D319" s="11" t="s">
        <v>287</v>
      </c>
      <c r="E319" s="48" t="s">
        <v>31</v>
      </c>
      <c r="F319" s="48" t="s">
        <v>74</v>
      </c>
      <c r="G319" s="11" t="s">
        <v>64</v>
      </c>
      <c r="H319" s="11" t="s">
        <v>75</v>
      </c>
      <c r="I319" s="11">
        <v>1299</v>
      </c>
      <c r="J319" s="49" t="s">
        <v>39</v>
      </c>
      <c r="K319" s="49" t="s">
        <v>76</v>
      </c>
      <c r="L319" s="49" t="s">
        <v>78</v>
      </c>
      <c r="M319" s="49" t="s">
        <v>92</v>
      </c>
      <c r="N319" s="48" t="s">
        <v>79</v>
      </c>
      <c r="O319" s="49" t="s">
        <v>35</v>
      </c>
      <c r="P319" s="11" t="s">
        <v>80</v>
      </c>
      <c r="Q319" s="11" t="s">
        <v>81</v>
      </c>
      <c r="R319" s="11" t="s">
        <v>225</v>
      </c>
      <c r="S319" s="11" t="s">
        <v>2731</v>
      </c>
      <c r="T319" s="90" t="s">
        <v>1</v>
      </c>
      <c r="U319" s="89"/>
      <c r="V319" s="51">
        <v>45463</v>
      </c>
      <c r="W319" s="49" t="s">
        <v>1580</v>
      </c>
    </row>
    <row r="320" spans="1:23" ht="13" customHeight="1" x14ac:dyDescent="0.35">
      <c r="A320" s="11">
        <v>314</v>
      </c>
      <c r="B320" s="47">
        <v>205236900</v>
      </c>
      <c r="C320" s="94" t="s">
        <v>288</v>
      </c>
      <c r="D320" s="11" t="s">
        <v>289</v>
      </c>
      <c r="E320" s="48" t="s">
        <v>31</v>
      </c>
      <c r="F320" s="48" t="s">
        <v>74</v>
      </c>
      <c r="G320" s="11" t="s">
        <v>64</v>
      </c>
      <c r="H320" s="11" t="s">
        <v>75</v>
      </c>
      <c r="I320" s="11">
        <v>1299</v>
      </c>
      <c r="J320" s="49" t="s">
        <v>32</v>
      </c>
      <c r="K320" s="49" t="s">
        <v>76</v>
      </c>
      <c r="L320" s="49" t="s">
        <v>78</v>
      </c>
      <c r="M320" s="49" t="s">
        <v>92</v>
      </c>
      <c r="N320" s="48" t="s">
        <v>86</v>
      </c>
      <c r="O320" s="49" t="s">
        <v>35</v>
      </c>
      <c r="P320" s="11" t="s">
        <v>80</v>
      </c>
      <c r="Q320" s="11" t="s">
        <v>90</v>
      </c>
      <c r="R320" s="11" t="s">
        <v>226</v>
      </c>
      <c r="S320" s="11" t="s">
        <v>227</v>
      </c>
      <c r="T320" s="90" t="s">
        <v>7</v>
      </c>
      <c r="U320" s="90" t="s">
        <v>2914</v>
      </c>
      <c r="V320" s="51">
        <v>45831</v>
      </c>
      <c r="W320" s="49" t="s">
        <v>1581</v>
      </c>
    </row>
    <row r="321" spans="1:23" ht="13" customHeight="1" x14ac:dyDescent="0.35">
      <c r="A321" s="11">
        <v>315</v>
      </c>
      <c r="B321" s="47">
        <v>203468310</v>
      </c>
      <c r="C321" s="94" t="s">
        <v>290</v>
      </c>
      <c r="D321" s="11" t="s">
        <v>291</v>
      </c>
      <c r="E321" s="48" t="s">
        <v>31</v>
      </c>
      <c r="F321" s="48" t="s">
        <v>74</v>
      </c>
      <c r="G321" s="11" t="s">
        <v>64</v>
      </c>
      <c r="H321" s="11" t="s">
        <v>75</v>
      </c>
      <c r="I321" s="11">
        <v>1299</v>
      </c>
      <c r="J321" s="49" t="s">
        <v>32</v>
      </c>
      <c r="K321" s="49" t="s">
        <v>76</v>
      </c>
      <c r="L321" s="49" t="s">
        <v>78</v>
      </c>
      <c r="M321" s="49" t="s">
        <v>92</v>
      </c>
      <c r="N321" s="48" t="s">
        <v>79</v>
      </c>
      <c r="O321" s="49" t="s">
        <v>35</v>
      </c>
      <c r="P321" s="11" t="s">
        <v>80</v>
      </c>
      <c r="Q321" s="11" t="s">
        <v>81</v>
      </c>
      <c r="R321" s="11" t="s">
        <v>226</v>
      </c>
      <c r="S321" s="11" t="s">
        <v>227</v>
      </c>
      <c r="T321" s="90" t="s">
        <v>1</v>
      </c>
      <c r="U321" s="90"/>
      <c r="V321" s="51">
        <v>45456</v>
      </c>
      <c r="W321" s="49" t="s">
        <v>1577</v>
      </c>
    </row>
    <row r="322" spans="1:23" ht="13" customHeight="1" x14ac:dyDescent="0.35">
      <c r="A322" s="11">
        <v>316</v>
      </c>
      <c r="B322" s="47">
        <v>206873865</v>
      </c>
      <c r="C322" s="94" t="s">
        <v>2524</v>
      </c>
      <c r="D322" s="11" t="s">
        <v>2525</v>
      </c>
      <c r="E322" s="48" t="s">
        <v>31</v>
      </c>
      <c r="F322" s="48" t="s">
        <v>74</v>
      </c>
      <c r="G322" s="48" t="s">
        <v>64</v>
      </c>
      <c r="H322" s="48" t="s">
        <v>75</v>
      </c>
      <c r="I322" s="11">
        <v>1299</v>
      </c>
      <c r="J322" s="49" t="s">
        <v>32</v>
      </c>
      <c r="K322" s="49" t="s">
        <v>76</v>
      </c>
      <c r="L322" s="49" t="s">
        <v>78</v>
      </c>
      <c r="M322" s="49" t="s">
        <v>92</v>
      </c>
      <c r="N322" s="49" t="s">
        <v>89</v>
      </c>
      <c r="O322" s="48" t="s">
        <v>35</v>
      </c>
      <c r="P322" s="48" t="s">
        <v>80</v>
      </c>
      <c r="Q322" s="11" t="s">
        <v>90</v>
      </c>
      <c r="R322" s="11" t="s">
        <v>232</v>
      </c>
      <c r="S322" s="11" t="s">
        <v>1760</v>
      </c>
      <c r="T322" s="90" t="s">
        <v>1</v>
      </c>
      <c r="U322" s="89"/>
      <c r="V322" s="51">
        <v>46020</v>
      </c>
      <c r="W322" s="49" t="s">
        <v>1580</v>
      </c>
    </row>
    <row r="323" spans="1:23" ht="13" customHeight="1" x14ac:dyDescent="0.35">
      <c r="A323" s="11">
        <v>317</v>
      </c>
      <c r="B323" s="47">
        <v>203800480</v>
      </c>
      <c r="C323" s="94" t="s">
        <v>2526</v>
      </c>
      <c r="D323" s="11" t="s">
        <v>2527</v>
      </c>
      <c r="E323" s="48" t="s">
        <v>31</v>
      </c>
      <c r="F323" s="48" t="s">
        <v>74</v>
      </c>
      <c r="G323" s="11" t="s">
        <v>64</v>
      </c>
      <c r="H323" s="11" t="s">
        <v>75</v>
      </c>
      <c r="I323" s="11">
        <v>1299</v>
      </c>
      <c r="J323" s="49" t="s">
        <v>32</v>
      </c>
      <c r="K323" s="49" t="s">
        <v>76</v>
      </c>
      <c r="L323" s="49" t="s">
        <v>78</v>
      </c>
      <c r="M323" s="49" t="s">
        <v>92</v>
      </c>
      <c r="N323" s="48" t="s">
        <v>86</v>
      </c>
      <c r="O323" s="49" t="s">
        <v>35</v>
      </c>
      <c r="P323" s="11" t="s">
        <v>80</v>
      </c>
      <c r="Q323" s="11" t="s">
        <v>90</v>
      </c>
      <c r="R323" s="11" t="s">
        <v>225</v>
      </c>
      <c r="S323" s="11" t="s">
        <v>2731</v>
      </c>
      <c r="T323" s="90" t="s">
        <v>1</v>
      </c>
      <c r="U323" s="89"/>
      <c r="V323" s="51">
        <v>45516</v>
      </c>
      <c r="W323" s="49" t="s">
        <v>1580</v>
      </c>
    </row>
    <row r="324" spans="1:23" ht="13" customHeight="1" x14ac:dyDescent="0.35">
      <c r="A324" s="11">
        <v>318</v>
      </c>
      <c r="B324" s="47">
        <v>206958910</v>
      </c>
      <c r="C324" s="94" t="s">
        <v>2112</v>
      </c>
      <c r="D324" s="11" t="s">
        <v>2035</v>
      </c>
      <c r="E324" s="48" t="s">
        <v>31</v>
      </c>
      <c r="F324" s="48" t="s">
        <v>74</v>
      </c>
      <c r="G324" s="11" t="s">
        <v>64</v>
      </c>
      <c r="H324" s="11" t="s">
        <v>75</v>
      </c>
      <c r="I324" s="11">
        <v>1299</v>
      </c>
      <c r="J324" s="49" t="s">
        <v>32</v>
      </c>
      <c r="K324" s="49" t="s">
        <v>76</v>
      </c>
      <c r="L324" s="49" t="s">
        <v>78</v>
      </c>
      <c r="M324" s="49" t="s">
        <v>92</v>
      </c>
      <c r="N324" s="49" t="s">
        <v>89</v>
      </c>
      <c r="O324" s="49" t="s">
        <v>35</v>
      </c>
      <c r="P324" s="11" t="s">
        <v>80</v>
      </c>
      <c r="Q324" s="11" t="s">
        <v>96</v>
      </c>
      <c r="R324" s="11" t="s">
        <v>225</v>
      </c>
      <c r="S324" s="11" t="s">
        <v>2731</v>
      </c>
      <c r="T324" s="90" t="s">
        <v>1</v>
      </c>
      <c r="U324" s="89"/>
      <c r="V324" s="51">
        <v>46048</v>
      </c>
      <c r="W324" s="49" t="s">
        <v>1580</v>
      </c>
    </row>
    <row r="325" spans="1:23" ht="13" customHeight="1" x14ac:dyDescent="0.35">
      <c r="A325" s="11">
        <v>319</v>
      </c>
      <c r="B325" s="47">
        <v>203521521</v>
      </c>
      <c r="C325" s="94" t="s">
        <v>292</v>
      </c>
      <c r="D325" s="11" t="s">
        <v>293</v>
      </c>
      <c r="E325" s="48" t="s">
        <v>31</v>
      </c>
      <c r="F325" s="48" t="s">
        <v>74</v>
      </c>
      <c r="G325" s="11" t="s">
        <v>64</v>
      </c>
      <c r="H325" s="11" t="s">
        <v>75</v>
      </c>
      <c r="I325" s="11">
        <v>1299</v>
      </c>
      <c r="J325" s="49" t="s">
        <v>32</v>
      </c>
      <c r="K325" s="49" t="s">
        <v>76</v>
      </c>
      <c r="L325" s="49" t="s">
        <v>78</v>
      </c>
      <c r="M325" s="49" t="s">
        <v>92</v>
      </c>
      <c r="N325" s="48" t="s">
        <v>79</v>
      </c>
      <c r="O325" s="49" t="s">
        <v>35</v>
      </c>
      <c r="P325" s="11" t="s">
        <v>80</v>
      </c>
      <c r="Q325" s="11" t="s">
        <v>81</v>
      </c>
      <c r="R325" s="11" t="s">
        <v>226</v>
      </c>
      <c r="S325" s="11" t="s">
        <v>227</v>
      </c>
      <c r="T325" s="90" t="s">
        <v>1</v>
      </c>
      <c r="U325" s="91"/>
      <c r="V325" s="51">
        <v>45463</v>
      </c>
      <c r="W325" s="49" t="s">
        <v>1577</v>
      </c>
    </row>
    <row r="326" spans="1:23" ht="13" customHeight="1" x14ac:dyDescent="0.35">
      <c r="A326" s="11">
        <v>320</v>
      </c>
      <c r="B326" s="47">
        <v>203965524</v>
      </c>
      <c r="C326" s="94" t="s">
        <v>294</v>
      </c>
      <c r="D326" s="11" t="s">
        <v>295</v>
      </c>
      <c r="E326" s="48" t="s">
        <v>31</v>
      </c>
      <c r="F326" s="48" t="s">
        <v>74</v>
      </c>
      <c r="G326" s="11" t="s">
        <v>64</v>
      </c>
      <c r="H326" s="11" t="s">
        <v>75</v>
      </c>
      <c r="I326" s="11">
        <v>1299</v>
      </c>
      <c r="J326" s="49" t="s">
        <v>32</v>
      </c>
      <c r="K326" s="49" t="s">
        <v>76</v>
      </c>
      <c r="L326" s="49" t="s">
        <v>95</v>
      </c>
      <c r="M326" s="49" t="s">
        <v>77</v>
      </c>
      <c r="N326" s="48" t="s">
        <v>79</v>
      </c>
      <c r="O326" s="49" t="s">
        <v>35</v>
      </c>
      <c r="P326" s="11" t="s">
        <v>80</v>
      </c>
      <c r="Q326" s="11" t="s">
        <v>81</v>
      </c>
      <c r="R326" s="11" t="s">
        <v>226</v>
      </c>
      <c r="S326" s="11" t="s">
        <v>227</v>
      </c>
      <c r="T326" s="90" t="s">
        <v>1</v>
      </c>
      <c r="U326" s="91"/>
      <c r="V326" s="51">
        <v>45544</v>
      </c>
      <c r="W326" s="49" t="s">
        <v>1580</v>
      </c>
    </row>
    <row r="327" spans="1:23" ht="13" customHeight="1" x14ac:dyDescent="0.35">
      <c r="A327" s="11">
        <v>321</v>
      </c>
      <c r="B327" s="47">
        <v>205609884</v>
      </c>
      <c r="C327" s="94" t="s">
        <v>2528</v>
      </c>
      <c r="D327" s="11" t="s">
        <v>2529</v>
      </c>
      <c r="E327" s="48" t="s">
        <v>31</v>
      </c>
      <c r="F327" s="48" t="s">
        <v>74</v>
      </c>
      <c r="G327" s="11" t="s">
        <v>64</v>
      </c>
      <c r="H327" s="11" t="s">
        <v>75</v>
      </c>
      <c r="I327" s="11">
        <v>1299</v>
      </c>
      <c r="J327" s="49" t="s">
        <v>32</v>
      </c>
      <c r="K327" s="49" t="s">
        <v>76</v>
      </c>
      <c r="L327" s="49" t="s">
        <v>78</v>
      </c>
      <c r="M327" s="49" t="s">
        <v>92</v>
      </c>
      <c r="N327" s="48" t="s">
        <v>86</v>
      </c>
      <c r="O327" s="49" t="s">
        <v>35</v>
      </c>
      <c r="P327" s="11" t="s">
        <v>80</v>
      </c>
      <c r="Q327" s="11" t="s">
        <v>90</v>
      </c>
      <c r="R327" s="11" t="s">
        <v>225</v>
      </c>
      <c r="S327" s="11" t="s">
        <v>2731</v>
      </c>
      <c r="T327" s="90" t="s">
        <v>7</v>
      </c>
      <c r="U327" s="90" t="s">
        <v>2914</v>
      </c>
      <c r="V327" s="51">
        <v>45845</v>
      </c>
      <c r="W327" s="49" t="s">
        <v>1580</v>
      </c>
    </row>
    <row r="328" spans="1:23" ht="13" customHeight="1" x14ac:dyDescent="0.35">
      <c r="A328" s="11">
        <v>322</v>
      </c>
      <c r="B328" s="47">
        <v>206006412</v>
      </c>
      <c r="C328" s="94" t="s">
        <v>297</v>
      </c>
      <c r="D328" s="11" t="s">
        <v>1759</v>
      </c>
      <c r="E328" s="48" t="s">
        <v>31</v>
      </c>
      <c r="F328" s="48" t="s">
        <v>74</v>
      </c>
      <c r="G328" s="11" t="s">
        <v>64</v>
      </c>
      <c r="H328" s="11" t="s">
        <v>75</v>
      </c>
      <c r="I328" s="11">
        <v>1299</v>
      </c>
      <c r="J328" s="49" t="s">
        <v>32</v>
      </c>
      <c r="K328" s="49" t="s">
        <v>76</v>
      </c>
      <c r="L328" s="49" t="s">
        <v>77</v>
      </c>
      <c r="M328" s="49" t="s">
        <v>78</v>
      </c>
      <c r="N328" s="48" t="s">
        <v>79</v>
      </c>
      <c r="O328" s="49" t="s">
        <v>35</v>
      </c>
      <c r="P328" s="11" t="s">
        <v>80</v>
      </c>
      <c r="Q328" s="11" t="s">
        <v>81</v>
      </c>
      <c r="R328" s="11" t="s">
        <v>225</v>
      </c>
      <c r="S328" s="11" t="s">
        <v>2731</v>
      </c>
      <c r="T328" s="90" t="s">
        <v>1</v>
      </c>
      <c r="U328" s="90"/>
      <c r="V328" s="51">
        <v>45915</v>
      </c>
      <c r="W328" s="49" t="s">
        <v>1580</v>
      </c>
    </row>
    <row r="329" spans="1:23" ht="13" customHeight="1" x14ac:dyDescent="0.35">
      <c r="A329" s="11">
        <v>323</v>
      </c>
      <c r="B329" s="47">
        <v>203965495</v>
      </c>
      <c r="C329" s="94" t="s">
        <v>298</v>
      </c>
      <c r="D329" s="11" t="s">
        <v>299</v>
      </c>
      <c r="E329" s="48" t="s">
        <v>31</v>
      </c>
      <c r="F329" s="48" t="s">
        <v>74</v>
      </c>
      <c r="G329" s="11" t="s">
        <v>64</v>
      </c>
      <c r="H329" s="11" t="s">
        <v>75</v>
      </c>
      <c r="I329" s="11">
        <v>1299</v>
      </c>
      <c r="J329" s="49" t="s">
        <v>32</v>
      </c>
      <c r="K329" s="49" t="s">
        <v>76</v>
      </c>
      <c r="L329" s="49" t="s">
        <v>78</v>
      </c>
      <c r="M329" s="49" t="s">
        <v>92</v>
      </c>
      <c r="N329" s="48" t="s">
        <v>79</v>
      </c>
      <c r="O329" s="49" t="s">
        <v>35</v>
      </c>
      <c r="P329" s="11" t="s">
        <v>80</v>
      </c>
      <c r="Q329" s="11" t="s">
        <v>81</v>
      </c>
      <c r="R329" s="11" t="s">
        <v>225</v>
      </c>
      <c r="S329" s="11" t="s">
        <v>2731</v>
      </c>
      <c r="T329" s="90" t="s">
        <v>1</v>
      </c>
      <c r="U329" s="90"/>
      <c r="V329" s="51">
        <v>45544</v>
      </c>
      <c r="W329" s="49" t="s">
        <v>1580</v>
      </c>
    </row>
    <row r="330" spans="1:23" ht="13" customHeight="1" x14ac:dyDescent="0.35">
      <c r="A330" s="11">
        <v>324</v>
      </c>
      <c r="B330" s="47">
        <v>203802274</v>
      </c>
      <c r="C330" s="94" t="s">
        <v>300</v>
      </c>
      <c r="D330" s="11" t="s">
        <v>301</v>
      </c>
      <c r="E330" s="48" t="s">
        <v>31</v>
      </c>
      <c r="F330" s="48" t="s">
        <v>74</v>
      </c>
      <c r="G330" s="11" t="s">
        <v>64</v>
      </c>
      <c r="H330" s="11" t="s">
        <v>75</v>
      </c>
      <c r="I330" s="11">
        <v>1299</v>
      </c>
      <c r="J330" s="49" t="s">
        <v>32</v>
      </c>
      <c r="K330" s="49" t="s">
        <v>76</v>
      </c>
      <c r="L330" s="49" t="s">
        <v>78</v>
      </c>
      <c r="M330" s="49" t="s">
        <v>92</v>
      </c>
      <c r="N330" s="48" t="s">
        <v>79</v>
      </c>
      <c r="O330" s="49" t="s">
        <v>35</v>
      </c>
      <c r="P330" s="11" t="s">
        <v>80</v>
      </c>
      <c r="Q330" s="11" t="s">
        <v>81</v>
      </c>
      <c r="R330" s="11" t="s">
        <v>225</v>
      </c>
      <c r="S330" s="11" t="s">
        <v>2731</v>
      </c>
      <c r="T330" s="90" t="s">
        <v>1</v>
      </c>
      <c r="U330" s="89"/>
      <c r="V330" s="51">
        <v>45516</v>
      </c>
      <c r="W330" s="49" t="s">
        <v>1580</v>
      </c>
    </row>
    <row r="331" spans="1:23" ht="13" customHeight="1" x14ac:dyDescent="0.35">
      <c r="A331" s="11">
        <v>325</v>
      </c>
      <c r="B331" s="47">
        <v>205506017</v>
      </c>
      <c r="C331" s="94" t="s">
        <v>2530</v>
      </c>
      <c r="D331" s="11" t="s">
        <v>2531</v>
      </c>
      <c r="E331" s="48" t="s">
        <v>31</v>
      </c>
      <c r="F331" s="48" t="s">
        <v>74</v>
      </c>
      <c r="G331" s="11" t="s">
        <v>64</v>
      </c>
      <c r="H331" s="11" t="s">
        <v>75</v>
      </c>
      <c r="I331" s="11">
        <v>1299</v>
      </c>
      <c r="J331" s="49" t="s">
        <v>32</v>
      </c>
      <c r="K331" s="49" t="s">
        <v>76</v>
      </c>
      <c r="L331" s="49" t="s">
        <v>77</v>
      </c>
      <c r="M331" s="49" t="s">
        <v>78</v>
      </c>
      <c r="N331" s="49" t="s">
        <v>89</v>
      </c>
      <c r="O331" s="49" t="s">
        <v>35</v>
      </c>
      <c r="P331" s="11" t="s">
        <v>80</v>
      </c>
      <c r="Q331" s="11" t="s">
        <v>96</v>
      </c>
      <c r="R331" s="11" t="s">
        <v>225</v>
      </c>
      <c r="S331" s="11" t="s">
        <v>2731</v>
      </c>
      <c r="T331" s="90" t="s">
        <v>1</v>
      </c>
      <c r="U331" s="91"/>
      <c r="V331" s="51">
        <v>45831</v>
      </c>
      <c r="W331" s="49" t="s">
        <v>1580</v>
      </c>
    </row>
    <row r="332" spans="1:23" ht="13" customHeight="1" x14ac:dyDescent="0.35">
      <c r="A332" s="11">
        <v>326</v>
      </c>
      <c r="B332" s="47">
        <v>205608618</v>
      </c>
      <c r="C332" s="94" t="s">
        <v>2532</v>
      </c>
      <c r="D332" s="11" t="s">
        <v>2533</v>
      </c>
      <c r="E332" s="48" t="s">
        <v>31</v>
      </c>
      <c r="F332" s="48" t="s">
        <v>74</v>
      </c>
      <c r="G332" s="11" t="s">
        <v>64</v>
      </c>
      <c r="H332" s="11" t="s">
        <v>75</v>
      </c>
      <c r="I332" s="11">
        <v>1299</v>
      </c>
      <c r="J332" s="49" t="s">
        <v>32</v>
      </c>
      <c r="K332" s="49" t="s">
        <v>76</v>
      </c>
      <c r="L332" s="49" t="s">
        <v>78</v>
      </c>
      <c r="M332" s="49" t="s">
        <v>92</v>
      </c>
      <c r="N332" s="48" t="s">
        <v>86</v>
      </c>
      <c r="O332" s="49" t="s">
        <v>35</v>
      </c>
      <c r="P332" s="11" t="s">
        <v>80</v>
      </c>
      <c r="Q332" s="11" t="s">
        <v>90</v>
      </c>
      <c r="R332" s="11" t="s">
        <v>225</v>
      </c>
      <c r="S332" s="11" t="s">
        <v>2731</v>
      </c>
      <c r="T332" s="90" t="s">
        <v>1</v>
      </c>
      <c r="U332" s="89"/>
      <c r="V332" s="51">
        <v>45845</v>
      </c>
      <c r="W332" s="49" t="s">
        <v>1580</v>
      </c>
    </row>
    <row r="333" spans="1:23" ht="13" customHeight="1" x14ac:dyDescent="0.35">
      <c r="A333" s="11">
        <v>327</v>
      </c>
      <c r="B333" s="47">
        <v>203965520</v>
      </c>
      <c r="C333" s="94" t="s">
        <v>303</v>
      </c>
      <c r="D333" s="11" t="s">
        <v>304</v>
      </c>
      <c r="E333" s="48" t="s">
        <v>31</v>
      </c>
      <c r="F333" s="48" t="s">
        <v>74</v>
      </c>
      <c r="G333" s="11" t="s">
        <v>64</v>
      </c>
      <c r="H333" s="11" t="s">
        <v>75</v>
      </c>
      <c r="I333" s="11">
        <v>1299</v>
      </c>
      <c r="J333" s="49" t="s">
        <v>39</v>
      </c>
      <c r="K333" s="49" t="s">
        <v>76</v>
      </c>
      <c r="L333" s="49" t="s">
        <v>78</v>
      </c>
      <c r="M333" s="49" t="s">
        <v>92</v>
      </c>
      <c r="N333" s="48" t="s">
        <v>79</v>
      </c>
      <c r="O333" s="49" t="s">
        <v>35</v>
      </c>
      <c r="P333" s="11" t="s">
        <v>80</v>
      </c>
      <c r="Q333" s="11" t="s">
        <v>81</v>
      </c>
      <c r="R333" s="11" t="s">
        <v>225</v>
      </c>
      <c r="S333" s="11" t="s">
        <v>2731</v>
      </c>
      <c r="T333" s="90" t="s">
        <v>1</v>
      </c>
      <c r="U333" s="89"/>
      <c r="V333" s="51">
        <v>45544</v>
      </c>
      <c r="W333" s="49" t="s">
        <v>1580</v>
      </c>
    </row>
    <row r="334" spans="1:23" ht="13" customHeight="1" x14ac:dyDescent="0.35">
      <c r="A334" s="11">
        <v>328</v>
      </c>
      <c r="B334" s="47">
        <v>203851006</v>
      </c>
      <c r="C334" s="94" t="s">
        <v>305</v>
      </c>
      <c r="D334" s="11" t="s">
        <v>306</v>
      </c>
      <c r="E334" s="48" t="s">
        <v>31</v>
      </c>
      <c r="F334" s="48" t="s">
        <v>74</v>
      </c>
      <c r="G334" s="11" t="s">
        <v>64</v>
      </c>
      <c r="H334" s="11" t="s">
        <v>75</v>
      </c>
      <c r="I334" s="11">
        <v>1299</v>
      </c>
      <c r="J334" s="49" t="s">
        <v>32</v>
      </c>
      <c r="K334" s="49" t="s">
        <v>76</v>
      </c>
      <c r="L334" s="49" t="s">
        <v>78</v>
      </c>
      <c r="M334" s="49" t="s">
        <v>92</v>
      </c>
      <c r="N334" s="48" t="s">
        <v>79</v>
      </c>
      <c r="O334" s="49" t="s">
        <v>35</v>
      </c>
      <c r="P334" s="11" t="s">
        <v>80</v>
      </c>
      <c r="Q334" s="11" t="s">
        <v>81</v>
      </c>
      <c r="R334" s="11" t="s">
        <v>226</v>
      </c>
      <c r="S334" s="11" t="s">
        <v>227</v>
      </c>
      <c r="T334" s="90" t="s">
        <v>1</v>
      </c>
      <c r="U334" s="90"/>
      <c r="V334" s="51">
        <v>45524</v>
      </c>
      <c r="W334" s="49" t="s">
        <v>1579</v>
      </c>
    </row>
    <row r="335" spans="1:23" ht="13" customHeight="1" x14ac:dyDescent="0.35">
      <c r="A335" s="11">
        <v>329</v>
      </c>
      <c r="B335" s="47">
        <v>203881601</v>
      </c>
      <c r="C335" s="94" t="s">
        <v>307</v>
      </c>
      <c r="D335" s="11" t="s">
        <v>308</v>
      </c>
      <c r="E335" s="48" t="s">
        <v>31</v>
      </c>
      <c r="F335" s="48" t="s">
        <v>74</v>
      </c>
      <c r="G335" s="11" t="s">
        <v>64</v>
      </c>
      <c r="H335" s="11" t="s">
        <v>75</v>
      </c>
      <c r="I335" s="11">
        <v>1299</v>
      </c>
      <c r="J335" s="49" t="s">
        <v>32</v>
      </c>
      <c r="K335" s="49" t="s">
        <v>76</v>
      </c>
      <c r="L335" s="49" t="s">
        <v>36</v>
      </c>
      <c r="M335" s="49" t="s">
        <v>95</v>
      </c>
      <c r="N335" s="48" t="s">
        <v>79</v>
      </c>
      <c r="O335" s="49" t="s">
        <v>35</v>
      </c>
      <c r="P335" s="11" t="s">
        <v>80</v>
      </c>
      <c r="Q335" s="11" t="s">
        <v>81</v>
      </c>
      <c r="R335" s="11" t="s">
        <v>225</v>
      </c>
      <c r="S335" s="11" t="s">
        <v>2731</v>
      </c>
      <c r="T335" s="90" t="s">
        <v>1</v>
      </c>
      <c r="U335" s="90" t="s">
        <v>2919</v>
      </c>
      <c r="V335" s="51">
        <v>45530</v>
      </c>
      <c r="W335" s="49" t="s">
        <v>1580</v>
      </c>
    </row>
    <row r="336" spans="1:23" ht="13" customHeight="1" x14ac:dyDescent="0.35">
      <c r="A336" s="11">
        <v>330</v>
      </c>
      <c r="B336" s="47">
        <v>204967143</v>
      </c>
      <c r="C336" s="94" t="s">
        <v>309</v>
      </c>
      <c r="D336" s="11" t="s">
        <v>310</v>
      </c>
      <c r="E336" s="48" t="s">
        <v>31</v>
      </c>
      <c r="F336" s="48" t="s">
        <v>74</v>
      </c>
      <c r="G336" s="11" t="s">
        <v>64</v>
      </c>
      <c r="H336" s="11" t="s">
        <v>75</v>
      </c>
      <c r="I336" s="11">
        <v>1299</v>
      </c>
      <c r="J336" s="49" t="s">
        <v>39</v>
      </c>
      <c r="K336" s="49" t="s">
        <v>76</v>
      </c>
      <c r="L336" s="49" t="s">
        <v>84</v>
      </c>
      <c r="M336" s="49" t="s">
        <v>85</v>
      </c>
      <c r="N336" s="48" t="s">
        <v>86</v>
      </c>
      <c r="O336" s="49" t="s">
        <v>35</v>
      </c>
      <c r="P336" s="11" t="s">
        <v>80</v>
      </c>
      <c r="Q336" s="11" t="s">
        <v>90</v>
      </c>
      <c r="R336" s="11" t="s">
        <v>225</v>
      </c>
      <c r="S336" s="11" t="s">
        <v>2731</v>
      </c>
      <c r="T336" s="90" t="s">
        <v>1</v>
      </c>
      <c r="U336" s="89"/>
      <c r="V336" s="51">
        <v>45826</v>
      </c>
      <c r="W336" s="49" t="s">
        <v>1580</v>
      </c>
    </row>
    <row r="337" spans="1:23" ht="13" customHeight="1" x14ac:dyDescent="0.35">
      <c r="A337" s="11">
        <v>331</v>
      </c>
      <c r="B337" s="47">
        <v>206065200</v>
      </c>
      <c r="C337" s="94" t="s">
        <v>311</v>
      </c>
      <c r="D337" s="11" t="s">
        <v>312</v>
      </c>
      <c r="E337" s="48" t="s">
        <v>31</v>
      </c>
      <c r="F337" s="48" t="s">
        <v>74</v>
      </c>
      <c r="G337" s="11" t="s">
        <v>64</v>
      </c>
      <c r="H337" s="11" t="s">
        <v>75</v>
      </c>
      <c r="I337" s="11">
        <v>1299</v>
      </c>
      <c r="J337" s="49" t="s">
        <v>32</v>
      </c>
      <c r="K337" s="49" t="s">
        <v>76</v>
      </c>
      <c r="L337" s="49" t="s">
        <v>78</v>
      </c>
      <c r="M337" s="49" t="s">
        <v>92</v>
      </c>
      <c r="N337" s="48" t="s">
        <v>79</v>
      </c>
      <c r="O337" s="49" t="s">
        <v>35</v>
      </c>
      <c r="P337" s="11" t="s">
        <v>80</v>
      </c>
      <c r="Q337" s="11" t="s">
        <v>81</v>
      </c>
      <c r="R337" s="11" t="s">
        <v>226</v>
      </c>
      <c r="S337" s="11" t="s">
        <v>227</v>
      </c>
      <c r="T337" s="90" t="s">
        <v>1</v>
      </c>
      <c r="U337" s="89"/>
      <c r="V337" s="51">
        <v>45922</v>
      </c>
      <c r="W337" s="49" t="s">
        <v>1579</v>
      </c>
    </row>
    <row r="338" spans="1:23" ht="13" customHeight="1" x14ac:dyDescent="0.35">
      <c r="A338" s="11">
        <v>332</v>
      </c>
      <c r="B338" s="47">
        <v>205495596</v>
      </c>
      <c r="C338" s="94" t="s">
        <v>2534</v>
      </c>
      <c r="D338" s="11" t="s">
        <v>2535</v>
      </c>
      <c r="E338" s="48" t="s">
        <v>31</v>
      </c>
      <c r="F338" s="48" t="s">
        <v>74</v>
      </c>
      <c r="G338" s="11" t="s">
        <v>64</v>
      </c>
      <c r="H338" s="11" t="s">
        <v>75</v>
      </c>
      <c r="I338" s="11">
        <v>1299</v>
      </c>
      <c r="J338" s="49" t="s">
        <v>32</v>
      </c>
      <c r="K338" s="49" t="s">
        <v>76</v>
      </c>
      <c r="L338" s="49" t="s">
        <v>84</v>
      </c>
      <c r="M338" s="49" t="s">
        <v>85</v>
      </c>
      <c r="N338" s="49" t="s">
        <v>89</v>
      </c>
      <c r="O338" s="49" t="s">
        <v>35</v>
      </c>
      <c r="P338" s="11" t="s">
        <v>80</v>
      </c>
      <c r="Q338" s="11" t="s">
        <v>96</v>
      </c>
      <c r="R338" s="11" t="s">
        <v>225</v>
      </c>
      <c r="S338" s="11" t="s">
        <v>2731</v>
      </c>
      <c r="T338" s="90" t="s">
        <v>1</v>
      </c>
      <c r="U338" s="89"/>
      <c r="V338" s="51">
        <v>45831</v>
      </c>
      <c r="W338" s="49" t="s">
        <v>1580</v>
      </c>
    </row>
    <row r="339" spans="1:23" ht="13" customHeight="1" x14ac:dyDescent="0.35">
      <c r="A339" s="11">
        <v>333</v>
      </c>
      <c r="B339" s="47">
        <v>204246157</v>
      </c>
      <c r="C339" s="94" t="s">
        <v>313</v>
      </c>
      <c r="D339" s="11" t="s">
        <v>314</v>
      </c>
      <c r="E339" s="48" t="s">
        <v>31</v>
      </c>
      <c r="F339" s="48" t="s">
        <v>74</v>
      </c>
      <c r="G339" s="11" t="s">
        <v>64</v>
      </c>
      <c r="H339" s="11" t="s">
        <v>75</v>
      </c>
      <c r="I339" s="11">
        <v>1299</v>
      </c>
      <c r="J339" s="49" t="s">
        <v>2486</v>
      </c>
      <c r="K339" s="49" t="s">
        <v>76</v>
      </c>
      <c r="L339" s="49" t="s">
        <v>84</v>
      </c>
      <c r="M339" s="49" t="s">
        <v>85</v>
      </c>
      <c r="N339" s="48" t="s">
        <v>86</v>
      </c>
      <c r="O339" s="49" t="s">
        <v>35</v>
      </c>
      <c r="P339" s="11" t="s">
        <v>80</v>
      </c>
      <c r="Q339" s="11" t="s">
        <v>87</v>
      </c>
      <c r="R339" s="11" t="s">
        <v>225</v>
      </c>
      <c r="S339" s="11" t="s">
        <v>2731</v>
      </c>
      <c r="T339" s="90" t="s">
        <v>1</v>
      </c>
      <c r="U339" s="91"/>
      <c r="V339" s="51">
        <v>45579</v>
      </c>
      <c r="W339" s="49" t="s">
        <v>1580</v>
      </c>
    </row>
    <row r="340" spans="1:23" ht="13" customHeight="1" x14ac:dyDescent="0.35">
      <c r="A340" s="11">
        <v>334</v>
      </c>
      <c r="B340" s="47">
        <v>204868859</v>
      </c>
      <c r="C340" s="94" t="s">
        <v>315</v>
      </c>
      <c r="D340" s="11" t="s">
        <v>316</v>
      </c>
      <c r="E340" s="48" t="s">
        <v>31</v>
      </c>
      <c r="F340" s="48" t="s">
        <v>74</v>
      </c>
      <c r="G340" s="11" t="s">
        <v>64</v>
      </c>
      <c r="H340" s="11" t="s">
        <v>75</v>
      </c>
      <c r="I340" s="11">
        <v>1299</v>
      </c>
      <c r="J340" s="49" t="s">
        <v>39</v>
      </c>
      <c r="K340" s="49" t="s">
        <v>76</v>
      </c>
      <c r="L340" s="49" t="s">
        <v>84</v>
      </c>
      <c r="M340" s="49" t="s">
        <v>85</v>
      </c>
      <c r="N340" s="48" t="s">
        <v>86</v>
      </c>
      <c r="O340" s="49" t="s">
        <v>35</v>
      </c>
      <c r="P340" s="11" t="s">
        <v>80</v>
      </c>
      <c r="Q340" s="11" t="s">
        <v>87</v>
      </c>
      <c r="R340" s="11" t="s">
        <v>232</v>
      </c>
      <c r="S340" s="11" t="s">
        <v>1760</v>
      </c>
      <c r="T340" s="90" t="s">
        <v>1</v>
      </c>
      <c r="U340" s="90"/>
      <c r="V340" s="51">
        <v>45691</v>
      </c>
      <c r="W340" s="49" t="s">
        <v>1580</v>
      </c>
    </row>
    <row r="341" spans="1:23" ht="13" customHeight="1" x14ac:dyDescent="0.35">
      <c r="A341" s="11">
        <v>335</v>
      </c>
      <c r="B341" s="47">
        <v>204872907</v>
      </c>
      <c r="C341" s="94" t="s">
        <v>317</v>
      </c>
      <c r="D341" s="11" t="s">
        <v>318</v>
      </c>
      <c r="E341" s="48" t="s">
        <v>31</v>
      </c>
      <c r="F341" s="48" t="s">
        <v>74</v>
      </c>
      <c r="G341" s="11" t="s">
        <v>64</v>
      </c>
      <c r="H341" s="11" t="s">
        <v>75</v>
      </c>
      <c r="I341" s="11">
        <v>1299</v>
      </c>
      <c r="J341" s="49" t="s">
        <v>39</v>
      </c>
      <c r="K341" s="49" t="s">
        <v>76</v>
      </c>
      <c r="L341" s="49" t="s">
        <v>84</v>
      </c>
      <c r="M341" s="49" t="s">
        <v>85</v>
      </c>
      <c r="N341" s="48" t="s">
        <v>86</v>
      </c>
      <c r="O341" s="49" t="s">
        <v>35</v>
      </c>
      <c r="P341" s="11" t="s">
        <v>80</v>
      </c>
      <c r="Q341" s="11" t="s">
        <v>90</v>
      </c>
      <c r="R341" s="11" t="s">
        <v>225</v>
      </c>
      <c r="S341" s="11" t="s">
        <v>2731</v>
      </c>
      <c r="T341" s="90" t="s">
        <v>1</v>
      </c>
      <c r="U341" s="89"/>
      <c r="V341" s="51">
        <v>45826</v>
      </c>
      <c r="W341" s="49" t="s">
        <v>1580</v>
      </c>
    </row>
    <row r="342" spans="1:23" ht="13" customHeight="1" x14ac:dyDescent="0.35">
      <c r="A342" s="11">
        <v>336</v>
      </c>
      <c r="B342" s="47">
        <v>206065195</v>
      </c>
      <c r="C342" s="94" t="s">
        <v>319</v>
      </c>
      <c r="D342" s="11" t="s">
        <v>320</v>
      </c>
      <c r="E342" s="48" t="s">
        <v>31</v>
      </c>
      <c r="F342" s="48" t="s">
        <v>74</v>
      </c>
      <c r="G342" s="11" t="s">
        <v>64</v>
      </c>
      <c r="H342" s="11" t="s">
        <v>75</v>
      </c>
      <c r="I342" s="11">
        <v>1299</v>
      </c>
      <c r="J342" s="49" t="s">
        <v>32</v>
      </c>
      <c r="K342" s="49" t="s">
        <v>76</v>
      </c>
      <c r="L342" s="49" t="s">
        <v>78</v>
      </c>
      <c r="M342" s="49" t="s">
        <v>92</v>
      </c>
      <c r="N342" s="48" t="s">
        <v>79</v>
      </c>
      <c r="O342" s="49" t="s">
        <v>35</v>
      </c>
      <c r="P342" s="11" t="s">
        <v>80</v>
      </c>
      <c r="Q342" s="11" t="s">
        <v>81</v>
      </c>
      <c r="R342" s="11" t="s">
        <v>226</v>
      </c>
      <c r="S342" s="11" t="s">
        <v>227</v>
      </c>
      <c r="T342" s="90" t="s">
        <v>1</v>
      </c>
      <c r="U342" s="89"/>
      <c r="V342" s="51">
        <v>45922</v>
      </c>
      <c r="W342" s="49" t="s">
        <v>1579</v>
      </c>
    </row>
    <row r="343" spans="1:23" ht="13" customHeight="1" x14ac:dyDescent="0.35">
      <c r="A343" s="11">
        <v>337</v>
      </c>
      <c r="B343" s="47">
        <v>203468317</v>
      </c>
      <c r="C343" s="94" t="s">
        <v>321</v>
      </c>
      <c r="D343" s="11" t="s">
        <v>322</v>
      </c>
      <c r="E343" s="48" t="s">
        <v>31</v>
      </c>
      <c r="F343" s="48" t="s">
        <v>74</v>
      </c>
      <c r="G343" s="11" t="s">
        <v>64</v>
      </c>
      <c r="H343" s="11" t="s">
        <v>75</v>
      </c>
      <c r="I343" s="11">
        <v>1299</v>
      </c>
      <c r="J343" s="49" t="s">
        <v>32</v>
      </c>
      <c r="K343" s="49" t="s">
        <v>76</v>
      </c>
      <c r="L343" s="49" t="s">
        <v>84</v>
      </c>
      <c r="M343" s="49" t="s">
        <v>85</v>
      </c>
      <c r="N343" s="48" t="s">
        <v>79</v>
      </c>
      <c r="O343" s="49" t="s">
        <v>35</v>
      </c>
      <c r="P343" s="11" t="s">
        <v>80</v>
      </c>
      <c r="Q343" s="11" t="s">
        <v>81</v>
      </c>
      <c r="R343" s="11" t="s">
        <v>226</v>
      </c>
      <c r="S343" s="11" t="s">
        <v>227</v>
      </c>
      <c r="T343" s="90" t="s">
        <v>1</v>
      </c>
      <c r="U343" s="89"/>
      <c r="V343" s="51">
        <v>45456</v>
      </c>
      <c r="W343" s="49" t="s">
        <v>1577</v>
      </c>
    </row>
    <row r="344" spans="1:23" ht="13" customHeight="1" x14ac:dyDescent="0.35">
      <c r="A344" s="11">
        <v>338</v>
      </c>
      <c r="B344" s="47">
        <v>205671334</v>
      </c>
      <c r="C344" s="94" t="s">
        <v>2374</v>
      </c>
      <c r="D344" s="11" t="s">
        <v>2375</v>
      </c>
      <c r="E344" s="48" t="s">
        <v>34</v>
      </c>
      <c r="F344" s="48" t="s">
        <v>74</v>
      </c>
      <c r="G344" s="11" t="s">
        <v>64</v>
      </c>
      <c r="H344" s="11" t="s">
        <v>75</v>
      </c>
      <c r="I344" s="11">
        <v>1299</v>
      </c>
      <c r="J344" s="49" t="s">
        <v>32</v>
      </c>
      <c r="K344" s="49" t="s">
        <v>76</v>
      </c>
      <c r="L344" s="49" t="s">
        <v>78</v>
      </c>
      <c r="M344" s="49" t="s">
        <v>92</v>
      </c>
      <c r="N344" s="48" t="s">
        <v>97</v>
      </c>
      <c r="O344" s="49" t="s">
        <v>35</v>
      </c>
      <c r="P344" s="11" t="s">
        <v>80</v>
      </c>
      <c r="Q344" s="11" t="s">
        <v>98</v>
      </c>
      <c r="R344" s="11" t="s">
        <v>232</v>
      </c>
      <c r="S344" s="11" t="s">
        <v>1760</v>
      </c>
      <c r="T344" s="90" t="s">
        <v>1</v>
      </c>
      <c r="U344" s="91"/>
      <c r="V344" s="51">
        <v>46062</v>
      </c>
      <c r="W344" s="49" t="s">
        <v>1582</v>
      </c>
    </row>
    <row r="345" spans="1:23" ht="13" customHeight="1" x14ac:dyDescent="0.35">
      <c r="A345" s="11">
        <v>339</v>
      </c>
      <c r="B345" s="47">
        <v>203851004</v>
      </c>
      <c r="C345" s="94" t="s">
        <v>323</v>
      </c>
      <c r="D345" s="11" t="s">
        <v>324</v>
      </c>
      <c r="E345" s="48" t="s">
        <v>31</v>
      </c>
      <c r="F345" s="48" t="s">
        <v>74</v>
      </c>
      <c r="G345" s="11" t="s">
        <v>64</v>
      </c>
      <c r="H345" s="11" t="s">
        <v>75</v>
      </c>
      <c r="I345" s="11">
        <v>1299</v>
      </c>
      <c r="J345" s="49" t="s">
        <v>39</v>
      </c>
      <c r="K345" s="49" t="s">
        <v>76</v>
      </c>
      <c r="L345" s="49" t="s">
        <v>84</v>
      </c>
      <c r="M345" s="49" t="s">
        <v>85</v>
      </c>
      <c r="N345" s="48" t="s">
        <v>79</v>
      </c>
      <c r="O345" s="49" t="s">
        <v>35</v>
      </c>
      <c r="P345" s="11" t="s">
        <v>80</v>
      </c>
      <c r="Q345" s="11" t="s">
        <v>81</v>
      </c>
      <c r="R345" s="11" t="s">
        <v>226</v>
      </c>
      <c r="S345" s="11" t="s">
        <v>227</v>
      </c>
      <c r="T345" s="90" t="s">
        <v>1</v>
      </c>
      <c r="U345" s="90"/>
      <c r="V345" s="51">
        <v>45524</v>
      </c>
      <c r="W345" s="49" t="s">
        <v>1579</v>
      </c>
    </row>
    <row r="346" spans="1:23" ht="13" customHeight="1" x14ac:dyDescent="0.35">
      <c r="A346" s="11">
        <v>340</v>
      </c>
      <c r="B346" s="47">
        <v>203736252</v>
      </c>
      <c r="C346" s="94" t="s">
        <v>2536</v>
      </c>
      <c r="D346" s="11" t="s">
        <v>2537</v>
      </c>
      <c r="E346" s="48" t="s">
        <v>31</v>
      </c>
      <c r="F346" s="48" t="s">
        <v>74</v>
      </c>
      <c r="G346" s="11" t="s">
        <v>64</v>
      </c>
      <c r="H346" s="11" t="s">
        <v>75</v>
      </c>
      <c r="I346" s="11">
        <v>1299</v>
      </c>
      <c r="J346" s="49" t="s">
        <v>39</v>
      </c>
      <c r="K346" s="49" t="s">
        <v>76</v>
      </c>
      <c r="L346" s="49" t="s">
        <v>92</v>
      </c>
      <c r="M346" s="49" t="s">
        <v>84</v>
      </c>
      <c r="N346" s="48" t="s">
        <v>86</v>
      </c>
      <c r="O346" s="49" t="s">
        <v>35</v>
      </c>
      <c r="P346" s="11" t="s">
        <v>80</v>
      </c>
      <c r="Q346" s="11" t="s">
        <v>90</v>
      </c>
      <c r="R346" s="11" t="s">
        <v>225</v>
      </c>
      <c r="S346" s="11" t="s">
        <v>2731</v>
      </c>
      <c r="T346" s="90" t="s">
        <v>1</v>
      </c>
      <c r="U346" s="89"/>
      <c r="V346" s="51">
        <v>45502</v>
      </c>
      <c r="W346" s="49" t="s">
        <v>1580</v>
      </c>
    </row>
    <row r="347" spans="1:23" ht="13" customHeight="1" x14ac:dyDescent="0.35">
      <c r="A347" s="11">
        <v>341</v>
      </c>
      <c r="B347" s="47">
        <v>204246170</v>
      </c>
      <c r="C347" s="94" t="s">
        <v>325</v>
      </c>
      <c r="D347" s="11" t="s">
        <v>326</v>
      </c>
      <c r="E347" s="48" t="s">
        <v>31</v>
      </c>
      <c r="F347" s="48" t="s">
        <v>74</v>
      </c>
      <c r="G347" s="11" t="s">
        <v>64</v>
      </c>
      <c r="H347" s="11" t="s">
        <v>75</v>
      </c>
      <c r="I347" s="11">
        <v>1299</v>
      </c>
      <c r="J347" s="49" t="s">
        <v>39</v>
      </c>
      <c r="K347" s="49" t="s">
        <v>76</v>
      </c>
      <c r="L347" s="49" t="s">
        <v>85</v>
      </c>
      <c r="M347" s="49" t="s">
        <v>88</v>
      </c>
      <c r="N347" s="48" t="s">
        <v>86</v>
      </c>
      <c r="O347" s="49" t="s">
        <v>35</v>
      </c>
      <c r="P347" s="11" t="s">
        <v>80</v>
      </c>
      <c r="Q347" s="11" t="s">
        <v>87</v>
      </c>
      <c r="R347" s="11" t="s">
        <v>225</v>
      </c>
      <c r="S347" s="11" t="s">
        <v>2731</v>
      </c>
      <c r="T347" s="90" t="s">
        <v>10</v>
      </c>
      <c r="U347" s="90"/>
      <c r="V347" s="51">
        <v>45579</v>
      </c>
      <c r="W347" s="49" t="s">
        <v>1580</v>
      </c>
    </row>
    <row r="348" spans="1:23" ht="13" customHeight="1" x14ac:dyDescent="0.35">
      <c r="A348" s="11">
        <v>342</v>
      </c>
      <c r="B348" s="47">
        <v>204246161</v>
      </c>
      <c r="C348" s="94" t="s">
        <v>327</v>
      </c>
      <c r="D348" s="11" t="s">
        <v>328</v>
      </c>
      <c r="E348" s="48" t="s">
        <v>31</v>
      </c>
      <c r="F348" s="48" t="s">
        <v>74</v>
      </c>
      <c r="G348" s="11" t="s">
        <v>64</v>
      </c>
      <c r="H348" s="11" t="s">
        <v>75</v>
      </c>
      <c r="I348" s="11">
        <v>1299</v>
      </c>
      <c r="J348" s="49" t="s">
        <v>32</v>
      </c>
      <c r="K348" s="49" t="s">
        <v>76</v>
      </c>
      <c r="L348" s="49" t="s">
        <v>78</v>
      </c>
      <c r="M348" s="49" t="s">
        <v>92</v>
      </c>
      <c r="N348" s="48" t="s">
        <v>86</v>
      </c>
      <c r="O348" s="49" t="s">
        <v>35</v>
      </c>
      <c r="P348" s="11" t="s">
        <v>80</v>
      </c>
      <c r="Q348" s="11" t="s">
        <v>87</v>
      </c>
      <c r="R348" s="11" t="s">
        <v>225</v>
      </c>
      <c r="S348" s="11" t="s">
        <v>2731</v>
      </c>
      <c r="T348" s="90" t="s">
        <v>1</v>
      </c>
      <c r="U348" s="90"/>
      <c r="V348" s="51">
        <v>45579</v>
      </c>
      <c r="W348" s="49" t="s">
        <v>1580</v>
      </c>
    </row>
    <row r="349" spans="1:23" ht="13" customHeight="1" x14ac:dyDescent="0.35">
      <c r="A349" s="11">
        <v>343</v>
      </c>
      <c r="B349" s="47">
        <v>102582327</v>
      </c>
      <c r="C349" s="94" t="s">
        <v>329</v>
      </c>
      <c r="D349" s="11" t="s">
        <v>330</v>
      </c>
      <c r="E349" s="48" t="s">
        <v>34</v>
      </c>
      <c r="F349" s="48" t="s">
        <v>74</v>
      </c>
      <c r="G349" s="11" t="s">
        <v>64</v>
      </c>
      <c r="H349" s="11" t="s">
        <v>75</v>
      </c>
      <c r="I349" s="11">
        <v>1299</v>
      </c>
      <c r="J349" s="49" t="s">
        <v>2486</v>
      </c>
      <c r="K349" s="49" t="s">
        <v>76</v>
      </c>
      <c r="L349" s="49" t="s">
        <v>78</v>
      </c>
      <c r="M349" s="49" t="s">
        <v>92</v>
      </c>
      <c r="N349" s="48" t="s">
        <v>97</v>
      </c>
      <c r="O349" s="49" t="s">
        <v>35</v>
      </c>
      <c r="P349" s="11" t="s">
        <v>80</v>
      </c>
      <c r="Q349" s="11" t="s">
        <v>98</v>
      </c>
      <c r="R349" s="11" t="s">
        <v>225</v>
      </c>
      <c r="S349" s="11" t="s">
        <v>2731</v>
      </c>
      <c r="T349" s="90" t="s">
        <v>1</v>
      </c>
      <c r="U349" s="91"/>
      <c r="V349" s="51">
        <v>42960</v>
      </c>
      <c r="W349" s="49" t="s">
        <v>1582</v>
      </c>
    </row>
    <row r="350" spans="1:23" ht="13" customHeight="1" x14ac:dyDescent="0.35">
      <c r="A350" s="11">
        <v>344</v>
      </c>
      <c r="B350" s="47">
        <v>203555714</v>
      </c>
      <c r="C350" s="94" t="s">
        <v>331</v>
      </c>
      <c r="D350" s="11" t="s">
        <v>332</v>
      </c>
      <c r="E350" s="48" t="s">
        <v>31</v>
      </c>
      <c r="F350" s="48" t="s">
        <v>74</v>
      </c>
      <c r="G350" s="11" t="s">
        <v>64</v>
      </c>
      <c r="H350" s="11" t="s">
        <v>75</v>
      </c>
      <c r="I350" s="11">
        <v>1299</v>
      </c>
      <c r="J350" s="49" t="s">
        <v>32</v>
      </c>
      <c r="K350" s="49" t="s">
        <v>76</v>
      </c>
      <c r="L350" s="49" t="s">
        <v>77</v>
      </c>
      <c r="M350" s="49" t="s">
        <v>78</v>
      </c>
      <c r="N350" s="48" t="s">
        <v>79</v>
      </c>
      <c r="O350" s="49" t="s">
        <v>35</v>
      </c>
      <c r="P350" s="11" t="s">
        <v>80</v>
      </c>
      <c r="Q350" s="11" t="s">
        <v>81</v>
      </c>
      <c r="R350" s="11" t="s">
        <v>226</v>
      </c>
      <c r="S350" s="11" t="s">
        <v>227</v>
      </c>
      <c r="T350" s="90" t="s">
        <v>1</v>
      </c>
      <c r="U350" s="89"/>
      <c r="V350" s="51">
        <v>45470</v>
      </c>
      <c r="W350" s="49" t="s">
        <v>1579</v>
      </c>
    </row>
    <row r="351" spans="1:23" ht="13" customHeight="1" x14ac:dyDescent="0.35">
      <c r="A351" s="11">
        <v>345</v>
      </c>
      <c r="B351" s="47">
        <v>203468318</v>
      </c>
      <c r="C351" s="94" t="s">
        <v>333</v>
      </c>
      <c r="D351" s="11" t="s">
        <v>334</v>
      </c>
      <c r="E351" s="48" t="s">
        <v>31</v>
      </c>
      <c r="F351" s="48" t="s">
        <v>74</v>
      </c>
      <c r="G351" s="11" t="s">
        <v>64</v>
      </c>
      <c r="H351" s="11" t="s">
        <v>75</v>
      </c>
      <c r="I351" s="11">
        <v>1299</v>
      </c>
      <c r="J351" s="49" t="s">
        <v>32</v>
      </c>
      <c r="K351" s="49" t="s">
        <v>76</v>
      </c>
      <c r="L351" s="49" t="s">
        <v>78</v>
      </c>
      <c r="M351" s="49" t="s">
        <v>92</v>
      </c>
      <c r="N351" s="48" t="s">
        <v>79</v>
      </c>
      <c r="O351" s="49" t="s">
        <v>35</v>
      </c>
      <c r="P351" s="11" t="s">
        <v>80</v>
      </c>
      <c r="Q351" s="11" t="s">
        <v>81</v>
      </c>
      <c r="R351" s="11" t="s">
        <v>226</v>
      </c>
      <c r="S351" s="11" t="s">
        <v>227</v>
      </c>
      <c r="T351" s="90" t="s">
        <v>1</v>
      </c>
      <c r="U351" s="89"/>
      <c r="V351" s="51">
        <v>45456</v>
      </c>
      <c r="W351" s="49" t="s">
        <v>1577</v>
      </c>
    </row>
    <row r="352" spans="1:23" ht="13" customHeight="1" x14ac:dyDescent="0.35">
      <c r="A352" s="11">
        <v>346</v>
      </c>
      <c r="B352" s="47">
        <v>206873868</v>
      </c>
      <c r="C352" s="94" t="s">
        <v>2538</v>
      </c>
      <c r="D352" s="11" t="s">
        <v>2539</v>
      </c>
      <c r="E352" s="48" t="s">
        <v>31</v>
      </c>
      <c r="F352" s="48" t="s">
        <v>74</v>
      </c>
      <c r="G352" s="48" t="s">
        <v>64</v>
      </c>
      <c r="H352" s="48" t="s">
        <v>75</v>
      </c>
      <c r="I352" s="11">
        <v>1299</v>
      </c>
      <c r="J352" s="49" t="s">
        <v>32</v>
      </c>
      <c r="K352" s="49" t="s">
        <v>76</v>
      </c>
      <c r="L352" s="49" t="s">
        <v>78</v>
      </c>
      <c r="M352" s="49" t="s">
        <v>92</v>
      </c>
      <c r="N352" s="49" t="s">
        <v>89</v>
      </c>
      <c r="O352" s="48" t="s">
        <v>35</v>
      </c>
      <c r="P352" s="48" t="s">
        <v>80</v>
      </c>
      <c r="Q352" s="11" t="s">
        <v>90</v>
      </c>
      <c r="R352" s="11" t="s">
        <v>232</v>
      </c>
      <c r="S352" s="11" t="s">
        <v>1760</v>
      </c>
      <c r="T352" s="90" t="s">
        <v>1</v>
      </c>
      <c r="U352" s="89"/>
      <c r="V352" s="51">
        <v>46020</v>
      </c>
      <c r="W352" s="49" t="s">
        <v>1580</v>
      </c>
    </row>
    <row r="353" spans="1:23" ht="13" customHeight="1" x14ac:dyDescent="0.35">
      <c r="A353" s="11">
        <v>347</v>
      </c>
      <c r="B353" s="47">
        <v>204868858</v>
      </c>
      <c r="C353" s="94" t="s">
        <v>335</v>
      </c>
      <c r="D353" s="11" t="s">
        <v>336</v>
      </c>
      <c r="E353" s="48" t="s">
        <v>31</v>
      </c>
      <c r="F353" s="48" t="s">
        <v>74</v>
      </c>
      <c r="G353" s="11" t="s">
        <v>64</v>
      </c>
      <c r="H353" s="11" t="s">
        <v>75</v>
      </c>
      <c r="I353" s="11">
        <v>1299</v>
      </c>
      <c r="J353" s="49" t="s">
        <v>2486</v>
      </c>
      <c r="K353" s="49" t="s">
        <v>76</v>
      </c>
      <c r="L353" s="49" t="s">
        <v>84</v>
      </c>
      <c r="M353" s="49" t="s">
        <v>85</v>
      </c>
      <c r="N353" s="48" t="s">
        <v>86</v>
      </c>
      <c r="O353" s="49" t="s">
        <v>35</v>
      </c>
      <c r="P353" s="11" t="s">
        <v>80</v>
      </c>
      <c r="Q353" s="11" t="s">
        <v>87</v>
      </c>
      <c r="R353" s="11" t="s">
        <v>225</v>
      </c>
      <c r="S353" s="11" t="s">
        <v>2731</v>
      </c>
      <c r="T353" s="90" t="s">
        <v>1</v>
      </c>
      <c r="U353" s="90"/>
      <c r="V353" s="51">
        <v>45691</v>
      </c>
      <c r="W353" s="49" t="s">
        <v>1580</v>
      </c>
    </row>
    <row r="354" spans="1:23" ht="13" customHeight="1" x14ac:dyDescent="0.35">
      <c r="A354" s="11">
        <v>348</v>
      </c>
      <c r="B354" s="47">
        <v>203521428</v>
      </c>
      <c r="C354" s="94" t="s">
        <v>337</v>
      </c>
      <c r="D354" s="11" t="s">
        <v>338</v>
      </c>
      <c r="E354" s="48" t="s">
        <v>31</v>
      </c>
      <c r="F354" s="48" t="s">
        <v>74</v>
      </c>
      <c r="G354" s="11" t="s">
        <v>64</v>
      </c>
      <c r="H354" s="11" t="s">
        <v>75</v>
      </c>
      <c r="I354" s="11">
        <v>1299</v>
      </c>
      <c r="J354" s="49" t="s">
        <v>32</v>
      </c>
      <c r="K354" s="49" t="s">
        <v>76</v>
      </c>
      <c r="L354" s="49" t="s">
        <v>78</v>
      </c>
      <c r="M354" s="49" t="s">
        <v>92</v>
      </c>
      <c r="N354" s="48" t="s">
        <v>79</v>
      </c>
      <c r="O354" s="49" t="s">
        <v>35</v>
      </c>
      <c r="P354" s="11" t="s">
        <v>80</v>
      </c>
      <c r="Q354" s="11" t="s">
        <v>81</v>
      </c>
      <c r="R354" s="11" t="s">
        <v>226</v>
      </c>
      <c r="S354" s="11" t="s">
        <v>227</v>
      </c>
      <c r="T354" s="90" t="s">
        <v>1</v>
      </c>
      <c r="U354" s="90"/>
      <c r="V354" s="51">
        <v>45463</v>
      </c>
      <c r="W354" s="49" t="s">
        <v>1581</v>
      </c>
    </row>
    <row r="355" spans="1:23" ht="13" customHeight="1" x14ac:dyDescent="0.35">
      <c r="A355" s="11">
        <v>349</v>
      </c>
      <c r="B355" s="47">
        <v>204246156</v>
      </c>
      <c r="C355" s="94" t="s">
        <v>339</v>
      </c>
      <c r="D355" s="11" t="s">
        <v>340</v>
      </c>
      <c r="E355" s="48" t="s">
        <v>31</v>
      </c>
      <c r="F355" s="48" t="s">
        <v>74</v>
      </c>
      <c r="G355" s="11" t="s">
        <v>64</v>
      </c>
      <c r="H355" s="11" t="s">
        <v>75</v>
      </c>
      <c r="I355" s="11">
        <v>1299</v>
      </c>
      <c r="J355" s="49" t="s">
        <v>32</v>
      </c>
      <c r="K355" s="49" t="s">
        <v>76</v>
      </c>
      <c r="L355" s="49" t="s">
        <v>78</v>
      </c>
      <c r="M355" s="49" t="s">
        <v>92</v>
      </c>
      <c r="N355" s="48" t="s">
        <v>86</v>
      </c>
      <c r="O355" s="49" t="s">
        <v>35</v>
      </c>
      <c r="P355" s="11" t="s">
        <v>80</v>
      </c>
      <c r="Q355" s="11" t="s">
        <v>87</v>
      </c>
      <c r="R355" s="11" t="s">
        <v>2864</v>
      </c>
      <c r="S355" s="11" t="s">
        <v>2732</v>
      </c>
      <c r="T355" s="90" t="s">
        <v>1</v>
      </c>
      <c r="U355" s="90"/>
      <c r="V355" s="51">
        <v>45579</v>
      </c>
      <c r="W355" s="49" t="s">
        <v>1580</v>
      </c>
    </row>
    <row r="356" spans="1:23" ht="13" customHeight="1" x14ac:dyDescent="0.35">
      <c r="A356" s="11">
        <v>350</v>
      </c>
      <c r="B356" s="47">
        <v>103060279</v>
      </c>
      <c r="C356" s="94" t="s">
        <v>341</v>
      </c>
      <c r="D356" s="11" t="s">
        <v>342</v>
      </c>
      <c r="E356" s="48" t="s">
        <v>34</v>
      </c>
      <c r="F356" s="48" t="s">
        <v>74</v>
      </c>
      <c r="G356" s="11" t="s">
        <v>64</v>
      </c>
      <c r="H356" s="11" t="s">
        <v>75</v>
      </c>
      <c r="I356" s="11">
        <v>1299</v>
      </c>
      <c r="J356" s="49" t="s">
        <v>32</v>
      </c>
      <c r="K356" s="49" t="s">
        <v>76</v>
      </c>
      <c r="L356" s="49" t="s">
        <v>92</v>
      </c>
      <c r="M356" s="49" t="s">
        <v>84</v>
      </c>
      <c r="N356" s="48" t="s">
        <v>108</v>
      </c>
      <c r="O356" s="49" t="s">
        <v>35</v>
      </c>
      <c r="P356" s="11" t="s">
        <v>80</v>
      </c>
      <c r="Q356" s="11" t="s">
        <v>98</v>
      </c>
      <c r="R356" s="11" t="s">
        <v>226</v>
      </c>
      <c r="S356" s="11" t="s">
        <v>227</v>
      </c>
      <c r="T356" s="90" t="s">
        <v>1</v>
      </c>
      <c r="U356" s="89"/>
      <c r="V356" s="51">
        <v>43080</v>
      </c>
      <c r="W356" s="49" t="s">
        <v>1581</v>
      </c>
    </row>
    <row r="357" spans="1:23" ht="13" customHeight="1" x14ac:dyDescent="0.35">
      <c r="A357" s="11">
        <v>351</v>
      </c>
      <c r="B357" s="47">
        <v>204880567</v>
      </c>
      <c r="C357" s="94" t="s">
        <v>2540</v>
      </c>
      <c r="D357" s="11" t="s">
        <v>2541</v>
      </c>
      <c r="E357" s="48" t="s">
        <v>31</v>
      </c>
      <c r="F357" s="48" t="s">
        <v>74</v>
      </c>
      <c r="G357" s="11" t="s">
        <v>64</v>
      </c>
      <c r="H357" s="11" t="s">
        <v>75</v>
      </c>
      <c r="I357" s="11">
        <v>1299</v>
      </c>
      <c r="J357" s="49" t="s">
        <v>32</v>
      </c>
      <c r="K357" s="49" t="s">
        <v>76</v>
      </c>
      <c r="L357" s="49" t="s">
        <v>84</v>
      </c>
      <c r="M357" s="49" t="s">
        <v>85</v>
      </c>
      <c r="N357" s="49" t="s">
        <v>89</v>
      </c>
      <c r="O357" s="49" t="s">
        <v>35</v>
      </c>
      <c r="P357" s="11" t="s">
        <v>80</v>
      </c>
      <c r="Q357" s="11" t="s">
        <v>90</v>
      </c>
      <c r="R357" s="11" t="s">
        <v>225</v>
      </c>
      <c r="S357" s="11" t="s">
        <v>2731</v>
      </c>
      <c r="T357" s="90" t="s">
        <v>1</v>
      </c>
      <c r="U357" s="89"/>
      <c r="V357" s="51">
        <v>45826</v>
      </c>
      <c r="W357" s="49" t="s">
        <v>1580</v>
      </c>
    </row>
    <row r="358" spans="1:23" ht="13" customHeight="1" x14ac:dyDescent="0.35">
      <c r="A358" s="11">
        <v>352</v>
      </c>
      <c r="B358" s="47">
        <v>203736250</v>
      </c>
      <c r="C358" s="94" t="s">
        <v>2542</v>
      </c>
      <c r="D358" s="11" t="s">
        <v>2543</v>
      </c>
      <c r="E358" s="48" t="s">
        <v>31</v>
      </c>
      <c r="F358" s="48" t="s">
        <v>74</v>
      </c>
      <c r="G358" s="11" t="s">
        <v>64</v>
      </c>
      <c r="H358" s="11" t="s">
        <v>75</v>
      </c>
      <c r="I358" s="11">
        <v>1299</v>
      </c>
      <c r="J358" s="49" t="s">
        <v>32</v>
      </c>
      <c r="K358" s="49" t="s">
        <v>76</v>
      </c>
      <c r="L358" s="49" t="s">
        <v>77</v>
      </c>
      <c r="M358" s="49" t="s">
        <v>78</v>
      </c>
      <c r="N358" s="48" t="s">
        <v>86</v>
      </c>
      <c r="O358" s="49" t="s">
        <v>35</v>
      </c>
      <c r="P358" s="11" t="s">
        <v>80</v>
      </c>
      <c r="Q358" s="11" t="s">
        <v>90</v>
      </c>
      <c r="R358" s="11" t="s">
        <v>225</v>
      </c>
      <c r="S358" s="11" t="s">
        <v>2731</v>
      </c>
      <c r="T358" s="90" t="s">
        <v>1</v>
      </c>
      <c r="U358" s="89"/>
      <c r="V358" s="51">
        <v>45502</v>
      </c>
      <c r="W358" s="49" t="s">
        <v>1580</v>
      </c>
    </row>
    <row r="359" spans="1:23" ht="13" customHeight="1" x14ac:dyDescent="0.35">
      <c r="A359" s="11">
        <v>353</v>
      </c>
      <c r="B359" s="47">
        <v>205495355</v>
      </c>
      <c r="C359" s="94" t="s">
        <v>343</v>
      </c>
      <c r="D359" s="11" t="s">
        <v>344</v>
      </c>
      <c r="E359" s="48" t="s">
        <v>31</v>
      </c>
      <c r="F359" s="48" t="s">
        <v>74</v>
      </c>
      <c r="G359" s="11" t="s">
        <v>64</v>
      </c>
      <c r="H359" s="11" t="s">
        <v>75</v>
      </c>
      <c r="I359" s="11">
        <v>1299</v>
      </c>
      <c r="J359" s="49" t="s">
        <v>39</v>
      </c>
      <c r="K359" s="49" t="s">
        <v>76</v>
      </c>
      <c r="L359" s="49" t="s">
        <v>78</v>
      </c>
      <c r="M359" s="49" t="s">
        <v>92</v>
      </c>
      <c r="N359" s="49" t="s">
        <v>89</v>
      </c>
      <c r="O359" s="49" t="s">
        <v>35</v>
      </c>
      <c r="P359" s="11" t="s">
        <v>80</v>
      </c>
      <c r="Q359" s="11" t="s">
        <v>96</v>
      </c>
      <c r="R359" s="11" t="s">
        <v>226</v>
      </c>
      <c r="S359" s="11" t="s">
        <v>227</v>
      </c>
      <c r="T359" s="90" t="s">
        <v>7</v>
      </c>
      <c r="U359" s="90" t="s">
        <v>2914</v>
      </c>
      <c r="V359" s="51">
        <v>45831</v>
      </c>
      <c r="W359" s="49" t="s">
        <v>1581</v>
      </c>
    </row>
    <row r="360" spans="1:23" ht="13" customHeight="1" x14ac:dyDescent="0.35">
      <c r="A360" s="11">
        <v>354</v>
      </c>
      <c r="B360" s="47">
        <v>206873870</v>
      </c>
      <c r="C360" s="94" t="s">
        <v>1773</v>
      </c>
      <c r="D360" s="11" t="s">
        <v>1774</v>
      </c>
      <c r="E360" s="48" t="s">
        <v>31</v>
      </c>
      <c r="F360" s="48" t="s">
        <v>74</v>
      </c>
      <c r="G360" s="48" t="s">
        <v>64</v>
      </c>
      <c r="H360" s="48" t="s">
        <v>75</v>
      </c>
      <c r="I360" s="11">
        <v>1299</v>
      </c>
      <c r="J360" s="49" t="s">
        <v>32</v>
      </c>
      <c r="K360" s="49" t="s">
        <v>76</v>
      </c>
      <c r="L360" s="49" t="s">
        <v>78</v>
      </c>
      <c r="M360" s="49" t="s">
        <v>92</v>
      </c>
      <c r="N360" s="49" t="s">
        <v>89</v>
      </c>
      <c r="O360" s="48" t="s">
        <v>35</v>
      </c>
      <c r="P360" s="48" t="s">
        <v>80</v>
      </c>
      <c r="Q360" s="11" t="s">
        <v>90</v>
      </c>
      <c r="R360" s="11" t="s">
        <v>232</v>
      </c>
      <c r="S360" s="11" t="s">
        <v>1760</v>
      </c>
      <c r="T360" s="90" t="s">
        <v>1</v>
      </c>
      <c r="U360" s="90"/>
      <c r="V360" s="51">
        <v>46020</v>
      </c>
      <c r="W360" s="49" t="s">
        <v>1580</v>
      </c>
    </row>
    <row r="361" spans="1:23" ht="13" customHeight="1" x14ac:dyDescent="0.35">
      <c r="A361" s="11">
        <v>355</v>
      </c>
      <c r="B361" s="47">
        <v>203741310</v>
      </c>
      <c r="C361" s="94" t="s">
        <v>345</v>
      </c>
      <c r="D361" s="11" t="s">
        <v>346</v>
      </c>
      <c r="E361" s="48" t="s">
        <v>31</v>
      </c>
      <c r="F361" s="48" t="s">
        <v>74</v>
      </c>
      <c r="G361" s="11" t="s">
        <v>64</v>
      </c>
      <c r="H361" s="11" t="s">
        <v>75</v>
      </c>
      <c r="I361" s="11">
        <v>1299</v>
      </c>
      <c r="J361" s="49" t="s">
        <v>32</v>
      </c>
      <c r="K361" s="49" t="s">
        <v>76</v>
      </c>
      <c r="L361" s="49" t="s">
        <v>84</v>
      </c>
      <c r="M361" s="49" t="s">
        <v>85</v>
      </c>
      <c r="N361" s="48" t="s">
        <v>79</v>
      </c>
      <c r="O361" s="49" t="s">
        <v>35</v>
      </c>
      <c r="P361" s="11" t="s">
        <v>80</v>
      </c>
      <c r="Q361" s="11" t="s">
        <v>81</v>
      </c>
      <c r="R361" s="11" t="s">
        <v>225</v>
      </c>
      <c r="S361" s="11" t="s">
        <v>2731</v>
      </c>
      <c r="T361" s="90" t="s">
        <v>1</v>
      </c>
      <c r="U361" s="89"/>
      <c r="V361" s="51">
        <v>45502</v>
      </c>
      <c r="W361" s="49" t="s">
        <v>1580</v>
      </c>
    </row>
    <row r="362" spans="1:23" ht="13" customHeight="1" x14ac:dyDescent="0.35">
      <c r="A362" s="11">
        <v>356</v>
      </c>
      <c r="B362" s="47">
        <v>203741317</v>
      </c>
      <c r="C362" s="94" t="s">
        <v>347</v>
      </c>
      <c r="D362" s="11" t="s">
        <v>348</v>
      </c>
      <c r="E362" s="48" t="s">
        <v>31</v>
      </c>
      <c r="F362" s="48" t="s">
        <v>74</v>
      </c>
      <c r="G362" s="11" t="s">
        <v>64</v>
      </c>
      <c r="H362" s="11" t="s">
        <v>75</v>
      </c>
      <c r="I362" s="11">
        <v>1299</v>
      </c>
      <c r="J362" s="49" t="s">
        <v>39</v>
      </c>
      <c r="K362" s="49" t="s">
        <v>76</v>
      </c>
      <c r="L362" s="49" t="s">
        <v>85</v>
      </c>
      <c r="M362" s="49" t="s">
        <v>88</v>
      </c>
      <c r="N362" s="48" t="s">
        <v>79</v>
      </c>
      <c r="O362" s="49" t="s">
        <v>35</v>
      </c>
      <c r="P362" s="11" t="s">
        <v>80</v>
      </c>
      <c r="Q362" s="11" t="s">
        <v>81</v>
      </c>
      <c r="R362" s="11" t="s">
        <v>225</v>
      </c>
      <c r="S362" s="11" t="s">
        <v>2731</v>
      </c>
      <c r="T362" s="90" t="s">
        <v>10</v>
      </c>
      <c r="U362" s="91"/>
      <c r="V362" s="51">
        <v>45502</v>
      </c>
      <c r="W362" s="49" t="s">
        <v>1580</v>
      </c>
    </row>
    <row r="363" spans="1:23" ht="13" customHeight="1" x14ac:dyDescent="0.35">
      <c r="A363" s="11">
        <v>357</v>
      </c>
      <c r="B363" s="47">
        <v>206065199</v>
      </c>
      <c r="C363" s="94" t="s">
        <v>349</v>
      </c>
      <c r="D363" s="11" t="s">
        <v>350</v>
      </c>
      <c r="E363" s="48" t="s">
        <v>31</v>
      </c>
      <c r="F363" s="48" t="s">
        <v>74</v>
      </c>
      <c r="G363" s="11" t="s">
        <v>64</v>
      </c>
      <c r="H363" s="11" t="s">
        <v>75</v>
      </c>
      <c r="I363" s="11">
        <v>1299</v>
      </c>
      <c r="J363" s="49" t="s">
        <v>32</v>
      </c>
      <c r="K363" s="49" t="s">
        <v>76</v>
      </c>
      <c r="L363" s="49" t="s">
        <v>78</v>
      </c>
      <c r="M363" s="49" t="s">
        <v>92</v>
      </c>
      <c r="N363" s="48" t="s">
        <v>79</v>
      </c>
      <c r="O363" s="49" t="s">
        <v>35</v>
      </c>
      <c r="P363" s="11" t="s">
        <v>80</v>
      </c>
      <c r="Q363" s="11" t="s">
        <v>81</v>
      </c>
      <c r="R363" s="11" t="s">
        <v>226</v>
      </c>
      <c r="S363" s="11" t="s">
        <v>227</v>
      </c>
      <c r="T363" s="90" t="s">
        <v>1</v>
      </c>
      <c r="U363" s="89"/>
      <c r="V363" s="51">
        <v>45922</v>
      </c>
      <c r="W363" s="49" t="s">
        <v>1579</v>
      </c>
    </row>
    <row r="364" spans="1:23" ht="13" customHeight="1" x14ac:dyDescent="0.35">
      <c r="A364" s="11">
        <v>358</v>
      </c>
      <c r="B364" s="47">
        <v>203736253</v>
      </c>
      <c r="C364" s="94" t="s">
        <v>2544</v>
      </c>
      <c r="D364" s="11" t="s">
        <v>2545</v>
      </c>
      <c r="E364" s="48" t="s">
        <v>31</v>
      </c>
      <c r="F364" s="48" t="s">
        <v>74</v>
      </c>
      <c r="G364" s="11" t="s">
        <v>64</v>
      </c>
      <c r="H364" s="11" t="s">
        <v>75</v>
      </c>
      <c r="I364" s="11">
        <v>1299</v>
      </c>
      <c r="J364" s="49" t="s">
        <v>39</v>
      </c>
      <c r="K364" s="49" t="s">
        <v>76</v>
      </c>
      <c r="L364" s="49" t="s">
        <v>77</v>
      </c>
      <c r="M364" s="49" t="s">
        <v>78</v>
      </c>
      <c r="N364" s="48" t="s">
        <v>86</v>
      </c>
      <c r="O364" s="49" t="s">
        <v>35</v>
      </c>
      <c r="P364" s="11" t="s">
        <v>80</v>
      </c>
      <c r="Q364" s="11" t="s">
        <v>90</v>
      </c>
      <c r="R364" s="11" t="s">
        <v>225</v>
      </c>
      <c r="S364" s="11" t="s">
        <v>2731</v>
      </c>
      <c r="T364" s="90" t="s">
        <v>1</v>
      </c>
      <c r="U364" s="89"/>
      <c r="V364" s="51">
        <v>45502</v>
      </c>
      <c r="W364" s="49" t="s">
        <v>1580</v>
      </c>
    </row>
    <row r="365" spans="1:23" ht="13" customHeight="1" x14ac:dyDescent="0.35">
      <c r="A365" s="11">
        <v>359</v>
      </c>
      <c r="B365" s="47">
        <v>203521133</v>
      </c>
      <c r="C365" s="94" t="s">
        <v>351</v>
      </c>
      <c r="D365" s="11" t="s">
        <v>352</v>
      </c>
      <c r="E365" s="48" t="s">
        <v>31</v>
      </c>
      <c r="F365" s="48" t="s">
        <v>74</v>
      </c>
      <c r="G365" s="11" t="s">
        <v>64</v>
      </c>
      <c r="H365" s="11" t="s">
        <v>75</v>
      </c>
      <c r="I365" s="11">
        <v>1299</v>
      </c>
      <c r="J365" s="49" t="s">
        <v>39</v>
      </c>
      <c r="K365" s="49" t="s">
        <v>76</v>
      </c>
      <c r="L365" s="49" t="s">
        <v>95</v>
      </c>
      <c r="M365" s="49" t="s">
        <v>77</v>
      </c>
      <c r="N365" s="48" t="s">
        <v>79</v>
      </c>
      <c r="O365" s="49" t="s">
        <v>35</v>
      </c>
      <c r="P365" s="11" t="s">
        <v>80</v>
      </c>
      <c r="Q365" s="11" t="s">
        <v>81</v>
      </c>
      <c r="R365" s="11" t="s">
        <v>226</v>
      </c>
      <c r="S365" s="11" t="s">
        <v>227</v>
      </c>
      <c r="T365" s="90" t="s">
        <v>1</v>
      </c>
      <c r="U365" s="90"/>
      <c r="V365" s="51">
        <v>45463</v>
      </c>
      <c r="W365" s="49" t="s">
        <v>1580</v>
      </c>
    </row>
    <row r="366" spans="1:23" ht="13" customHeight="1" x14ac:dyDescent="0.35">
      <c r="A366" s="11">
        <v>360</v>
      </c>
      <c r="B366" s="47">
        <v>204013733</v>
      </c>
      <c r="C366" s="94" t="s">
        <v>353</v>
      </c>
      <c r="D366" s="11" t="s">
        <v>354</v>
      </c>
      <c r="E366" s="48" t="s">
        <v>31</v>
      </c>
      <c r="F366" s="48" t="s">
        <v>74</v>
      </c>
      <c r="G366" s="11" t="s">
        <v>64</v>
      </c>
      <c r="H366" s="11" t="s">
        <v>75</v>
      </c>
      <c r="I366" s="11">
        <v>1299</v>
      </c>
      <c r="J366" s="49" t="s">
        <v>32</v>
      </c>
      <c r="K366" s="49" t="s">
        <v>76</v>
      </c>
      <c r="L366" s="49" t="s">
        <v>78</v>
      </c>
      <c r="M366" s="49" t="s">
        <v>92</v>
      </c>
      <c r="N366" s="48" t="s">
        <v>79</v>
      </c>
      <c r="O366" s="49" t="s">
        <v>35</v>
      </c>
      <c r="P366" s="11" t="s">
        <v>80</v>
      </c>
      <c r="Q366" s="11" t="s">
        <v>81</v>
      </c>
      <c r="R366" s="11" t="s">
        <v>226</v>
      </c>
      <c r="S366" s="11" t="s">
        <v>227</v>
      </c>
      <c r="T366" s="90" t="s">
        <v>1</v>
      </c>
      <c r="U366" s="89"/>
      <c r="V366" s="51">
        <v>45551</v>
      </c>
      <c r="W366" s="49" t="s">
        <v>1580</v>
      </c>
    </row>
    <row r="367" spans="1:23" ht="13" customHeight="1" x14ac:dyDescent="0.35">
      <c r="A367" s="11">
        <v>361</v>
      </c>
      <c r="B367" s="47">
        <v>204967151</v>
      </c>
      <c r="C367" s="94" t="s">
        <v>2546</v>
      </c>
      <c r="D367" s="11" t="s">
        <v>2547</v>
      </c>
      <c r="E367" s="48" t="s">
        <v>31</v>
      </c>
      <c r="F367" s="48" t="s">
        <v>74</v>
      </c>
      <c r="G367" s="11" t="s">
        <v>64</v>
      </c>
      <c r="H367" s="11" t="s">
        <v>75</v>
      </c>
      <c r="I367" s="11">
        <v>1299</v>
      </c>
      <c r="J367" s="49" t="s">
        <v>32</v>
      </c>
      <c r="K367" s="49" t="s">
        <v>76</v>
      </c>
      <c r="L367" s="49" t="s">
        <v>85</v>
      </c>
      <c r="M367" s="49" t="s">
        <v>88</v>
      </c>
      <c r="N367" s="48" t="s">
        <v>86</v>
      </c>
      <c r="O367" s="49" t="s">
        <v>35</v>
      </c>
      <c r="P367" s="11" t="s">
        <v>80</v>
      </c>
      <c r="Q367" s="11" t="s">
        <v>90</v>
      </c>
      <c r="R367" s="11" t="s">
        <v>225</v>
      </c>
      <c r="S367" s="11" t="s">
        <v>2731</v>
      </c>
      <c r="T367" s="90" t="s">
        <v>10</v>
      </c>
      <c r="U367" s="91"/>
      <c r="V367" s="51">
        <v>45826</v>
      </c>
      <c r="W367" s="49" t="s">
        <v>1580</v>
      </c>
    </row>
    <row r="368" spans="1:23" ht="13" customHeight="1" x14ac:dyDescent="0.35">
      <c r="A368" s="11">
        <v>362</v>
      </c>
      <c r="B368" s="47">
        <v>203965496</v>
      </c>
      <c r="C368" s="94" t="s">
        <v>355</v>
      </c>
      <c r="D368" s="11" t="s">
        <v>356</v>
      </c>
      <c r="E368" s="48" t="s">
        <v>31</v>
      </c>
      <c r="F368" s="48" t="s">
        <v>74</v>
      </c>
      <c r="G368" s="11" t="s">
        <v>64</v>
      </c>
      <c r="H368" s="11" t="s">
        <v>75</v>
      </c>
      <c r="I368" s="11">
        <v>1299</v>
      </c>
      <c r="J368" s="49" t="s">
        <v>39</v>
      </c>
      <c r="K368" s="49" t="s">
        <v>76</v>
      </c>
      <c r="L368" s="49" t="s">
        <v>84</v>
      </c>
      <c r="M368" s="49" t="s">
        <v>85</v>
      </c>
      <c r="N368" s="48" t="s">
        <v>79</v>
      </c>
      <c r="O368" s="49" t="s">
        <v>35</v>
      </c>
      <c r="P368" s="11" t="s">
        <v>80</v>
      </c>
      <c r="Q368" s="11" t="s">
        <v>81</v>
      </c>
      <c r="R368" s="11" t="s">
        <v>225</v>
      </c>
      <c r="S368" s="11" t="s">
        <v>2731</v>
      </c>
      <c r="T368" s="90" t="s">
        <v>1</v>
      </c>
      <c r="U368" s="89"/>
      <c r="V368" s="51">
        <v>45544</v>
      </c>
      <c r="W368" s="49" t="s">
        <v>1580</v>
      </c>
    </row>
    <row r="369" spans="1:23" ht="13" customHeight="1" x14ac:dyDescent="0.35">
      <c r="A369" s="11">
        <v>363</v>
      </c>
      <c r="B369" s="47">
        <v>203965492</v>
      </c>
      <c r="C369" s="94" t="s">
        <v>357</v>
      </c>
      <c r="D369" s="11" t="s">
        <v>358</v>
      </c>
      <c r="E369" s="48" t="s">
        <v>31</v>
      </c>
      <c r="F369" s="48" t="s">
        <v>74</v>
      </c>
      <c r="G369" s="11" t="s">
        <v>64</v>
      </c>
      <c r="H369" s="11" t="s">
        <v>75</v>
      </c>
      <c r="I369" s="11">
        <v>1299</v>
      </c>
      <c r="J369" s="49" t="s">
        <v>39</v>
      </c>
      <c r="K369" s="49" t="s">
        <v>76</v>
      </c>
      <c r="L369" s="49" t="s">
        <v>84</v>
      </c>
      <c r="M369" s="49" t="s">
        <v>85</v>
      </c>
      <c r="N369" s="48" t="s">
        <v>79</v>
      </c>
      <c r="O369" s="49" t="s">
        <v>35</v>
      </c>
      <c r="P369" s="11" t="s">
        <v>80</v>
      </c>
      <c r="Q369" s="11" t="s">
        <v>81</v>
      </c>
      <c r="R369" s="11" t="s">
        <v>225</v>
      </c>
      <c r="S369" s="11" t="s">
        <v>2731</v>
      </c>
      <c r="T369" s="90" t="s">
        <v>1</v>
      </c>
      <c r="U369" s="89"/>
      <c r="V369" s="51">
        <v>45544</v>
      </c>
      <c r="W369" s="49" t="s">
        <v>1580</v>
      </c>
    </row>
    <row r="370" spans="1:23" ht="13" customHeight="1" x14ac:dyDescent="0.35">
      <c r="A370" s="11">
        <v>364</v>
      </c>
      <c r="B370" s="47">
        <v>205502951</v>
      </c>
      <c r="C370" s="94" t="s">
        <v>359</v>
      </c>
      <c r="D370" s="11" t="s">
        <v>360</v>
      </c>
      <c r="E370" s="48" t="s">
        <v>31</v>
      </c>
      <c r="F370" s="48" t="s">
        <v>74</v>
      </c>
      <c r="G370" s="11" t="s">
        <v>64</v>
      </c>
      <c r="H370" s="11" t="s">
        <v>75</v>
      </c>
      <c r="I370" s="11">
        <v>1299</v>
      </c>
      <c r="J370" s="49" t="s">
        <v>39</v>
      </c>
      <c r="K370" s="49" t="s">
        <v>76</v>
      </c>
      <c r="L370" s="49" t="s">
        <v>88</v>
      </c>
      <c r="M370" s="49" t="s">
        <v>95</v>
      </c>
      <c r="N370" s="49" t="s">
        <v>89</v>
      </c>
      <c r="O370" s="49" t="s">
        <v>35</v>
      </c>
      <c r="P370" s="11" t="s">
        <v>80</v>
      </c>
      <c r="Q370" s="11" t="s">
        <v>96</v>
      </c>
      <c r="R370" s="11" t="s">
        <v>225</v>
      </c>
      <c r="S370" s="11" t="s">
        <v>2731</v>
      </c>
      <c r="T370" s="90" t="s">
        <v>10</v>
      </c>
      <c r="U370" s="90"/>
      <c r="V370" s="51">
        <v>45831</v>
      </c>
      <c r="W370" s="49" t="s">
        <v>1580</v>
      </c>
    </row>
    <row r="371" spans="1:23" ht="13" customHeight="1" x14ac:dyDescent="0.35">
      <c r="A371" s="11">
        <v>365</v>
      </c>
      <c r="B371" s="47">
        <v>203521134</v>
      </c>
      <c r="C371" s="94" t="s">
        <v>361</v>
      </c>
      <c r="D371" s="11" t="s">
        <v>362</v>
      </c>
      <c r="E371" s="48" t="s">
        <v>31</v>
      </c>
      <c r="F371" s="48" t="s">
        <v>74</v>
      </c>
      <c r="G371" s="11" t="s">
        <v>64</v>
      </c>
      <c r="H371" s="11" t="s">
        <v>75</v>
      </c>
      <c r="I371" s="11">
        <v>1299</v>
      </c>
      <c r="J371" s="49" t="s">
        <v>32</v>
      </c>
      <c r="K371" s="49" t="s">
        <v>76</v>
      </c>
      <c r="L371" s="49" t="s">
        <v>78</v>
      </c>
      <c r="M371" s="49" t="s">
        <v>92</v>
      </c>
      <c r="N371" s="48" t="s">
        <v>79</v>
      </c>
      <c r="O371" s="49" t="s">
        <v>35</v>
      </c>
      <c r="P371" s="11" t="s">
        <v>80</v>
      </c>
      <c r="Q371" s="11" t="s">
        <v>81</v>
      </c>
      <c r="R371" s="11" t="s">
        <v>232</v>
      </c>
      <c r="S371" s="11" t="s">
        <v>1760</v>
      </c>
      <c r="T371" s="90" t="s">
        <v>1</v>
      </c>
      <c r="U371" s="90"/>
      <c r="V371" s="51">
        <v>45463</v>
      </c>
      <c r="W371" s="49" t="s">
        <v>1580</v>
      </c>
    </row>
    <row r="372" spans="1:23" ht="13" customHeight="1" x14ac:dyDescent="0.35">
      <c r="A372" s="11">
        <v>366</v>
      </c>
      <c r="B372" s="47">
        <v>206886729</v>
      </c>
      <c r="C372" s="94" t="s">
        <v>2548</v>
      </c>
      <c r="D372" s="11" t="s">
        <v>2549</v>
      </c>
      <c r="E372" s="11" t="s">
        <v>31</v>
      </c>
      <c r="F372" s="11" t="s">
        <v>74</v>
      </c>
      <c r="G372" s="11" t="s">
        <v>64</v>
      </c>
      <c r="H372" s="11" t="s">
        <v>75</v>
      </c>
      <c r="I372" s="11">
        <v>1299</v>
      </c>
      <c r="J372" s="49" t="s">
        <v>32</v>
      </c>
      <c r="K372" s="49" t="s">
        <v>76</v>
      </c>
      <c r="L372" s="49" t="s">
        <v>78</v>
      </c>
      <c r="M372" s="49" t="s">
        <v>92</v>
      </c>
      <c r="N372" s="49" t="s">
        <v>79</v>
      </c>
      <c r="O372" s="11" t="s">
        <v>35</v>
      </c>
      <c r="P372" s="11" t="s">
        <v>80</v>
      </c>
      <c r="Q372" s="11" t="s">
        <v>96</v>
      </c>
      <c r="R372" s="11" t="s">
        <v>225</v>
      </c>
      <c r="S372" s="11" t="s">
        <v>2731</v>
      </c>
      <c r="T372" s="90" t="s">
        <v>1</v>
      </c>
      <c r="U372" s="89"/>
      <c r="V372" s="51">
        <v>46027</v>
      </c>
      <c r="W372" s="11" t="s">
        <v>1580</v>
      </c>
    </row>
    <row r="373" spans="1:23" ht="13" customHeight="1" x14ac:dyDescent="0.35">
      <c r="A373" s="11">
        <v>367</v>
      </c>
      <c r="B373" s="47">
        <v>206886638</v>
      </c>
      <c r="C373" s="94" t="s">
        <v>1801</v>
      </c>
      <c r="D373" s="11" t="s">
        <v>1802</v>
      </c>
      <c r="E373" s="11" t="s">
        <v>31</v>
      </c>
      <c r="F373" s="11" t="s">
        <v>74</v>
      </c>
      <c r="G373" s="11" t="s">
        <v>64</v>
      </c>
      <c r="H373" s="11" t="s">
        <v>75</v>
      </c>
      <c r="I373" s="11">
        <v>1299</v>
      </c>
      <c r="J373" s="49" t="s">
        <v>32</v>
      </c>
      <c r="K373" s="49" t="s">
        <v>76</v>
      </c>
      <c r="L373" s="49" t="s">
        <v>78</v>
      </c>
      <c r="M373" s="49" t="s">
        <v>92</v>
      </c>
      <c r="N373" s="49" t="s">
        <v>89</v>
      </c>
      <c r="O373" s="11" t="s">
        <v>35</v>
      </c>
      <c r="P373" s="11" t="s">
        <v>80</v>
      </c>
      <c r="Q373" s="11" t="s">
        <v>96</v>
      </c>
      <c r="R373" s="11" t="s">
        <v>225</v>
      </c>
      <c r="S373" s="11" t="s">
        <v>2731</v>
      </c>
      <c r="T373" s="90" t="s">
        <v>1</v>
      </c>
      <c r="U373" s="91"/>
      <c r="V373" s="51">
        <v>46027</v>
      </c>
      <c r="W373" s="11" t="s">
        <v>1580</v>
      </c>
    </row>
    <row r="374" spans="1:23" ht="13" customHeight="1" x14ac:dyDescent="0.35">
      <c r="A374" s="11">
        <v>368</v>
      </c>
      <c r="B374" s="47">
        <v>206890228</v>
      </c>
      <c r="C374" s="94" t="s">
        <v>1803</v>
      </c>
      <c r="D374" s="11" t="s">
        <v>1804</v>
      </c>
      <c r="E374" s="11" t="s">
        <v>31</v>
      </c>
      <c r="F374" s="11" t="s">
        <v>74</v>
      </c>
      <c r="G374" s="11" t="s">
        <v>64</v>
      </c>
      <c r="H374" s="11" t="s">
        <v>75</v>
      </c>
      <c r="I374" s="11">
        <v>1299</v>
      </c>
      <c r="J374" s="49" t="s">
        <v>32</v>
      </c>
      <c r="K374" s="49" t="s">
        <v>76</v>
      </c>
      <c r="L374" s="49" t="s">
        <v>78</v>
      </c>
      <c r="M374" s="49" t="s">
        <v>92</v>
      </c>
      <c r="N374" s="49" t="s">
        <v>89</v>
      </c>
      <c r="O374" s="11" t="s">
        <v>35</v>
      </c>
      <c r="P374" s="11" t="s">
        <v>80</v>
      </c>
      <c r="Q374" s="11" t="s">
        <v>96</v>
      </c>
      <c r="R374" s="11" t="s">
        <v>225</v>
      </c>
      <c r="S374" s="11" t="s">
        <v>2731</v>
      </c>
      <c r="T374" s="90" t="s">
        <v>1</v>
      </c>
      <c r="U374" s="90"/>
      <c r="V374" s="51">
        <v>46027</v>
      </c>
      <c r="W374" s="11" t="s">
        <v>1580</v>
      </c>
    </row>
    <row r="375" spans="1:23" ht="13" customHeight="1" x14ac:dyDescent="0.35">
      <c r="A375" s="11">
        <v>369</v>
      </c>
      <c r="B375" s="47">
        <v>206015637</v>
      </c>
      <c r="C375" s="94" t="s">
        <v>365</v>
      </c>
      <c r="D375" s="11" t="s">
        <v>366</v>
      </c>
      <c r="E375" s="48" t="s">
        <v>31</v>
      </c>
      <c r="F375" s="48" t="s">
        <v>74</v>
      </c>
      <c r="G375" s="11" t="s">
        <v>64</v>
      </c>
      <c r="H375" s="11" t="s">
        <v>75</v>
      </c>
      <c r="I375" s="11">
        <v>1299</v>
      </c>
      <c r="J375" s="49" t="s">
        <v>32</v>
      </c>
      <c r="K375" s="49" t="s">
        <v>76</v>
      </c>
      <c r="L375" s="49" t="s">
        <v>78</v>
      </c>
      <c r="M375" s="49" t="s">
        <v>92</v>
      </c>
      <c r="N375" s="48" t="s">
        <v>79</v>
      </c>
      <c r="O375" s="49" t="s">
        <v>35</v>
      </c>
      <c r="P375" s="11" t="s">
        <v>80</v>
      </c>
      <c r="Q375" s="11" t="s">
        <v>81</v>
      </c>
      <c r="R375" s="11" t="s">
        <v>226</v>
      </c>
      <c r="S375" s="11" t="s">
        <v>227</v>
      </c>
      <c r="T375" s="90" t="s">
        <v>1</v>
      </c>
      <c r="U375" s="90"/>
      <c r="V375" s="51">
        <v>45915</v>
      </c>
      <c r="W375" s="49" t="s">
        <v>1581</v>
      </c>
    </row>
    <row r="376" spans="1:23" ht="13" customHeight="1" x14ac:dyDescent="0.35">
      <c r="A376" s="11">
        <v>370</v>
      </c>
      <c r="B376" s="47">
        <v>206065197</v>
      </c>
      <c r="C376" s="94" t="s">
        <v>367</v>
      </c>
      <c r="D376" s="11" t="s">
        <v>368</v>
      </c>
      <c r="E376" s="48" t="s">
        <v>31</v>
      </c>
      <c r="F376" s="48" t="s">
        <v>74</v>
      </c>
      <c r="G376" s="11" t="s">
        <v>64</v>
      </c>
      <c r="H376" s="11" t="s">
        <v>75</v>
      </c>
      <c r="I376" s="11">
        <v>1299</v>
      </c>
      <c r="J376" s="49" t="s">
        <v>32</v>
      </c>
      <c r="K376" s="49" t="s">
        <v>76</v>
      </c>
      <c r="L376" s="49" t="s">
        <v>78</v>
      </c>
      <c r="M376" s="49" t="s">
        <v>92</v>
      </c>
      <c r="N376" s="48" t="s">
        <v>79</v>
      </c>
      <c r="O376" s="49" t="s">
        <v>35</v>
      </c>
      <c r="P376" s="11" t="s">
        <v>80</v>
      </c>
      <c r="Q376" s="11" t="s">
        <v>81</v>
      </c>
      <c r="R376" s="11" t="s">
        <v>226</v>
      </c>
      <c r="S376" s="11" t="s">
        <v>227</v>
      </c>
      <c r="T376" s="90" t="s">
        <v>1</v>
      </c>
      <c r="U376" s="89"/>
      <c r="V376" s="51">
        <v>45922</v>
      </c>
      <c r="W376" s="49" t="s">
        <v>1579</v>
      </c>
    </row>
    <row r="377" spans="1:23" ht="13" customHeight="1" x14ac:dyDescent="0.35">
      <c r="A377" s="11">
        <v>371</v>
      </c>
      <c r="B377" s="47">
        <v>206873556</v>
      </c>
      <c r="C377" s="94" t="s">
        <v>1767</v>
      </c>
      <c r="D377" s="11" t="s">
        <v>1768</v>
      </c>
      <c r="E377" s="48" t="s">
        <v>31</v>
      </c>
      <c r="F377" s="48" t="s">
        <v>74</v>
      </c>
      <c r="G377" s="48" t="s">
        <v>64</v>
      </c>
      <c r="H377" s="48" t="s">
        <v>75</v>
      </c>
      <c r="I377" s="11">
        <v>1299</v>
      </c>
      <c r="J377" s="49" t="s">
        <v>32</v>
      </c>
      <c r="K377" s="49" t="s">
        <v>76</v>
      </c>
      <c r="L377" s="49" t="s">
        <v>78</v>
      </c>
      <c r="M377" s="49" t="s">
        <v>92</v>
      </c>
      <c r="N377" s="49" t="s">
        <v>89</v>
      </c>
      <c r="O377" s="48" t="s">
        <v>35</v>
      </c>
      <c r="P377" s="48" t="s">
        <v>80</v>
      </c>
      <c r="Q377" s="11" t="s">
        <v>81</v>
      </c>
      <c r="R377" s="11" t="s">
        <v>226</v>
      </c>
      <c r="S377" s="11" t="s">
        <v>227</v>
      </c>
      <c r="T377" s="90" t="s">
        <v>7</v>
      </c>
      <c r="U377" s="89"/>
      <c r="V377" s="51">
        <v>46020</v>
      </c>
      <c r="W377" s="49" t="s">
        <v>1579</v>
      </c>
    </row>
    <row r="378" spans="1:23" ht="13" customHeight="1" x14ac:dyDescent="0.35">
      <c r="A378" s="11">
        <v>372</v>
      </c>
      <c r="B378" s="47">
        <v>204246158</v>
      </c>
      <c r="C378" s="94" t="s">
        <v>369</v>
      </c>
      <c r="D378" s="11" t="s">
        <v>370</v>
      </c>
      <c r="E378" s="48" t="s">
        <v>31</v>
      </c>
      <c r="F378" s="48" t="s">
        <v>74</v>
      </c>
      <c r="G378" s="11" t="s">
        <v>64</v>
      </c>
      <c r="H378" s="11" t="s">
        <v>75</v>
      </c>
      <c r="I378" s="11">
        <v>1299</v>
      </c>
      <c r="J378" s="49" t="s">
        <v>32</v>
      </c>
      <c r="K378" s="49" t="s">
        <v>76</v>
      </c>
      <c r="L378" s="49" t="s">
        <v>84</v>
      </c>
      <c r="M378" s="49" t="s">
        <v>85</v>
      </c>
      <c r="N378" s="48" t="s">
        <v>86</v>
      </c>
      <c r="O378" s="49" t="s">
        <v>35</v>
      </c>
      <c r="P378" s="11" t="s">
        <v>80</v>
      </c>
      <c r="Q378" s="11" t="s">
        <v>87</v>
      </c>
      <c r="R378" s="11" t="s">
        <v>226</v>
      </c>
      <c r="S378" s="11" t="s">
        <v>227</v>
      </c>
      <c r="T378" s="90" t="s">
        <v>1</v>
      </c>
      <c r="U378" s="89"/>
      <c r="V378" s="51">
        <v>45579</v>
      </c>
      <c r="W378" s="49" t="s">
        <v>1579</v>
      </c>
    </row>
    <row r="379" spans="1:23" ht="13" customHeight="1" x14ac:dyDescent="0.35">
      <c r="A379" s="11">
        <v>373</v>
      </c>
      <c r="B379" s="47">
        <v>205495359</v>
      </c>
      <c r="C379" s="94" t="s">
        <v>2550</v>
      </c>
      <c r="D379" s="11" t="s">
        <v>2551</v>
      </c>
      <c r="E379" s="48" t="s">
        <v>31</v>
      </c>
      <c r="F379" s="48" t="s">
        <v>74</v>
      </c>
      <c r="G379" s="11" t="s">
        <v>64</v>
      </c>
      <c r="H379" s="11" t="s">
        <v>75</v>
      </c>
      <c r="I379" s="11">
        <v>1299</v>
      </c>
      <c r="J379" s="49" t="s">
        <v>32</v>
      </c>
      <c r="K379" s="49" t="s">
        <v>76</v>
      </c>
      <c r="L379" s="49" t="s">
        <v>88</v>
      </c>
      <c r="M379" s="49" t="s">
        <v>95</v>
      </c>
      <c r="N379" s="49" t="s">
        <v>89</v>
      </c>
      <c r="O379" s="49" t="s">
        <v>35</v>
      </c>
      <c r="P379" s="11" t="s">
        <v>80</v>
      </c>
      <c r="Q379" s="11" t="s">
        <v>96</v>
      </c>
      <c r="R379" s="11" t="s">
        <v>225</v>
      </c>
      <c r="S379" s="11" t="s">
        <v>2731</v>
      </c>
      <c r="T379" s="90" t="s">
        <v>10</v>
      </c>
      <c r="U379" s="90"/>
      <c r="V379" s="51">
        <v>45831</v>
      </c>
      <c r="W379" s="49" t="s">
        <v>1580</v>
      </c>
    </row>
    <row r="380" spans="1:23" ht="13" customHeight="1" x14ac:dyDescent="0.35">
      <c r="A380" s="11">
        <v>374</v>
      </c>
      <c r="B380" s="11">
        <v>206873551</v>
      </c>
      <c r="C380" s="94" t="s">
        <v>1791</v>
      </c>
      <c r="D380" s="11" t="s">
        <v>1792</v>
      </c>
      <c r="E380" s="48" t="s">
        <v>31</v>
      </c>
      <c r="F380" s="48" t="s">
        <v>74</v>
      </c>
      <c r="G380" s="48" t="s">
        <v>64</v>
      </c>
      <c r="H380" s="48" t="s">
        <v>75</v>
      </c>
      <c r="I380" s="11">
        <v>1299</v>
      </c>
      <c r="J380" s="49" t="s">
        <v>39</v>
      </c>
      <c r="K380" s="49" t="s">
        <v>76</v>
      </c>
      <c r="L380" s="49" t="s">
        <v>78</v>
      </c>
      <c r="M380" s="49" t="s">
        <v>92</v>
      </c>
      <c r="N380" s="49" t="s">
        <v>89</v>
      </c>
      <c r="O380" s="48" t="s">
        <v>35</v>
      </c>
      <c r="P380" s="48" t="s">
        <v>80</v>
      </c>
      <c r="Q380" s="11" t="s">
        <v>81</v>
      </c>
      <c r="R380" s="11" t="s">
        <v>232</v>
      </c>
      <c r="S380" s="11" t="s">
        <v>1760</v>
      </c>
      <c r="T380" s="90" t="s">
        <v>1</v>
      </c>
      <c r="U380" s="90"/>
      <c r="V380" s="51">
        <v>46020</v>
      </c>
      <c r="W380" s="11" t="s">
        <v>1580</v>
      </c>
    </row>
    <row r="381" spans="1:23" ht="13" customHeight="1" x14ac:dyDescent="0.35">
      <c r="A381" s="11">
        <v>375</v>
      </c>
      <c r="B381" s="47">
        <v>203468401</v>
      </c>
      <c r="C381" s="94" t="s">
        <v>371</v>
      </c>
      <c r="D381" s="11" t="s">
        <v>372</v>
      </c>
      <c r="E381" s="48" t="s">
        <v>31</v>
      </c>
      <c r="F381" s="48" t="s">
        <v>74</v>
      </c>
      <c r="G381" s="11" t="s">
        <v>64</v>
      </c>
      <c r="H381" s="11" t="s">
        <v>75</v>
      </c>
      <c r="I381" s="11">
        <v>1299</v>
      </c>
      <c r="J381" s="49" t="s">
        <v>39</v>
      </c>
      <c r="K381" s="49" t="s">
        <v>76</v>
      </c>
      <c r="L381" s="49" t="s">
        <v>95</v>
      </c>
      <c r="M381" s="49" t="s">
        <v>77</v>
      </c>
      <c r="N381" s="48" t="s">
        <v>79</v>
      </c>
      <c r="O381" s="49" t="s">
        <v>35</v>
      </c>
      <c r="P381" s="11" t="s">
        <v>80</v>
      </c>
      <c r="Q381" s="11" t="s">
        <v>81</v>
      </c>
      <c r="R381" s="11" t="s">
        <v>225</v>
      </c>
      <c r="S381" s="11" t="s">
        <v>2731</v>
      </c>
      <c r="T381" s="90" t="s">
        <v>1</v>
      </c>
      <c r="U381" s="90"/>
      <c r="V381" s="51">
        <v>45456</v>
      </c>
      <c r="W381" s="49" t="s">
        <v>1580</v>
      </c>
    </row>
    <row r="382" spans="1:23" ht="13" customHeight="1" x14ac:dyDescent="0.35">
      <c r="A382" s="11">
        <v>376</v>
      </c>
      <c r="B382" s="11">
        <v>206873639</v>
      </c>
      <c r="C382" s="94" t="s">
        <v>1795</v>
      </c>
      <c r="D382" s="11" t="s">
        <v>1796</v>
      </c>
      <c r="E382" s="48" t="s">
        <v>31</v>
      </c>
      <c r="F382" s="48" t="s">
        <v>74</v>
      </c>
      <c r="G382" s="48" t="s">
        <v>64</v>
      </c>
      <c r="H382" s="48" t="s">
        <v>75</v>
      </c>
      <c r="I382" s="11">
        <v>1299</v>
      </c>
      <c r="J382" s="49" t="s">
        <v>32</v>
      </c>
      <c r="K382" s="49" t="s">
        <v>76</v>
      </c>
      <c r="L382" s="49" t="s">
        <v>78</v>
      </c>
      <c r="M382" s="49" t="s">
        <v>92</v>
      </c>
      <c r="N382" s="49" t="s">
        <v>89</v>
      </c>
      <c r="O382" s="48" t="s">
        <v>35</v>
      </c>
      <c r="P382" s="48" t="s">
        <v>80</v>
      </c>
      <c r="Q382" s="11" t="s">
        <v>81</v>
      </c>
      <c r="R382" s="11" t="s">
        <v>232</v>
      </c>
      <c r="S382" s="11" t="s">
        <v>1760</v>
      </c>
      <c r="T382" s="90" t="s">
        <v>1</v>
      </c>
      <c r="U382" s="91"/>
      <c r="V382" s="51">
        <v>46020</v>
      </c>
      <c r="W382" s="11" t="s">
        <v>1580</v>
      </c>
    </row>
    <row r="383" spans="1:23" ht="13" customHeight="1" x14ac:dyDescent="0.35">
      <c r="A383" s="11">
        <v>377</v>
      </c>
      <c r="B383" s="47">
        <v>206504141</v>
      </c>
      <c r="C383" s="94" t="s">
        <v>2552</v>
      </c>
      <c r="D383" s="11" t="s">
        <v>2553</v>
      </c>
      <c r="E383" s="48" t="s">
        <v>31</v>
      </c>
      <c r="F383" s="48" t="s">
        <v>74</v>
      </c>
      <c r="G383" s="11" t="s">
        <v>64</v>
      </c>
      <c r="H383" s="11" t="s">
        <v>75</v>
      </c>
      <c r="I383" s="11">
        <v>1299</v>
      </c>
      <c r="J383" s="49" t="s">
        <v>32</v>
      </c>
      <c r="K383" s="49" t="s">
        <v>76</v>
      </c>
      <c r="L383" s="49" t="s">
        <v>78</v>
      </c>
      <c r="M383" s="49" t="s">
        <v>92</v>
      </c>
      <c r="N383" s="48" t="s">
        <v>86</v>
      </c>
      <c r="O383" s="49" t="s">
        <v>35</v>
      </c>
      <c r="P383" s="11" t="s">
        <v>80</v>
      </c>
      <c r="Q383" s="11" t="s">
        <v>90</v>
      </c>
      <c r="R383" s="11" t="s">
        <v>232</v>
      </c>
      <c r="S383" s="11" t="s">
        <v>1760</v>
      </c>
      <c r="T383" s="90" t="s">
        <v>1</v>
      </c>
      <c r="U383" s="91"/>
      <c r="V383" s="51">
        <v>45971</v>
      </c>
      <c r="W383" s="49" t="s">
        <v>1580</v>
      </c>
    </row>
    <row r="384" spans="1:23" ht="13" customHeight="1" x14ac:dyDescent="0.35">
      <c r="A384" s="11">
        <v>378</v>
      </c>
      <c r="B384" s="47">
        <v>203468395</v>
      </c>
      <c r="C384" s="94" t="s">
        <v>373</v>
      </c>
      <c r="D384" s="11" t="s">
        <v>374</v>
      </c>
      <c r="E384" s="48" t="s">
        <v>31</v>
      </c>
      <c r="F384" s="48" t="s">
        <v>74</v>
      </c>
      <c r="G384" s="11" t="s">
        <v>64</v>
      </c>
      <c r="H384" s="11" t="s">
        <v>75</v>
      </c>
      <c r="I384" s="11">
        <v>1299</v>
      </c>
      <c r="J384" s="49" t="s">
        <v>32</v>
      </c>
      <c r="K384" s="49" t="s">
        <v>76</v>
      </c>
      <c r="L384" s="49" t="s">
        <v>78</v>
      </c>
      <c r="M384" s="49" t="s">
        <v>92</v>
      </c>
      <c r="N384" s="48" t="s">
        <v>79</v>
      </c>
      <c r="O384" s="49" t="s">
        <v>35</v>
      </c>
      <c r="P384" s="11" t="s">
        <v>80</v>
      </c>
      <c r="Q384" s="11" t="s">
        <v>81</v>
      </c>
      <c r="R384" s="11" t="s">
        <v>225</v>
      </c>
      <c r="S384" s="11" t="s">
        <v>2731</v>
      </c>
      <c r="T384" s="90" t="s">
        <v>1</v>
      </c>
      <c r="U384" s="91"/>
      <c r="V384" s="51">
        <v>45456</v>
      </c>
      <c r="W384" s="49" t="s">
        <v>1580</v>
      </c>
    </row>
    <row r="385" spans="1:23" ht="13" customHeight="1" x14ac:dyDescent="0.35">
      <c r="A385" s="11">
        <v>379</v>
      </c>
      <c r="B385" s="47">
        <v>204406416</v>
      </c>
      <c r="C385" s="94" t="s">
        <v>375</v>
      </c>
      <c r="D385" s="11" t="s">
        <v>376</v>
      </c>
      <c r="E385" s="48" t="s">
        <v>31</v>
      </c>
      <c r="F385" s="48" t="s">
        <v>74</v>
      </c>
      <c r="G385" s="11" t="s">
        <v>64</v>
      </c>
      <c r="H385" s="11" t="s">
        <v>75</v>
      </c>
      <c r="I385" s="11">
        <v>1299</v>
      </c>
      <c r="J385" s="49" t="s">
        <v>32</v>
      </c>
      <c r="K385" s="49" t="s">
        <v>76</v>
      </c>
      <c r="L385" s="49" t="s">
        <v>78</v>
      </c>
      <c r="M385" s="49" t="s">
        <v>92</v>
      </c>
      <c r="N385" s="48" t="s">
        <v>86</v>
      </c>
      <c r="O385" s="49" t="s">
        <v>35</v>
      </c>
      <c r="P385" s="11" t="s">
        <v>80</v>
      </c>
      <c r="Q385" s="11" t="s">
        <v>87</v>
      </c>
      <c r="R385" s="11" t="s">
        <v>225</v>
      </c>
      <c r="S385" s="11" t="s">
        <v>2731</v>
      </c>
      <c r="T385" s="90" t="s">
        <v>1</v>
      </c>
      <c r="U385" s="89"/>
      <c r="V385" s="51">
        <v>45596</v>
      </c>
      <c r="W385" s="49" t="s">
        <v>1581</v>
      </c>
    </row>
    <row r="386" spans="1:23" ht="13" customHeight="1" x14ac:dyDescent="0.35">
      <c r="A386" s="11">
        <v>380</v>
      </c>
      <c r="B386" s="47">
        <v>203741324</v>
      </c>
      <c r="C386" s="94" t="s">
        <v>377</v>
      </c>
      <c r="D386" s="11" t="s">
        <v>378</v>
      </c>
      <c r="E386" s="48" t="s">
        <v>31</v>
      </c>
      <c r="F386" s="48" t="s">
        <v>74</v>
      </c>
      <c r="G386" s="11" t="s">
        <v>64</v>
      </c>
      <c r="H386" s="11" t="s">
        <v>75</v>
      </c>
      <c r="I386" s="11">
        <v>1299</v>
      </c>
      <c r="J386" s="49" t="s">
        <v>32</v>
      </c>
      <c r="K386" s="49" t="s">
        <v>76</v>
      </c>
      <c r="L386" s="49" t="s">
        <v>85</v>
      </c>
      <c r="M386" s="49" t="s">
        <v>88</v>
      </c>
      <c r="N386" s="48" t="s">
        <v>79</v>
      </c>
      <c r="O386" s="49" t="s">
        <v>35</v>
      </c>
      <c r="P386" s="11" t="s">
        <v>80</v>
      </c>
      <c r="Q386" s="11" t="s">
        <v>81</v>
      </c>
      <c r="R386" s="11" t="s">
        <v>225</v>
      </c>
      <c r="S386" s="11" t="s">
        <v>2731</v>
      </c>
      <c r="T386" s="90" t="s">
        <v>10</v>
      </c>
      <c r="U386" s="91"/>
      <c r="V386" s="51">
        <v>45502</v>
      </c>
      <c r="W386" s="49" t="s">
        <v>1580</v>
      </c>
    </row>
    <row r="387" spans="1:23" ht="13" customHeight="1" x14ac:dyDescent="0.35">
      <c r="A387" s="11">
        <v>381</v>
      </c>
      <c r="B387" s="47">
        <v>203816301</v>
      </c>
      <c r="C387" s="94" t="s">
        <v>2554</v>
      </c>
      <c r="D387" s="11" t="s">
        <v>2555</v>
      </c>
      <c r="E387" s="48" t="s">
        <v>31</v>
      </c>
      <c r="F387" s="48" t="s">
        <v>74</v>
      </c>
      <c r="G387" s="11" t="s">
        <v>64</v>
      </c>
      <c r="H387" s="11" t="s">
        <v>75</v>
      </c>
      <c r="I387" s="11">
        <v>1299</v>
      </c>
      <c r="J387" s="49" t="s">
        <v>32</v>
      </c>
      <c r="K387" s="49" t="s">
        <v>76</v>
      </c>
      <c r="L387" s="49" t="s">
        <v>84</v>
      </c>
      <c r="M387" s="49" t="s">
        <v>85</v>
      </c>
      <c r="N387" s="48" t="s">
        <v>86</v>
      </c>
      <c r="O387" s="49" t="s">
        <v>35</v>
      </c>
      <c r="P387" s="11" t="s">
        <v>80</v>
      </c>
      <c r="Q387" s="11" t="s">
        <v>90</v>
      </c>
      <c r="R387" s="11" t="s">
        <v>226</v>
      </c>
      <c r="S387" s="11" t="s">
        <v>227</v>
      </c>
      <c r="T387" s="90" t="s">
        <v>3</v>
      </c>
      <c r="U387" s="89"/>
      <c r="V387" s="51">
        <v>45518</v>
      </c>
      <c r="W387" s="49" t="s">
        <v>1580</v>
      </c>
    </row>
    <row r="388" spans="1:23" ht="13" customHeight="1" x14ac:dyDescent="0.35">
      <c r="A388" s="11">
        <v>382</v>
      </c>
      <c r="B388" s="47">
        <v>203800383</v>
      </c>
      <c r="C388" s="94" t="s">
        <v>2556</v>
      </c>
      <c r="D388" s="11" t="s">
        <v>2557</v>
      </c>
      <c r="E388" s="48" t="s">
        <v>31</v>
      </c>
      <c r="F388" s="48" t="s">
        <v>74</v>
      </c>
      <c r="G388" s="11" t="s">
        <v>64</v>
      </c>
      <c r="H388" s="11" t="s">
        <v>75</v>
      </c>
      <c r="I388" s="11">
        <v>1299</v>
      </c>
      <c r="J388" s="49" t="s">
        <v>32</v>
      </c>
      <c r="K388" s="49" t="s">
        <v>76</v>
      </c>
      <c r="L388" s="49" t="s">
        <v>84</v>
      </c>
      <c r="M388" s="49" t="s">
        <v>85</v>
      </c>
      <c r="N388" s="48" t="s">
        <v>86</v>
      </c>
      <c r="O388" s="49" t="s">
        <v>35</v>
      </c>
      <c r="P388" s="11" t="s">
        <v>80</v>
      </c>
      <c r="Q388" s="11" t="s">
        <v>90</v>
      </c>
      <c r="R388" s="11" t="s">
        <v>225</v>
      </c>
      <c r="S388" s="11" t="s">
        <v>2731</v>
      </c>
      <c r="T388" s="90" t="s">
        <v>1</v>
      </c>
      <c r="U388" s="89"/>
      <c r="V388" s="51">
        <v>45516</v>
      </c>
      <c r="W388" s="49" t="s">
        <v>1581</v>
      </c>
    </row>
    <row r="389" spans="1:23" ht="13" customHeight="1" x14ac:dyDescent="0.35">
      <c r="A389" s="11">
        <v>383</v>
      </c>
      <c r="B389" s="47">
        <v>203521427</v>
      </c>
      <c r="C389" s="94" t="s">
        <v>379</v>
      </c>
      <c r="D389" s="11" t="s">
        <v>380</v>
      </c>
      <c r="E389" s="48" t="s">
        <v>31</v>
      </c>
      <c r="F389" s="48" t="s">
        <v>74</v>
      </c>
      <c r="G389" s="11" t="s">
        <v>64</v>
      </c>
      <c r="H389" s="11" t="s">
        <v>75</v>
      </c>
      <c r="I389" s="11">
        <v>1299</v>
      </c>
      <c r="J389" s="49" t="s">
        <v>32</v>
      </c>
      <c r="K389" s="49" t="s">
        <v>76</v>
      </c>
      <c r="L389" s="49" t="s">
        <v>95</v>
      </c>
      <c r="M389" s="49" t="s">
        <v>77</v>
      </c>
      <c r="N389" s="48" t="s">
        <v>79</v>
      </c>
      <c r="O389" s="49" t="s">
        <v>35</v>
      </c>
      <c r="P389" s="11" t="s">
        <v>80</v>
      </c>
      <c r="Q389" s="11" t="s">
        <v>81</v>
      </c>
      <c r="R389" s="11" t="s">
        <v>226</v>
      </c>
      <c r="S389" s="11" t="s">
        <v>227</v>
      </c>
      <c r="T389" s="90" t="s">
        <v>1</v>
      </c>
      <c r="U389" s="91"/>
      <c r="V389" s="51">
        <v>45463</v>
      </c>
      <c r="W389" s="49" t="s">
        <v>1578</v>
      </c>
    </row>
    <row r="390" spans="1:23" ht="13" customHeight="1" x14ac:dyDescent="0.35">
      <c r="A390" s="11">
        <v>384</v>
      </c>
      <c r="B390" s="47">
        <v>203965502</v>
      </c>
      <c r="C390" s="94" t="s">
        <v>382</v>
      </c>
      <c r="D390" s="11" t="s">
        <v>383</v>
      </c>
      <c r="E390" s="48" t="s">
        <v>31</v>
      </c>
      <c r="F390" s="48" t="s">
        <v>74</v>
      </c>
      <c r="G390" s="11" t="s">
        <v>64</v>
      </c>
      <c r="H390" s="11" t="s">
        <v>75</v>
      </c>
      <c r="I390" s="11">
        <v>1299</v>
      </c>
      <c r="J390" s="49" t="s">
        <v>32</v>
      </c>
      <c r="K390" s="49" t="s">
        <v>76</v>
      </c>
      <c r="L390" s="49" t="s">
        <v>78</v>
      </c>
      <c r="M390" s="49" t="s">
        <v>92</v>
      </c>
      <c r="N390" s="48" t="s">
        <v>79</v>
      </c>
      <c r="O390" s="49" t="s">
        <v>35</v>
      </c>
      <c r="P390" s="11" t="s">
        <v>80</v>
      </c>
      <c r="Q390" s="11" t="s">
        <v>81</v>
      </c>
      <c r="R390" s="11" t="s">
        <v>226</v>
      </c>
      <c r="S390" s="11" t="s">
        <v>227</v>
      </c>
      <c r="T390" s="90" t="s">
        <v>1</v>
      </c>
      <c r="U390" s="89"/>
      <c r="V390" s="51">
        <v>45544</v>
      </c>
      <c r="W390" s="49" t="s">
        <v>1580</v>
      </c>
    </row>
    <row r="391" spans="1:23" ht="13" customHeight="1" x14ac:dyDescent="0.35">
      <c r="A391" s="11">
        <v>385</v>
      </c>
      <c r="B391" s="47">
        <v>206072868</v>
      </c>
      <c r="C391" s="94" t="s">
        <v>384</v>
      </c>
      <c r="D391" s="11" t="s">
        <v>385</v>
      </c>
      <c r="E391" s="48" t="s">
        <v>31</v>
      </c>
      <c r="F391" s="48" t="s">
        <v>74</v>
      </c>
      <c r="G391" s="11" t="s">
        <v>64</v>
      </c>
      <c r="H391" s="11" t="s">
        <v>75</v>
      </c>
      <c r="I391" s="11">
        <v>1299</v>
      </c>
      <c r="J391" s="49" t="s">
        <v>32</v>
      </c>
      <c r="K391" s="49" t="s">
        <v>76</v>
      </c>
      <c r="L391" s="49" t="s">
        <v>85</v>
      </c>
      <c r="M391" s="49" t="s">
        <v>88</v>
      </c>
      <c r="N391" s="49" t="s">
        <v>89</v>
      </c>
      <c r="O391" s="49" t="s">
        <v>35</v>
      </c>
      <c r="P391" s="11" t="s">
        <v>80</v>
      </c>
      <c r="Q391" s="11" t="s">
        <v>81</v>
      </c>
      <c r="R391" s="11" t="s">
        <v>232</v>
      </c>
      <c r="S391" s="11" t="s">
        <v>1760</v>
      </c>
      <c r="T391" s="90" t="s">
        <v>10</v>
      </c>
      <c r="U391" s="90"/>
      <c r="V391" s="51">
        <v>45922</v>
      </c>
      <c r="W391" s="49" t="s">
        <v>1580</v>
      </c>
    </row>
    <row r="392" spans="1:23" ht="13" customHeight="1" x14ac:dyDescent="0.35">
      <c r="A392" s="11">
        <v>386</v>
      </c>
      <c r="B392" s="47">
        <v>206504132</v>
      </c>
      <c r="C392" s="94" t="s">
        <v>2558</v>
      </c>
      <c r="D392" s="11" t="s">
        <v>2559</v>
      </c>
      <c r="E392" s="48" t="s">
        <v>31</v>
      </c>
      <c r="F392" s="48" t="s">
        <v>74</v>
      </c>
      <c r="G392" s="11" t="s">
        <v>64</v>
      </c>
      <c r="H392" s="11" t="s">
        <v>75</v>
      </c>
      <c r="I392" s="11">
        <v>1299</v>
      </c>
      <c r="J392" s="49" t="s">
        <v>32</v>
      </c>
      <c r="K392" s="49" t="s">
        <v>76</v>
      </c>
      <c r="L392" s="49" t="s">
        <v>78</v>
      </c>
      <c r="M392" s="49" t="s">
        <v>92</v>
      </c>
      <c r="N392" s="48" t="s">
        <v>86</v>
      </c>
      <c r="O392" s="49" t="s">
        <v>35</v>
      </c>
      <c r="P392" s="11" t="s">
        <v>80</v>
      </c>
      <c r="Q392" s="11" t="s">
        <v>90</v>
      </c>
      <c r="R392" s="11" t="s">
        <v>232</v>
      </c>
      <c r="S392" s="11" t="s">
        <v>1760</v>
      </c>
      <c r="T392" s="90" t="s">
        <v>1</v>
      </c>
      <c r="U392" s="90"/>
      <c r="V392" s="51">
        <v>45971</v>
      </c>
      <c r="W392" s="49" t="s">
        <v>1580</v>
      </c>
    </row>
    <row r="393" spans="1:23" ht="13" customHeight="1" x14ac:dyDescent="0.35">
      <c r="A393" s="11">
        <v>387</v>
      </c>
      <c r="B393" s="47">
        <v>205608625</v>
      </c>
      <c r="C393" s="94" t="s">
        <v>386</v>
      </c>
      <c r="D393" s="11" t="s">
        <v>387</v>
      </c>
      <c r="E393" s="48" t="s">
        <v>31</v>
      </c>
      <c r="F393" s="48" t="s">
        <v>74</v>
      </c>
      <c r="G393" s="11" t="s">
        <v>64</v>
      </c>
      <c r="H393" s="11" t="s">
        <v>75</v>
      </c>
      <c r="I393" s="11">
        <v>1299</v>
      </c>
      <c r="J393" s="49" t="s">
        <v>39</v>
      </c>
      <c r="K393" s="49" t="s">
        <v>76</v>
      </c>
      <c r="L393" s="49" t="s">
        <v>88</v>
      </c>
      <c r="M393" s="49" t="s">
        <v>95</v>
      </c>
      <c r="N393" s="48" t="s">
        <v>86</v>
      </c>
      <c r="O393" s="49" t="s">
        <v>35</v>
      </c>
      <c r="P393" s="11" t="s">
        <v>80</v>
      </c>
      <c r="Q393" s="11" t="s">
        <v>90</v>
      </c>
      <c r="R393" s="11" t="s">
        <v>225</v>
      </c>
      <c r="S393" s="11" t="s">
        <v>2731</v>
      </c>
      <c r="T393" s="90" t="s">
        <v>10</v>
      </c>
      <c r="U393" s="90"/>
      <c r="V393" s="51">
        <v>45845</v>
      </c>
      <c r="W393" s="49" t="s">
        <v>1580</v>
      </c>
    </row>
    <row r="394" spans="1:23" ht="13" customHeight="1" x14ac:dyDescent="0.35">
      <c r="A394" s="11">
        <v>388</v>
      </c>
      <c r="B394" s="11">
        <v>206873552</v>
      </c>
      <c r="C394" s="94" t="s">
        <v>1789</v>
      </c>
      <c r="D394" s="11" t="s">
        <v>1790</v>
      </c>
      <c r="E394" s="48" t="s">
        <v>31</v>
      </c>
      <c r="F394" s="48" t="s">
        <v>74</v>
      </c>
      <c r="G394" s="48" t="s">
        <v>64</v>
      </c>
      <c r="H394" s="48" t="s">
        <v>75</v>
      </c>
      <c r="I394" s="11">
        <v>1299</v>
      </c>
      <c r="J394" s="49" t="s">
        <v>32</v>
      </c>
      <c r="K394" s="49" t="s">
        <v>76</v>
      </c>
      <c r="L394" s="49" t="s">
        <v>78</v>
      </c>
      <c r="M394" s="49" t="s">
        <v>92</v>
      </c>
      <c r="N394" s="49" t="s">
        <v>89</v>
      </c>
      <c r="O394" s="48" t="s">
        <v>35</v>
      </c>
      <c r="P394" s="48" t="s">
        <v>80</v>
      </c>
      <c r="Q394" s="11" t="s">
        <v>81</v>
      </c>
      <c r="R394" s="11" t="s">
        <v>232</v>
      </c>
      <c r="S394" s="11" t="s">
        <v>1760</v>
      </c>
      <c r="T394" s="90" t="s">
        <v>1</v>
      </c>
      <c r="U394" s="89"/>
      <c r="V394" s="51">
        <v>46020</v>
      </c>
      <c r="W394" s="11" t="s">
        <v>1580</v>
      </c>
    </row>
    <row r="395" spans="1:23" ht="13" customHeight="1" x14ac:dyDescent="0.35">
      <c r="A395" s="11">
        <v>389</v>
      </c>
      <c r="B395" s="47">
        <v>202218633</v>
      </c>
      <c r="C395" s="94" t="s">
        <v>388</v>
      </c>
      <c r="D395" s="11" t="s">
        <v>389</v>
      </c>
      <c r="E395" s="48" t="s">
        <v>31</v>
      </c>
      <c r="F395" s="48" t="s">
        <v>74</v>
      </c>
      <c r="G395" s="11" t="s">
        <v>64</v>
      </c>
      <c r="H395" s="11" t="s">
        <v>75</v>
      </c>
      <c r="I395" s="11">
        <v>1299</v>
      </c>
      <c r="J395" s="49" t="s">
        <v>32</v>
      </c>
      <c r="K395" s="49" t="s">
        <v>76</v>
      </c>
      <c r="L395" s="49" t="s">
        <v>85</v>
      </c>
      <c r="M395" s="49" t="s">
        <v>88</v>
      </c>
      <c r="N395" s="48" t="s">
        <v>86</v>
      </c>
      <c r="O395" s="49" t="s">
        <v>35</v>
      </c>
      <c r="P395" s="11" t="s">
        <v>80</v>
      </c>
      <c r="Q395" s="11" t="s">
        <v>87</v>
      </c>
      <c r="R395" s="11" t="s">
        <v>225</v>
      </c>
      <c r="S395" s="11" t="s">
        <v>2731</v>
      </c>
      <c r="T395" s="90" t="s">
        <v>10</v>
      </c>
      <c r="U395" s="91"/>
      <c r="V395" s="51">
        <v>45586</v>
      </c>
      <c r="W395" s="49" t="s">
        <v>1580</v>
      </c>
    </row>
    <row r="396" spans="1:23" ht="13" customHeight="1" x14ac:dyDescent="0.35">
      <c r="A396" s="11">
        <v>390</v>
      </c>
      <c r="B396" s="47">
        <v>206073369</v>
      </c>
      <c r="C396" s="94" t="s">
        <v>390</v>
      </c>
      <c r="D396" s="11" t="s">
        <v>391</v>
      </c>
      <c r="E396" s="48" t="s">
        <v>31</v>
      </c>
      <c r="F396" s="48" t="s">
        <v>74</v>
      </c>
      <c r="G396" s="11" t="s">
        <v>64</v>
      </c>
      <c r="H396" s="11" t="s">
        <v>75</v>
      </c>
      <c r="I396" s="11">
        <v>1299</v>
      </c>
      <c r="J396" s="49" t="s">
        <v>32</v>
      </c>
      <c r="K396" s="49" t="s">
        <v>76</v>
      </c>
      <c r="L396" s="49" t="s">
        <v>78</v>
      </c>
      <c r="M396" s="49" t="s">
        <v>92</v>
      </c>
      <c r="N396" s="49" t="s">
        <v>89</v>
      </c>
      <c r="O396" s="49" t="s">
        <v>35</v>
      </c>
      <c r="P396" s="11" t="s">
        <v>80</v>
      </c>
      <c r="Q396" s="11" t="s">
        <v>81</v>
      </c>
      <c r="R396" s="11" t="s">
        <v>226</v>
      </c>
      <c r="S396" s="11" t="s">
        <v>227</v>
      </c>
      <c r="T396" s="90" t="s">
        <v>1</v>
      </c>
      <c r="U396" s="89"/>
      <c r="V396" s="51">
        <v>45922</v>
      </c>
      <c r="W396" s="49" t="s">
        <v>1579</v>
      </c>
    </row>
    <row r="397" spans="1:23" ht="13" customHeight="1" x14ac:dyDescent="0.35">
      <c r="A397" s="11">
        <v>391</v>
      </c>
      <c r="B397" s="47">
        <v>206874115</v>
      </c>
      <c r="C397" s="94" t="s">
        <v>2560</v>
      </c>
      <c r="D397" s="11" t="s">
        <v>2561</v>
      </c>
      <c r="E397" s="48" t="s">
        <v>31</v>
      </c>
      <c r="F397" s="48" t="s">
        <v>74</v>
      </c>
      <c r="G397" s="48" t="s">
        <v>64</v>
      </c>
      <c r="H397" s="48" t="s">
        <v>75</v>
      </c>
      <c r="I397" s="11">
        <v>1299</v>
      </c>
      <c r="J397" s="49" t="s">
        <v>32</v>
      </c>
      <c r="K397" s="49" t="s">
        <v>76</v>
      </c>
      <c r="L397" s="49" t="s">
        <v>78</v>
      </c>
      <c r="M397" s="49" t="s">
        <v>92</v>
      </c>
      <c r="N397" s="49" t="s">
        <v>89</v>
      </c>
      <c r="O397" s="48" t="s">
        <v>35</v>
      </c>
      <c r="P397" s="48" t="s">
        <v>80</v>
      </c>
      <c r="Q397" s="11" t="s">
        <v>90</v>
      </c>
      <c r="R397" s="11" t="s">
        <v>232</v>
      </c>
      <c r="S397" s="11" t="s">
        <v>1760</v>
      </c>
      <c r="T397" s="90" t="s">
        <v>1</v>
      </c>
      <c r="U397" s="91"/>
      <c r="V397" s="51">
        <v>46020</v>
      </c>
      <c r="W397" s="49" t="s">
        <v>1580</v>
      </c>
    </row>
    <row r="398" spans="1:23" ht="13" customHeight="1" x14ac:dyDescent="0.35">
      <c r="A398" s="11">
        <v>392</v>
      </c>
      <c r="B398" s="11">
        <v>206873567</v>
      </c>
      <c r="C398" s="94" t="s">
        <v>1783</v>
      </c>
      <c r="D398" s="11" t="s">
        <v>1784</v>
      </c>
      <c r="E398" s="48" t="s">
        <v>31</v>
      </c>
      <c r="F398" s="48" t="s">
        <v>74</v>
      </c>
      <c r="G398" s="48" t="s">
        <v>64</v>
      </c>
      <c r="H398" s="48" t="s">
        <v>75</v>
      </c>
      <c r="I398" s="11">
        <v>1299</v>
      </c>
      <c r="J398" s="49" t="s">
        <v>32</v>
      </c>
      <c r="K398" s="49" t="s">
        <v>76</v>
      </c>
      <c r="L398" s="49" t="s">
        <v>78</v>
      </c>
      <c r="M398" s="49" t="s">
        <v>92</v>
      </c>
      <c r="N398" s="49" t="s">
        <v>89</v>
      </c>
      <c r="O398" s="48" t="s">
        <v>35</v>
      </c>
      <c r="P398" s="48" t="s">
        <v>80</v>
      </c>
      <c r="Q398" s="11" t="s">
        <v>81</v>
      </c>
      <c r="R398" s="11" t="s">
        <v>232</v>
      </c>
      <c r="S398" s="11" t="s">
        <v>1760</v>
      </c>
      <c r="T398" s="90" t="s">
        <v>1</v>
      </c>
      <c r="U398" s="90"/>
      <c r="V398" s="51">
        <v>46020</v>
      </c>
      <c r="W398" s="49" t="s">
        <v>1580</v>
      </c>
    </row>
    <row r="399" spans="1:23" ht="13" customHeight="1" x14ac:dyDescent="0.35">
      <c r="A399" s="11">
        <v>393</v>
      </c>
      <c r="B399" s="47">
        <v>203737200</v>
      </c>
      <c r="C399" s="94" t="s">
        <v>2562</v>
      </c>
      <c r="D399" s="11" t="s">
        <v>2563</v>
      </c>
      <c r="E399" s="48" t="s">
        <v>31</v>
      </c>
      <c r="F399" s="48" t="s">
        <v>74</v>
      </c>
      <c r="G399" s="11" t="s">
        <v>64</v>
      </c>
      <c r="H399" s="11" t="s">
        <v>75</v>
      </c>
      <c r="I399" s="11">
        <v>1299</v>
      </c>
      <c r="J399" s="49" t="s">
        <v>32</v>
      </c>
      <c r="K399" s="49" t="s">
        <v>76</v>
      </c>
      <c r="L399" s="49" t="s">
        <v>85</v>
      </c>
      <c r="M399" s="49" t="s">
        <v>88</v>
      </c>
      <c r="N399" s="48" t="s">
        <v>86</v>
      </c>
      <c r="O399" s="49" t="s">
        <v>35</v>
      </c>
      <c r="P399" s="11" t="s">
        <v>80</v>
      </c>
      <c r="Q399" s="11" t="s">
        <v>90</v>
      </c>
      <c r="R399" s="11" t="s">
        <v>232</v>
      </c>
      <c r="S399" s="11" t="s">
        <v>1760</v>
      </c>
      <c r="T399" s="90" t="s">
        <v>10</v>
      </c>
      <c r="U399" s="90"/>
      <c r="V399" s="51">
        <v>45502</v>
      </c>
      <c r="W399" s="49" t="s">
        <v>1580</v>
      </c>
    </row>
    <row r="400" spans="1:23" ht="13" customHeight="1" x14ac:dyDescent="0.35">
      <c r="A400" s="11">
        <v>394</v>
      </c>
      <c r="B400" s="47">
        <v>206873643</v>
      </c>
      <c r="C400" s="94" t="s">
        <v>1769</v>
      </c>
      <c r="D400" s="11" t="s">
        <v>1770</v>
      </c>
      <c r="E400" s="48" t="s">
        <v>31</v>
      </c>
      <c r="F400" s="48" t="s">
        <v>74</v>
      </c>
      <c r="G400" s="48" t="s">
        <v>64</v>
      </c>
      <c r="H400" s="48" t="s">
        <v>75</v>
      </c>
      <c r="I400" s="11">
        <v>1299</v>
      </c>
      <c r="J400" s="49" t="s">
        <v>32</v>
      </c>
      <c r="K400" s="49" t="s">
        <v>76</v>
      </c>
      <c r="L400" s="49" t="s">
        <v>78</v>
      </c>
      <c r="M400" s="49" t="s">
        <v>92</v>
      </c>
      <c r="N400" s="49" t="s">
        <v>89</v>
      </c>
      <c r="O400" s="48" t="s">
        <v>35</v>
      </c>
      <c r="P400" s="48" t="s">
        <v>80</v>
      </c>
      <c r="Q400" s="11" t="s">
        <v>81</v>
      </c>
      <c r="R400" s="11" t="s">
        <v>232</v>
      </c>
      <c r="S400" s="11" t="s">
        <v>1760</v>
      </c>
      <c r="T400" s="90" t="s">
        <v>1</v>
      </c>
      <c r="U400" s="91"/>
      <c r="V400" s="51">
        <v>46020</v>
      </c>
      <c r="W400" s="49" t="s">
        <v>1580</v>
      </c>
    </row>
    <row r="401" spans="1:23" ht="13" customHeight="1" x14ac:dyDescent="0.35">
      <c r="A401" s="11">
        <v>395</v>
      </c>
      <c r="B401" s="47">
        <v>204246601</v>
      </c>
      <c r="C401" s="94" t="s">
        <v>392</v>
      </c>
      <c r="D401" s="11" t="s">
        <v>393</v>
      </c>
      <c r="E401" s="48" t="s">
        <v>31</v>
      </c>
      <c r="F401" s="48" t="s">
        <v>74</v>
      </c>
      <c r="G401" s="11" t="s">
        <v>64</v>
      </c>
      <c r="H401" s="11" t="s">
        <v>75</v>
      </c>
      <c r="I401" s="11">
        <v>1299</v>
      </c>
      <c r="J401" s="49" t="s">
        <v>39</v>
      </c>
      <c r="K401" s="49" t="s">
        <v>76</v>
      </c>
      <c r="L401" s="49" t="s">
        <v>84</v>
      </c>
      <c r="M401" s="49" t="s">
        <v>85</v>
      </c>
      <c r="N401" s="48" t="s">
        <v>86</v>
      </c>
      <c r="O401" s="49" t="s">
        <v>35</v>
      </c>
      <c r="P401" s="11" t="s">
        <v>80</v>
      </c>
      <c r="Q401" s="11" t="s">
        <v>87</v>
      </c>
      <c r="R401" s="11" t="s">
        <v>225</v>
      </c>
      <c r="S401" s="11" t="s">
        <v>2731</v>
      </c>
      <c r="T401" s="90" t="s">
        <v>1</v>
      </c>
      <c r="U401" s="89"/>
      <c r="V401" s="51">
        <v>45579</v>
      </c>
      <c r="W401" s="49" t="s">
        <v>1580</v>
      </c>
    </row>
    <row r="402" spans="1:23" ht="13" customHeight="1" x14ac:dyDescent="0.35">
      <c r="A402" s="11">
        <v>396</v>
      </c>
      <c r="B402" s="47">
        <v>206874042</v>
      </c>
      <c r="C402" s="94" t="s">
        <v>2564</v>
      </c>
      <c r="D402" s="11" t="s">
        <v>2565</v>
      </c>
      <c r="E402" s="48" t="s">
        <v>31</v>
      </c>
      <c r="F402" s="48" t="s">
        <v>74</v>
      </c>
      <c r="G402" s="48" t="s">
        <v>64</v>
      </c>
      <c r="H402" s="48" t="s">
        <v>75</v>
      </c>
      <c r="I402" s="11">
        <v>1299</v>
      </c>
      <c r="J402" s="49" t="s">
        <v>32</v>
      </c>
      <c r="K402" s="49" t="s">
        <v>76</v>
      </c>
      <c r="L402" s="49" t="s">
        <v>78</v>
      </c>
      <c r="M402" s="49" t="s">
        <v>92</v>
      </c>
      <c r="N402" s="49" t="s">
        <v>89</v>
      </c>
      <c r="O402" s="48" t="s">
        <v>35</v>
      </c>
      <c r="P402" s="48" t="s">
        <v>80</v>
      </c>
      <c r="Q402" s="11" t="s">
        <v>90</v>
      </c>
      <c r="R402" s="11" t="s">
        <v>232</v>
      </c>
      <c r="S402" s="11" t="s">
        <v>1760</v>
      </c>
      <c r="T402" s="90" t="s">
        <v>1</v>
      </c>
      <c r="U402" s="90"/>
      <c r="V402" s="51">
        <v>46020</v>
      </c>
      <c r="W402" s="49" t="s">
        <v>1580</v>
      </c>
    </row>
    <row r="403" spans="1:23" ht="13" customHeight="1" x14ac:dyDescent="0.35">
      <c r="A403" s="11">
        <v>397</v>
      </c>
      <c r="B403" s="47">
        <v>206846115</v>
      </c>
      <c r="C403" s="94" t="s">
        <v>2566</v>
      </c>
      <c r="D403" s="47" t="s">
        <v>2567</v>
      </c>
      <c r="E403" s="47" t="s">
        <v>31</v>
      </c>
      <c r="F403" s="47" t="s">
        <v>74</v>
      </c>
      <c r="G403" s="47" t="s">
        <v>64</v>
      </c>
      <c r="H403" s="47" t="s">
        <v>75</v>
      </c>
      <c r="I403" s="47">
        <v>1299</v>
      </c>
      <c r="J403" s="49" t="s">
        <v>32</v>
      </c>
      <c r="K403" s="49" t="s">
        <v>76</v>
      </c>
      <c r="L403" s="49" t="s">
        <v>78</v>
      </c>
      <c r="M403" s="49" t="s">
        <v>92</v>
      </c>
      <c r="N403" s="49" t="s">
        <v>89</v>
      </c>
      <c r="O403" s="47" t="s">
        <v>35</v>
      </c>
      <c r="P403" s="47" t="s">
        <v>80</v>
      </c>
      <c r="Q403" s="47" t="s">
        <v>90</v>
      </c>
      <c r="R403" s="11" t="s">
        <v>232</v>
      </c>
      <c r="S403" s="47" t="s">
        <v>1760</v>
      </c>
      <c r="T403" s="90" t="s">
        <v>1</v>
      </c>
      <c r="U403" s="89"/>
      <c r="V403" s="51">
        <v>46013</v>
      </c>
      <c r="W403" s="47" t="s">
        <v>1580</v>
      </c>
    </row>
    <row r="404" spans="1:23" ht="13" customHeight="1" x14ac:dyDescent="0.35">
      <c r="A404" s="11">
        <v>398</v>
      </c>
      <c r="B404" s="47">
        <v>203816298</v>
      </c>
      <c r="C404" s="94" t="s">
        <v>2568</v>
      </c>
      <c r="D404" s="11" t="s">
        <v>2569</v>
      </c>
      <c r="E404" s="48" t="s">
        <v>31</v>
      </c>
      <c r="F404" s="48" t="s">
        <v>74</v>
      </c>
      <c r="G404" s="11" t="s">
        <v>64</v>
      </c>
      <c r="H404" s="11" t="s">
        <v>75</v>
      </c>
      <c r="I404" s="11">
        <v>1299</v>
      </c>
      <c r="J404" s="49" t="s">
        <v>32</v>
      </c>
      <c r="K404" s="49" t="s">
        <v>76</v>
      </c>
      <c r="L404" s="49" t="s">
        <v>78</v>
      </c>
      <c r="M404" s="49" t="s">
        <v>92</v>
      </c>
      <c r="N404" s="48" t="s">
        <v>86</v>
      </c>
      <c r="O404" s="49" t="s">
        <v>35</v>
      </c>
      <c r="P404" s="11" t="s">
        <v>80</v>
      </c>
      <c r="Q404" s="11" t="s">
        <v>90</v>
      </c>
      <c r="R404" s="11" t="s">
        <v>226</v>
      </c>
      <c r="S404" s="11" t="s">
        <v>227</v>
      </c>
      <c r="T404" s="90" t="s">
        <v>1</v>
      </c>
      <c r="U404" s="89"/>
      <c r="V404" s="51">
        <v>45826</v>
      </c>
      <c r="W404" s="49" t="s">
        <v>1580</v>
      </c>
    </row>
    <row r="405" spans="1:23" ht="13" customHeight="1" x14ac:dyDescent="0.35">
      <c r="A405" s="11">
        <v>399</v>
      </c>
      <c r="B405" s="47">
        <v>204246603</v>
      </c>
      <c r="C405" s="94" t="s">
        <v>394</v>
      </c>
      <c r="D405" s="11" t="s">
        <v>395</v>
      </c>
      <c r="E405" s="48" t="s">
        <v>31</v>
      </c>
      <c r="F405" s="48" t="s">
        <v>74</v>
      </c>
      <c r="G405" s="11" t="s">
        <v>64</v>
      </c>
      <c r="H405" s="11" t="s">
        <v>75</v>
      </c>
      <c r="I405" s="11">
        <v>1299</v>
      </c>
      <c r="J405" s="49" t="s">
        <v>32</v>
      </c>
      <c r="K405" s="49" t="s">
        <v>76</v>
      </c>
      <c r="L405" s="49" t="s">
        <v>85</v>
      </c>
      <c r="M405" s="49" t="s">
        <v>88</v>
      </c>
      <c r="N405" s="48" t="s">
        <v>86</v>
      </c>
      <c r="O405" s="49" t="s">
        <v>35</v>
      </c>
      <c r="P405" s="11" t="s">
        <v>80</v>
      </c>
      <c r="Q405" s="11" t="s">
        <v>87</v>
      </c>
      <c r="R405" s="11" t="s">
        <v>225</v>
      </c>
      <c r="S405" s="11" t="s">
        <v>2731</v>
      </c>
      <c r="T405" s="90" t="s">
        <v>10</v>
      </c>
      <c r="U405" s="89"/>
      <c r="V405" s="51">
        <v>45579</v>
      </c>
      <c r="W405" s="49" t="s">
        <v>1580</v>
      </c>
    </row>
    <row r="406" spans="1:23" ht="13" customHeight="1" x14ac:dyDescent="0.35">
      <c r="A406" s="11">
        <v>400</v>
      </c>
      <c r="B406" s="47">
        <v>205977115</v>
      </c>
      <c r="C406" s="94" t="s">
        <v>396</v>
      </c>
      <c r="D406" s="11" t="s">
        <v>397</v>
      </c>
      <c r="E406" s="48" t="s">
        <v>31</v>
      </c>
      <c r="F406" s="48" t="s">
        <v>74</v>
      </c>
      <c r="G406" s="11" t="s">
        <v>64</v>
      </c>
      <c r="H406" s="11" t="s">
        <v>75</v>
      </c>
      <c r="I406" s="11">
        <v>1299</v>
      </c>
      <c r="J406" s="49" t="s">
        <v>32</v>
      </c>
      <c r="K406" s="49" t="s">
        <v>76</v>
      </c>
      <c r="L406" s="49" t="s">
        <v>78</v>
      </c>
      <c r="M406" s="49" t="s">
        <v>92</v>
      </c>
      <c r="N406" s="48" t="s">
        <v>86</v>
      </c>
      <c r="O406" s="49" t="s">
        <v>35</v>
      </c>
      <c r="P406" s="11" t="s">
        <v>80</v>
      </c>
      <c r="Q406" s="11" t="s">
        <v>90</v>
      </c>
      <c r="R406" s="11" t="s">
        <v>225</v>
      </c>
      <c r="S406" s="11" t="s">
        <v>2731</v>
      </c>
      <c r="T406" s="90" t="s">
        <v>1</v>
      </c>
      <c r="U406" s="91"/>
      <c r="V406" s="51">
        <v>45915</v>
      </c>
      <c r="W406" s="49" t="s">
        <v>1580</v>
      </c>
    </row>
    <row r="407" spans="1:23" ht="13" customHeight="1" x14ac:dyDescent="0.35">
      <c r="A407" s="11">
        <v>401</v>
      </c>
      <c r="B407" s="47">
        <v>206504129</v>
      </c>
      <c r="C407" s="94" t="s">
        <v>2570</v>
      </c>
      <c r="D407" s="11" t="s">
        <v>2571</v>
      </c>
      <c r="E407" s="48" t="s">
        <v>31</v>
      </c>
      <c r="F407" s="48" t="s">
        <v>74</v>
      </c>
      <c r="G407" s="11" t="s">
        <v>64</v>
      </c>
      <c r="H407" s="11" t="s">
        <v>75</v>
      </c>
      <c r="I407" s="11">
        <v>1299</v>
      </c>
      <c r="J407" s="49" t="s">
        <v>32</v>
      </c>
      <c r="K407" s="49" t="s">
        <v>76</v>
      </c>
      <c r="L407" s="49" t="s">
        <v>78</v>
      </c>
      <c r="M407" s="49" t="s">
        <v>92</v>
      </c>
      <c r="N407" s="48" t="s">
        <v>86</v>
      </c>
      <c r="O407" s="49" t="s">
        <v>35</v>
      </c>
      <c r="P407" s="11" t="s">
        <v>80</v>
      </c>
      <c r="Q407" s="11" t="s">
        <v>90</v>
      </c>
      <c r="R407" s="11" t="s">
        <v>225</v>
      </c>
      <c r="S407" s="11" t="s">
        <v>2731</v>
      </c>
      <c r="T407" s="90" t="s">
        <v>1</v>
      </c>
      <c r="U407" s="89"/>
      <c r="V407" s="51">
        <v>45971</v>
      </c>
      <c r="W407" s="49" t="s">
        <v>1580</v>
      </c>
    </row>
    <row r="408" spans="1:23" ht="13" customHeight="1" x14ac:dyDescent="0.35">
      <c r="A408" s="11">
        <v>402</v>
      </c>
      <c r="B408" s="47">
        <v>203521425</v>
      </c>
      <c r="C408" s="94" t="s">
        <v>398</v>
      </c>
      <c r="D408" s="11" t="s">
        <v>399</v>
      </c>
      <c r="E408" s="48" t="s">
        <v>31</v>
      </c>
      <c r="F408" s="48" t="s">
        <v>74</v>
      </c>
      <c r="G408" s="11" t="s">
        <v>64</v>
      </c>
      <c r="H408" s="11" t="s">
        <v>75</v>
      </c>
      <c r="I408" s="11">
        <v>1299</v>
      </c>
      <c r="J408" s="49" t="s">
        <v>32</v>
      </c>
      <c r="K408" s="49" t="s">
        <v>76</v>
      </c>
      <c r="L408" s="49" t="s">
        <v>95</v>
      </c>
      <c r="M408" s="49" t="s">
        <v>77</v>
      </c>
      <c r="N408" s="48" t="s">
        <v>79</v>
      </c>
      <c r="O408" s="49" t="s">
        <v>35</v>
      </c>
      <c r="P408" s="11" t="s">
        <v>80</v>
      </c>
      <c r="Q408" s="11" t="s">
        <v>81</v>
      </c>
      <c r="R408" s="11" t="s">
        <v>226</v>
      </c>
      <c r="S408" s="11" t="s">
        <v>227</v>
      </c>
      <c r="T408" s="90" t="s">
        <v>1</v>
      </c>
      <c r="U408" s="89"/>
      <c r="V408" s="51">
        <v>45463</v>
      </c>
      <c r="W408" s="49" t="s">
        <v>1579</v>
      </c>
    </row>
    <row r="409" spans="1:23" ht="13" customHeight="1" x14ac:dyDescent="0.35">
      <c r="A409" s="11">
        <v>403</v>
      </c>
      <c r="B409" s="47">
        <v>203736254</v>
      </c>
      <c r="C409" s="94" t="s">
        <v>2572</v>
      </c>
      <c r="D409" s="11" t="s">
        <v>2573</v>
      </c>
      <c r="E409" s="48" t="s">
        <v>31</v>
      </c>
      <c r="F409" s="48" t="s">
        <v>74</v>
      </c>
      <c r="G409" s="11" t="s">
        <v>64</v>
      </c>
      <c r="H409" s="11" t="s">
        <v>75</v>
      </c>
      <c r="I409" s="11">
        <v>1299</v>
      </c>
      <c r="J409" s="49" t="s">
        <v>39</v>
      </c>
      <c r="K409" s="49" t="s">
        <v>76</v>
      </c>
      <c r="L409" s="49" t="s">
        <v>84</v>
      </c>
      <c r="M409" s="49" t="s">
        <v>85</v>
      </c>
      <c r="N409" s="48" t="s">
        <v>86</v>
      </c>
      <c r="O409" s="49" t="s">
        <v>35</v>
      </c>
      <c r="P409" s="11" t="s">
        <v>80</v>
      </c>
      <c r="Q409" s="11" t="s">
        <v>90</v>
      </c>
      <c r="R409" s="11" t="s">
        <v>225</v>
      </c>
      <c r="S409" s="11" t="s">
        <v>2731</v>
      </c>
      <c r="T409" s="90" t="s">
        <v>1</v>
      </c>
      <c r="U409" s="89"/>
      <c r="V409" s="51">
        <v>45502</v>
      </c>
      <c r="W409" s="49" t="s">
        <v>1580</v>
      </c>
    </row>
    <row r="410" spans="1:23" ht="13" customHeight="1" x14ac:dyDescent="0.35">
      <c r="A410" s="11">
        <v>404</v>
      </c>
      <c r="B410" s="47">
        <v>203800481</v>
      </c>
      <c r="C410" s="94" t="s">
        <v>400</v>
      </c>
      <c r="D410" s="11" t="s">
        <v>401</v>
      </c>
      <c r="E410" s="48" t="s">
        <v>31</v>
      </c>
      <c r="F410" s="48" t="s">
        <v>74</v>
      </c>
      <c r="G410" s="11" t="s">
        <v>64</v>
      </c>
      <c r="H410" s="11" t="s">
        <v>75</v>
      </c>
      <c r="I410" s="11">
        <v>1299</v>
      </c>
      <c r="J410" s="49" t="s">
        <v>32</v>
      </c>
      <c r="K410" s="49" t="s">
        <v>76</v>
      </c>
      <c r="L410" s="49" t="s">
        <v>78</v>
      </c>
      <c r="M410" s="49" t="s">
        <v>92</v>
      </c>
      <c r="N410" s="48" t="s">
        <v>86</v>
      </c>
      <c r="O410" s="49" t="s">
        <v>35</v>
      </c>
      <c r="P410" s="11" t="s">
        <v>80</v>
      </c>
      <c r="Q410" s="11" t="s">
        <v>90</v>
      </c>
      <c r="R410" s="11" t="s">
        <v>226</v>
      </c>
      <c r="S410" s="11" t="s">
        <v>227</v>
      </c>
      <c r="T410" s="90" t="s">
        <v>1</v>
      </c>
      <c r="U410" s="91"/>
      <c r="V410" s="51">
        <v>45516</v>
      </c>
      <c r="W410" s="49" t="s">
        <v>1580</v>
      </c>
    </row>
    <row r="411" spans="1:23" ht="13" customHeight="1" x14ac:dyDescent="0.35">
      <c r="A411" s="11">
        <v>405</v>
      </c>
      <c r="B411" s="47">
        <v>205977117</v>
      </c>
      <c r="C411" s="94" t="s">
        <v>2574</v>
      </c>
      <c r="D411" s="11" t="s">
        <v>2575</v>
      </c>
      <c r="E411" s="48" t="s">
        <v>31</v>
      </c>
      <c r="F411" s="48" t="s">
        <v>74</v>
      </c>
      <c r="G411" s="11" t="s">
        <v>64</v>
      </c>
      <c r="H411" s="11" t="s">
        <v>75</v>
      </c>
      <c r="I411" s="11">
        <v>1299</v>
      </c>
      <c r="J411" s="49" t="s">
        <v>32</v>
      </c>
      <c r="K411" s="49" t="s">
        <v>76</v>
      </c>
      <c r="L411" s="49" t="s">
        <v>78</v>
      </c>
      <c r="M411" s="49" t="s">
        <v>92</v>
      </c>
      <c r="N411" s="48" t="s">
        <v>86</v>
      </c>
      <c r="O411" s="49" t="s">
        <v>35</v>
      </c>
      <c r="P411" s="11" t="s">
        <v>80</v>
      </c>
      <c r="Q411" s="11" t="s">
        <v>90</v>
      </c>
      <c r="R411" s="11" t="s">
        <v>232</v>
      </c>
      <c r="S411" s="11" t="s">
        <v>1760</v>
      </c>
      <c r="T411" s="90" t="s">
        <v>1</v>
      </c>
      <c r="U411" s="89"/>
      <c r="V411" s="51">
        <v>45915</v>
      </c>
      <c r="W411" s="49" t="s">
        <v>1580</v>
      </c>
    </row>
    <row r="412" spans="1:23" ht="13" customHeight="1" x14ac:dyDescent="0.35">
      <c r="A412" s="11">
        <v>406</v>
      </c>
      <c r="B412" s="47">
        <v>205236908</v>
      </c>
      <c r="C412" s="94" t="s">
        <v>2576</v>
      </c>
      <c r="D412" s="11" t="s">
        <v>2577</v>
      </c>
      <c r="E412" s="48" t="s">
        <v>31</v>
      </c>
      <c r="F412" s="48" t="s">
        <v>74</v>
      </c>
      <c r="G412" s="11" t="s">
        <v>64</v>
      </c>
      <c r="H412" s="11" t="s">
        <v>75</v>
      </c>
      <c r="I412" s="11">
        <v>1299</v>
      </c>
      <c r="J412" s="49" t="s">
        <v>32</v>
      </c>
      <c r="K412" s="49" t="s">
        <v>76</v>
      </c>
      <c r="L412" s="49" t="s">
        <v>85</v>
      </c>
      <c r="M412" s="49" t="s">
        <v>88</v>
      </c>
      <c r="N412" s="48" t="s">
        <v>86</v>
      </c>
      <c r="O412" s="49" t="s">
        <v>35</v>
      </c>
      <c r="P412" s="11" t="s">
        <v>80</v>
      </c>
      <c r="Q412" s="11" t="s">
        <v>90</v>
      </c>
      <c r="R412" s="11" t="s">
        <v>226</v>
      </c>
      <c r="S412" s="11" t="s">
        <v>227</v>
      </c>
      <c r="T412" s="90" t="s">
        <v>10</v>
      </c>
      <c r="U412" s="90"/>
      <c r="V412" s="51">
        <v>45831</v>
      </c>
      <c r="W412" s="49" t="s">
        <v>1581</v>
      </c>
    </row>
    <row r="413" spans="1:23" ht="13" customHeight="1" x14ac:dyDescent="0.35">
      <c r="A413" s="11">
        <v>407</v>
      </c>
      <c r="B413" s="47">
        <v>206846689</v>
      </c>
      <c r="C413" s="94" t="s">
        <v>2578</v>
      </c>
      <c r="D413" s="47" t="s">
        <v>2579</v>
      </c>
      <c r="E413" s="47" t="s">
        <v>31</v>
      </c>
      <c r="F413" s="47" t="s">
        <v>74</v>
      </c>
      <c r="G413" s="47" t="s">
        <v>64</v>
      </c>
      <c r="H413" s="47" t="s">
        <v>75</v>
      </c>
      <c r="I413" s="47">
        <v>1299</v>
      </c>
      <c r="J413" s="49" t="s">
        <v>39</v>
      </c>
      <c r="K413" s="49" t="s">
        <v>76</v>
      </c>
      <c r="L413" s="49" t="s">
        <v>84</v>
      </c>
      <c r="M413" s="49" t="s">
        <v>85</v>
      </c>
      <c r="N413" s="49" t="s">
        <v>89</v>
      </c>
      <c r="O413" s="47" t="s">
        <v>35</v>
      </c>
      <c r="P413" s="47" t="s">
        <v>80</v>
      </c>
      <c r="Q413" s="47" t="s">
        <v>90</v>
      </c>
      <c r="R413" s="11" t="s">
        <v>232</v>
      </c>
      <c r="S413" s="47" t="s">
        <v>1760</v>
      </c>
      <c r="T413" s="90" t="s">
        <v>1</v>
      </c>
      <c r="U413" s="89" t="s">
        <v>2920</v>
      </c>
      <c r="V413" s="51">
        <v>46013</v>
      </c>
      <c r="W413" s="47" t="s">
        <v>1580</v>
      </c>
    </row>
    <row r="414" spans="1:23" ht="13" customHeight="1" x14ac:dyDescent="0.35">
      <c r="A414" s="11">
        <v>408</v>
      </c>
      <c r="B414" s="47">
        <v>206934195</v>
      </c>
      <c r="C414" s="94" t="s">
        <v>2580</v>
      </c>
      <c r="D414" s="11" t="s">
        <v>2581</v>
      </c>
      <c r="E414" s="48" t="s">
        <v>31</v>
      </c>
      <c r="F414" s="48" t="s">
        <v>74</v>
      </c>
      <c r="G414" s="48" t="s">
        <v>64</v>
      </c>
      <c r="H414" s="48" t="s">
        <v>75</v>
      </c>
      <c r="I414" s="11">
        <v>1299</v>
      </c>
      <c r="J414" s="49" t="s">
        <v>39</v>
      </c>
      <c r="K414" s="49" t="s">
        <v>76</v>
      </c>
      <c r="L414" s="49" t="s">
        <v>78</v>
      </c>
      <c r="M414" s="49" t="s">
        <v>92</v>
      </c>
      <c r="N414" s="49" t="s">
        <v>79</v>
      </c>
      <c r="O414" s="49" t="s">
        <v>35</v>
      </c>
      <c r="P414" s="49" t="s">
        <v>80</v>
      </c>
      <c r="Q414" s="11" t="s">
        <v>96</v>
      </c>
      <c r="R414" s="11" t="s">
        <v>225</v>
      </c>
      <c r="S414" s="11" t="s">
        <v>2731</v>
      </c>
      <c r="T414" s="90" t="s">
        <v>1</v>
      </c>
      <c r="U414" s="91"/>
      <c r="V414" s="51">
        <v>46041</v>
      </c>
      <c r="W414" s="49" t="s">
        <v>1580</v>
      </c>
    </row>
    <row r="415" spans="1:23" ht="13" customHeight="1" x14ac:dyDescent="0.35">
      <c r="A415" s="11">
        <v>409</v>
      </c>
      <c r="B415" s="47">
        <v>206791755</v>
      </c>
      <c r="C415" s="94" t="s">
        <v>2582</v>
      </c>
      <c r="D415" s="11" t="s">
        <v>2583</v>
      </c>
      <c r="E415" s="48" t="s">
        <v>31</v>
      </c>
      <c r="F415" s="48" t="s">
        <v>74</v>
      </c>
      <c r="G415" s="11" t="s">
        <v>64</v>
      </c>
      <c r="H415" s="11" t="s">
        <v>75</v>
      </c>
      <c r="I415" s="11">
        <v>1299</v>
      </c>
      <c r="J415" s="49" t="s">
        <v>39</v>
      </c>
      <c r="K415" s="49" t="s">
        <v>76</v>
      </c>
      <c r="L415" s="49" t="s">
        <v>78</v>
      </c>
      <c r="M415" s="49" t="s">
        <v>92</v>
      </c>
      <c r="N415" s="49" t="s">
        <v>89</v>
      </c>
      <c r="O415" s="49" t="s">
        <v>35</v>
      </c>
      <c r="P415" s="11" t="s">
        <v>80</v>
      </c>
      <c r="Q415" s="11" t="s">
        <v>90</v>
      </c>
      <c r="R415" s="11" t="s">
        <v>225</v>
      </c>
      <c r="S415" s="11" t="s">
        <v>2731</v>
      </c>
      <c r="T415" s="90" t="s">
        <v>1</v>
      </c>
      <c r="U415" s="89"/>
      <c r="V415" s="51">
        <v>45999</v>
      </c>
      <c r="W415" s="49" t="s">
        <v>1580</v>
      </c>
    </row>
    <row r="416" spans="1:23" ht="13" customHeight="1" x14ac:dyDescent="0.35">
      <c r="A416" s="11">
        <v>410</v>
      </c>
      <c r="B416" s="47">
        <v>203736255</v>
      </c>
      <c r="C416" s="94" t="s">
        <v>2584</v>
      </c>
      <c r="D416" s="11" t="s">
        <v>2585</v>
      </c>
      <c r="E416" s="48" t="s">
        <v>31</v>
      </c>
      <c r="F416" s="48" t="s">
        <v>74</v>
      </c>
      <c r="G416" s="11" t="s">
        <v>64</v>
      </c>
      <c r="H416" s="11" t="s">
        <v>75</v>
      </c>
      <c r="I416" s="11">
        <v>1299</v>
      </c>
      <c r="J416" s="49" t="s">
        <v>39</v>
      </c>
      <c r="K416" s="49" t="s">
        <v>76</v>
      </c>
      <c r="L416" s="49" t="s">
        <v>92</v>
      </c>
      <c r="M416" s="49" t="s">
        <v>84</v>
      </c>
      <c r="N416" s="48" t="s">
        <v>86</v>
      </c>
      <c r="O416" s="49" t="s">
        <v>35</v>
      </c>
      <c r="P416" s="11" t="s">
        <v>80</v>
      </c>
      <c r="Q416" s="11" t="s">
        <v>90</v>
      </c>
      <c r="R416" s="11" t="s">
        <v>225</v>
      </c>
      <c r="S416" s="11" t="s">
        <v>2731</v>
      </c>
      <c r="T416" s="90" t="s">
        <v>1</v>
      </c>
      <c r="U416" s="91"/>
      <c r="V416" s="51">
        <v>45502</v>
      </c>
      <c r="W416" s="49" t="s">
        <v>1580</v>
      </c>
    </row>
    <row r="417" spans="1:23" ht="13" customHeight="1" x14ac:dyDescent="0.35">
      <c r="A417" s="11">
        <v>411</v>
      </c>
      <c r="B417" s="47">
        <v>204246163</v>
      </c>
      <c r="C417" s="94" t="s">
        <v>403</v>
      </c>
      <c r="D417" s="11" t="s">
        <v>404</v>
      </c>
      <c r="E417" s="48" t="s">
        <v>31</v>
      </c>
      <c r="F417" s="48" t="s">
        <v>74</v>
      </c>
      <c r="G417" s="11" t="s">
        <v>64</v>
      </c>
      <c r="H417" s="11" t="s">
        <v>75</v>
      </c>
      <c r="I417" s="11">
        <v>1299</v>
      </c>
      <c r="J417" s="49" t="s">
        <v>39</v>
      </c>
      <c r="K417" s="49" t="s">
        <v>76</v>
      </c>
      <c r="L417" s="49" t="s">
        <v>77</v>
      </c>
      <c r="M417" s="49" t="s">
        <v>78</v>
      </c>
      <c r="N417" s="48" t="s">
        <v>86</v>
      </c>
      <c r="O417" s="49" t="s">
        <v>35</v>
      </c>
      <c r="P417" s="11" t="s">
        <v>80</v>
      </c>
      <c r="Q417" s="11" t="s">
        <v>87</v>
      </c>
      <c r="R417" s="11" t="s">
        <v>225</v>
      </c>
      <c r="S417" s="11" t="s">
        <v>2731</v>
      </c>
      <c r="T417" s="90" t="s">
        <v>4</v>
      </c>
      <c r="U417" s="90"/>
      <c r="V417" s="51">
        <v>45579</v>
      </c>
      <c r="W417" s="49" t="s">
        <v>1580</v>
      </c>
    </row>
    <row r="418" spans="1:23" ht="13" customHeight="1" x14ac:dyDescent="0.35">
      <c r="A418" s="11">
        <v>412</v>
      </c>
      <c r="B418" s="47">
        <v>206846692</v>
      </c>
      <c r="C418" s="94" t="s">
        <v>2586</v>
      </c>
      <c r="D418" s="47" t="s">
        <v>2587</v>
      </c>
      <c r="E418" s="47" t="s">
        <v>31</v>
      </c>
      <c r="F418" s="47" t="s">
        <v>74</v>
      </c>
      <c r="G418" s="47" t="s">
        <v>64</v>
      </c>
      <c r="H418" s="47" t="s">
        <v>75</v>
      </c>
      <c r="I418" s="47">
        <v>1299</v>
      </c>
      <c r="J418" s="49" t="s">
        <v>32</v>
      </c>
      <c r="K418" s="49" t="s">
        <v>76</v>
      </c>
      <c r="L418" s="49" t="s">
        <v>78</v>
      </c>
      <c r="M418" s="49" t="s">
        <v>92</v>
      </c>
      <c r="N418" s="49" t="s">
        <v>89</v>
      </c>
      <c r="O418" s="47" t="s">
        <v>35</v>
      </c>
      <c r="P418" s="47" t="s">
        <v>80</v>
      </c>
      <c r="Q418" s="47" t="s">
        <v>90</v>
      </c>
      <c r="R418" s="11" t="s">
        <v>232</v>
      </c>
      <c r="S418" s="47" t="s">
        <v>1760</v>
      </c>
      <c r="T418" s="90" t="s">
        <v>1</v>
      </c>
      <c r="U418" s="90"/>
      <c r="V418" s="51">
        <v>46013</v>
      </c>
      <c r="W418" s="47" t="s">
        <v>1580</v>
      </c>
    </row>
    <row r="419" spans="1:23" ht="13" customHeight="1" x14ac:dyDescent="0.35">
      <c r="A419" s="11">
        <v>413</v>
      </c>
      <c r="B419" s="47">
        <v>206072876</v>
      </c>
      <c r="C419" s="94" t="s">
        <v>405</v>
      </c>
      <c r="D419" s="11" t="s">
        <v>406</v>
      </c>
      <c r="E419" s="48" t="s">
        <v>31</v>
      </c>
      <c r="F419" s="48" t="s">
        <v>74</v>
      </c>
      <c r="G419" s="11" t="s">
        <v>64</v>
      </c>
      <c r="H419" s="11" t="s">
        <v>75</v>
      </c>
      <c r="I419" s="11">
        <v>1299</v>
      </c>
      <c r="J419" s="49" t="s">
        <v>32</v>
      </c>
      <c r="K419" s="49" t="s">
        <v>76</v>
      </c>
      <c r="L419" s="49" t="s">
        <v>78</v>
      </c>
      <c r="M419" s="49" t="s">
        <v>92</v>
      </c>
      <c r="N419" s="48" t="s">
        <v>79</v>
      </c>
      <c r="O419" s="49" t="s">
        <v>35</v>
      </c>
      <c r="P419" s="11" t="s">
        <v>80</v>
      </c>
      <c r="Q419" s="11" t="s">
        <v>81</v>
      </c>
      <c r="R419" s="11" t="s">
        <v>225</v>
      </c>
      <c r="S419" s="11" t="s">
        <v>2731</v>
      </c>
      <c r="T419" s="90" t="s">
        <v>7</v>
      </c>
      <c r="U419" s="90" t="s">
        <v>2914</v>
      </c>
      <c r="V419" s="51">
        <v>45922</v>
      </c>
      <c r="W419" s="49" t="s">
        <v>1580</v>
      </c>
    </row>
    <row r="420" spans="1:23" ht="13" customHeight="1" x14ac:dyDescent="0.35">
      <c r="A420" s="11">
        <v>414</v>
      </c>
      <c r="B420" s="47">
        <v>203736329</v>
      </c>
      <c r="C420" s="94" t="s">
        <v>2588</v>
      </c>
      <c r="D420" s="11" t="s">
        <v>2589</v>
      </c>
      <c r="E420" s="48" t="s">
        <v>31</v>
      </c>
      <c r="F420" s="48" t="s">
        <v>74</v>
      </c>
      <c r="G420" s="11" t="s">
        <v>64</v>
      </c>
      <c r="H420" s="11" t="s">
        <v>75</v>
      </c>
      <c r="I420" s="11">
        <v>1299</v>
      </c>
      <c r="J420" s="49" t="s">
        <v>32</v>
      </c>
      <c r="K420" s="49" t="s">
        <v>76</v>
      </c>
      <c r="L420" s="49" t="s">
        <v>78</v>
      </c>
      <c r="M420" s="49" t="s">
        <v>92</v>
      </c>
      <c r="N420" s="48" t="s">
        <v>86</v>
      </c>
      <c r="O420" s="49" t="s">
        <v>35</v>
      </c>
      <c r="P420" s="11" t="s">
        <v>80</v>
      </c>
      <c r="Q420" s="11" t="s">
        <v>90</v>
      </c>
      <c r="R420" s="11" t="s">
        <v>225</v>
      </c>
      <c r="S420" s="11" t="s">
        <v>2731</v>
      </c>
      <c r="T420" s="90" t="s">
        <v>1</v>
      </c>
      <c r="U420" s="90"/>
      <c r="V420" s="51">
        <v>45502</v>
      </c>
      <c r="W420" s="49" t="s">
        <v>1580</v>
      </c>
    </row>
    <row r="421" spans="1:23" ht="13" customHeight="1" x14ac:dyDescent="0.35">
      <c r="A421" s="11">
        <v>415</v>
      </c>
      <c r="B421" s="47">
        <v>205477624</v>
      </c>
      <c r="C421" s="94" t="s">
        <v>407</v>
      </c>
      <c r="D421" s="11" t="s">
        <v>408</v>
      </c>
      <c r="E421" s="48" t="s">
        <v>31</v>
      </c>
      <c r="F421" s="48" t="s">
        <v>74</v>
      </c>
      <c r="G421" s="11" t="s">
        <v>64</v>
      </c>
      <c r="H421" s="11" t="s">
        <v>75</v>
      </c>
      <c r="I421" s="11">
        <v>1299</v>
      </c>
      <c r="J421" s="49" t="s">
        <v>32</v>
      </c>
      <c r="K421" s="49" t="s">
        <v>76</v>
      </c>
      <c r="L421" s="49" t="s">
        <v>78</v>
      </c>
      <c r="M421" s="49" t="s">
        <v>92</v>
      </c>
      <c r="N421" s="48" t="s">
        <v>86</v>
      </c>
      <c r="O421" s="49" t="s">
        <v>35</v>
      </c>
      <c r="P421" s="11" t="s">
        <v>80</v>
      </c>
      <c r="Q421" s="11" t="s">
        <v>90</v>
      </c>
      <c r="R421" s="11" t="s">
        <v>226</v>
      </c>
      <c r="S421" s="11" t="s">
        <v>227</v>
      </c>
      <c r="T421" s="90" t="s">
        <v>1</v>
      </c>
      <c r="U421" s="89"/>
      <c r="V421" s="51">
        <v>45831</v>
      </c>
      <c r="W421" s="49" t="s">
        <v>1581</v>
      </c>
    </row>
    <row r="422" spans="1:23" ht="13" customHeight="1" x14ac:dyDescent="0.35">
      <c r="A422" s="11">
        <v>416</v>
      </c>
      <c r="B422" s="47">
        <v>203599606</v>
      </c>
      <c r="C422" s="94" t="s">
        <v>409</v>
      </c>
      <c r="D422" s="11" t="s">
        <v>410</v>
      </c>
      <c r="E422" s="48" t="s">
        <v>31</v>
      </c>
      <c r="F422" s="48" t="s">
        <v>74</v>
      </c>
      <c r="G422" s="11" t="s">
        <v>64</v>
      </c>
      <c r="H422" s="11" t="s">
        <v>75</v>
      </c>
      <c r="I422" s="11">
        <v>1299</v>
      </c>
      <c r="J422" s="49" t="s">
        <v>32</v>
      </c>
      <c r="K422" s="49" t="s">
        <v>76</v>
      </c>
      <c r="L422" s="49" t="s">
        <v>36</v>
      </c>
      <c r="M422" s="49" t="s">
        <v>95</v>
      </c>
      <c r="N422" s="48" t="s">
        <v>79</v>
      </c>
      <c r="O422" s="49" t="s">
        <v>35</v>
      </c>
      <c r="P422" s="11" t="s">
        <v>80</v>
      </c>
      <c r="Q422" s="11" t="s">
        <v>81</v>
      </c>
      <c r="R422" s="11" t="s">
        <v>225</v>
      </c>
      <c r="S422" s="11" t="s">
        <v>2731</v>
      </c>
      <c r="T422" s="90" t="s">
        <v>1</v>
      </c>
      <c r="U422" s="90" t="s">
        <v>2919</v>
      </c>
      <c r="V422" s="51">
        <v>45544</v>
      </c>
      <c r="W422" s="49" t="s">
        <v>1580</v>
      </c>
    </row>
    <row r="423" spans="1:23" ht="13" customHeight="1" x14ac:dyDescent="0.35">
      <c r="A423" s="11">
        <v>417</v>
      </c>
      <c r="B423" s="47">
        <v>202334276</v>
      </c>
      <c r="C423" s="94" t="s">
        <v>411</v>
      </c>
      <c r="D423" s="11" t="s">
        <v>412</v>
      </c>
      <c r="E423" s="48" t="s">
        <v>31</v>
      </c>
      <c r="F423" s="48" t="s">
        <v>74</v>
      </c>
      <c r="G423" s="11" t="s">
        <v>64</v>
      </c>
      <c r="H423" s="11" t="s">
        <v>75</v>
      </c>
      <c r="I423" s="11">
        <v>1299</v>
      </c>
      <c r="J423" s="49" t="s">
        <v>32</v>
      </c>
      <c r="K423" s="49" t="s">
        <v>76</v>
      </c>
      <c r="L423" s="49" t="s">
        <v>88</v>
      </c>
      <c r="M423" s="49" t="s">
        <v>95</v>
      </c>
      <c r="N423" s="48" t="s">
        <v>86</v>
      </c>
      <c r="O423" s="49" t="s">
        <v>35</v>
      </c>
      <c r="P423" s="11" t="s">
        <v>80</v>
      </c>
      <c r="Q423" s="11" t="s">
        <v>87</v>
      </c>
      <c r="R423" s="11" t="s">
        <v>232</v>
      </c>
      <c r="S423" s="11" t="s">
        <v>1760</v>
      </c>
      <c r="T423" s="90" t="s">
        <v>10</v>
      </c>
      <c r="U423" s="89"/>
      <c r="V423" s="51">
        <v>45581</v>
      </c>
      <c r="W423" s="49" t="s">
        <v>1580</v>
      </c>
    </row>
    <row r="424" spans="1:23" ht="13" customHeight="1" x14ac:dyDescent="0.35">
      <c r="A424" s="11">
        <v>418</v>
      </c>
      <c r="B424" s="47">
        <v>203521525</v>
      </c>
      <c r="C424" s="94" t="s">
        <v>413</v>
      </c>
      <c r="D424" s="11" t="s">
        <v>414</v>
      </c>
      <c r="E424" s="48" t="s">
        <v>31</v>
      </c>
      <c r="F424" s="48" t="s">
        <v>74</v>
      </c>
      <c r="G424" s="11" t="s">
        <v>64</v>
      </c>
      <c r="H424" s="11" t="s">
        <v>75</v>
      </c>
      <c r="I424" s="11">
        <v>1299</v>
      </c>
      <c r="J424" s="49" t="s">
        <v>32</v>
      </c>
      <c r="K424" s="49" t="s">
        <v>76</v>
      </c>
      <c r="L424" s="49" t="s">
        <v>88</v>
      </c>
      <c r="M424" s="49" t="s">
        <v>95</v>
      </c>
      <c r="N424" s="48" t="s">
        <v>79</v>
      </c>
      <c r="O424" s="49" t="s">
        <v>35</v>
      </c>
      <c r="P424" s="11" t="s">
        <v>80</v>
      </c>
      <c r="Q424" s="11" t="s">
        <v>81</v>
      </c>
      <c r="R424" s="11" t="s">
        <v>226</v>
      </c>
      <c r="S424" s="11" t="s">
        <v>227</v>
      </c>
      <c r="T424" s="90" t="s">
        <v>10</v>
      </c>
      <c r="U424" s="89"/>
      <c r="V424" s="51">
        <v>45463</v>
      </c>
      <c r="W424" s="49" t="s">
        <v>1578</v>
      </c>
    </row>
    <row r="425" spans="1:23" ht="13" customHeight="1" x14ac:dyDescent="0.35">
      <c r="A425" s="11">
        <v>419</v>
      </c>
      <c r="B425" s="47">
        <v>206073366</v>
      </c>
      <c r="C425" s="94" t="s">
        <v>415</v>
      </c>
      <c r="D425" s="11" t="s">
        <v>416</v>
      </c>
      <c r="E425" s="48" t="s">
        <v>31</v>
      </c>
      <c r="F425" s="48" t="s">
        <v>74</v>
      </c>
      <c r="G425" s="11" t="s">
        <v>64</v>
      </c>
      <c r="H425" s="11" t="s">
        <v>75</v>
      </c>
      <c r="I425" s="11">
        <v>1299</v>
      </c>
      <c r="J425" s="49" t="s">
        <v>32</v>
      </c>
      <c r="K425" s="49" t="s">
        <v>76</v>
      </c>
      <c r="L425" s="49" t="s">
        <v>78</v>
      </c>
      <c r="M425" s="49" t="s">
        <v>92</v>
      </c>
      <c r="N425" s="48" t="s">
        <v>79</v>
      </c>
      <c r="O425" s="49" t="s">
        <v>35</v>
      </c>
      <c r="P425" s="11" t="s">
        <v>80</v>
      </c>
      <c r="Q425" s="11" t="s">
        <v>81</v>
      </c>
      <c r="R425" s="11" t="s">
        <v>232</v>
      </c>
      <c r="S425" s="11" t="s">
        <v>1760</v>
      </c>
      <c r="T425" s="90" t="s">
        <v>1</v>
      </c>
      <c r="U425" s="89"/>
      <c r="V425" s="51">
        <v>45922</v>
      </c>
      <c r="W425" s="49" t="s">
        <v>1580</v>
      </c>
    </row>
    <row r="426" spans="1:23" ht="13" customHeight="1" x14ac:dyDescent="0.35">
      <c r="A426" s="11">
        <v>420</v>
      </c>
      <c r="B426" s="47">
        <v>203851007</v>
      </c>
      <c r="C426" s="94" t="s">
        <v>417</v>
      </c>
      <c r="D426" s="11" t="s">
        <v>418</v>
      </c>
      <c r="E426" s="48" t="s">
        <v>31</v>
      </c>
      <c r="F426" s="48" t="s">
        <v>74</v>
      </c>
      <c r="G426" s="11" t="s">
        <v>64</v>
      </c>
      <c r="H426" s="11" t="s">
        <v>75</v>
      </c>
      <c r="I426" s="11">
        <v>1299</v>
      </c>
      <c r="J426" s="49" t="s">
        <v>32</v>
      </c>
      <c r="K426" s="49" t="s">
        <v>76</v>
      </c>
      <c r="L426" s="49" t="s">
        <v>84</v>
      </c>
      <c r="M426" s="49" t="s">
        <v>85</v>
      </c>
      <c r="N426" s="48" t="s">
        <v>79</v>
      </c>
      <c r="O426" s="49" t="s">
        <v>35</v>
      </c>
      <c r="P426" s="11" t="s">
        <v>80</v>
      </c>
      <c r="Q426" s="11" t="s">
        <v>81</v>
      </c>
      <c r="R426" s="11" t="s">
        <v>226</v>
      </c>
      <c r="S426" s="11" t="s">
        <v>227</v>
      </c>
      <c r="T426" s="90" t="s">
        <v>7</v>
      </c>
      <c r="U426" s="90"/>
      <c r="V426" s="51">
        <v>45524</v>
      </c>
      <c r="W426" s="49" t="s">
        <v>1579</v>
      </c>
    </row>
    <row r="427" spans="1:23" ht="13" customHeight="1" x14ac:dyDescent="0.35">
      <c r="A427" s="11">
        <v>421</v>
      </c>
      <c r="B427" s="47">
        <v>205608629</v>
      </c>
      <c r="C427" s="94" t="s">
        <v>2590</v>
      </c>
      <c r="D427" s="11" t="s">
        <v>2591</v>
      </c>
      <c r="E427" s="48" t="s">
        <v>31</v>
      </c>
      <c r="F427" s="48" t="s">
        <v>74</v>
      </c>
      <c r="G427" s="11" t="s">
        <v>64</v>
      </c>
      <c r="H427" s="11" t="s">
        <v>75</v>
      </c>
      <c r="I427" s="11">
        <v>1299</v>
      </c>
      <c r="J427" s="49" t="s">
        <v>39</v>
      </c>
      <c r="K427" s="49" t="s">
        <v>76</v>
      </c>
      <c r="L427" s="49" t="s">
        <v>77</v>
      </c>
      <c r="M427" s="49" t="s">
        <v>78</v>
      </c>
      <c r="N427" s="48" t="s">
        <v>86</v>
      </c>
      <c r="O427" s="49" t="s">
        <v>35</v>
      </c>
      <c r="P427" s="11" t="s">
        <v>80</v>
      </c>
      <c r="Q427" s="11" t="s">
        <v>90</v>
      </c>
      <c r="R427" s="11" t="s">
        <v>225</v>
      </c>
      <c r="S427" s="11" t="s">
        <v>2731</v>
      </c>
      <c r="T427" s="90" t="s">
        <v>1</v>
      </c>
      <c r="U427" s="90"/>
      <c r="V427" s="51">
        <v>45845</v>
      </c>
      <c r="W427" s="49" t="s">
        <v>1580</v>
      </c>
    </row>
    <row r="428" spans="1:23" ht="13" customHeight="1" x14ac:dyDescent="0.35">
      <c r="A428" s="11">
        <v>422</v>
      </c>
      <c r="B428" s="47">
        <v>203521131</v>
      </c>
      <c r="C428" s="94" t="s">
        <v>419</v>
      </c>
      <c r="D428" s="11" t="s">
        <v>420</v>
      </c>
      <c r="E428" s="48" t="s">
        <v>31</v>
      </c>
      <c r="F428" s="48" t="s">
        <v>74</v>
      </c>
      <c r="G428" s="11" t="s">
        <v>64</v>
      </c>
      <c r="H428" s="11" t="s">
        <v>75</v>
      </c>
      <c r="I428" s="11">
        <v>1299</v>
      </c>
      <c r="J428" s="49" t="s">
        <v>32</v>
      </c>
      <c r="K428" s="49" t="s">
        <v>76</v>
      </c>
      <c r="L428" s="49" t="s">
        <v>77</v>
      </c>
      <c r="M428" s="49" t="s">
        <v>78</v>
      </c>
      <c r="N428" s="48" t="s">
        <v>79</v>
      </c>
      <c r="O428" s="49" t="s">
        <v>35</v>
      </c>
      <c r="P428" s="11" t="s">
        <v>80</v>
      </c>
      <c r="Q428" s="11" t="s">
        <v>81</v>
      </c>
      <c r="R428" s="11" t="s">
        <v>225</v>
      </c>
      <c r="S428" s="11" t="s">
        <v>2731</v>
      </c>
      <c r="T428" s="90" t="s">
        <v>7</v>
      </c>
      <c r="U428" s="90" t="s">
        <v>2914</v>
      </c>
      <c r="V428" s="51">
        <v>45463</v>
      </c>
      <c r="W428" s="49" t="s">
        <v>1580</v>
      </c>
    </row>
    <row r="429" spans="1:23" ht="13" customHeight="1" x14ac:dyDescent="0.35">
      <c r="A429" s="11">
        <v>423</v>
      </c>
      <c r="B429" s="11">
        <v>206953801</v>
      </c>
      <c r="C429" s="94" t="s">
        <v>2202</v>
      </c>
      <c r="D429" s="11" t="s">
        <v>2203</v>
      </c>
      <c r="E429" s="48" t="s">
        <v>31</v>
      </c>
      <c r="F429" s="48" t="s">
        <v>74</v>
      </c>
      <c r="G429" s="11" t="s">
        <v>64</v>
      </c>
      <c r="H429" s="11" t="s">
        <v>75</v>
      </c>
      <c r="I429" s="11">
        <v>1299</v>
      </c>
      <c r="J429" s="49" t="s">
        <v>32</v>
      </c>
      <c r="K429" s="49" t="s">
        <v>76</v>
      </c>
      <c r="L429" s="49" t="s">
        <v>78</v>
      </c>
      <c r="M429" s="49" t="s">
        <v>92</v>
      </c>
      <c r="N429" s="49" t="s">
        <v>86</v>
      </c>
      <c r="O429" s="87" t="s">
        <v>35</v>
      </c>
      <c r="P429" s="11" t="s">
        <v>80</v>
      </c>
      <c r="Q429" s="84" t="s">
        <v>90</v>
      </c>
      <c r="R429" s="11" t="s">
        <v>225</v>
      </c>
      <c r="S429" s="54" t="s">
        <v>2731</v>
      </c>
      <c r="T429" s="90" t="s">
        <v>1</v>
      </c>
      <c r="U429" s="89"/>
      <c r="V429" s="51">
        <v>46051</v>
      </c>
      <c r="W429" s="2" t="s">
        <v>1580</v>
      </c>
    </row>
    <row r="430" spans="1:23" ht="13" customHeight="1" x14ac:dyDescent="0.35">
      <c r="A430" s="11">
        <v>424</v>
      </c>
      <c r="B430" s="47">
        <v>204246608</v>
      </c>
      <c r="C430" s="94" t="s">
        <v>421</v>
      </c>
      <c r="D430" s="11" t="s">
        <v>422</v>
      </c>
      <c r="E430" s="48" t="s">
        <v>31</v>
      </c>
      <c r="F430" s="48" t="s">
        <v>74</v>
      </c>
      <c r="G430" s="11" t="s">
        <v>64</v>
      </c>
      <c r="H430" s="11" t="s">
        <v>75</v>
      </c>
      <c r="I430" s="11">
        <v>1299</v>
      </c>
      <c r="J430" s="49" t="s">
        <v>39</v>
      </c>
      <c r="K430" s="49" t="s">
        <v>76</v>
      </c>
      <c r="L430" s="49" t="s">
        <v>78</v>
      </c>
      <c r="M430" s="49" t="s">
        <v>92</v>
      </c>
      <c r="N430" s="48" t="s">
        <v>86</v>
      </c>
      <c r="O430" s="49" t="s">
        <v>35</v>
      </c>
      <c r="P430" s="11" t="s">
        <v>80</v>
      </c>
      <c r="Q430" s="11" t="s">
        <v>87</v>
      </c>
      <c r="R430" s="11" t="s">
        <v>226</v>
      </c>
      <c r="S430" s="11" t="s">
        <v>227</v>
      </c>
      <c r="T430" s="90" t="s">
        <v>1</v>
      </c>
      <c r="U430" s="89"/>
      <c r="V430" s="51">
        <v>45579</v>
      </c>
      <c r="W430" s="49" t="s">
        <v>1579</v>
      </c>
    </row>
    <row r="431" spans="1:23" ht="13" customHeight="1" x14ac:dyDescent="0.35">
      <c r="A431" s="11">
        <v>425</v>
      </c>
      <c r="B431" s="47">
        <v>204869083</v>
      </c>
      <c r="C431" s="94" t="s">
        <v>423</v>
      </c>
      <c r="D431" s="11" t="s">
        <v>424</v>
      </c>
      <c r="E431" s="48" t="s">
        <v>31</v>
      </c>
      <c r="F431" s="48" t="s">
        <v>74</v>
      </c>
      <c r="G431" s="11" t="s">
        <v>64</v>
      </c>
      <c r="H431" s="11" t="s">
        <v>75</v>
      </c>
      <c r="I431" s="11">
        <v>1299</v>
      </c>
      <c r="J431" s="49" t="s">
        <v>32</v>
      </c>
      <c r="K431" s="49" t="s">
        <v>76</v>
      </c>
      <c r="L431" s="49" t="s">
        <v>78</v>
      </c>
      <c r="M431" s="49" t="s">
        <v>92</v>
      </c>
      <c r="N431" s="48" t="s">
        <v>86</v>
      </c>
      <c r="O431" s="49" t="s">
        <v>35</v>
      </c>
      <c r="P431" s="11" t="s">
        <v>80</v>
      </c>
      <c r="Q431" s="11" t="s">
        <v>87</v>
      </c>
      <c r="R431" s="11" t="s">
        <v>226</v>
      </c>
      <c r="S431" s="11" t="s">
        <v>227</v>
      </c>
      <c r="T431" s="90" t="s">
        <v>1</v>
      </c>
      <c r="U431" s="90"/>
      <c r="V431" s="51">
        <v>45691</v>
      </c>
      <c r="W431" s="49" t="s">
        <v>1579</v>
      </c>
    </row>
    <row r="432" spans="1:23" ht="13" customHeight="1" x14ac:dyDescent="0.35">
      <c r="A432" s="11">
        <v>426</v>
      </c>
      <c r="B432" s="47">
        <v>204241393</v>
      </c>
      <c r="C432" s="94" t="s">
        <v>425</v>
      </c>
      <c r="D432" s="11" t="s">
        <v>426</v>
      </c>
      <c r="E432" s="48" t="s">
        <v>31</v>
      </c>
      <c r="F432" s="48" t="s">
        <v>74</v>
      </c>
      <c r="G432" s="11" t="s">
        <v>64</v>
      </c>
      <c r="H432" s="11" t="s">
        <v>75</v>
      </c>
      <c r="I432" s="11">
        <v>1299</v>
      </c>
      <c r="J432" s="49" t="s">
        <v>32</v>
      </c>
      <c r="K432" s="49" t="s">
        <v>76</v>
      </c>
      <c r="L432" s="49" t="s">
        <v>78</v>
      </c>
      <c r="M432" s="49" t="s">
        <v>92</v>
      </c>
      <c r="N432" s="48" t="s">
        <v>86</v>
      </c>
      <c r="O432" s="49" t="s">
        <v>35</v>
      </c>
      <c r="P432" s="11" t="s">
        <v>80</v>
      </c>
      <c r="Q432" s="11" t="s">
        <v>87</v>
      </c>
      <c r="R432" s="11" t="s">
        <v>225</v>
      </c>
      <c r="S432" s="11" t="s">
        <v>2731</v>
      </c>
      <c r="T432" s="90" t="s">
        <v>1</v>
      </c>
      <c r="U432" s="89"/>
      <c r="V432" s="51">
        <v>45579</v>
      </c>
      <c r="W432" s="49" t="s">
        <v>1579</v>
      </c>
    </row>
    <row r="433" spans="1:23" ht="13" customHeight="1" x14ac:dyDescent="0.35">
      <c r="A433" s="11">
        <v>427</v>
      </c>
      <c r="B433" s="47">
        <v>204246616</v>
      </c>
      <c r="C433" s="94" t="s">
        <v>427</v>
      </c>
      <c r="D433" s="11" t="s">
        <v>428</v>
      </c>
      <c r="E433" s="48" t="s">
        <v>31</v>
      </c>
      <c r="F433" s="48" t="s">
        <v>74</v>
      </c>
      <c r="G433" s="11" t="s">
        <v>64</v>
      </c>
      <c r="H433" s="11" t="s">
        <v>75</v>
      </c>
      <c r="I433" s="11">
        <v>1299</v>
      </c>
      <c r="J433" s="49" t="s">
        <v>39</v>
      </c>
      <c r="K433" s="49" t="s">
        <v>76</v>
      </c>
      <c r="L433" s="49" t="s">
        <v>78</v>
      </c>
      <c r="M433" s="49" t="s">
        <v>92</v>
      </c>
      <c r="N433" s="48" t="s">
        <v>86</v>
      </c>
      <c r="O433" s="49" t="s">
        <v>35</v>
      </c>
      <c r="P433" s="11" t="s">
        <v>80</v>
      </c>
      <c r="Q433" s="11" t="s">
        <v>87</v>
      </c>
      <c r="R433" s="11" t="s">
        <v>225</v>
      </c>
      <c r="S433" s="11" t="s">
        <v>2731</v>
      </c>
      <c r="T433" s="90" t="s">
        <v>1</v>
      </c>
      <c r="U433" s="90"/>
      <c r="V433" s="51">
        <v>45579</v>
      </c>
      <c r="W433" s="49" t="s">
        <v>1580</v>
      </c>
    </row>
    <row r="434" spans="1:23" ht="13" customHeight="1" x14ac:dyDescent="0.35">
      <c r="A434" s="11">
        <v>428</v>
      </c>
      <c r="B434" s="47">
        <v>204246611</v>
      </c>
      <c r="C434" s="94" t="s">
        <v>429</v>
      </c>
      <c r="D434" s="11" t="s">
        <v>430</v>
      </c>
      <c r="E434" s="48" t="s">
        <v>31</v>
      </c>
      <c r="F434" s="48" t="s">
        <v>74</v>
      </c>
      <c r="G434" s="11" t="s">
        <v>64</v>
      </c>
      <c r="H434" s="11" t="s">
        <v>75</v>
      </c>
      <c r="I434" s="11">
        <v>1299</v>
      </c>
      <c r="J434" s="49" t="s">
        <v>32</v>
      </c>
      <c r="K434" s="49" t="s">
        <v>76</v>
      </c>
      <c r="L434" s="49" t="s">
        <v>78</v>
      </c>
      <c r="M434" s="49" t="s">
        <v>92</v>
      </c>
      <c r="N434" s="48" t="s">
        <v>86</v>
      </c>
      <c r="O434" s="49" t="s">
        <v>35</v>
      </c>
      <c r="P434" s="11" t="s">
        <v>80</v>
      </c>
      <c r="Q434" s="11" t="s">
        <v>87</v>
      </c>
      <c r="R434" s="11" t="s">
        <v>226</v>
      </c>
      <c r="S434" s="11" t="s">
        <v>227</v>
      </c>
      <c r="T434" s="90" t="s">
        <v>7</v>
      </c>
      <c r="U434" s="90" t="s">
        <v>2914</v>
      </c>
      <c r="V434" s="51">
        <v>45579</v>
      </c>
      <c r="W434" s="49" t="s">
        <v>1579</v>
      </c>
    </row>
    <row r="435" spans="1:23" ht="13" customHeight="1" x14ac:dyDescent="0.35">
      <c r="A435" s="11">
        <v>429</v>
      </c>
      <c r="B435" s="47">
        <v>206004604</v>
      </c>
      <c r="C435" s="94" t="s">
        <v>431</v>
      </c>
      <c r="D435" s="11" t="s">
        <v>432</v>
      </c>
      <c r="E435" s="48" t="s">
        <v>31</v>
      </c>
      <c r="F435" s="48" t="s">
        <v>74</v>
      </c>
      <c r="G435" s="11" t="s">
        <v>64</v>
      </c>
      <c r="H435" s="11" t="s">
        <v>75</v>
      </c>
      <c r="I435" s="11">
        <v>1299</v>
      </c>
      <c r="J435" s="49" t="s">
        <v>32</v>
      </c>
      <c r="K435" s="49" t="s">
        <v>76</v>
      </c>
      <c r="L435" s="49" t="s">
        <v>78</v>
      </c>
      <c r="M435" s="49" t="s">
        <v>92</v>
      </c>
      <c r="N435" s="48" t="s">
        <v>79</v>
      </c>
      <c r="O435" s="49" t="s">
        <v>35</v>
      </c>
      <c r="P435" s="11" t="s">
        <v>80</v>
      </c>
      <c r="Q435" s="11" t="s">
        <v>81</v>
      </c>
      <c r="R435" s="11" t="s">
        <v>226</v>
      </c>
      <c r="S435" s="11" t="s">
        <v>227</v>
      </c>
      <c r="T435" s="90" t="s">
        <v>1</v>
      </c>
      <c r="U435" s="90"/>
      <c r="V435" s="51">
        <v>45915</v>
      </c>
      <c r="W435" s="49" t="s">
        <v>1581</v>
      </c>
    </row>
    <row r="436" spans="1:23" ht="13" customHeight="1" x14ac:dyDescent="0.35">
      <c r="A436" s="11">
        <v>430</v>
      </c>
      <c r="B436" s="47">
        <v>206846703</v>
      </c>
      <c r="C436" s="94" t="s">
        <v>2592</v>
      </c>
      <c r="D436" s="47" t="s">
        <v>2593</v>
      </c>
      <c r="E436" s="47" t="s">
        <v>31</v>
      </c>
      <c r="F436" s="47" t="s">
        <v>74</v>
      </c>
      <c r="G436" s="47" t="s">
        <v>64</v>
      </c>
      <c r="H436" s="47" t="s">
        <v>75</v>
      </c>
      <c r="I436" s="47">
        <v>1299</v>
      </c>
      <c r="J436" s="49" t="s">
        <v>32</v>
      </c>
      <c r="K436" s="49" t="s">
        <v>76</v>
      </c>
      <c r="L436" s="49" t="s">
        <v>78</v>
      </c>
      <c r="M436" s="49" t="s">
        <v>92</v>
      </c>
      <c r="N436" s="49" t="s">
        <v>89</v>
      </c>
      <c r="O436" s="47" t="s">
        <v>35</v>
      </c>
      <c r="P436" s="47" t="s">
        <v>80</v>
      </c>
      <c r="Q436" s="47" t="s">
        <v>90</v>
      </c>
      <c r="R436" s="11" t="s">
        <v>232</v>
      </c>
      <c r="S436" s="47" t="s">
        <v>1760</v>
      </c>
      <c r="T436" s="90" t="s">
        <v>1</v>
      </c>
      <c r="U436" s="91"/>
      <c r="V436" s="51">
        <v>46013</v>
      </c>
      <c r="W436" s="47" t="s">
        <v>1580</v>
      </c>
    </row>
    <row r="437" spans="1:23" ht="13" customHeight="1" x14ac:dyDescent="0.35">
      <c r="A437" s="11">
        <v>431</v>
      </c>
      <c r="B437" s="47">
        <v>204882795</v>
      </c>
      <c r="C437" s="94" t="s">
        <v>433</v>
      </c>
      <c r="D437" s="11" t="s">
        <v>434</v>
      </c>
      <c r="E437" s="48" t="s">
        <v>31</v>
      </c>
      <c r="F437" s="48" t="s">
        <v>74</v>
      </c>
      <c r="G437" s="11" t="s">
        <v>64</v>
      </c>
      <c r="H437" s="11" t="s">
        <v>75</v>
      </c>
      <c r="I437" s="11">
        <v>1299</v>
      </c>
      <c r="J437" s="49" t="s">
        <v>32</v>
      </c>
      <c r="K437" s="49" t="s">
        <v>76</v>
      </c>
      <c r="L437" s="49" t="s">
        <v>77</v>
      </c>
      <c r="M437" s="49" t="s">
        <v>78</v>
      </c>
      <c r="N437" s="48" t="s">
        <v>86</v>
      </c>
      <c r="O437" s="49" t="s">
        <v>35</v>
      </c>
      <c r="P437" s="11" t="s">
        <v>80</v>
      </c>
      <c r="Q437" s="11" t="s">
        <v>90</v>
      </c>
      <c r="R437" s="11" t="s">
        <v>225</v>
      </c>
      <c r="S437" s="11" t="s">
        <v>2731</v>
      </c>
      <c r="T437" s="90" t="s">
        <v>1</v>
      </c>
      <c r="U437" s="91"/>
      <c r="V437" s="51">
        <v>45826</v>
      </c>
      <c r="W437" s="49" t="s">
        <v>1580</v>
      </c>
    </row>
    <row r="438" spans="1:23" ht="13" customHeight="1" x14ac:dyDescent="0.35">
      <c r="A438" s="11">
        <v>432</v>
      </c>
      <c r="B438" s="47">
        <v>203737144</v>
      </c>
      <c r="C438" s="94" t="s">
        <v>436</v>
      </c>
      <c r="D438" s="11" t="s">
        <v>437</v>
      </c>
      <c r="E438" s="48" t="s">
        <v>31</v>
      </c>
      <c r="F438" s="48" t="s">
        <v>74</v>
      </c>
      <c r="G438" s="11" t="s">
        <v>64</v>
      </c>
      <c r="H438" s="11" t="s">
        <v>75</v>
      </c>
      <c r="I438" s="11">
        <v>1299</v>
      </c>
      <c r="J438" s="49" t="s">
        <v>32</v>
      </c>
      <c r="K438" s="49" t="s">
        <v>76</v>
      </c>
      <c r="L438" s="49" t="s">
        <v>85</v>
      </c>
      <c r="M438" s="49" t="s">
        <v>88</v>
      </c>
      <c r="N438" s="48" t="s">
        <v>79</v>
      </c>
      <c r="O438" s="49" t="s">
        <v>35</v>
      </c>
      <c r="P438" s="11" t="s">
        <v>80</v>
      </c>
      <c r="Q438" s="11" t="s">
        <v>81</v>
      </c>
      <c r="R438" s="11" t="s">
        <v>225</v>
      </c>
      <c r="S438" s="11" t="s">
        <v>2731</v>
      </c>
      <c r="T438" s="90" t="s">
        <v>10</v>
      </c>
      <c r="U438" s="89"/>
      <c r="V438" s="51">
        <v>45502</v>
      </c>
      <c r="W438" s="49" t="s">
        <v>1580</v>
      </c>
    </row>
    <row r="439" spans="1:23" ht="13" customHeight="1" x14ac:dyDescent="0.35">
      <c r="A439" s="11">
        <v>433</v>
      </c>
      <c r="B439" s="47">
        <v>102434104</v>
      </c>
      <c r="C439" s="94" t="s">
        <v>2474</v>
      </c>
      <c r="D439" s="11" t="s">
        <v>2475</v>
      </c>
      <c r="E439" s="48" t="s">
        <v>34</v>
      </c>
      <c r="F439" s="48" t="s">
        <v>74</v>
      </c>
      <c r="G439" s="11" t="s">
        <v>64</v>
      </c>
      <c r="H439" s="11" t="s">
        <v>75</v>
      </c>
      <c r="I439" s="11">
        <v>1299</v>
      </c>
      <c r="J439" s="49" t="s">
        <v>32</v>
      </c>
      <c r="K439" s="49" t="s">
        <v>76</v>
      </c>
      <c r="L439" s="49" t="s">
        <v>88</v>
      </c>
      <c r="M439" s="49" t="s">
        <v>95</v>
      </c>
      <c r="N439" s="48" t="s">
        <v>97</v>
      </c>
      <c r="O439" s="49" t="s">
        <v>35</v>
      </c>
      <c r="P439" s="11" t="s">
        <v>80</v>
      </c>
      <c r="Q439" s="11" t="s">
        <v>98</v>
      </c>
      <c r="R439" s="11" t="s">
        <v>232</v>
      </c>
      <c r="S439" s="11" t="s">
        <v>1760</v>
      </c>
      <c r="T439" s="90" t="s">
        <v>10</v>
      </c>
      <c r="U439" s="89"/>
      <c r="V439" s="51">
        <v>42883</v>
      </c>
      <c r="W439" s="49" t="s">
        <v>1582</v>
      </c>
    </row>
    <row r="440" spans="1:23" ht="13" customHeight="1" x14ac:dyDescent="0.35">
      <c r="A440" s="11">
        <v>434</v>
      </c>
      <c r="B440" s="47">
        <v>204967153</v>
      </c>
      <c r="C440" s="94" t="s">
        <v>2594</v>
      </c>
      <c r="D440" s="11" t="s">
        <v>2595</v>
      </c>
      <c r="E440" s="48" t="s">
        <v>31</v>
      </c>
      <c r="F440" s="48" t="s">
        <v>74</v>
      </c>
      <c r="G440" s="11" t="s">
        <v>64</v>
      </c>
      <c r="H440" s="11" t="s">
        <v>75</v>
      </c>
      <c r="I440" s="11">
        <v>1299</v>
      </c>
      <c r="J440" s="49" t="s">
        <v>39</v>
      </c>
      <c r="K440" s="49" t="s">
        <v>76</v>
      </c>
      <c r="L440" s="49" t="s">
        <v>92</v>
      </c>
      <c r="M440" s="49" t="s">
        <v>84</v>
      </c>
      <c r="N440" s="48" t="s">
        <v>86</v>
      </c>
      <c r="O440" s="49" t="s">
        <v>35</v>
      </c>
      <c r="P440" s="11" t="s">
        <v>80</v>
      </c>
      <c r="Q440" s="11" t="s">
        <v>90</v>
      </c>
      <c r="R440" s="11" t="s">
        <v>225</v>
      </c>
      <c r="S440" s="11" t="s">
        <v>2731</v>
      </c>
      <c r="T440" s="90" t="s">
        <v>1</v>
      </c>
      <c r="U440" s="90"/>
      <c r="V440" s="51">
        <v>45826</v>
      </c>
      <c r="W440" s="49" t="s">
        <v>1580</v>
      </c>
    </row>
    <row r="441" spans="1:23" ht="13" customHeight="1" x14ac:dyDescent="0.35">
      <c r="A441" s="11">
        <v>435</v>
      </c>
      <c r="B441" s="47">
        <v>206015634</v>
      </c>
      <c r="C441" s="94" t="s">
        <v>438</v>
      </c>
      <c r="D441" s="11" t="s">
        <v>439</v>
      </c>
      <c r="E441" s="48" t="s">
        <v>31</v>
      </c>
      <c r="F441" s="48" t="s">
        <v>74</v>
      </c>
      <c r="G441" s="11" t="s">
        <v>64</v>
      </c>
      <c r="H441" s="11" t="s">
        <v>75</v>
      </c>
      <c r="I441" s="11">
        <v>1299</v>
      </c>
      <c r="J441" s="49" t="s">
        <v>32</v>
      </c>
      <c r="K441" s="49" t="s">
        <v>76</v>
      </c>
      <c r="L441" s="49" t="s">
        <v>88</v>
      </c>
      <c r="M441" s="49" t="s">
        <v>95</v>
      </c>
      <c r="N441" s="48" t="s">
        <v>79</v>
      </c>
      <c r="O441" s="49" t="s">
        <v>35</v>
      </c>
      <c r="P441" s="11" t="s">
        <v>80</v>
      </c>
      <c r="Q441" s="11" t="s">
        <v>81</v>
      </c>
      <c r="R441" s="11" t="s">
        <v>232</v>
      </c>
      <c r="S441" s="11" t="s">
        <v>1760</v>
      </c>
      <c r="T441" s="90" t="s">
        <v>10</v>
      </c>
      <c r="U441" s="89"/>
      <c r="V441" s="51">
        <v>45915</v>
      </c>
      <c r="W441" s="49" t="s">
        <v>1578</v>
      </c>
    </row>
    <row r="442" spans="1:23" ht="13" customHeight="1" x14ac:dyDescent="0.35">
      <c r="A442" s="11">
        <v>436</v>
      </c>
      <c r="B442" s="47">
        <v>203736757</v>
      </c>
      <c r="C442" s="94" t="s">
        <v>441</v>
      </c>
      <c r="D442" s="11" t="s">
        <v>442</v>
      </c>
      <c r="E442" s="48" t="s">
        <v>31</v>
      </c>
      <c r="F442" s="48" t="s">
        <v>74</v>
      </c>
      <c r="G442" s="11" t="s">
        <v>64</v>
      </c>
      <c r="H442" s="11" t="s">
        <v>75</v>
      </c>
      <c r="I442" s="11">
        <v>1299</v>
      </c>
      <c r="J442" s="49" t="s">
        <v>32</v>
      </c>
      <c r="K442" s="49" t="s">
        <v>76</v>
      </c>
      <c r="L442" s="49" t="s">
        <v>88</v>
      </c>
      <c r="M442" s="49" t="s">
        <v>95</v>
      </c>
      <c r="N442" s="48" t="s">
        <v>86</v>
      </c>
      <c r="O442" s="49" t="s">
        <v>35</v>
      </c>
      <c r="P442" s="11" t="s">
        <v>80</v>
      </c>
      <c r="Q442" s="11" t="s">
        <v>99</v>
      </c>
      <c r="R442" s="11" t="s">
        <v>232</v>
      </c>
      <c r="S442" s="11" t="s">
        <v>1760</v>
      </c>
      <c r="T442" s="90" t="s">
        <v>10</v>
      </c>
      <c r="U442" s="89"/>
      <c r="V442" s="51">
        <v>45502</v>
      </c>
      <c r="W442" s="49" t="s">
        <v>1580</v>
      </c>
    </row>
    <row r="443" spans="1:23" ht="13" customHeight="1" x14ac:dyDescent="0.35">
      <c r="A443" s="11">
        <v>437</v>
      </c>
      <c r="B443" s="47">
        <v>206874057</v>
      </c>
      <c r="C443" s="94" t="s">
        <v>2596</v>
      </c>
      <c r="D443" s="11" t="s">
        <v>2597</v>
      </c>
      <c r="E443" s="48" t="s">
        <v>31</v>
      </c>
      <c r="F443" s="48" t="s">
        <v>74</v>
      </c>
      <c r="G443" s="48" t="s">
        <v>64</v>
      </c>
      <c r="H443" s="48" t="s">
        <v>75</v>
      </c>
      <c r="I443" s="11">
        <v>1299</v>
      </c>
      <c r="J443" s="49" t="s">
        <v>39</v>
      </c>
      <c r="K443" s="49" t="s">
        <v>76</v>
      </c>
      <c r="L443" s="49" t="s">
        <v>85</v>
      </c>
      <c r="M443" s="49" t="s">
        <v>88</v>
      </c>
      <c r="N443" s="49" t="s">
        <v>89</v>
      </c>
      <c r="O443" s="48" t="s">
        <v>35</v>
      </c>
      <c r="P443" s="48" t="s">
        <v>80</v>
      </c>
      <c r="Q443" s="11" t="s">
        <v>90</v>
      </c>
      <c r="R443" s="11" t="s">
        <v>232</v>
      </c>
      <c r="S443" s="11" t="s">
        <v>1760</v>
      </c>
      <c r="T443" s="90" t="s">
        <v>10</v>
      </c>
      <c r="U443" s="91"/>
      <c r="V443" s="51">
        <v>46020</v>
      </c>
      <c r="W443" s="49" t="s">
        <v>1580</v>
      </c>
    </row>
    <row r="444" spans="1:23" ht="13" customHeight="1" x14ac:dyDescent="0.35">
      <c r="A444" s="11">
        <v>438</v>
      </c>
      <c r="B444" s="47">
        <v>206874041</v>
      </c>
      <c r="C444" s="94" t="s">
        <v>2598</v>
      </c>
      <c r="D444" s="11" t="s">
        <v>2599</v>
      </c>
      <c r="E444" s="48" t="s">
        <v>31</v>
      </c>
      <c r="F444" s="48" t="s">
        <v>74</v>
      </c>
      <c r="G444" s="48" t="s">
        <v>64</v>
      </c>
      <c r="H444" s="48" t="s">
        <v>75</v>
      </c>
      <c r="I444" s="11">
        <v>1299</v>
      </c>
      <c r="J444" s="49" t="s">
        <v>32</v>
      </c>
      <c r="K444" s="49" t="s">
        <v>76</v>
      </c>
      <c r="L444" s="49" t="s">
        <v>78</v>
      </c>
      <c r="M444" s="49" t="s">
        <v>92</v>
      </c>
      <c r="N444" s="49" t="s">
        <v>89</v>
      </c>
      <c r="O444" s="48" t="s">
        <v>35</v>
      </c>
      <c r="P444" s="48" t="s">
        <v>80</v>
      </c>
      <c r="Q444" s="11" t="s">
        <v>90</v>
      </c>
      <c r="R444" s="11" t="s">
        <v>232</v>
      </c>
      <c r="S444" s="11" t="s">
        <v>1760</v>
      </c>
      <c r="T444" s="90" t="s">
        <v>1</v>
      </c>
      <c r="U444" s="89"/>
      <c r="V444" s="51">
        <v>46020</v>
      </c>
      <c r="W444" s="49" t="s">
        <v>1580</v>
      </c>
    </row>
    <row r="445" spans="1:23" ht="13" customHeight="1" x14ac:dyDescent="0.35">
      <c r="A445" s="11">
        <v>439</v>
      </c>
      <c r="B445" s="47">
        <v>203736776</v>
      </c>
      <c r="C445" s="94" t="s">
        <v>443</v>
      </c>
      <c r="D445" s="11" t="s">
        <v>444</v>
      </c>
      <c r="E445" s="48" t="s">
        <v>31</v>
      </c>
      <c r="F445" s="48" t="s">
        <v>74</v>
      </c>
      <c r="G445" s="11" t="s">
        <v>64</v>
      </c>
      <c r="H445" s="11" t="s">
        <v>75</v>
      </c>
      <c r="I445" s="11">
        <v>1299</v>
      </c>
      <c r="J445" s="49" t="s">
        <v>39</v>
      </c>
      <c r="K445" s="49" t="s">
        <v>76</v>
      </c>
      <c r="L445" s="49" t="s">
        <v>88</v>
      </c>
      <c r="M445" s="49" t="s">
        <v>95</v>
      </c>
      <c r="N445" s="48" t="s">
        <v>86</v>
      </c>
      <c r="O445" s="49" t="s">
        <v>35</v>
      </c>
      <c r="P445" s="11" t="s">
        <v>80</v>
      </c>
      <c r="Q445" s="11" t="s">
        <v>99</v>
      </c>
      <c r="R445" s="11" t="s">
        <v>225</v>
      </c>
      <c r="S445" s="11" t="s">
        <v>2731</v>
      </c>
      <c r="T445" s="90" t="s">
        <v>10</v>
      </c>
      <c r="U445" s="89"/>
      <c r="V445" s="51">
        <v>45502</v>
      </c>
      <c r="W445" s="49" t="s">
        <v>1580</v>
      </c>
    </row>
    <row r="446" spans="1:23" ht="13" customHeight="1" x14ac:dyDescent="0.35">
      <c r="A446" s="11">
        <v>440</v>
      </c>
      <c r="B446" s="47">
        <v>204868850</v>
      </c>
      <c r="C446" s="94" t="s">
        <v>445</v>
      </c>
      <c r="D446" s="11" t="s">
        <v>446</v>
      </c>
      <c r="E446" s="48" t="s">
        <v>31</v>
      </c>
      <c r="F446" s="48" t="s">
        <v>74</v>
      </c>
      <c r="G446" s="11" t="s">
        <v>64</v>
      </c>
      <c r="H446" s="11" t="s">
        <v>75</v>
      </c>
      <c r="I446" s="11">
        <v>1299</v>
      </c>
      <c r="J446" s="49" t="s">
        <v>32</v>
      </c>
      <c r="K446" s="49" t="s">
        <v>76</v>
      </c>
      <c r="L446" s="49" t="s">
        <v>85</v>
      </c>
      <c r="M446" s="49" t="s">
        <v>88</v>
      </c>
      <c r="N446" s="48" t="s">
        <v>86</v>
      </c>
      <c r="O446" s="49" t="s">
        <v>35</v>
      </c>
      <c r="P446" s="11" t="s">
        <v>80</v>
      </c>
      <c r="Q446" s="11" t="s">
        <v>87</v>
      </c>
      <c r="R446" s="11" t="s">
        <v>226</v>
      </c>
      <c r="S446" s="11" t="s">
        <v>227</v>
      </c>
      <c r="T446" s="90" t="s">
        <v>10</v>
      </c>
      <c r="U446" s="90"/>
      <c r="V446" s="51">
        <v>45691</v>
      </c>
      <c r="W446" s="49" t="s">
        <v>1579</v>
      </c>
    </row>
    <row r="447" spans="1:23" ht="13" customHeight="1" x14ac:dyDescent="0.35">
      <c r="A447" s="11">
        <v>441</v>
      </c>
      <c r="B447" s="47">
        <v>204246610</v>
      </c>
      <c r="C447" s="94" t="s">
        <v>447</v>
      </c>
      <c r="D447" s="11" t="s">
        <v>448</v>
      </c>
      <c r="E447" s="48" t="s">
        <v>31</v>
      </c>
      <c r="F447" s="48" t="s">
        <v>74</v>
      </c>
      <c r="G447" s="11" t="s">
        <v>64</v>
      </c>
      <c r="H447" s="11" t="s">
        <v>75</v>
      </c>
      <c r="I447" s="11">
        <v>1299</v>
      </c>
      <c r="J447" s="49" t="s">
        <v>39</v>
      </c>
      <c r="K447" s="49" t="s">
        <v>76</v>
      </c>
      <c r="L447" s="49" t="s">
        <v>78</v>
      </c>
      <c r="M447" s="49" t="s">
        <v>92</v>
      </c>
      <c r="N447" s="48" t="s">
        <v>86</v>
      </c>
      <c r="O447" s="49" t="s">
        <v>35</v>
      </c>
      <c r="P447" s="11" t="s">
        <v>80</v>
      </c>
      <c r="Q447" s="11" t="s">
        <v>87</v>
      </c>
      <c r="R447" s="11" t="s">
        <v>225</v>
      </c>
      <c r="S447" s="11" t="s">
        <v>2731</v>
      </c>
      <c r="T447" s="90" t="s">
        <v>1</v>
      </c>
      <c r="U447" s="90"/>
      <c r="V447" s="51">
        <v>45579</v>
      </c>
      <c r="W447" s="49" t="s">
        <v>1580</v>
      </c>
    </row>
    <row r="448" spans="1:23" ht="13" customHeight="1" x14ac:dyDescent="0.35">
      <c r="A448" s="11">
        <v>442</v>
      </c>
      <c r="B448" s="47">
        <v>109468376</v>
      </c>
      <c r="C448" s="94" t="s">
        <v>2213</v>
      </c>
      <c r="D448" s="11" t="s">
        <v>2214</v>
      </c>
      <c r="E448" s="48" t="s">
        <v>34</v>
      </c>
      <c r="F448" s="48" t="s">
        <v>74</v>
      </c>
      <c r="G448" s="11" t="s">
        <v>64</v>
      </c>
      <c r="H448" s="11" t="s">
        <v>75</v>
      </c>
      <c r="I448" s="11">
        <v>1299</v>
      </c>
      <c r="J448" s="49" t="s">
        <v>32</v>
      </c>
      <c r="K448" s="49" t="s">
        <v>76</v>
      </c>
      <c r="L448" s="49" t="s">
        <v>78</v>
      </c>
      <c r="M448" s="49" t="s">
        <v>92</v>
      </c>
      <c r="N448" s="48" t="s">
        <v>97</v>
      </c>
      <c r="O448" s="49" t="s">
        <v>35</v>
      </c>
      <c r="P448" s="11" t="s">
        <v>80</v>
      </c>
      <c r="Q448" s="11" t="s">
        <v>98</v>
      </c>
      <c r="R448" s="11" t="s">
        <v>225</v>
      </c>
      <c r="S448" s="11" t="s">
        <v>2731</v>
      </c>
      <c r="T448" s="90" t="s">
        <v>1</v>
      </c>
      <c r="U448" s="90"/>
      <c r="V448" s="51">
        <v>44812</v>
      </c>
      <c r="W448" s="49" t="s">
        <v>1582</v>
      </c>
    </row>
    <row r="449" spans="1:23" ht="13" customHeight="1" x14ac:dyDescent="0.35">
      <c r="A449" s="11">
        <v>443</v>
      </c>
      <c r="B449" s="47">
        <v>205986151</v>
      </c>
      <c r="C449" s="94" t="s">
        <v>2600</v>
      </c>
      <c r="D449" s="11" t="s">
        <v>2601</v>
      </c>
      <c r="E449" s="48" t="s">
        <v>31</v>
      </c>
      <c r="F449" s="48" t="s">
        <v>74</v>
      </c>
      <c r="G449" s="11" t="s">
        <v>64</v>
      </c>
      <c r="H449" s="11" t="s">
        <v>75</v>
      </c>
      <c r="I449" s="11">
        <v>1299</v>
      </c>
      <c r="J449" s="49" t="s">
        <v>39</v>
      </c>
      <c r="K449" s="49" t="s">
        <v>76</v>
      </c>
      <c r="L449" s="49" t="s">
        <v>88</v>
      </c>
      <c r="M449" s="49" t="s">
        <v>95</v>
      </c>
      <c r="N449" s="48" t="s">
        <v>86</v>
      </c>
      <c r="O449" s="49" t="s">
        <v>35</v>
      </c>
      <c r="P449" s="11" t="s">
        <v>80</v>
      </c>
      <c r="Q449" s="11" t="s">
        <v>90</v>
      </c>
      <c r="R449" s="11" t="s">
        <v>232</v>
      </c>
      <c r="S449" s="11" t="s">
        <v>1760</v>
      </c>
      <c r="T449" s="90" t="s">
        <v>10</v>
      </c>
      <c r="U449" s="89"/>
      <c r="V449" s="51">
        <v>45915</v>
      </c>
      <c r="W449" s="49" t="s">
        <v>1580</v>
      </c>
    </row>
    <row r="450" spans="1:23" ht="13" customHeight="1" x14ac:dyDescent="0.35">
      <c r="A450" s="11">
        <v>444</v>
      </c>
      <c r="B450" s="47">
        <v>204246607</v>
      </c>
      <c r="C450" s="94" t="s">
        <v>449</v>
      </c>
      <c r="D450" s="11" t="s">
        <v>450</v>
      </c>
      <c r="E450" s="48" t="s">
        <v>31</v>
      </c>
      <c r="F450" s="48" t="s">
        <v>74</v>
      </c>
      <c r="G450" s="11" t="s">
        <v>64</v>
      </c>
      <c r="H450" s="11" t="s">
        <v>75</v>
      </c>
      <c r="I450" s="11">
        <v>1299</v>
      </c>
      <c r="J450" s="49" t="s">
        <v>39</v>
      </c>
      <c r="K450" s="49" t="s">
        <v>76</v>
      </c>
      <c r="L450" s="49" t="s">
        <v>85</v>
      </c>
      <c r="M450" s="49" t="s">
        <v>88</v>
      </c>
      <c r="N450" s="48" t="s">
        <v>86</v>
      </c>
      <c r="O450" s="49" t="s">
        <v>35</v>
      </c>
      <c r="P450" s="11" t="s">
        <v>80</v>
      </c>
      <c r="Q450" s="11" t="s">
        <v>87</v>
      </c>
      <c r="R450" s="11" t="s">
        <v>225</v>
      </c>
      <c r="S450" s="11" t="s">
        <v>2731</v>
      </c>
      <c r="T450" s="90" t="s">
        <v>10</v>
      </c>
      <c r="U450" s="90"/>
      <c r="V450" s="51">
        <v>45579</v>
      </c>
      <c r="W450" s="49" t="s">
        <v>1580</v>
      </c>
    </row>
    <row r="451" spans="1:23" ht="13" customHeight="1" x14ac:dyDescent="0.35">
      <c r="A451" s="11">
        <v>445</v>
      </c>
      <c r="B451" s="47">
        <v>205608621</v>
      </c>
      <c r="C451" s="94" t="s">
        <v>2602</v>
      </c>
      <c r="D451" s="11" t="s">
        <v>2603</v>
      </c>
      <c r="E451" s="48" t="s">
        <v>31</v>
      </c>
      <c r="F451" s="48" t="s">
        <v>74</v>
      </c>
      <c r="G451" s="11" t="s">
        <v>64</v>
      </c>
      <c r="H451" s="11" t="s">
        <v>75</v>
      </c>
      <c r="I451" s="11">
        <v>1299</v>
      </c>
      <c r="J451" s="49" t="s">
        <v>32</v>
      </c>
      <c r="K451" s="49" t="s">
        <v>76</v>
      </c>
      <c r="L451" s="49" t="s">
        <v>78</v>
      </c>
      <c r="M451" s="49" t="s">
        <v>92</v>
      </c>
      <c r="N451" s="48" t="s">
        <v>86</v>
      </c>
      <c r="O451" s="49" t="s">
        <v>35</v>
      </c>
      <c r="P451" s="11" t="s">
        <v>80</v>
      </c>
      <c r="Q451" s="11" t="s">
        <v>90</v>
      </c>
      <c r="R451" s="11" t="s">
        <v>225</v>
      </c>
      <c r="S451" s="11" t="s">
        <v>2731</v>
      </c>
      <c r="T451" s="90" t="s">
        <v>7</v>
      </c>
      <c r="U451" s="90" t="s">
        <v>2914</v>
      </c>
      <c r="V451" s="51">
        <v>45845</v>
      </c>
      <c r="W451" s="49" t="s">
        <v>1580</v>
      </c>
    </row>
    <row r="452" spans="1:23" ht="13" customHeight="1" x14ac:dyDescent="0.35">
      <c r="A452" s="11">
        <v>446</v>
      </c>
      <c r="B452" s="47">
        <v>205506107</v>
      </c>
      <c r="C452" s="94" t="s">
        <v>2604</v>
      </c>
      <c r="D452" s="11" t="s">
        <v>2605</v>
      </c>
      <c r="E452" s="48" t="s">
        <v>31</v>
      </c>
      <c r="F452" s="48" t="s">
        <v>74</v>
      </c>
      <c r="G452" s="11" t="s">
        <v>64</v>
      </c>
      <c r="H452" s="11" t="s">
        <v>75</v>
      </c>
      <c r="I452" s="11">
        <v>1299</v>
      </c>
      <c r="J452" s="49" t="s">
        <v>32</v>
      </c>
      <c r="K452" s="49" t="s">
        <v>76</v>
      </c>
      <c r="L452" s="49" t="s">
        <v>78</v>
      </c>
      <c r="M452" s="49" t="s">
        <v>92</v>
      </c>
      <c r="N452" s="49" t="s">
        <v>89</v>
      </c>
      <c r="O452" s="49" t="s">
        <v>35</v>
      </c>
      <c r="P452" s="11" t="s">
        <v>80</v>
      </c>
      <c r="Q452" s="11" t="s">
        <v>96</v>
      </c>
      <c r="R452" s="11" t="s">
        <v>225</v>
      </c>
      <c r="S452" s="11" t="s">
        <v>2731</v>
      </c>
      <c r="T452" s="90" t="s">
        <v>1</v>
      </c>
      <c r="U452" s="90"/>
      <c r="V452" s="51">
        <v>45831</v>
      </c>
      <c r="W452" s="49" t="s">
        <v>1580</v>
      </c>
    </row>
    <row r="453" spans="1:23" ht="13" customHeight="1" x14ac:dyDescent="0.35">
      <c r="A453" s="11">
        <v>447</v>
      </c>
      <c r="B453" s="47">
        <v>203881600</v>
      </c>
      <c r="C453" s="94" t="s">
        <v>452</v>
      </c>
      <c r="D453" s="11" t="s">
        <v>453</v>
      </c>
      <c r="E453" s="48" t="s">
        <v>31</v>
      </c>
      <c r="F453" s="48" t="s">
        <v>74</v>
      </c>
      <c r="G453" s="11" t="s">
        <v>64</v>
      </c>
      <c r="H453" s="11" t="s">
        <v>75</v>
      </c>
      <c r="I453" s="11">
        <v>1299</v>
      </c>
      <c r="J453" s="49" t="s">
        <v>39</v>
      </c>
      <c r="K453" s="49" t="s">
        <v>76</v>
      </c>
      <c r="L453" s="49" t="s">
        <v>84</v>
      </c>
      <c r="M453" s="49" t="s">
        <v>85</v>
      </c>
      <c r="N453" s="48" t="s">
        <v>79</v>
      </c>
      <c r="O453" s="49" t="s">
        <v>35</v>
      </c>
      <c r="P453" s="11" t="s">
        <v>80</v>
      </c>
      <c r="Q453" s="11" t="s">
        <v>81</v>
      </c>
      <c r="R453" s="11" t="s">
        <v>225</v>
      </c>
      <c r="S453" s="11" t="s">
        <v>2731</v>
      </c>
      <c r="T453" s="90" t="s">
        <v>7</v>
      </c>
      <c r="U453" s="90" t="s">
        <v>2914</v>
      </c>
      <c r="V453" s="51">
        <v>45530</v>
      </c>
      <c r="W453" s="49" t="s">
        <v>1580</v>
      </c>
    </row>
    <row r="454" spans="1:23" ht="13" customHeight="1" x14ac:dyDescent="0.35">
      <c r="A454" s="11">
        <v>448</v>
      </c>
      <c r="B454" s="47">
        <v>206073365</v>
      </c>
      <c r="C454" s="94" t="s">
        <v>454</v>
      </c>
      <c r="D454" s="11" t="s">
        <v>455</v>
      </c>
      <c r="E454" s="48" t="s">
        <v>31</v>
      </c>
      <c r="F454" s="48" t="s">
        <v>74</v>
      </c>
      <c r="G454" s="11" t="s">
        <v>64</v>
      </c>
      <c r="H454" s="11" t="s">
        <v>75</v>
      </c>
      <c r="I454" s="11">
        <v>1299</v>
      </c>
      <c r="J454" s="49" t="s">
        <v>32</v>
      </c>
      <c r="K454" s="49" t="s">
        <v>76</v>
      </c>
      <c r="L454" s="49" t="s">
        <v>84</v>
      </c>
      <c r="M454" s="49" t="s">
        <v>85</v>
      </c>
      <c r="N454" s="48" t="s">
        <v>79</v>
      </c>
      <c r="O454" s="49" t="s">
        <v>35</v>
      </c>
      <c r="P454" s="11" t="s">
        <v>80</v>
      </c>
      <c r="Q454" s="11" t="s">
        <v>81</v>
      </c>
      <c r="R454" s="11" t="s">
        <v>226</v>
      </c>
      <c r="S454" s="11" t="s">
        <v>227</v>
      </c>
      <c r="T454" s="90" t="s">
        <v>1</v>
      </c>
      <c r="U454" s="90"/>
      <c r="V454" s="51">
        <v>45922</v>
      </c>
      <c r="W454" s="49" t="s">
        <v>1579</v>
      </c>
    </row>
    <row r="455" spans="1:23" ht="13" customHeight="1" x14ac:dyDescent="0.35">
      <c r="A455" s="11">
        <v>449</v>
      </c>
      <c r="B455" s="47">
        <v>206934198</v>
      </c>
      <c r="C455" s="94" t="s">
        <v>2030</v>
      </c>
      <c r="D455" s="11" t="s">
        <v>2010</v>
      </c>
      <c r="E455" s="48" t="s">
        <v>31</v>
      </c>
      <c r="F455" s="48" t="s">
        <v>74</v>
      </c>
      <c r="G455" s="11" t="s">
        <v>64</v>
      </c>
      <c r="H455" s="11" t="s">
        <v>75</v>
      </c>
      <c r="I455" s="11">
        <v>1299</v>
      </c>
      <c r="J455" s="49" t="s">
        <v>32</v>
      </c>
      <c r="K455" s="49" t="s">
        <v>76</v>
      </c>
      <c r="L455" s="49" t="s">
        <v>78</v>
      </c>
      <c r="M455" s="49" t="s">
        <v>92</v>
      </c>
      <c r="N455" s="49" t="s">
        <v>89</v>
      </c>
      <c r="O455" s="49" t="s">
        <v>35</v>
      </c>
      <c r="P455" s="11" t="s">
        <v>80</v>
      </c>
      <c r="Q455" s="11" t="s">
        <v>96</v>
      </c>
      <c r="R455" s="11" t="s">
        <v>226</v>
      </c>
      <c r="S455" s="11" t="s">
        <v>227</v>
      </c>
      <c r="T455" s="90" t="s">
        <v>3</v>
      </c>
      <c r="U455" s="91"/>
      <c r="V455" s="51">
        <v>46041</v>
      </c>
      <c r="W455" s="49" t="s">
        <v>1581</v>
      </c>
    </row>
    <row r="456" spans="1:23" ht="13" customHeight="1" x14ac:dyDescent="0.35">
      <c r="A456" s="11">
        <v>450</v>
      </c>
      <c r="B456" s="47">
        <v>206874046</v>
      </c>
      <c r="C456" s="94" t="s">
        <v>2606</v>
      </c>
      <c r="D456" s="11" t="s">
        <v>2607</v>
      </c>
      <c r="E456" s="48" t="s">
        <v>31</v>
      </c>
      <c r="F456" s="48" t="s">
        <v>74</v>
      </c>
      <c r="G456" s="48" t="s">
        <v>64</v>
      </c>
      <c r="H456" s="48" t="s">
        <v>75</v>
      </c>
      <c r="I456" s="11">
        <v>1299</v>
      </c>
      <c r="J456" s="49" t="s">
        <v>32</v>
      </c>
      <c r="K456" s="49" t="s">
        <v>76</v>
      </c>
      <c r="L456" s="49" t="s">
        <v>78</v>
      </c>
      <c r="M456" s="49" t="s">
        <v>92</v>
      </c>
      <c r="N456" s="49" t="s">
        <v>89</v>
      </c>
      <c r="O456" s="48" t="s">
        <v>35</v>
      </c>
      <c r="P456" s="48" t="s">
        <v>80</v>
      </c>
      <c r="Q456" s="11" t="s">
        <v>90</v>
      </c>
      <c r="R456" s="11" t="s">
        <v>232</v>
      </c>
      <c r="S456" s="11" t="s">
        <v>1760</v>
      </c>
      <c r="T456" s="90" t="s">
        <v>1</v>
      </c>
      <c r="U456" s="89"/>
      <c r="V456" s="51">
        <v>46020</v>
      </c>
      <c r="W456" s="49" t="s">
        <v>1580</v>
      </c>
    </row>
    <row r="457" spans="1:23" ht="13" customHeight="1" x14ac:dyDescent="0.35">
      <c r="A457" s="11">
        <v>451</v>
      </c>
      <c r="B457" s="47">
        <v>206873657</v>
      </c>
      <c r="C457" s="94" t="s">
        <v>1765</v>
      </c>
      <c r="D457" s="11" t="s">
        <v>1766</v>
      </c>
      <c r="E457" s="48" t="s">
        <v>31</v>
      </c>
      <c r="F457" s="48" t="s">
        <v>74</v>
      </c>
      <c r="G457" s="48" t="s">
        <v>64</v>
      </c>
      <c r="H457" s="48" t="s">
        <v>75</v>
      </c>
      <c r="I457" s="11">
        <v>1299</v>
      </c>
      <c r="J457" s="49" t="s">
        <v>32</v>
      </c>
      <c r="K457" s="49" t="s">
        <v>76</v>
      </c>
      <c r="L457" s="49" t="s">
        <v>78</v>
      </c>
      <c r="M457" s="49" t="s">
        <v>92</v>
      </c>
      <c r="N457" s="49" t="s">
        <v>89</v>
      </c>
      <c r="O457" s="48" t="s">
        <v>35</v>
      </c>
      <c r="P457" s="48" t="s">
        <v>80</v>
      </c>
      <c r="Q457" s="11" t="s">
        <v>81</v>
      </c>
      <c r="R457" s="11" t="s">
        <v>226</v>
      </c>
      <c r="S457" s="11" t="s">
        <v>227</v>
      </c>
      <c r="T457" s="90" t="s">
        <v>1</v>
      </c>
      <c r="U457" s="89"/>
      <c r="V457" s="51">
        <v>46020</v>
      </c>
      <c r="W457" s="49" t="s">
        <v>1579</v>
      </c>
    </row>
    <row r="458" spans="1:23" ht="13" customHeight="1" x14ac:dyDescent="0.35">
      <c r="A458" s="11">
        <v>452</v>
      </c>
      <c r="B458" s="47">
        <v>206873651</v>
      </c>
      <c r="C458" s="94" t="s">
        <v>1761</v>
      </c>
      <c r="D458" s="11" t="s">
        <v>1762</v>
      </c>
      <c r="E458" s="48" t="s">
        <v>31</v>
      </c>
      <c r="F458" s="48" t="s">
        <v>74</v>
      </c>
      <c r="G458" s="48" t="s">
        <v>64</v>
      </c>
      <c r="H458" s="48" t="s">
        <v>75</v>
      </c>
      <c r="I458" s="11">
        <v>1299</v>
      </c>
      <c r="J458" s="49" t="s">
        <v>32</v>
      </c>
      <c r="K458" s="49" t="s">
        <v>76</v>
      </c>
      <c r="L458" s="49" t="s">
        <v>78</v>
      </c>
      <c r="M458" s="49" t="s">
        <v>92</v>
      </c>
      <c r="N458" s="49" t="s">
        <v>89</v>
      </c>
      <c r="O458" s="48" t="s">
        <v>35</v>
      </c>
      <c r="P458" s="48" t="s">
        <v>80</v>
      </c>
      <c r="Q458" s="11" t="s">
        <v>81</v>
      </c>
      <c r="R458" s="11" t="s">
        <v>226</v>
      </c>
      <c r="S458" s="11" t="s">
        <v>227</v>
      </c>
      <c r="T458" s="90" t="s">
        <v>1</v>
      </c>
      <c r="U458" s="89"/>
      <c r="V458" s="51">
        <v>46020</v>
      </c>
      <c r="W458" s="49" t="s">
        <v>1579</v>
      </c>
    </row>
    <row r="459" spans="1:23" ht="13" customHeight="1" x14ac:dyDescent="0.35">
      <c r="A459" s="11">
        <v>453</v>
      </c>
      <c r="B459" s="47">
        <v>205608623</v>
      </c>
      <c r="C459" s="94" t="s">
        <v>2608</v>
      </c>
      <c r="D459" s="11" t="s">
        <v>2609</v>
      </c>
      <c r="E459" s="48" t="s">
        <v>31</v>
      </c>
      <c r="F459" s="48" t="s">
        <v>74</v>
      </c>
      <c r="G459" s="11" t="s">
        <v>64</v>
      </c>
      <c r="H459" s="11" t="s">
        <v>75</v>
      </c>
      <c r="I459" s="11">
        <v>1299</v>
      </c>
      <c r="J459" s="49" t="s">
        <v>39</v>
      </c>
      <c r="K459" s="49" t="s">
        <v>76</v>
      </c>
      <c r="L459" s="49" t="s">
        <v>78</v>
      </c>
      <c r="M459" s="49" t="s">
        <v>92</v>
      </c>
      <c r="N459" s="48" t="s">
        <v>86</v>
      </c>
      <c r="O459" s="49" t="s">
        <v>35</v>
      </c>
      <c r="P459" s="11" t="s">
        <v>80</v>
      </c>
      <c r="Q459" s="11" t="s">
        <v>90</v>
      </c>
      <c r="R459" s="11" t="s">
        <v>232</v>
      </c>
      <c r="S459" s="11" t="s">
        <v>1760</v>
      </c>
      <c r="T459" s="90" t="s">
        <v>7</v>
      </c>
      <c r="U459" s="90" t="s">
        <v>2914</v>
      </c>
      <c r="V459" s="51">
        <v>45845</v>
      </c>
      <c r="W459" s="49" t="s">
        <v>1580</v>
      </c>
    </row>
    <row r="460" spans="1:23" ht="13" customHeight="1" x14ac:dyDescent="0.35">
      <c r="A460" s="11">
        <v>454</v>
      </c>
      <c r="B460" s="47">
        <v>204883236</v>
      </c>
      <c r="C460" s="94" t="s">
        <v>457</v>
      </c>
      <c r="D460" s="11" t="s">
        <v>458</v>
      </c>
      <c r="E460" s="48" t="s">
        <v>31</v>
      </c>
      <c r="F460" s="48" t="s">
        <v>74</v>
      </c>
      <c r="G460" s="11" t="s">
        <v>64</v>
      </c>
      <c r="H460" s="11" t="s">
        <v>75</v>
      </c>
      <c r="I460" s="11">
        <v>1299</v>
      </c>
      <c r="J460" s="49" t="s">
        <v>39</v>
      </c>
      <c r="K460" s="49" t="s">
        <v>76</v>
      </c>
      <c r="L460" s="49" t="s">
        <v>95</v>
      </c>
      <c r="M460" s="49" t="s">
        <v>77</v>
      </c>
      <c r="N460" s="49" t="s">
        <v>89</v>
      </c>
      <c r="O460" s="49" t="s">
        <v>35</v>
      </c>
      <c r="P460" s="11" t="s">
        <v>80</v>
      </c>
      <c r="Q460" s="11" t="s">
        <v>87</v>
      </c>
      <c r="R460" s="11" t="s">
        <v>226</v>
      </c>
      <c r="S460" s="11" t="s">
        <v>227</v>
      </c>
      <c r="T460" s="90" t="s">
        <v>1</v>
      </c>
      <c r="U460" s="90"/>
      <c r="V460" s="51">
        <v>45691</v>
      </c>
      <c r="W460" s="49" t="s">
        <v>1579</v>
      </c>
    </row>
    <row r="461" spans="1:23" ht="13" customHeight="1" x14ac:dyDescent="0.35">
      <c r="A461" s="11">
        <v>455</v>
      </c>
      <c r="B461" s="47">
        <v>206915008</v>
      </c>
      <c r="C461" s="94" t="s">
        <v>2610</v>
      </c>
      <c r="D461" s="11" t="s">
        <v>2611</v>
      </c>
      <c r="E461" s="11" t="s">
        <v>31</v>
      </c>
      <c r="F461" s="11" t="s">
        <v>74</v>
      </c>
      <c r="G461" s="11" t="s">
        <v>64</v>
      </c>
      <c r="H461" s="11" t="s">
        <v>75</v>
      </c>
      <c r="I461" s="11">
        <v>1299</v>
      </c>
      <c r="J461" s="49" t="s">
        <v>32</v>
      </c>
      <c r="K461" s="49" t="s">
        <v>76</v>
      </c>
      <c r="L461" s="49" t="s">
        <v>78</v>
      </c>
      <c r="M461" s="49" t="s">
        <v>92</v>
      </c>
      <c r="N461" s="49" t="s">
        <v>89</v>
      </c>
      <c r="O461" s="11" t="s">
        <v>35</v>
      </c>
      <c r="P461" s="11" t="s">
        <v>80</v>
      </c>
      <c r="Q461" s="11" t="s">
        <v>90</v>
      </c>
      <c r="R461" s="11" t="s">
        <v>226</v>
      </c>
      <c r="S461" s="11" t="s">
        <v>227</v>
      </c>
      <c r="T461" s="90" t="s">
        <v>1</v>
      </c>
      <c r="U461" s="89"/>
      <c r="V461" s="51">
        <v>46034</v>
      </c>
      <c r="W461" s="11" t="s">
        <v>1579</v>
      </c>
    </row>
    <row r="462" spans="1:23" ht="13" customHeight="1" x14ac:dyDescent="0.35">
      <c r="A462" s="11">
        <v>456</v>
      </c>
      <c r="B462" s="47">
        <v>109749061</v>
      </c>
      <c r="C462" s="94" t="s">
        <v>459</v>
      </c>
      <c r="D462" s="11" t="s">
        <v>460</v>
      </c>
      <c r="E462" s="48" t="s">
        <v>34</v>
      </c>
      <c r="F462" s="48" t="s">
        <v>74</v>
      </c>
      <c r="G462" s="11" t="s">
        <v>64</v>
      </c>
      <c r="H462" s="11" t="s">
        <v>75</v>
      </c>
      <c r="I462" s="11">
        <v>1299</v>
      </c>
      <c r="J462" s="49" t="s">
        <v>32</v>
      </c>
      <c r="K462" s="49" t="s">
        <v>76</v>
      </c>
      <c r="L462" s="49" t="s">
        <v>95</v>
      </c>
      <c r="M462" s="49" t="s">
        <v>77</v>
      </c>
      <c r="N462" s="48" t="s">
        <v>108</v>
      </c>
      <c r="O462" s="49" t="s">
        <v>35</v>
      </c>
      <c r="P462" s="11" t="s">
        <v>80</v>
      </c>
      <c r="Q462" s="11" t="s">
        <v>98</v>
      </c>
      <c r="R462" s="11" t="s">
        <v>226</v>
      </c>
      <c r="S462" s="11" t="s">
        <v>227</v>
      </c>
      <c r="T462" s="90" t="s">
        <v>1</v>
      </c>
      <c r="U462" s="90"/>
      <c r="V462" s="51">
        <v>44831</v>
      </c>
      <c r="W462" s="49" t="s">
        <v>1581</v>
      </c>
    </row>
    <row r="463" spans="1:23" ht="13" customHeight="1" x14ac:dyDescent="0.35">
      <c r="A463" s="11">
        <v>457</v>
      </c>
      <c r="B463" s="47">
        <v>204883085</v>
      </c>
      <c r="C463" s="94" t="s">
        <v>461</v>
      </c>
      <c r="D463" s="11" t="s">
        <v>462</v>
      </c>
      <c r="E463" s="48" t="s">
        <v>31</v>
      </c>
      <c r="F463" s="48" t="s">
        <v>74</v>
      </c>
      <c r="G463" s="11" t="s">
        <v>64</v>
      </c>
      <c r="H463" s="11" t="s">
        <v>75</v>
      </c>
      <c r="I463" s="11">
        <v>1299</v>
      </c>
      <c r="J463" s="49" t="s">
        <v>32</v>
      </c>
      <c r="K463" s="49" t="s">
        <v>76</v>
      </c>
      <c r="L463" s="49" t="s">
        <v>77</v>
      </c>
      <c r="M463" s="49" t="s">
        <v>78</v>
      </c>
      <c r="N463" s="48" t="s">
        <v>86</v>
      </c>
      <c r="O463" s="49" t="s">
        <v>35</v>
      </c>
      <c r="P463" s="11" t="s">
        <v>80</v>
      </c>
      <c r="Q463" s="11" t="s">
        <v>87</v>
      </c>
      <c r="R463" s="11" t="s">
        <v>232</v>
      </c>
      <c r="S463" s="11" t="s">
        <v>1760</v>
      </c>
      <c r="T463" s="90" t="s">
        <v>1</v>
      </c>
      <c r="U463" s="90"/>
      <c r="V463" s="51">
        <v>45691</v>
      </c>
      <c r="W463" s="49" t="s">
        <v>1580</v>
      </c>
    </row>
    <row r="464" spans="1:23" ht="13" customHeight="1" x14ac:dyDescent="0.35">
      <c r="A464" s="11">
        <v>458</v>
      </c>
      <c r="B464" s="47">
        <v>102207617</v>
      </c>
      <c r="C464" s="94" t="s">
        <v>464</v>
      </c>
      <c r="D464" s="11" t="s">
        <v>465</v>
      </c>
      <c r="E464" s="48" t="s">
        <v>34</v>
      </c>
      <c r="F464" s="48" t="s">
        <v>74</v>
      </c>
      <c r="G464" s="11" t="s">
        <v>64</v>
      </c>
      <c r="H464" s="11" t="s">
        <v>75</v>
      </c>
      <c r="I464" s="11">
        <v>1299</v>
      </c>
      <c r="J464" s="49" t="s">
        <v>32</v>
      </c>
      <c r="K464" s="49" t="s">
        <v>76</v>
      </c>
      <c r="L464" s="49" t="s">
        <v>78</v>
      </c>
      <c r="M464" s="49" t="s">
        <v>92</v>
      </c>
      <c r="N464" s="48" t="s">
        <v>97</v>
      </c>
      <c r="O464" s="49" t="s">
        <v>35</v>
      </c>
      <c r="P464" s="11" t="s">
        <v>80</v>
      </c>
      <c r="Q464" s="11" t="s">
        <v>98</v>
      </c>
      <c r="R464" s="11" t="s">
        <v>226</v>
      </c>
      <c r="S464" s="11" t="s">
        <v>227</v>
      </c>
      <c r="T464" s="90" t="s">
        <v>1</v>
      </c>
      <c r="U464" s="89"/>
      <c r="V464" s="51">
        <v>42868</v>
      </c>
      <c r="W464" s="49" t="s">
        <v>1582</v>
      </c>
    </row>
    <row r="465" spans="1:23" ht="13" customHeight="1" x14ac:dyDescent="0.35">
      <c r="A465" s="11">
        <v>459</v>
      </c>
      <c r="B465" s="47">
        <v>204967049</v>
      </c>
      <c r="C465" s="94" t="s">
        <v>466</v>
      </c>
      <c r="D465" s="11" t="s">
        <v>467</v>
      </c>
      <c r="E465" s="48" t="s">
        <v>31</v>
      </c>
      <c r="F465" s="48" t="s">
        <v>74</v>
      </c>
      <c r="G465" s="11" t="s">
        <v>64</v>
      </c>
      <c r="H465" s="11" t="s">
        <v>75</v>
      </c>
      <c r="I465" s="11">
        <v>1299</v>
      </c>
      <c r="J465" s="49" t="s">
        <v>32</v>
      </c>
      <c r="K465" s="49" t="s">
        <v>76</v>
      </c>
      <c r="L465" s="49" t="s">
        <v>78</v>
      </c>
      <c r="M465" s="49" t="s">
        <v>92</v>
      </c>
      <c r="N465" s="48" t="s">
        <v>86</v>
      </c>
      <c r="O465" s="49" t="s">
        <v>35</v>
      </c>
      <c r="P465" s="11" t="s">
        <v>80</v>
      </c>
      <c r="Q465" s="11" t="s">
        <v>90</v>
      </c>
      <c r="R465" s="11" t="s">
        <v>232</v>
      </c>
      <c r="S465" s="11" t="s">
        <v>1760</v>
      </c>
      <c r="T465" s="90" t="s">
        <v>1</v>
      </c>
      <c r="U465" s="89"/>
      <c r="V465" s="51">
        <v>45826</v>
      </c>
      <c r="W465" s="49" t="s">
        <v>1580</v>
      </c>
    </row>
    <row r="466" spans="1:23" ht="13" customHeight="1" x14ac:dyDescent="0.35">
      <c r="A466" s="11">
        <v>460</v>
      </c>
      <c r="B466" s="47">
        <v>203881597</v>
      </c>
      <c r="C466" s="94" t="s">
        <v>468</v>
      </c>
      <c r="D466" s="11" t="s">
        <v>469</v>
      </c>
      <c r="E466" s="48" t="s">
        <v>31</v>
      </c>
      <c r="F466" s="48" t="s">
        <v>74</v>
      </c>
      <c r="G466" s="11" t="s">
        <v>64</v>
      </c>
      <c r="H466" s="11" t="s">
        <v>75</v>
      </c>
      <c r="I466" s="11">
        <v>1299</v>
      </c>
      <c r="J466" s="49" t="s">
        <v>39</v>
      </c>
      <c r="K466" s="49" t="s">
        <v>76</v>
      </c>
      <c r="L466" s="49" t="s">
        <v>84</v>
      </c>
      <c r="M466" s="49" t="s">
        <v>85</v>
      </c>
      <c r="N466" s="48" t="s">
        <v>79</v>
      </c>
      <c r="O466" s="49" t="s">
        <v>35</v>
      </c>
      <c r="P466" s="11" t="s">
        <v>80</v>
      </c>
      <c r="Q466" s="11" t="s">
        <v>81</v>
      </c>
      <c r="R466" s="11" t="s">
        <v>232</v>
      </c>
      <c r="S466" s="11" t="s">
        <v>1760</v>
      </c>
      <c r="T466" s="90" t="s">
        <v>7</v>
      </c>
      <c r="U466" s="90" t="s">
        <v>2914</v>
      </c>
      <c r="V466" s="51">
        <v>45530</v>
      </c>
      <c r="W466" s="49" t="s">
        <v>1580</v>
      </c>
    </row>
    <row r="467" spans="1:23" ht="13" customHeight="1" x14ac:dyDescent="0.35">
      <c r="A467" s="11">
        <v>461</v>
      </c>
      <c r="B467" s="47">
        <v>203881599</v>
      </c>
      <c r="C467" s="94" t="s">
        <v>470</v>
      </c>
      <c r="D467" s="11" t="s">
        <v>471</v>
      </c>
      <c r="E467" s="48" t="s">
        <v>31</v>
      </c>
      <c r="F467" s="48" t="s">
        <v>74</v>
      </c>
      <c r="G467" s="11" t="s">
        <v>64</v>
      </c>
      <c r="H467" s="11" t="s">
        <v>75</v>
      </c>
      <c r="I467" s="11">
        <v>1299</v>
      </c>
      <c r="J467" s="49" t="s">
        <v>39</v>
      </c>
      <c r="K467" s="49" t="s">
        <v>76</v>
      </c>
      <c r="L467" s="49" t="s">
        <v>95</v>
      </c>
      <c r="M467" s="49" t="s">
        <v>77</v>
      </c>
      <c r="N467" s="48" t="s">
        <v>79</v>
      </c>
      <c r="O467" s="49" t="s">
        <v>35</v>
      </c>
      <c r="P467" s="11" t="s">
        <v>80</v>
      </c>
      <c r="Q467" s="11" t="s">
        <v>81</v>
      </c>
      <c r="R467" s="11" t="s">
        <v>232</v>
      </c>
      <c r="S467" s="11" t="s">
        <v>1760</v>
      </c>
      <c r="T467" s="90" t="s">
        <v>1</v>
      </c>
      <c r="U467" s="90"/>
      <c r="V467" s="51">
        <v>45530</v>
      </c>
      <c r="W467" s="49" t="s">
        <v>1580</v>
      </c>
    </row>
    <row r="468" spans="1:23" ht="13" customHeight="1" x14ac:dyDescent="0.35">
      <c r="A468" s="11">
        <v>462</v>
      </c>
      <c r="B468" s="47">
        <v>204869096</v>
      </c>
      <c r="C468" s="94" t="s">
        <v>472</v>
      </c>
      <c r="D468" s="11" t="s">
        <v>473</v>
      </c>
      <c r="E468" s="48" t="s">
        <v>31</v>
      </c>
      <c r="F468" s="48" t="s">
        <v>74</v>
      </c>
      <c r="G468" s="11" t="s">
        <v>64</v>
      </c>
      <c r="H468" s="11" t="s">
        <v>75</v>
      </c>
      <c r="I468" s="11">
        <v>1299</v>
      </c>
      <c r="J468" s="49" t="s">
        <v>32</v>
      </c>
      <c r="K468" s="49" t="s">
        <v>76</v>
      </c>
      <c r="L468" s="49" t="s">
        <v>77</v>
      </c>
      <c r="M468" s="49" t="s">
        <v>78</v>
      </c>
      <c r="N468" s="48" t="s">
        <v>86</v>
      </c>
      <c r="O468" s="49" t="s">
        <v>35</v>
      </c>
      <c r="P468" s="11" t="s">
        <v>80</v>
      </c>
      <c r="Q468" s="11" t="s">
        <v>87</v>
      </c>
      <c r="R468" s="11" t="s">
        <v>232</v>
      </c>
      <c r="S468" s="11" t="s">
        <v>1760</v>
      </c>
      <c r="T468" s="90" t="s">
        <v>1</v>
      </c>
      <c r="U468" s="89"/>
      <c r="V468" s="51">
        <v>45691</v>
      </c>
      <c r="W468" s="49" t="s">
        <v>1580</v>
      </c>
    </row>
    <row r="469" spans="1:23" ht="13" customHeight="1" x14ac:dyDescent="0.35">
      <c r="A469" s="11">
        <v>463</v>
      </c>
      <c r="B469" s="47">
        <v>204869088</v>
      </c>
      <c r="C469" s="94" t="s">
        <v>474</v>
      </c>
      <c r="D469" s="11" t="s">
        <v>475</v>
      </c>
      <c r="E469" s="48" t="s">
        <v>31</v>
      </c>
      <c r="F469" s="48" t="s">
        <v>74</v>
      </c>
      <c r="G469" s="11" t="s">
        <v>64</v>
      </c>
      <c r="H469" s="11" t="s">
        <v>75</v>
      </c>
      <c r="I469" s="11">
        <v>1299</v>
      </c>
      <c r="J469" s="49" t="s">
        <v>32</v>
      </c>
      <c r="K469" s="49" t="s">
        <v>76</v>
      </c>
      <c r="L469" s="49" t="s">
        <v>88</v>
      </c>
      <c r="M469" s="49" t="s">
        <v>95</v>
      </c>
      <c r="N469" s="48" t="s">
        <v>86</v>
      </c>
      <c r="O469" s="49" t="s">
        <v>35</v>
      </c>
      <c r="P469" s="11" t="s">
        <v>80</v>
      </c>
      <c r="Q469" s="11" t="s">
        <v>87</v>
      </c>
      <c r="R469" s="11" t="s">
        <v>226</v>
      </c>
      <c r="S469" s="11" t="s">
        <v>227</v>
      </c>
      <c r="T469" s="90" t="s">
        <v>10</v>
      </c>
      <c r="U469" s="89"/>
      <c r="V469" s="51">
        <v>45691</v>
      </c>
      <c r="W469" s="49" t="s">
        <v>1579</v>
      </c>
    </row>
    <row r="470" spans="1:23" ht="13" customHeight="1" x14ac:dyDescent="0.35">
      <c r="A470" s="11">
        <v>464</v>
      </c>
      <c r="B470" s="47">
        <v>203521523</v>
      </c>
      <c r="C470" s="94" t="s">
        <v>476</v>
      </c>
      <c r="D470" s="11" t="s">
        <v>477</v>
      </c>
      <c r="E470" s="48" t="s">
        <v>31</v>
      </c>
      <c r="F470" s="48" t="s">
        <v>74</v>
      </c>
      <c r="G470" s="11" t="s">
        <v>64</v>
      </c>
      <c r="H470" s="11" t="s">
        <v>75</v>
      </c>
      <c r="I470" s="11">
        <v>1299</v>
      </c>
      <c r="J470" s="49" t="s">
        <v>32</v>
      </c>
      <c r="K470" s="49" t="s">
        <v>76</v>
      </c>
      <c r="L470" s="49" t="s">
        <v>78</v>
      </c>
      <c r="M470" s="49" t="s">
        <v>92</v>
      </c>
      <c r="N470" s="48" t="s">
        <v>79</v>
      </c>
      <c r="O470" s="49" t="s">
        <v>35</v>
      </c>
      <c r="P470" s="11" t="s">
        <v>80</v>
      </c>
      <c r="Q470" s="11" t="s">
        <v>81</v>
      </c>
      <c r="R470" s="11" t="s">
        <v>226</v>
      </c>
      <c r="S470" s="11" t="s">
        <v>227</v>
      </c>
      <c r="T470" s="90" t="s">
        <v>1</v>
      </c>
      <c r="U470" s="90"/>
      <c r="V470" s="51">
        <v>45463</v>
      </c>
      <c r="W470" s="49" t="s">
        <v>1577</v>
      </c>
    </row>
    <row r="471" spans="1:23" ht="13" customHeight="1" x14ac:dyDescent="0.35">
      <c r="A471" s="11">
        <v>465</v>
      </c>
      <c r="B471" s="47">
        <v>206874059</v>
      </c>
      <c r="C471" s="94" t="s">
        <v>2612</v>
      </c>
      <c r="D471" s="11" t="s">
        <v>2613</v>
      </c>
      <c r="E471" s="48" t="s">
        <v>31</v>
      </c>
      <c r="F471" s="48" t="s">
        <v>74</v>
      </c>
      <c r="G471" s="48" t="s">
        <v>64</v>
      </c>
      <c r="H471" s="48" t="s">
        <v>75</v>
      </c>
      <c r="I471" s="11">
        <v>1299</v>
      </c>
      <c r="J471" s="49" t="s">
        <v>32</v>
      </c>
      <c r="K471" s="49" t="s">
        <v>76</v>
      </c>
      <c r="L471" s="49" t="s">
        <v>78</v>
      </c>
      <c r="M471" s="49" t="s">
        <v>92</v>
      </c>
      <c r="N471" s="49" t="s">
        <v>89</v>
      </c>
      <c r="O471" s="48" t="s">
        <v>35</v>
      </c>
      <c r="P471" s="48" t="s">
        <v>80</v>
      </c>
      <c r="Q471" s="11" t="s">
        <v>90</v>
      </c>
      <c r="R471" s="11" t="s">
        <v>232</v>
      </c>
      <c r="S471" s="11" t="s">
        <v>1760</v>
      </c>
      <c r="T471" s="90" t="s">
        <v>1</v>
      </c>
      <c r="U471" s="90"/>
      <c r="V471" s="51">
        <v>46020</v>
      </c>
      <c r="W471" s="49" t="s">
        <v>1580</v>
      </c>
    </row>
    <row r="472" spans="1:23" ht="13" customHeight="1" x14ac:dyDescent="0.35">
      <c r="A472" s="11">
        <v>466</v>
      </c>
      <c r="B472" s="47">
        <v>204252239</v>
      </c>
      <c r="C472" s="94" t="s">
        <v>478</v>
      </c>
      <c r="D472" s="11" t="s">
        <v>479</v>
      </c>
      <c r="E472" s="48" t="s">
        <v>31</v>
      </c>
      <c r="F472" s="48" t="s">
        <v>74</v>
      </c>
      <c r="G472" s="11" t="s">
        <v>64</v>
      </c>
      <c r="H472" s="11" t="s">
        <v>75</v>
      </c>
      <c r="I472" s="11">
        <v>1299</v>
      </c>
      <c r="J472" s="49" t="s">
        <v>32</v>
      </c>
      <c r="K472" s="49" t="s">
        <v>76</v>
      </c>
      <c r="L472" s="49" t="s">
        <v>85</v>
      </c>
      <c r="M472" s="49" t="s">
        <v>88</v>
      </c>
      <c r="N472" s="48" t="s">
        <v>86</v>
      </c>
      <c r="O472" s="49" t="s">
        <v>35</v>
      </c>
      <c r="P472" s="11" t="s">
        <v>80</v>
      </c>
      <c r="Q472" s="11" t="s">
        <v>87</v>
      </c>
      <c r="R472" s="11" t="s">
        <v>226</v>
      </c>
      <c r="S472" s="11" t="s">
        <v>227</v>
      </c>
      <c r="T472" s="90" t="s">
        <v>10</v>
      </c>
      <c r="U472" s="89"/>
      <c r="V472" s="51">
        <v>45579</v>
      </c>
      <c r="W472" s="49" t="s">
        <v>1580</v>
      </c>
    </row>
    <row r="473" spans="1:23" ht="13" customHeight="1" x14ac:dyDescent="0.35">
      <c r="A473" s="11">
        <v>467</v>
      </c>
      <c r="B473" s="47">
        <v>206934437</v>
      </c>
      <c r="C473" s="94" t="s">
        <v>2031</v>
      </c>
      <c r="D473" s="11" t="s">
        <v>2011</v>
      </c>
      <c r="E473" s="48" t="s">
        <v>31</v>
      </c>
      <c r="F473" s="48" t="s">
        <v>74</v>
      </c>
      <c r="G473" s="11" t="s">
        <v>64</v>
      </c>
      <c r="H473" s="11" t="s">
        <v>75</v>
      </c>
      <c r="I473" s="11">
        <v>1299</v>
      </c>
      <c r="J473" s="49" t="s">
        <v>32</v>
      </c>
      <c r="K473" s="49" t="s">
        <v>76</v>
      </c>
      <c r="L473" s="49" t="s">
        <v>78</v>
      </c>
      <c r="M473" s="49" t="s">
        <v>92</v>
      </c>
      <c r="N473" s="49" t="s">
        <v>89</v>
      </c>
      <c r="O473" s="49" t="s">
        <v>35</v>
      </c>
      <c r="P473" s="11" t="s">
        <v>80</v>
      </c>
      <c r="Q473" s="11" t="s">
        <v>96</v>
      </c>
      <c r="R473" s="11" t="s">
        <v>225</v>
      </c>
      <c r="S473" s="11" t="s">
        <v>2731</v>
      </c>
      <c r="T473" s="90" t="s">
        <v>1</v>
      </c>
      <c r="U473" s="91"/>
      <c r="V473" s="51">
        <v>46041</v>
      </c>
      <c r="W473" s="49" t="s">
        <v>1580</v>
      </c>
    </row>
    <row r="474" spans="1:23" ht="13" customHeight="1" x14ac:dyDescent="0.35">
      <c r="A474" s="11">
        <v>468</v>
      </c>
      <c r="B474" s="47">
        <v>203881596</v>
      </c>
      <c r="C474" s="94" t="s">
        <v>480</v>
      </c>
      <c r="D474" s="11" t="s">
        <v>481</v>
      </c>
      <c r="E474" s="48" t="s">
        <v>31</v>
      </c>
      <c r="F474" s="48" t="s">
        <v>74</v>
      </c>
      <c r="G474" s="11" t="s">
        <v>64</v>
      </c>
      <c r="H474" s="11" t="s">
        <v>75</v>
      </c>
      <c r="I474" s="11">
        <v>1299</v>
      </c>
      <c r="J474" s="49" t="s">
        <v>32</v>
      </c>
      <c r="K474" s="49" t="s">
        <v>76</v>
      </c>
      <c r="L474" s="49" t="s">
        <v>77</v>
      </c>
      <c r="M474" s="49" t="s">
        <v>78</v>
      </c>
      <c r="N474" s="48" t="s">
        <v>79</v>
      </c>
      <c r="O474" s="49" t="s">
        <v>35</v>
      </c>
      <c r="P474" s="11" t="s">
        <v>80</v>
      </c>
      <c r="Q474" s="11" t="s">
        <v>81</v>
      </c>
      <c r="R474" s="11" t="s">
        <v>232</v>
      </c>
      <c r="S474" s="11" t="s">
        <v>1760</v>
      </c>
      <c r="T474" s="90" t="s">
        <v>1</v>
      </c>
      <c r="U474" s="90"/>
      <c r="V474" s="51">
        <v>45530</v>
      </c>
      <c r="W474" s="49" t="s">
        <v>1580</v>
      </c>
    </row>
    <row r="475" spans="1:23" ht="13" customHeight="1" x14ac:dyDescent="0.35">
      <c r="A475" s="11">
        <v>469</v>
      </c>
      <c r="B475" s="47">
        <v>204869092</v>
      </c>
      <c r="C475" s="94" t="s">
        <v>482</v>
      </c>
      <c r="D475" s="11" t="s">
        <v>483</v>
      </c>
      <c r="E475" s="48" t="s">
        <v>31</v>
      </c>
      <c r="F475" s="48" t="s">
        <v>74</v>
      </c>
      <c r="G475" s="11" t="s">
        <v>64</v>
      </c>
      <c r="H475" s="11" t="s">
        <v>75</v>
      </c>
      <c r="I475" s="11">
        <v>1299</v>
      </c>
      <c r="J475" s="49" t="s">
        <v>32</v>
      </c>
      <c r="K475" s="49" t="s">
        <v>76</v>
      </c>
      <c r="L475" s="49" t="s">
        <v>88</v>
      </c>
      <c r="M475" s="49" t="s">
        <v>95</v>
      </c>
      <c r="N475" s="48" t="s">
        <v>86</v>
      </c>
      <c r="O475" s="49" t="s">
        <v>35</v>
      </c>
      <c r="P475" s="11" t="s">
        <v>80</v>
      </c>
      <c r="Q475" s="11" t="s">
        <v>87</v>
      </c>
      <c r="R475" s="11" t="s">
        <v>226</v>
      </c>
      <c r="S475" s="11" t="s">
        <v>227</v>
      </c>
      <c r="T475" s="90" t="s">
        <v>10</v>
      </c>
      <c r="U475" s="90"/>
      <c r="V475" s="51">
        <v>45691</v>
      </c>
      <c r="W475" s="49" t="s">
        <v>1579</v>
      </c>
    </row>
    <row r="476" spans="1:23" ht="13" customHeight="1" x14ac:dyDescent="0.35">
      <c r="A476" s="11">
        <v>470</v>
      </c>
      <c r="B476" s="47">
        <v>204883247</v>
      </c>
      <c r="C476" s="94" t="s">
        <v>484</v>
      </c>
      <c r="D476" s="11" t="s">
        <v>485</v>
      </c>
      <c r="E476" s="48" t="s">
        <v>31</v>
      </c>
      <c r="F476" s="48" t="s">
        <v>74</v>
      </c>
      <c r="G476" s="11" t="s">
        <v>64</v>
      </c>
      <c r="H476" s="11" t="s">
        <v>75</v>
      </c>
      <c r="I476" s="11">
        <v>1299</v>
      </c>
      <c r="J476" s="49" t="s">
        <v>32</v>
      </c>
      <c r="K476" s="49" t="s">
        <v>76</v>
      </c>
      <c r="L476" s="49" t="s">
        <v>78</v>
      </c>
      <c r="M476" s="49" t="s">
        <v>92</v>
      </c>
      <c r="N476" s="48" t="s">
        <v>86</v>
      </c>
      <c r="O476" s="49" t="s">
        <v>35</v>
      </c>
      <c r="P476" s="11" t="s">
        <v>80</v>
      </c>
      <c r="Q476" s="11" t="s">
        <v>87</v>
      </c>
      <c r="R476" s="11" t="s">
        <v>226</v>
      </c>
      <c r="S476" s="11" t="s">
        <v>227</v>
      </c>
      <c r="T476" s="90" t="s">
        <v>1</v>
      </c>
      <c r="U476" s="89"/>
      <c r="V476" s="51">
        <v>45691</v>
      </c>
      <c r="W476" s="49" t="s">
        <v>1579</v>
      </c>
    </row>
    <row r="477" spans="1:23" ht="13" customHeight="1" x14ac:dyDescent="0.35">
      <c r="A477" s="11">
        <v>471</v>
      </c>
      <c r="B477" s="47">
        <v>204868854</v>
      </c>
      <c r="C477" s="94" t="s">
        <v>486</v>
      </c>
      <c r="D477" s="11" t="s">
        <v>487</v>
      </c>
      <c r="E477" s="48" t="s">
        <v>31</v>
      </c>
      <c r="F477" s="48" t="s">
        <v>74</v>
      </c>
      <c r="G477" s="11" t="s">
        <v>64</v>
      </c>
      <c r="H477" s="11" t="s">
        <v>75</v>
      </c>
      <c r="I477" s="11">
        <v>1299</v>
      </c>
      <c r="J477" s="49" t="s">
        <v>32</v>
      </c>
      <c r="K477" s="49" t="s">
        <v>76</v>
      </c>
      <c r="L477" s="49" t="s">
        <v>78</v>
      </c>
      <c r="M477" s="49" t="s">
        <v>92</v>
      </c>
      <c r="N477" s="48" t="s">
        <v>86</v>
      </c>
      <c r="O477" s="49" t="s">
        <v>35</v>
      </c>
      <c r="P477" s="11" t="s">
        <v>80</v>
      </c>
      <c r="Q477" s="11" t="s">
        <v>87</v>
      </c>
      <c r="R477" s="11" t="s">
        <v>232</v>
      </c>
      <c r="S477" s="11" t="s">
        <v>1760</v>
      </c>
      <c r="T477" s="90" t="s">
        <v>1</v>
      </c>
      <c r="U477" s="89"/>
      <c r="V477" s="51">
        <v>45691</v>
      </c>
      <c r="W477" s="49" t="s">
        <v>1580</v>
      </c>
    </row>
    <row r="478" spans="1:23" ht="13" customHeight="1" x14ac:dyDescent="0.35">
      <c r="A478" s="11">
        <v>472</v>
      </c>
      <c r="B478" s="47">
        <v>203521526</v>
      </c>
      <c r="C478" s="94" t="s">
        <v>488</v>
      </c>
      <c r="D478" s="11" t="s">
        <v>489</v>
      </c>
      <c r="E478" s="48" t="s">
        <v>31</v>
      </c>
      <c r="F478" s="48" t="s">
        <v>74</v>
      </c>
      <c r="G478" s="11" t="s">
        <v>64</v>
      </c>
      <c r="H478" s="11" t="s">
        <v>75</v>
      </c>
      <c r="I478" s="11">
        <v>1299</v>
      </c>
      <c r="J478" s="49" t="s">
        <v>32</v>
      </c>
      <c r="K478" s="49" t="s">
        <v>76</v>
      </c>
      <c r="L478" s="49" t="s">
        <v>78</v>
      </c>
      <c r="M478" s="49" t="s">
        <v>92</v>
      </c>
      <c r="N478" s="48" t="s">
        <v>79</v>
      </c>
      <c r="O478" s="49" t="s">
        <v>35</v>
      </c>
      <c r="P478" s="11" t="s">
        <v>80</v>
      </c>
      <c r="Q478" s="11" t="s">
        <v>81</v>
      </c>
      <c r="R478" s="11" t="s">
        <v>226</v>
      </c>
      <c r="S478" s="11" t="s">
        <v>227</v>
      </c>
      <c r="T478" s="90" t="s">
        <v>1</v>
      </c>
      <c r="U478" s="90"/>
      <c r="V478" s="51">
        <v>45463</v>
      </c>
      <c r="W478" s="49" t="s">
        <v>1577</v>
      </c>
    </row>
    <row r="479" spans="1:23" ht="13" customHeight="1" x14ac:dyDescent="0.35">
      <c r="A479" s="11">
        <v>473</v>
      </c>
      <c r="B479" s="47">
        <v>203521132</v>
      </c>
      <c r="C479" s="94" t="s">
        <v>490</v>
      </c>
      <c r="D479" s="11" t="s">
        <v>491</v>
      </c>
      <c r="E479" s="48" t="s">
        <v>31</v>
      </c>
      <c r="F479" s="48" t="s">
        <v>74</v>
      </c>
      <c r="G479" s="11" t="s">
        <v>64</v>
      </c>
      <c r="H479" s="11" t="s">
        <v>75</v>
      </c>
      <c r="I479" s="11">
        <v>1299</v>
      </c>
      <c r="J479" s="49" t="s">
        <v>32</v>
      </c>
      <c r="K479" s="49" t="s">
        <v>76</v>
      </c>
      <c r="L479" s="49" t="s">
        <v>78</v>
      </c>
      <c r="M479" s="49" t="s">
        <v>92</v>
      </c>
      <c r="N479" s="48" t="s">
        <v>79</v>
      </c>
      <c r="O479" s="49" t="s">
        <v>35</v>
      </c>
      <c r="P479" s="11" t="s">
        <v>80</v>
      </c>
      <c r="Q479" s="11" t="s">
        <v>81</v>
      </c>
      <c r="R479" s="11" t="s">
        <v>226</v>
      </c>
      <c r="S479" s="11" t="s">
        <v>227</v>
      </c>
      <c r="T479" s="90" t="s">
        <v>1</v>
      </c>
      <c r="U479" s="89"/>
      <c r="V479" s="51">
        <v>45463</v>
      </c>
      <c r="W479" s="49" t="s">
        <v>1580</v>
      </c>
    </row>
    <row r="480" spans="1:23" ht="13" customHeight="1" x14ac:dyDescent="0.35">
      <c r="A480" s="11">
        <v>474</v>
      </c>
      <c r="B480" s="47">
        <v>203800381</v>
      </c>
      <c r="C480" s="94" t="s">
        <v>2614</v>
      </c>
      <c r="D480" s="11" t="s">
        <v>2615</v>
      </c>
      <c r="E480" s="48" t="s">
        <v>31</v>
      </c>
      <c r="F480" s="48" t="s">
        <v>74</v>
      </c>
      <c r="G480" s="11" t="s">
        <v>64</v>
      </c>
      <c r="H480" s="11" t="s">
        <v>75</v>
      </c>
      <c r="I480" s="11">
        <v>1299</v>
      </c>
      <c r="J480" s="49" t="s">
        <v>32</v>
      </c>
      <c r="K480" s="49" t="s">
        <v>76</v>
      </c>
      <c r="L480" s="49" t="s">
        <v>78</v>
      </c>
      <c r="M480" s="49" t="s">
        <v>92</v>
      </c>
      <c r="N480" s="48" t="s">
        <v>86</v>
      </c>
      <c r="O480" s="49" t="s">
        <v>35</v>
      </c>
      <c r="P480" s="11" t="s">
        <v>80</v>
      </c>
      <c r="Q480" s="11" t="s">
        <v>90</v>
      </c>
      <c r="R480" s="11" t="s">
        <v>226</v>
      </c>
      <c r="S480" s="11" t="s">
        <v>227</v>
      </c>
      <c r="T480" s="90" t="s">
        <v>1</v>
      </c>
      <c r="U480" s="89"/>
      <c r="V480" s="51">
        <v>45516</v>
      </c>
      <c r="W480" s="49" t="s">
        <v>1581</v>
      </c>
    </row>
    <row r="481" spans="1:23" ht="13" customHeight="1" x14ac:dyDescent="0.35">
      <c r="A481" s="11">
        <v>475</v>
      </c>
      <c r="B481" s="47">
        <v>203736777</v>
      </c>
      <c r="C481" s="94" t="s">
        <v>492</v>
      </c>
      <c r="D481" s="11" t="s">
        <v>493</v>
      </c>
      <c r="E481" s="48" t="s">
        <v>31</v>
      </c>
      <c r="F481" s="48" t="s">
        <v>74</v>
      </c>
      <c r="G481" s="11" t="s">
        <v>64</v>
      </c>
      <c r="H481" s="11" t="s">
        <v>75</v>
      </c>
      <c r="I481" s="11">
        <v>1299</v>
      </c>
      <c r="J481" s="49" t="s">
        <v>39</v>
      </c>
      <c r="K481" s="49" t="s">
        <v>76</v>
      </c>
      <c r="L481" s="49" t="s">
        <v>92</v>
      </c>
      <c r="M481" s="49" t="s">
        <v>84</v>
      </c>
      <c r="N481" s="48" t="s">
        <v>86</v>
      </c>
      <c r="O481" s="49" t="s">
        <v>35</v>
      </c>
      <c r="P481" s="11" t="s">
        <v>80</v>
      </c>
      <c r="Q481" s="11" t="s">
        <v>99</v>
      </c>
      <c r="R481" s="11" t="s">
        <v>225</v>
      </c>
      <c r="S481" s="11" t="s">
        <v>2731</v>
      </c>
      <c r="T481" s="90" t="s">
        <v>1</v>
      </c>
      <c r="U481" s="91"/>
      <c r="V481" s="51">
        <v>45502</v>
      </c>
      <c r="W481" s="49" t="s">
        <v>1580</v>
      </c>
    </row>
    <row r="482" spans="1:23" ht="13" customHeight="1" x14ac:dyDescent="0.35">
      <c r="A482" s="11">
        <v>476</v>
      </c>
      <c r="B482" s="11">
        <v>206953970</v>
      </c>
      <c r="C482" s="94" t="s">
        <v>2616</v>
      </c>
      <c r="D482" s="11" t="s">
        <v>2617</v>
      </c>
      <c r="E482" s="48" t="s">
        <v>31</v>
      </c>
      <c r="F482" s="48" t="s">
        <v>74</v>
      </c>
      <c r="G482" s="11" t="s">
        <v>64</v>
      </c>
      <c r="H482" s="11" t="s">
        <v>75</v>
      </c>
      <c r="I482" s="11">
        <v>1299</v>
      </c>
      <c r="J482" s="49" t="s">
        <v>39</v>
      </c>
      <c r="K482" s="49" t="s">
        <v>76</v>
      </c>
      <c r="L482" s="49" t="s">
        <v>78</v>
      </c>
      <c r="M482" s="49" t="s">
        <v>92</v>
      </c>
      <c r="N482" s="48" t="s">
        <v>86</v>
      </c>
      <c r="O482" s="87" t="s">
        <v>35</v>
      </c>
      <c r="P482" s="11" t="s">
        <v>80</v>
      </c>
      <c r="Q482" s="83" t="s">
        <v>90</v>
      </c>
      <c r="R482" s="11" t="s">
        <v>225</v>
      </c>
      <c r="S482" s="54" t="s">
        <v>2731</v>
      </c>
      <c r="T482" s="90" t="s">
        <v>1</v>
      </c>
      <c r="U482" s="90"/>
      <c r="V482" s="51">
        <v>46051</v>
      </c>
      <c r="W482" s="2" t="s">
        <v>1580</v>
      </c>
    </row>
    <row r="483" spans="1:23" ht="13" customHeight="1" x14ac:dyDescent="0.35">
      <c r="A483" s="11">
        <v>477</v>
      </c>
      <c r="B483" s="47">
        <v>206873867</v>
      </c>
      <c r="C483" s="94" t="s">
        <v>2618</v>
      </c>
      <c r="D483" s="11" t="s">
        <v>2619</v>
      </c>
      <c r="E483" s="48" t="s">
        <v>31</v>
      </c>
      <c r="F483" s="48" t="s">
        <v>74</v>
      </c>
      <c r="G483" s="48" t="s">
        <v>64</v>
      </c>
      <c r="H483" s="48" t="s">
        <v>75</v>
      </c>
      <c r="I483" s="11">
        <v>1299</v>
      </c>
      <c r="J483" s="49" t="s">
        <v>39</v>
      </c>
      <c r="K483" s="49" t="s">
        <v>76</v>
      </c>
      <c r="L483" s="49" t="s">
        <v>77</v>
      </c>
      <c r="M483" s="49" t="s">
        <v>78</v>
      </c>
      <c r="N483" s="49" t="s">
        <v>89</v>
      </c>
      <c r="O483" s="48" t="s">
        <v>35</v>
      </c>
      <c r="P483" s="48" t="s">
        <v>80</v>
      </c>
      <c r="Q483" s="11" t="s">
        <v>90</v>
      </c>
      <c r="R483" s="11" t="s">
        <v>232</v>
      </c>
      <c r="S483" s="11" t="s">
        <v>1760</v>
      </c>
      <c r="T483" s="90" t="s">
        <v>1</v>
      </c>
      <c r="U483" s="89"/>
      <c r="V483" s="51">
        <v>46020</v>
      </c>
      <c r="W483" s="49" t="s">
        <v>1580</v>
      </c>
    </row>
    <row r="484" spans="1:23" ht="13" customHeight="1" x14ac:dyDescent="0.35">
      <c r="A484" s="11">
        <v>478</v>
      </c>
      <c r="B484" s="47">
        <v>203468399</v>
      </c>
      <c r="C484" s="94" t="s">
        <v>494</v>
      </c>
      <c r="D484" s="11" t="s">
        <v>495</v>
      </c>
      <c r="E484" s="48" t="s">
        <v>31</v>
      </c>
      <c r="F484" s="48" t="s">
        <v>74</v>
      </c>
      <c r="G484" s="11" t="s">
        <v>64</v>
      </c>
      <c r="H484" s="11" t="s">
        <v>75</v>
      </c>
      <c r="I484" s="11">
        <v>1299</v>
      </c>
      <c r="J484" s="49" t="s">
        <v>32</v>
      </c>
      <c r="K484" s="49" t="s">
        <v>76</v>
      </c>
      <c r="L484" s="49" t="s">
        <v>78</v>
      </c>
      <c r="M484" s="49" t="s">
        <v>92</v>
      </c>
      <c r="N484" s="48" t="s">
        <v>79</v>
      </c>
      <c r="O484" s="49" t="s">
        <v>35</v>
      </c>
      <c r="P484" s="11" t="s">
        <v>80</v>
      </c>
      <c r="Q484" s="11" t="s">
        <v>81</v>
      </c>
      <c r="R484" s="11" t="s">
        <v>225</v>
      </c>
      <c r="S484" s="11" t="s">
        <v>2731</v>
      </c>
      <c r="T484" s="90" t="s">
        <v>1</v>
      </c>
      <c r="U484" s="90"/>
      <c r="V484" s="51">
        <v>45456</v>
      </c>
      <c r="W484" s="49" t="s">
        <v>1577</v>
      </c>
    </row>
    <row r="485" spans="1:23" ht="13" customHeight="1" x14ac:dyDescent="0.35">
      <c r="A485" s="11">
        <v>479</v>
      </c>
      <c r="B485" s="47">
        <v>203736772</v>
      </c>
      <c r="C485" s="94" t="s">
        <v>496</v>
      </c>
      <c r="D485" s="11" t="s">
        <v>497</v>
      </c>
      <c r="E485" s="48" t="s">
        <v>31</v>
      </c>
      <c r="F485" s="48" t="s">
        <v>74</v>
      </c>
      <c r="G485" s="11" t="s">
        <v>64</v>
      </c>
      <c r="H485" s="11" t="s">
        <v>75</v>
      </c>
      <c r="I485" s="11">
        <v>1299</v>
      </c>
      <c r="J485" s="49" t="s">
        <v>32</v>
      </c>
      <c r="K485" s="49" t="s">
        <v>76</v>
      </c>
      <c r="L485" s="49" t="s">
        <v>36</v>
      </c>
      <c r="M485" s="49" t="s">
        <v>95</v>
      </c>
      <c r="N485" s="48" t="s">
        <v>86</v>
      </c>
      <c r="O485" s="49" t="s">
        <v>35</v>
      </c>
      <c r="P485" s="11" t="s">
        <v>80</v>
      </c>
      <c r="Q485" s="11" t="s">
        <v>99</v>
      </c>
      <c r="R485" s="11" t="s">
        <v>232</v>
      </c>
      <c r="S485" s="11" t="s">
        <v>1760</v>
      </c>
      <c r="T485" s="90" t="s">
        <v>1</v>
      </c>
      <c r="U485" s="90" t="s">
        <v>2919</v>
      </c>
      <c r="V485" s="51">
        <v>45502</v>
      </c>
      <c r="W485" s="49" t="s">
        <v>1580</v>
      </c>
    </row>
    <row r="486" spans="1:23" ht="13" customHeight="1" x14ac:dyDescent="0.35">
      <c r="A486" s="11">
        <v>480</v>
      </c>
      <c r="B486" s="47">
        <v>204246604</v>
      </c>
      <c r="C486" s="94" t="s">
        <v>498</v>
      </c>
      <c r="D486" s="11" t="s">
        <v>499</v>
      </c>
      <c r="E486" s="48" t="s">
        <v>31</v>
      </c>
      <c r="F486" s="48" t="s">
        <v>74</v>
      </c>
      <c r="G486" s="11" t="s">
        <v>64</v>
      </c>
      <c r="H486" s="11" t="s">
        <v>75</v>
      </c>
      <c r="I486" s="11">
        <v>1299</v>
      </c>
      <c r="J486" s="49" t="s">
        <v>32</v>
      </c>
      <c r="K486" s="49" t="s">
        <v>76</v>
      </c>
      <c r="L486" s="49" t="s">
        <v>78</v>
      </c>
      <c r="M486" s="49" t="s">
        <v>92</v>
      </c>
      <c r="N486" s="48" t="s">
        <v>86</v>
      </c>
      <c r="O486" s="49" t="s">
        <v>35</v>
      </c>
      <c r="P486" s="11" t="s">
        <v>80</v>
      </c>
      <c r="Q486" s="11" t="s">
        <v>87</v>
      </c>
      <c r="R486" s="11" t="s">
        <v>232</v>
      </c>
      <c r="S486" s="11" t="s">
        <v>1760</v>
      </c>
      <c r="T486" s="90" t="s">
        <v>1</v>
      </c>
      <c r="U486" s="89"/>
      <c r="V486" s="51">
        <v>45579</v>
      </c>
      <c r="W486" s="49" t="s">
        <v>1580</v>
      </c>
    </row>
    <row r="487" spans="1:23" ht="13" customHeight="1" x14ac:dyDescent="0.35">
      <c r="A487" s="11">
        <v>481</v>
      </c>
      <c r="B487" s="47">
        <v>203709595</v>
      </c>
      <c r="C487" s="94" t="s">
        <v>500</v>
      </c>
      <c r="D487" s="11" t="s">
        <v>501</v>
      </c>
      <c r="E487" s="48" t="s">
        <v>31</v>
      </c>
      <c r="F487" s="48" t="s">
        <v>74</v>
      </c>
      <c r="G487" s="11" t="s">
        <v>64</v>
      </c>
      <c r="H487" s="11" t="s">
        <v>75</v>
      </c>
      <c r="I487" s="11">
        <v>1299</v>
      </c>
      <c r="J487" s="49" t="s">
        <v>39</v>
      </c>
      <c r="K487" s="49" t="s">
        <v>76</v>
      </c>
      <c r="L487" s="49" t="s">
        <v>78</v>
      </c>
      <c r="M487" s="49" t="s">
        <v>92</v>
      </c>
      <c r="N487" s="48" t="s">
        <v>86</v>
      </c>
      <c r="O487" s="49" t="s">
        <v>35</v>
      </c>
      <c r="P487" s="11" t="s">
        <v>80</v>
      </c>
      <c r="Q487" s="11" t="s">
        <v>99</v>
      </c>
      <c r="R487" s="11" t="s">
        <v>232</v>
      </c>
      <c r="S487" s="11" t="s">
        <v>1760</v>
      </c>
      <c r="T487" s="90" t="s">
        <v>1</v>
      </c>
      <c r="U487" s="90"/>
      <c r="V487" s="51">
        <v>45495</v>
      </c>
      <c r="W487" s="49" t="s">
        <v>1580</v>
      </c>
    </row>
    <row r="488" spans="1:23" ht="13" customHeight="1" x14ac:dyDescent="0.35">
      <c r="A488" s="11">
        <v>482</v>
      </c>
      <c r="B488" s="47">
        <v>204882806</v>
      </c>
      <c r="C488" s="94" t="s">
        <v>2620</v>
      </c>
      <c r="D488" s="11" t="s">
        <v>2621</v>
      </c>
      <c r="E488" s="48" t="s">
        <v>31</v>
      </c>
      <c r="F488" s="48" t="s">
        <v>74</v>
      </c>
      <c r="G488" s="11" t="s">
        <v>64</v>
      </c>
      <c r="H488" s="11" t="s">
        <v>75</v>
      </c>
      <c r="I488" s="11">
        <v>1299</v>
      </c>
      <c r="J488" s="49" t="s">
        <v>32</v>
      </c>
      <c r="K488" s="49" t="s">
        <v>76</v>
      </c>
      <c r="L488" s="49" t="s">
        <v>77</v>
      </c>
      <c r="M488" s="49" t="s">
        <v>78</v>
      </c>
      <c r="N488" s="48" t="s">
        <v>86</v>
      </c>
      <c r="O488" s="49" t="s">
        <v>35</v>
      </c>
      <c r="P488" s="11" t="s">
        <v>80</v>
      </c>
      <c r="Q488" s="11" t="s">
        <v>90</v>
      </c>
      <c r="R488" s="11" t="s">
        <v>232</v>
      </c>
      <c r="S488" s="11" t="s">
        <v>1760</v>
      </c>
      <c r="T488" s="90" t="s">
        <v>1</v>
      </c>
      <c r="U488" s="90" t="s">
        <v>2920</v>
      </c>
      <c r="V488" s="51">
        <v>45691</v>
      </c>
      <c r="W488" s="49" t="s">
        <v>1580</v>
      </c>
    </row>
    <row r="489" spans="1:23" ht="13" customHeight="1" x14ac:dyDescent="0.35">
      <c r="A489" s="11">
        <v>483</v>
      </c>
      <c r="B489" s="47">
        <v>204967150</v>
      </c>
      <c r="C489" s="94" t="s">
        <v>2622</v>
      </c>
      <c r="D489" s="11" t="s">
        <v>2623</v>
      </c>
      <c r="E489" s="48" t="s">
        <v>31</v>
      </c>
      <c r="F489" s="48" t="s">
        <v>74</v>
      </c>
      <c r="G489" s="11" t="s">
        <v>64</v>
      </c>
      <c r="H489" s="11" t="s">
        <v>75</v>
      </c>
      <c r="I489" s="11">
        <v>1299</v>
      </c>
      <c r="J489" s="49" t="s">
        <v>32</v>
      </c>
      <c r="K489" s="49" t="s">
        <v>76</v>
      </c>
      <c r="L489" s="49" t="s">
        <v>78</v>
      </c>
      <c r="M489" s="49" t="s">
        <v>92</v>
      </c>
      <c r="N489" s="48" t="s">
        <v>86</v>
      </c>
      <c r="O489" s="49" t="s">
        <v>35</v>
      </c>
      <c r="P489" s="11" t="s">
        <v>80</v>
      </c>
      <c r="Q489" s="11" t="s">
        <v>90</v>
      </c>
      <c r="R489" s="11" t="s">
        <v>232</v>
      </c>
      <c r="S489" s="11" t="s">
        <v>1760</v>
      </c>
      <c r="T489" s="90" t="s">
        <v>1</v>
      </c>
      <c r="U489" s="91"/>
      <c r="V489" s="51">
        <v>45826</v>
      </c>
      <c r="W489" s="49" t="s">
        <v>1580</v>
      </c>
    </row>
    <row r="490" spans="1:23" ht="13" customHeight="1" x14ac:dyDescent="0.35">
      <c r="A490" s="11">
        <v>484</v>
      </c>
      <c r="B490" s="47">
        <v>203816300</v>
      </c>
      <c r="C490" s="94" t="s">
        <v>2624</v>
      </c>
      <c r="D490" s="11" t="s">
        <v>2625</v>
      </c>
      <c r="E490" s="48" t="s">
        <v>31</v>
      </c>
      <c r="F490" s="48" t="s">
        <v>74</v>
      </c>
      <c r="G490" s="11" t="s">
        <v>64</v>
      </c>
      <c r="H490" s="11" t="s">
        <v>75</v>
      </c>
      <c r="I490" s="11">
        <v>1299</v>
      </c>
      <c r="J490" s="49" t="s">
        <v>39</v>
      </c>
      <c r="K490" s="49" t="s">
        <v>76</v>
      </c>
      <c r="L490" s="49" t="s">
        <v>78</v>
      </c>
      <c r="M490" s="49" t="s">
        <v>92</v>
      </c>
      <c r="N490" s="49" t="s">
        <v>89</v>
      </c>
      <c r="O490" s="49" t="s">
        <v>35</v>
      </c>
      <c r="P490" s="11" t="s">
        <v>80</v>
      </c>
      <c r="Q490" s="11" t="s">
        <v>90</v>
      </c>
      <c r="R490" s="11" t="s">
        <v>226</v>
      </c>
      <c r="S490" s="11" t="s">
        <v>227</v>
      </c>
      <c r="T490" s="90" t="s">
        <v>1</v>
      </c>
      <c r="U490" s="89"/>
      <c r="V490" s="51">
        <v>45524</v>
      </c>
      <c r="W490" s="49" t="s">
        <v>1579</v>
      </c>
    </row>
    <row r="491" spans="1:23" ht="13" customHeight="1" x14ac:dyDescent="0.35">
      <c r="A491" s="11">
        <v>485</v>
      </c>
      <c r="B491" s="47">
        <v>203735944</v>
      </c>
      <c r="C491" s="94" t="s">
        <v>2626</v>
      </c>
      <c r="D491" s="11" t="s">
        <v>2627</v>
      </c>
      <c r="E491" s="48" t="s">
        <v>31</v>
      </c>
      <c r="F491" s="48" t="s">
        <v>74</v>
      </c>
      <c r="G491" s="11" t="s">
        <v>64</v>
      </c>
      <c r="H491" s="11" t="s">
        <v>75</v>
      </c>
      <c r="I491" s="11">
        <v>1299</v>
      </c>
      <c r="J491" s="49" t="s">
        <v>32</v>
      </c>
      <c r="K491" s="49" t="s">
        <v>76</v>
      </c>
      <c r="L491" s="49" t="s">
        <v>95</v>
      </c>
      <c r="M491" s="49" t="s">
        <v>77</v>
      </c>
      <c r="N491" s="48" t="s">
        <v>86</v>
      </c>
      <c r="O491" s="49" t="s">
        <v>35</v>
      </c>
      <c r="P491" s="11" t="s">
        <v>80</v>
      </c>
      <c r="Q491" s="11" t="s">
        <v>90</v>
      </c>
      <c r="R491" s="11" t="s">
        <v>232</v>
      </c>
      <c r="S491" s="11" t="s">
        <v>1760</v>
      </c>
      <c r="T491" s="90" t="s">
        <v>1</v>
      </c>
      <c r="U491" s="89"/>
      <c r="V491" s="51">
        <v>45502</v>
      </c>
      <c r="W491" s="49" t="s">
        <v>1580</v>
      </c>
    </row>
    <row r="492" spans="1:23" ht="13" customHeight="1" x14ac:dyDescent="0.35">
      <c r="A492" s="11">
        <v>486</v>
      </c>
      <c r="B492" s="47">
        <v>203736755</v>
      </c>
      <c r="C492" s="94" t="s">
        <v>502</v>
      </c>
      <c r="D492" s="11" t="s">
        <v>503</v>
      </c>
      <c r="E492" s="48" t="s">
        <v>31</v>
      </c>
      <c r="F492" s="48" t="s">
        <v>74</v>
      </c>
      <c r="G492" s="11" t="s">
        <v>64</v>
      </c>
      <c r="H492" s="11" t="s">
        <v>75</v>
      </c>
      <c r="I492" s="11">
        <v>1299</v>
      </c>
      <c r="J492" s="49" t="s">
        <v>32</v>
      </c>
      <c r="K492" s="49" t="s">
        <v>76</v>
      </c>
      <c r="L492" s="49" t="s">
        <v>77</v>
      </c>
      <c r="M492" s="49" t="s">
        <v>78</v>
      </c>
      <c r="N492" s="48" t="s">
        <v>86</v>
      </c>
      <c r="O492" s="49" t="s">
        <v>35</v>
      </c>
      <c r="P492" s="11" t="s">
        <v>80</v>
      </c>
      <c r="Q492" s="11" t="s">
        <v>99</v>
      </c>
      <c r="R492" s="11" t="s">
        <v>232</v>
      </c>
      <c r="S492" s="11" t="s">
        <v>1760</v>
      </c>
      <c r="T492" s="90" t="s">
        <v>1</v>
      </c>
      <c r="U492" s="89"/>
      <c r="V492" s="51">
        <v>45502</v>
      </c>
      <c r="W492" s="49" t="s">
        <v>1580</v>
      </c>
    </row>
    <row r="493" spans="1:23" ht="13" customHeight="1" x14ac:dyDescent="0.35">
      <c r="A493" s="11">
        <v>487</v>
      </c>
      <c r="B493" s="47">
        <v>206873871</v>
      </c>
      <c r="C493" s="94" t="s">
        <v>1777</v>
      </c>
      <c r="D493" s="11" t="s">
        <v>1778</v>
      </c>
      <c r="E493" s="48" t="s">
        <v>31</v>
      </c>
      <c r="F493" s="48" t="s">
        <v>74</v>
      </c>
      <c r="G493" s="48" t="s">
        <v>64</v>
      </c>
      <c r="H493" s="48" t="s">
        <v>75</v>
      </c>
      <c r="I493" s="11">
        <v>1299</v>
      </c>
      <c r="J493" s="49" t="s">
        <v>32</v>
      </c>
      <c r="K493" s="49" t="s">
        <v>76</v>
      </c>
      <c r="L493" s="49" t="s">
        <v>78</v>
      </c>
      <c r="M493" s="49" t="s">
        <v>92</v>
      </c>
      <c r="N493" s="49" t="s">
        <v>89</v>
      </c>
      <c r="O493" s="48" t="s">
        <v>35</v>
      </c>
      <c r="P493" s="48" t="s">
        <v>80</v>
      </c>
      <c r="Q493" s="11" t="s">
        <v>90</v>
      </c>
      <c r="R493" s="11" t="s">
        <v>232</v>
      </c>
      <c r="S493" s="11" t="s">
        <v>1760</v>
      </c>
      <c r="T493" s="90" t="s">
        <v>7</v>
      </c>
      <c r="U493" s="90" t="s">
        <v>2914</v>
      </c>
      <c r="V493" s="51">
        <v>46020</v>
      </c>
      <c r="W493" s="49" t="s">
        <v>1580</v>
      </c>
    </row>
    <row r="494" spans="1:23" ht="13" customHeight="1" x14ac:dyDescent="0.35">
      <c r="A494" s="11">
        <v>488</v>
      </c>
      <c r="B494" s="47">
        <v>204890367</v>
      </c>
      <c r="C494" s="94" t="s">
        <v>504</v>
      </c>
      <c r="D494" s="11" t="s">
        <v>505</v>
      </c>
      <c r="E494" s="48" t="s">
        <v>31</v>
      </c>
      <c r="F494" s="48" t="s">
        <v>74</v>
      </c>
      <c r="G494" s="11" t="s">
        <v>64</v>
      </c>
      <c r="H494" s="11" t="s">
        <v>75</v>
      </c>
      <c r="I494" s="11">
        <v>1299</v>
      </c>
      <c r="J494" s="49" t="s">
        <v>32</v>
      </c>
      <c r="K494" s="49" t="s">
        <v>76</v>
      </c>
      <c r="L494" s="49" t="s">
        <v>85</v>
      </c>
      <c r="M494" s="49" t="s">
        <v>88</v>
      </c>
      <c r="N494" s="48" t="s">
        <v>86</v>
      </c>
      <c r="O494" s="49" t="s">
        <v>35</v>
      </c>
      <c r="P494" s="11" t="s">
        <v>80</v>
      </c>
      <c r="Q494" s="11" t="s">
        <v>90</v>
      </c>
      <c r="R494" s="11" t="s">
        <v>232</v>
      </c>
      <c r="S494" s="11" t="s">
        <v>1760</v>
      </c>
      <c r="T494" s="90" t="s">
        <v>10</v>
      </c>
      <c r="U494" s="90"/>
      <c r="V494" s="51">
        <v>45826</v>
      </c>
      <c r="W494" s="49" t="s">
        <v>1580</v>
      </c>
    </row>
    <row r="495" spans="1:23" ht="13" customHeight="1" x14ac:dyDescent="0.35">
      <c r="A495" s="11">
        <v>489</v>
      </c>
      <c r="B495" s="47">
        <v>201633155</v>
      </c>
      <c r="C495" s="94" t="s">
        <v>506</v>
      </c>
      <c r="D495" s="11" t="s">
        <v>507</v>
      </c>
      <c r="E495" s="48" t="s">
        <v>31</v>
      </c>
      <c r="F495" s="48" t="s">
        <v>74</v>
      </c>
      <c r="G495" s="11" t="s">
        <v>64</v>
      </c>
      <c r="H495" s="11" t="s">
        <v>75</v>
      </c>
      <c r="I495" s="11">
        <v>1299</v>
      </c>
      <c r="J495" s="49" t="s">
        <v>32</v>
      </c>
      <c r="K495" s="49" t="s">
        <v>76</v>
      </c>
      <c r="L495" s="49" t="s">
        <v>84</v>
      </c>
      <c r="M495" s="49" t="s">
        <v>85</v>
      </c>
      <c r="N495" s="48" t="s">
        <v>86</v>
      </c>
      <c r="O495" s="49" t="s">
        <v>35</v>
      </c>
      <c r="P495" s="11" t="s">
        <v>80</v>
      </c>
      <c r="Q495" s="11" t="s">
        <v>87</v>
      </c>
      <c r="R495" s="11" t="s">
        <v>226</v>
      </c>
      <c r="S495" s="11" t="s">
        <v>227</v>
      </c>
      <c r="T495" s="90" t="s">
        <v>1</v>
      </c>
      <c r="U495" s="90"/>
      <c r="V495" s="51">
        <v>45581</v>
      </c>
      <c r="W495" s="49" t="s">
        <v>1580</v>
      </c>
    </row>
    <row r="496" spans="1:23" ht="13" customHeight="1" x14ac:dyDescent="0.35">
      <c r="A496" s="11">
        <v>490</v>
      </c>
      <c r="B496" s="47">
        <v>103986189</v>
      </c>
      <c r="C496" s="94" t="s">
        <v>508</v>
      </c>
      <c r="D496" s="11" t="s">
        <v>509</v>
      </c>
      <c r="E496" s="48" t="s">
        <v>34</v>
      </c>
      <c r="F496" s="48" t="s">
        <v>74</v>
      </c>
      <c r="G496" s="11" t="s">
        <v>64</v>
      </c>
      <c r="H496" s="11" t="s">
        <v>75</v>
      </c>
      <c r="I496" s="11">
        <v>1299</v>
      </c>
      <c r="J496" s="49" t="s">
        <v>39</v>
      </c>
      <c r="K496" s="49" t="s">
        <v>76</v>
      </c>
      <c r="L496" s="49" t="s">
        <v>95</v>
      </c>
      <c r="M496" s="49" t="s">
        <v>77</v>
      </c>
      <c r="N496" s="48" t="s">
        <v>97</v>
      </c>
      <c r="O496" s="49" t="s">
        <v>35</v>
      </c>
      <c r="P496" s="11" t="s">
        <v>80</v>
      </c>
      <c r="Q496" s="11" t="s">
        <v>98</v>
      </c>
      <c r="R496" s="11" t="s">
        <v>232</v>
      </c>
      <c r="S496" s="11" t="s">
        <v>1760</v>
      </c>
      <c r="T496" s="90" t="s">
        <v>1</v>
      </c>
      <c r="U496" s="90"/>
      <c r="V496" s="51">
        <v>44782</v>
      </c>
      <c r="W496" s="49" t="s">
        <v>1577</v>
      </c>
    </row>
    <row r="497" spans="1:23" ht="13" customHeight="1" x14ac:dyDescent="0.35">
      <c r="A497" s="11">
        <v>491</v>
      </c>
      <c r="B497" s="47">
        <v>204403653</v>
      </c>
      <c r="C497" s="94" t="s">
        <v>510</v>
      </c>
      <c r="D497" s="11" t="s">
        <v>511</v>
      </c>
      <c r="E497" s="48" t="s">
        <v>31</v>
      </c>
      <c r="F497" s="48" t="s">
        <v>74</v>
      </c>
      <c r="G497" s="11" t="s">
        <v>64</v>
      </c>
      <c r="H497" s="11" t="s">
        <v>75</v>
      </c>
      <c r="I497" s="11">
        <v>1299</v>
      </c>
      <c r="J497" s="49" t="s">
        <v>32</v>
      </c>
      <c r="K497" s="49" t="s">
        <v>76</v>
      </c>
      <c r="L497" s="49" t="s">
        <v>77</v>
      </c>
      <c r="M497" s="49" t="s">
        <v>78</v>
      </c>
      <c r="N497" s="48" t="s">
        <v>86</v>
      </c>
      <c r="O497" s="49" t="s">
        <v>35</v>
      </c>
      <c r="P497" s="11" t="s">
        <v>80</v>
      </c>
      <c r="Q497" s="11" t="s">
        <v>99</v>
      </c>
      <c r="R497" s="11" t="s">
        <v>232</v>
      </c>
      <c r="S497" s="11" t="s">
        <v>1760</v>
      </c>
      <c r="T497" s="90" t="s">
        <v>1</v>
      </c>
      <c r="U497" s="90"/>
      <c r="V497" s="51">
        <v>45596</v>
      </c>
      <c r="W497" s="49" t="s">
        <v>1580</v>
      </c>
    </row>
    <row r="498" spans="1:23" ht="13" customHeight="1" x14ac:dyDescent="0.35">
      <c r="A498" s="11">
        <v>492</v>
      </c>
      <c r="B498" s="47">
        <v>204967148</v>
      </c>
      <c r="C498" s="94" t="s">
        <v>2628</v>
      </c>
      <c r="D498" s="11" t="s">
        <v>2629</v>
      </c>
      <c r="E498" s="48" t="s">
        <v>31</v>
      </c>
      <c r="F498" s="48" t="s">
        <v>74</v>
      </c>
      <c r="G498" s="11" t="s">
        <v>64</v>
      </c>
      <c r="H498" s="11" t="s">
        <v>75</v>
      </c>
      <c r="I498" s="11">
        <v>1299</v>
      </c>
      <c r="J498" s="49" t="s">
        <v>39</v>
      </c>
      <c r="K498" s="49" t="s">
        <v>76</v>
      </c>
      <c r="L498" s="49" t="s">
        <v>92</v>
      </c>
      <c r="M498" s="49" t="s">
        <v>84</v>
      </c>
      <c r="N498" s="49" t="s">
        <v>89</v>
      </c>
      <c r="O498" s="49" t="s">
        <v>35</v>
      </c>
      <c r="P498" s="11" t="s">
        <v>80</v>
      </c>
      <c r="Q498" s="11" t="s">
        <v>90</v>
      </c>
      <c r="R498" s="11" t="s">
        <v>232</v>
      </c>
      <c r="S498" s="11" t="s">
        <v>1760</v>
      </c>
      <c r="T498" s="90" t="s">
        <v>1</v>
      </c>
      <c r="U498" s="89"/>
      <c r="V498" s="51">
        <v>45826</v>
      </c>
      <c r="W498" s="49" t="s">
        <v>1580</v>
      </c>
    </row>
    <row r="499" spans="1:23" ht="13" customHeight="1" x14ac:dyDescent="0.35">
      <c r="A499" s="11">
        <v>493</v>
      </c>
      <c r="B499" s="47">
        <v>203813080</v>
      </c>
      <c r="C499" s="94" t="s">
        <v>512</v>
      </c>
      <c r="D499" s="11" t="s">
        <v>513</v>
      </c>
      <c r="E499" s="48" t="s">
        <v>31</v>
      </c>
      <c r="F499" s="48" t="s">
        <v>74</v>
      </c>
      <c r="G499" s="11" t="s">
        <v>64</v>
      </c>
      <c r="H499" s="11" t="s">
        <v>75</v>
      </c>
      <c r="I499" s="11">
        <v>1299</v>
      </c>
      <c r="J499" s="49" t="s">
        <v>39</v>
      </c>
      <c r="K499" s="49" t="s">
        <v>76</v>
      </c>
      <c r="L499" s="49" t="s">
        <v>78</v>
      </c>
      <c r="M499" s="49" t="s">
        <v>92</v>
      </c>
      <c r="N499" s="48" t="s">
        <v>86</v>
      </c>
      <c r="O499" s="49" t="s">
        <v>35</v>
      </c>
      <c r="P499" s="11" t="s">
        <v>80</v>
      </c>
      <c r="Q499" s="11" t="s">
        <v>99</v>
      </c>
      <c r="R499" s="11" t="s">
        <v>232</v>
      </c>
      <c r="S499" s="11" t="s">
        <v>1760</v>
      </c>
      <c r="T499" s="90" t="s">
        <v>1</v>
      </c>
      <c r="U499" s="91"/>
      <c r="V499" s="51">
        <v>45517</v>
      </c>
      <c r="W499" s="49" t="s">
        <v>1580</v>
      </c>
    </row>
    <row r="500" spans="1:23" ht="13" customHeight="1" x14ac:dyDescent="0.35">
      <c r="A500" s="11">
        <v>494</v>
      </c>
      <c r="B500" s="47">
        <v>206846697</v>
      </c>
      <c r="C500" s="94" t="s">
        <v>2630</v>
      </c>
      <c r="D500" s="47" t="s">
        <v>2631</v>
      </c>
      <c r="E500" s="47" t="s">
        <v>31</v>
      </c>
      <c r="F500" s="47" t="s">
        <v>74</v>
      </c>
      <c r="G500" s="47" t="s">
        <v>64</v>
      </c>
      <c r="H500" s="47" t="s">
        <v>75</v>
      </c>
      <c r="I500" s="47">
        <v>1299</v>
      </c>
      <c r="J500" s="49" t="s">
        <v>32</v>
      </c>
      <c r="K500" s="49" t="s">
        <v>76</v>
      </c>
      <c r="L500" s="49" t="s">
        <v>78</v>
      </c>
      <c r="M500" s="49" t="s">
        <v>92</v>
      </c>
      <c r="N500" s="49" t="s">
        <v>89</v>
      </c>
      <c r="O500" s="47" t="s">
        <v>35</v>
      </c>
      <c r="P500" s="47" t="s">
        <v>80</v>
      </c>
      <c r="Q500" s="47" t="s">
        <v>90</v>
      </c>
      <c r="R500" s="11" t="s">
        <v>232</v>
      </c>
      <c r="S500" s="47" t="s">
        <v>1760</v>
      </c>
      <c r="T500" s="90" t="s">
        <v>1</v>
      </c>
      <c r="U500" s="90"/>
      <c r="V500" s="51">
        <v>46013</v>
      </c>
      <c r="W500" s="47" t="s">
        <v>1580</v>
      </c>
    </row>
    <row r="501" spans="1:23" ht="13" customHeight="1" x14ac:dyDescent="0.35">
      <c r="A501" s="11">
        <v>495</v>
      </c>
      <c r="B501" s="47">
        <v>204883234</v>
      </c>
      <c r="C501" s="94" t="s">
        <v>514</v>
      </c>
      <c r="D501" s="11" t="s">
        <v>515</v>
      </c>
      <c r="E501" s="48" t="s">
        <v>31</v>
      </c>
      <c r="F501" s="48" t="s">
        <v>74</v>
      </c>
      <c r="G501" s="11" t="s">
        <v>64</v>
      </c>
      <c r="H501" s="11" t="s">
        <v>75</v>
      </c>
      <c r="I501" s="11">
        <v>1299</v>
      </c>
      <c r="J501" s="49" t="s">
        <v>32</v>
      </c>
      <c r="K501" s="49" t="s">
        <v>76</v>
      </c>
      <c r="L501" s="49" t="s">
        <v>78</v>
      </c>
      <c r="M501" s="49" t="s">
        <v>92</v>
      </c>
      <c r="N501" s="48" t="s">
        <v>86</v>
      </c>
      <c r="O501" s="49" t="s">
        <v>35</v>
      </c>
      <c r="P501" s="11" t="s">
        <v>80</v>
      </c>
      <c r="Q501" s="11" t="s">
        <v>87</v>
      </c>
      <c r="R501" s="11" t="s">
        <v>226</v>
      </c>
      <c r="S501" s="11" t="s">
        <v>227</v>
      </c>
      <c r="T501" s="90" t="s">
        <v>1</v>
      </c>
      <c r="U501" s="89"/>
      <c r="V501" s="51">
        <v>45691</v>
      </c>
      <c r="W501" s="49" t="s">
        <v>1579</v>
      </c>
    </row>
    <row r="502" spans="1:23" ht="13" customHeight="1" x14ac:dyDescent="0.35">
      <c r="A502" s="11">
        <v>496</v>
      </c>
      <c r="B502" s="47">
        <v>203851274</v>
      </c>
      <c r="C502" s="94" t="s">
        <v>516</v>
      </c>
      <c r="D502" s="11" t="s">
        <v>517</v>
      </c>
      <c r="E502" s="48" t="s">
        <v>31</v>
      </c>
      <c r="F502" s="48" t="s">
        <v>74</v>
      </c>
      <c r="G502" s="11" t="s">
        <v>64</v>
      </c>
      <c r="H502" s="11" t="s">
        <v>75</v>
      </c>
      <c r="I502" s="11">
        <v>1299</v>
      </c>
      <c r="J502" s="49" t="s">
        <v>32</v>
      </c>
      <c r="K502" s="49" t="s">
        <v>76</v>
      </c>
      <c r="L502" s="49" t="s">
        <v>78</v>
      </c>
      <c r="M502" s="49" t="s">
        <v>92</v>
      </c>
      <c r="N502" s="48" t="s">
        <v>518</v>
      </c>
      <c r="O502" s="49" t="s">
        <v>35</v>
      </c>
      <c r="P502" s="11" t="s">
        <v>80</v>
      </c>
      <c r="Q502" s="11" t="s">
        <v>99</v>
      </c>
      <c r="R502" s="11" t="s">
        <v>226</v>
      </c>
      <c r="S502" s="11" t="s">
        <v>227</v>
      </c>
      <c r="T502" s="90" t="s">
        <v>7</v>
      </c>
      <c r="U502" s="90" t="s">
        <v>2914</v>
      </c>
      <c r="V502" s="51">
        <v>45524</v>
      </c>
      <c r="W502" s="49" t="s">
        <v>1580</v>
      </c>
    </row>
    <row r="503" spans="1:23" ht="13" customHeight="1" x14ac:dyDescent="0.35">
      <c r="A503" s="11">
        <v>497</v>
      </c>
      <c r="B503" s="47">
        <v>205495599</v>
      </c>
      <c r="C503" s="94" t="s">
        <v>519</v>
      </c>
      <c r="D503" s="11" t="s">
        <v>520</v>
      </c>
      <c r="E503" s="48" t="s">
        <v>31</v>
      </c>
      <c r="F503" s="48" t="s">
        <v>74</v>
      </c>
      <c r="G503" s="11" t="s">
        <v>64</v>
      </c>
      <c r="H503" s="11" t="s">
        <v>75</v>
      </c>
      <c r="I503" s="11">
        <v>1299</v>
      </c>
      <c r="J503" s="49" t="s">
        <v>32</v>
      </c>
      <c r="K503" s="49" t="s">
        <v>76</v>
      </c>
      <c r="L503" s="49" t="s">
        <v>78</v>
      </c>
      <c r="M503" s="49" t="s">
        <v>92</v>
      </c>
      <c r="N503" s="49" t="s">
        <v>89</v>
      </c>
      <c r="O503" s="49" t="s">
        <v>35</v>
      </c>
      <c r="P503" s="11" t="s">
        <v>80</v>
      </c>
      <c r="Q503" s="11" t="s">
        <v>96</v>
      </c>
      <c r="R503" s="11" t="s">
        <v>226</v>
      </c>
      <c r="S503" s="11" t="s">
        <v>227</v>
      </c>
      <c r="T503" s="90" t="s">
        <v>1</v>
      </c>
      <c r="U503" s="89"/>
      <c r="V503" s="51">
        <v>45831</v>
      </c>
      <c r="W503" s="49" t="s">
        <v>1581</v>
      </c>
    </row>
    <row r="504" spans="1:23" ht="13" customHeight="1" x14ac:dyDescent="0.35">
      <c r="A504" s="11">
        <v>498</v>
      </c>
      <c r="B504" s="47">
        <v>203737250</v>
      </c>
      <c r="C504" s="94" t="s">
        <v>2632</v>
      </c>
      <c r="D504" s="11" t="s">
        <v>2633</v>
      </c>
      <c r="E504" s="48" t="s">
        <v>31</v>
      </c>
      <c r="F504" s="48" t="s">
        <v>74</v>
      </c>
      <c r="G504" s="11" t="s">
        <v>64</v>
      </c>
      <c r="H504" s="11" t="s">
        <v>75</v>
      </c>
      <c r="I504" s="11">
        <v>1299</v>
      </c>
      <c r="J504" s="49" t="s">
        <v>39</v>
      </c>
      <c r="K504" s="49" t="s">
        <v>76</v>
      </c>
      <c r="L504" s="49" t="s">
        <v>84</v>
      </c>
      <c r="M504" s="49" t="s">
        <v>85</v>
      </c>
      <c r="N504" s="48" t="s">
        <v>86</v>
      </c>
      <c r="O504" s="49" t="s">
        <v>35</v>
      </c>
      <c r="P504" s="11" t="s">
        <v>80</v>
      </c>
      <c r="Q504" s="11" t="s">
        <v>90</v>
      </c>
      <c r="R504" s="11" t="s">
        <v>232</v>
      </c>
      <c r="S504" s="11" t="s">
        <v>1760</v>
      </c>
      <c r="T504" s="90" t="s">
        <v>1</v>
      </c>
      <c r="U504" s="90"/>
      <c r="V504" s="51">
        <v>45502</v>
      </c>
      <c r="W504" s="49" t="s">
        <v>1580</v>
      </c>
    </row>
    <row r="505" spans="1:23" ht="13" customHeight="1" x14ac:dyDescent="0.35">
      <c r="A505" s="11">
        <v>499</v>
      </c>
      <c r="B505" s="47">
        <v>204967146</v>
      </c>
      <c r="C505" s="94" t="s">
        <v>2634</v>
      </c>
      <c r="D505" s="11" t="s">
        <v>2635</v>
      </c>
      <c r="E505" s="48" t="s">
        <v>31</v>
      </c>
      <c r="F505" s="48" t="s">
        <v>74</v>
      </c>
      <c r="G505" s="11" t="s">
        <v>64</v>
      </c>
      <c r="H505" s="11" t="s">
        <v>75</v>
      </c>
      <c r="I505" s="11">
        <v>1299</v>
      </c>
      <c r="J505" s="49" t="s">
        <v>39</v>
      </c>
      <c r="K505" s="49" t="s">
        <v>76</v>
      </c>
      <c r="L505" s="49" t="s">
        <v>95</v>
      </c>
      <c r="M505" s="49" t="s">
        <v>77</v>
      </c>
      <c r="N505" s="49" t="s">
        <v>89</v>
      </c>
      <c r="O505" s="49" t="s">
        <v>35</v>
      </c>
      <c r="P505" s="11" t="s">
        <v>80</v>
      </c>
      <c r="Q505" s="11" t="s">
        <v>90</v>
      </c>
      <c r="R505" s="11" t="s">
        <v>232</v>
      </c>
      <c r="S505" s="11" t="s">
        <v>1760</v>
      </c>
      <c r="T505" s="90" t="s">
        <v>1</v>
      </c>
      <c r="U505" s="90"/>
      <c r="V505" s="51">
        <v>45826</v>
      </c>
      <c r="W505" s="49" t="s">
        <v>1580</v>
      </c>
    </row>
    <row r="506" spans="1:23" ht="13" customHeight="1" x14ac:dyDescent="0.35">
      <c r="A506" s="11">
        <v>500</v>
      </c>
      <c r="B506" s="47">
        <v>206791444</v>
      </c>
      <c r="C506" s="94" t="s">
        <v>2636</v>
      </c>
      <c r="D506" s="11" t="s">
        <v>2637</v>
      </c>
      <c r="E506" s="48" t="s">
        <v>31</v>
      </c>
      <c r="F506" s="48" t="s">
        <v>74</v>
      </c>
      <c r="G506" s="11" t="s">
        <v>64</v>
      </c>
      <c r="H506" s="11" t="s">
        <v>75</v>
      </c>
      <c r="I506" s="11">
        <v>1299</v>
      </c>
      <c r="J506" s="49" t="s">
        <v>32</v>
      </c>
      <c r="K506" s="49" t="s">
        <v>76</v>
      </c>
      <c r="L506" s="49" t="s">
        <v>78</v>
      </c>
      <c r="M506" s="49" t="s">
        <v>92</v>
      </c>
      <c r="N506" s="49" t="s">
        <v>89</v>
      </c>
      <c r="O506" s="49" t="s">
        <v>35</v>
      </c>
      <c r="P506" s="11" t="s">
        <v>80</v>
      </c>
      <c r="Q506" s="11" t="s">
        <v>90</v>
      </c>
      <c r="R506" s="11" t="s">
        <v>225</v>
      </c>
      <c r="S506" s="11" t="s">
        <v>2731</v>
      </c>
      <c r="T506" s="90" t="s">
        <v>1</v>
      </c>
      <c r="U506" s="89"/>
      <c r="V506" s="51">
        <v>45999</v>
      </c>
      <c r="W506" s="49" t="s">
        <v>1580</v>
      </c>
    </row>
    <row r="507" spans="1:23" ht="13" customHeight="1" x14ac:dyDescent="0.35">
      <c r="A507" s="11">
        <v>501</v>
      </c>
      <c r="B507" s="11">
        <v>206953813</v>
      </c>
      <c r="C507" s="94" t="s">
        <v>2638</v>
      </c>
      <c r="D507" s="11" t="s">
        <v>2639</v>
      </c>
      <c r="E507" s="48" t="s">
        <v>31</v>
      </c>
      <c r="F507" s="48" t="s">
        <v>74</v>
      </c>
      <c r="G507" s="11" t="s">
        <v>64</v>
      </c>
      <c r="H507" s="11" t="s">
        <v>75</v>
      </c>
      <c r="I507" s="11">
        <v>1299</v>
      </c>
      <c r="J507" s="49" t="s">
        <v>39</v>
      </c>
      <c r="K507" s="49" t="s">
        <v>76</v>
      </c>
      <c r="L507" s="49" t="s">
        <v>78</v>
      </c>
      <c r="M507" s="49" t="s">
        <v>92</v>
      </c>
      <c r="N507" s="48" t="s">
        <v>86</v>
      </c>
      <c r="O507" s="87" t="s">
        <v>35</v>
      </c>
      <c r="P507" s="11" t="s">
        <v>80</v>
      </c>
      <c r="Q507" s="83" t="s">
        <v>90</v>
      </c>
      <c r="R507" s="11" t="s">
        <v>225</v>
      </c>
      <c r="S507" s="54" t="s">
        <v>2731</v>
      </c>
      <c r="T507" s="90" t="s">
        <v>1</v>
      </c>
      <c r="U507" s="90"/>
      <c r="V507" s="51">
        <v>46051</v>
      </c>
      <c r="W507" s="2" t="s">
        <v>1580</v>
      </c>
    </row>
    <row r="508" spans="1:23" ht="13" customHeight="1" x14ac:dyDescent="0.35">
      <c r="A508" s="11">
        <v>502</v>
      </c>
      <c r="B508" s="47">
        <v>206873780</v>
      </c>
      <c r="C508" s="94" t="s">
        <v>2640</v>
      </c>
      <c r="D508" s="11" t="s">
        <v>2641</v>
      </c>
      <c r="E508" s="48" t="s">
        <v>31</v>
      </c>
      <c r="F508" s="48" t="s">
        <v>74</v>
      </c>
      <c r="G508" s="48" t="s">
        <v>64</v>
      </c>
      <c r="H508" s="48" t="s">
        <v>75</v>
      </c>
      <c r="I508" s="11">
        <v>1299</v>
      </c>
      <c r="J508" s="49" t="s">
        <v>39</v>
      </c>
      <c r="K508" s="49" t="s">
        <v>76</v>
      </c>
      <c r="L508" s="49" t="s">
        <v>78</v>
      </c>
      <c r="M508" s="49" t="s">
        <v>92</v>
      </c>
      <c r="N508" s="49" t="s">
        <v>89</v>
      </c>
      <c r="O508" s="48" t="s">
        <v>35</v>
      </c>
      <c r="P508" s="48" t="s">
        <v>80</v>
      </c>
      <c r="Q508" s="11" t="s">
        <v>90</v>
      </c>
      <c r="R508" s="11" t="s">
        <v>232</v>
      </c>
      <c r="S508" s="11" t="s">
        <v>1760</v>
      </c>
      <c r="T508" s="90" t="s">
        <v>1</v>
      </c>
      <c r="U508" s="90"/>
      <c r="V508" s="51">
        <v>46020</v>
      </c>
      <c r="W508" s="49" t="s">
        <v>1580</v>
      </c>
    </row>
    <row r="509" spans="1:23" ht="13" customHeight="1" x14ac:dyDescent="0.35">
      <c r="A509" s="11">
        <v>503</v>
      </c>
      <c r="B509" s="47">
        <v>203800374</v>
      </c>
      <c r="C509" s="94" t="s">
        <v>2642</v>
      </c>
      <c r="D509" s="11" t="s">
        <v>2643</v>
      </c>
      <c r="E509" s="48" t="s">
        <v>31</v>
      </c>
      <c r="F509" s="48" t="s">
        <v>74</v>
      </c>
      <c r="G509" s="11" t="s">
        <v>64</v>
      </c>
      <c r="H509" s="11" t="s">
        <v>75</v>
      </c>
      <c r="I509" s="11">
        <v>1299</v>
      </c>
      <c r="J509" s="49" t="s">
        <v>39</v>
      </c>
      <c r="K509" s="49" t="s">
        <v>76</v>
      </c>
      <c r="L509" s="49" t="s">
        <v>95</v>
      </c>
      <c r="M509" s="49" t="s">
        <v>77</v>
      </c>
      <c r="N509" s="49" t="s">
        <v>89</v>
      </c>
      <c r="O509" s="49" t="s">
        <v>35</v>
      </c>
      <c r="P509" s="11" t="s">
        <v>80</v>
      </c>
      <c r="Q509" s="11" t="s">
        <v>90</v>
      </c>
      <c r="R509" s="11" t="s">
        <v>232</v>
      </c>
      <c r="S509" s="11" t="s">
        <v>1760</v>
      </c>
      <c r="T509" s="90" t="s">
        <v>1</v>
      </c>
      <c r="U509" s="89"/>
      <c r="V509" s="51">
        <v>45516</v>
      </c>
      <c r="W509" s="49" t="s">
        <v>1580</v>
      </c>
    </row>
    <row r="510" spans="1:23" ht="13" customHeight="1" x14ac:dyDescent="0.35">
      <c r="A510" s="11">
        <v>504</v>
      </c>
      <c r="B510" s="47">
        <v>204883245</v>
      </c>
      <c r="C510" s="94" t="s">
        <v>521</v>
      </c>
      <c r="D510" s="11" t="s">
        <v>522</v>
      </c>
      <c r="E510" s="48" t="s">
        <v>31</v>
      </c>
      <c r="F510" s="48" t="s">
        <v>74</v>
      </c>
      <c r="G510" s="11" t="s">
        <v>64</v>
      </c>
      <c r="H510" s="11" t="s">
        <v>75</v>
      </c>
      <c r="I510" s="11">
        <v>1299</v>
      </c>
      <c r="J510" s="49" t="s">
        <v>32</v>
      </c>
      <c r="K510" s="49" t="s">
        <v>76</v>
      </c>
      <c r="L510" s="49" t="s">
        <v>78</v>
      </c>
      <c r="M510" s="49" t="s">
        <v>92</v>
      </c>
      <c r="N510" s="48" t="s">
        <v>86</v>
      </c>
      <c r="O510" s="49" t="s">
        <v>35</v>
      </c>
      <c r="P510" s="11" t="s">
        <v>80</v>
      </c>
      <c r="Q510" s="11" t="s">
        <v>87</v>
      </c>
      <c r="R510" s="11" t="s">
        <v>226</v>
      </c>
      <c r="S510" s="11" t="s">
        <v>227</v>
      </c>
      <c r="T510" s="90" t="s">
        <v>1</v>
      </c>
      <c r="U510" s="89"/>
      <c r="V510" s="51">
        <v>45691</v>
      </c>
      <c r="W510" s="49" t="s">
        <v>1579</v>
      </c>
    </row>
    <row r="511" spans="1:23" ht="13" customHeight="1" x14ac:dyDescent="0.35">
      <c r="A511" s="11">
        <v>505</v>
      </c>
      <c r="B511" s="47">
        <v>205506476</v>
      </c>
      <c r="C511" s="94" t="s">
        <v>2644</v>
      </c>
      <c r="D511" s="11" t="s">
        <v>2645</v>
      </c>
      <c r="E511" s="48" t="s">
        <v>31</v>
      </c>
      <c r="F511" s="48" t="s">
        <v>74</v>
      </c>
      <c r="G511" s="11" t="s">
        <v>64</v>
      </c>
      <c r="H511" s="11" t="s">
        <v>75</v>
      </c>
      <c r="I511" s="11">
        <v>1299</v>
      </c>
      <c r="J511" s="49" t="s">
        <v>32</v>
      </c>
      <c r="K511" s="49" t="s">
        <v>76</v>
      </c>
      <c r="L511" s="49" t="s">
        <v>78</v>
      </c>
      <c r="M511" s="49" t="s">
        <v>92</v>
      </c>
      <c r="N511" s="49" t="s">
        <v>89</v>
      </c>
      <c r="O511" s="49" t="s">
        <v>35</v>
      </c>
      <c r="P511" s="11" t="s">
        <v>80</v>
      </c>
      <c r="Q511" s="11" t="s">
        <v>96</v>
      </c>
      <c r="R511" s="11" t="s">
        <v>232</v>
      </c>
      <c r="S511" s="11" t="s">
        <v>1760</v>
      </c>
      <c r="T511" s="90" t="s">
        <v>1</v>
      </c>
      <c r="U511" s="89"/>
      <c r="V511" s="51">
        <v>45831</v>
      </c>
      <c r="W511" s="49" t="s">
        <v>1580</v>
      </c>
    </row>
    <row r="512" spans="1:23" ht="13" customHeight="1" x14ac:dyDescent="0.35">
      <c r="A512" s="11">
        <v>506</v>
      </c>
      <c r="B512" s="47">
        <v>204405779</v>
      </c>
      <c r="C512" s="94" t="s">
        <v>523</v>
      </c>
      <c r="D512" s="11" t="s">
        <v>524</v>
      </c>
      <c r="E512" s="48" t="s">
        <v>31</v>
      </c>
      <c r="F512" s="48" t="s">
        <v>74</v>
      </c>
      <c r="G512" s="11" t="s">
        <v>64</v>
      </c>
      <c r="H512" s="11" t="s">
        <v>75</v>
      </c>
      <c r="I512" s="11">
        <v>1299</v>
      </c>
      <c r="J512" s="49" t="s">
        <v>32</v>
      </c>
      <c r="K512" s="49" t="s">
        <v>76</v>
      </c>
      <c r="L512" s="49" t="s">
        <v>95</v>
      </c>
      <c r="M512" s="49" t="s">
        <v>77</v>
      </c>
      <c r="N512" s="48" t="s">
        <v>86</v>
      </c>
      <c r="O512" s="49" t="s">
        <v>35</v>
      </c>
      <c r="P512" s="11" t="s">
        <v>80</v>
      </c>
      <c r="Q512" s="11" t="s">
        <v>87</v>
      </c>
      <c r="R512" s="11" t="s">
        <v>226</v>
      </c>
      <c r="S512" s="11" t="s">
        <v>227</v>
      </c>
      <c r="T512" s="90" t="s">
        <v>1</v>
      </c>
      <c r="U512" s="89"/>
      <c r="V512" s="51">
        <v>45596</v>
      </c>
      <c r="W512" s="49" t="s">
        <v>1581</v>
      </c>
    </row>
    <row r="513" spans="1:23" ht="13" customHeight="1" x14ac:dyDescent="0.35">
      <c r="A513" s="11">
        <v>507</v>
      </c>
      <c r="B513" s="47">
        <v>205495595</v>
      </c>
      <c r="C513" s="94" t="s">
        <v>525</v>
      </c>
      <c r="D513" s="11" t="s">
        <v>526</v>
      </c>
      <c r="E513" s="48" t="s">
        <v>31</v>
      </c>
      <c r="F513" s="48" t="s">
        <v>74</v>
      </c>
      <c r="G513" s="11" t="s">
        <v>64</v>
      </c>
      <c r="H513" s="11" t="s">
        <v>75</v>
      </c>
      <c r="I513" s="11">
        <v>1299</v>
      </c>
      <c r="J513" s="49" t="s">
        <v>32</v>
      </c>
      <c r="K513" s="49" t="s">
        <v>76</v>
      </c>
      <c r="L513" s="49" t="s">
        <v>78</v>
      </c>
      <c r="M513" s="49" t="s">
        <v>92</v>
      </c>
      <c r="N513" s="49" t="s">
        <v>89</v>
      </c>
      <c r="O513" s="49" t="s">
        <v>35</v>
      </c>
      <c r="P513" s="11" t="s">
        <v>80</v>
      </c>
      <c r="Q513" s="11" t="s">
        <v>96</v>
      </c>
      <c r="R513" s="11" t="s">
        <v>232</v>
      </c>
      <c r="S513" s="11" t="s">
        <v>1760</v>
      </c>
      <c r="T513" s="90" t="s">
        <v>1</v>
      </c>
      <c r="U513" s="91"/>
      <c r="V513" s="51">
        <v>45831</v>
      </c>
      <c r="W513" s="49" t="s">
        <v>1580</v>
      </c>
    </row>
    <row r="514" spans="1:23" ht="13" customHeight="1" x14ac:dyDescent="0.35">
      <c r="A514" s="11">
        <v>508</v>
      </c>
      <c r="B514" s="47">
        <v>203850937</v>
      </c>
      <c r="C514" s="94" t="s">
        <v>528</v>
      </c>
      <c r="D514" s="11" t="s">
        <v>529</v>
      </c>
      <c r="E514" s="48" t="s">
        <v>31</v>
      </c>
      <c r="F514" s="48" t="s">
        <v>74</v>
      </c>
      <c r="G514" s="11" t="s">
        <v>64</v>
      </c>
      <c r="H514" s="11" t="s">
        <v>75</v>
      </c>
      <c r="I514" s="11">
        <v>1299</v>
      </c>
      <c r="J514" s="49" t="s">
        <v>32</v>
      </c>
      <c r="K514" s="49" t="s">
        <v>76</v>
      </c>
      <c r="L514" s="49" t="s">
        <v>78</v>
      </c>
      <c r="M514" s="49" t="s">
        <v>92</v>
      </c>
      <c r="N514" s="48" t="s">
        <v>79</v>
      </c>
      <c r="O514" s="49" t="s">
        <v>35</v>
      </c>
      <c r="P514" s="11" t="s">
        <v>80</v>
      </c>
      <c r="Q514" s="11" t="s">
        <v>81</v>
      </c>
      <c r="R514" s="11" t="s">
        <v>226</v>
      </c>
      <c r="S514" s="11" t="s">
        <v>227</v>
      </c>
      <c r="T514" s="90" t="s">
        <v>1</v>
      </c>
      <c r="U514" s="91"/>
      <c r="V514" s="51">
        <v>45524</v>
      </c>
      <c r="W514" s="49" t="s">
        <v>1579</v>
      </c>
    </row>
    <row r="515" spans="1:23" ht="13" customHeight="1" x14ac:dyDescent="0.35">
      <c r="A515" s="11">
        <v>509</v>
      </c>
      <c r="B515" s="47">
        <v>203736774</v>
      </c>
      <c r="C515" s="94" t="s">
        <v>530</v>
      </c>
      <c r="D515" s="11" t="s">
        <v>531</v>
      </c>
      <c r="E515" s="48" t="s">
        <v>31</v>
      </c>
      <c r="F515" s="48" t="s">
        <v>74</v>
      </c>
      <c r="G515" s="11" t="s">
        <v>64</v>
      </c>
      <c r="H515" s="11" t="s">
        <v>75</v>
      </c>
      <c r="I515" s="11">
        <v>1299</v>
      </c>
      <c r="J515" s="49" t="s">
        <v>32</v>
      </c>
      <c r="K515" s="49" t="s">
        <v>76</v>
      </c>
      <c r="L515" s="49" t="s">
        <v>78</v>
      </c>
      <c r="M515" s="49" t="s">
        <v>92</v>
      </c>
      <c r="N515" s="48" t="s">
        <v>86</v>
      </c>
      <c r="O515" s="49" t="s">
        <v>35</v>
      </c>
      <c r="P515" s="11" t="s">
        <v>80</v>
      </c>
      <c r="Q515" s="11" t="s">
        <v>99</v>
      </c>
      <c r="R515" s="11" t="s">
        <v>232</v>
      </c>
      <c r="S515" s="11" t="s">
        <v>1760</v>
      </c>
      <c r="T515" s="90" t="s">
        <v>1</v>
      </c>
      <c r="U515" s="89"/>
      <c r="V515" s="51">
        <v>45502</v>
      </c>
      <c r="W515" s="49" t="s">
        <v>1580</v>
      </c>
    </row>
    <row r="516" spans="1:23" ht="13" customHeight="1" x14ac:dyDescent="0.35">
      <c r="A516" s="11">
        <v>510</v>
      </c>
      <c r="B516" s="47">
        <v>204869089</v>
      </c>
      <c r="C516" s="94" t="s">
        <v>532</v>
      </c>
      <c r="D516" s="11" t="s">
        <v>533</v>
      </c>
      <c r="E516" s="48" t="s">
        <v>31</v>
      </c>
      <c r="F516" s="48" t="s">
        <v>74</v>
      </c>
      <c r="G516" s="11" t="s">
        <v>64</v>
      </c>
      <c r="H516" s="11" t="s">
        <v>75</v>
      </c>
      <c r="I516" s="11">
        <v>1299</v>
      </c>
      <c r="J516" s="49" t="s">
        <v>32</v>
      </c>
      <c r="K516" s="49" t="s">
        <v>76</v>
      </c>
      <c r="L516" s="49" t="s">
        <v>85</v>
      </c>
      <c r="M516" s="49" t="s">
        <v>88</v>
      </c>
      <c r="N516" s="48" t="s">
        <v>86</v>
      </c>
      <c r="O516" s="49" t="s">
        <v>35</v>
      </c>
      <c r="P516" s="11" t="s">
        <v>80</v>
      </c>
      <c r="Q516" s="11" t="s">
        <v>87</v>
      </c>
      <c r="R516" s="11" t="s">
        <v>232</v>
      </c>
      <c r="S516" s="11" t="s">
        <v>1760</v>
      </c>
      <c r="T516" s="90" t="s">
        <v>10</v>
      </c>
      <c r="U516" s="89"/>
      <c r="V516" s="51">
        <v>45691</v>
      </c>
      <c r="W516" s="49" t="s">
        <v>1580</v>
      </c>
    </row>
    <row r="517" spans="1:23" ht="13" customHeight="1" x14ac:dyDescent="0.35">
      <c r="A517" s="11">
        <v>511</v>
      </c>
      <c r="B517" s="47">
        <v>206873793</v>
      </c>
      <c r="C517" s="94" t="s">
        <v>2646</v>
      </c>
      <c r="D517" s="11" t="s">
        <v>2647</v>
      </c>
      <c r="E517" s="48" t="s">
        <v>31</v>
      </c>
      <c r="F517" s="48" t="s">
        <v>74</v>
      </c>
      <c r="G517" s="48" t="s">
        <v>64</v>
      </c>
      <c r="H517" s="48" t="s">
        <v>75</v>
      </c>
      <c r="I517" s="11">
        <v>1299</v>
      </c>
      <c r="J517" s="49" t="s">
        <v>32</v>
      </c>
      <c r="K517" s="49" t="s">
        <v>76</v>
      </c>
      <c r="L517" s="49" t="s">
        <v>78</v>
      </c>
      <c r="M517" s="49" t="s">
        <v>92</v>
      </c>
      <c r="N517" s="49" t="s">
        <v>89</v>
      </c>
      <c r="O517" s="48" t="s">
        <v>35</v>
      </c>
      <c r="P517" s="48" t="s">
        <v>80</v>
      </c>
      <c r="Q517" s="11" t="s">
        <v>90</v>
      </c>
      <c r="R517" s="11" t="s">
        <v>232</v>
      </c>
      <c r="S517" s="11" t="s">
        <v>1760</v>
      </c>
      <c r="T517" s="90" t="s">
        <v>1</v>
      </c>
      <c r="U517" s="89"/>
      <c r="V517" s="51">
        <v>46020</v>
      </c>
      <c r="W517" s="49" t="s">
        <v>1580</v>
      </c>
    </row>
    <row r="518" spans="1:23" ht="13" customHeight="1" x14ac:dyDescent="0.35">
      <c r="A518" s="11">
        <v>512</v>
      </c>
      <c r="B518" s="47">
        <v>204883081</v>
      </c>
      <c r="C518" s="94" t="s">
        <v>534</v>
      </c>
      <c r="D518" s="11" t="s">
        <v>535</v>
      </c>
      <c r="E518" s="48" t="s">
        <v>31</v>
      </c>
      <c r="F518" s="48" t="s">
        <v>74</v>
      </c>
      <c r="G518" s="11" t="s">
        <v>64</v>
      </c>
      <c r="H518" s="11" t="s">
        <v>75</v>
      </c>
      <c r="I518" s="11">
        <v>1299</v>
      </c>
      <c r="J518" s="49" t="s">
        <v>32</v>
      </c>
      <c r="K518" s="49" t="s">
        <v>76</v>
      </c>
      <c r="L518" s="49" t="s">
        <v>78</v>
      </c>
      <c r="M518" s="49" t="s">
        <v>92</v>
      </c>
      <c r="N518" s="48" t="s">
        <v>86</v>
      </c>
      <c r="O518" s="49" t="s">
        <v>35</v>
      </c>
      <c r="P518" s="11" t="s">
        <v>80</v>
      </c>
      <c r="Q518" s="11" t="s">
        <v>87</v>
      </c>
      <c r="R518" s="11" t="s">
        <v>226</v>
      </c>
      <c r="S518" s="11" t="s">
        <v>227</v>
      </c>
      <c r="T518" s="90" t="s">
        <v>1</v>
      </c>
      <c r="U518" s="89"/>
      <c r="V518" s="51">
        <v>45691</v>
      </c>
      <c r="W518" s="49" t="s">
        <v>1579</v>
      </c>
    </row>
    <row r="519" spans="1:23" ht="13" customHeight="1" x14ac:dyDescent="0.35">
      <c r="A519" s="11">
        <v>513</v>
      </c>
      <c r="B519" s="47">
        <v>102718052</v>
      </c>
      <c r="C519" s="94" t="s">
        <v>536</v>
      </c>
      <c r="D519" s="11" t="s">
        <v>537</v>
      </c>
      <c r="E519" s="48" t="s">
        <v>34</v>
      </c>
      <c r="F519" s="48" t="s">
        <v>74</v>
      </c>
      <c r="G519" s="11" t="s">
        <v>64</v>
      </c>
      <c r="H519" s="11" t="s">
        <v>75</v>
      </c>
      <c r="I519" s="11">
        <v>1299</v>
      </c>
      <c r="J519" s="49" t="s">
        <v>39</v>
      </c>
      <c r="K519" s="49" t="s">
        <v>76</v>
      </c>
      <c r="L519" s="49" t="s">
        <v>95</v>
      </c>
      <c r="M519" s="49" t="s">
        <v>77</v>
      </c>
      <c r="N519" s="48" t="s">
        <v>108</v>
      </c>
      <c r="O519" s="49" t="s">
        <v>35</v>
      </c>
      <c r="P519" s="11" t="s">
        <v>80</v>
      </c>
      <c r="Q519" s="11" t="s">
        <v>98</v>
      </c>
      <c r="R519" s="11" t="s">
        <v>226</v>
      </c>
      <c r="S519" s="11" t="s">
        <v>227</v>
      </c>
      <c r="T519" s="90" t="s">
        <v>1</v>
      </c>
      <c r="U519" s="89"/>
      <c r="V519" s="51">
        <v>42990</v>
      </c>
      <c r="W519" s="49" t="s">
        <v>1581</v>
      </c>
    </row>
    <row r="520" spans="1:23" ht="13" customHeight="1" x14ac:dyDescent="0.35">
      <c r="A520" s="11">
        <v>514</v>
      </c>
      <c r="B520" s="47">
        <v>204882798</v>
      </c>
      <c r="C520" s="94" t="s">
        <v>538</v>
      </c>
      <c r="D520" s="11" t="s">
        <v>539</v>
      </c>
      <c r="E520" s="48" t="s">
        <v>31</v>
      </c>
      <c r="F520" s="48" t="s">
        <v>74</v>
      </c>
      <c r="G520" s="11" t="s">
        <v>64</v>
      </c>
      <c r="H520" s="11" t="s">
        <v>75</v>
      </c>
      <c r="I520" s="11">
        <v>1299</v>
      </c>
      <c r="J520" s="49" t="s">
        <v>39</v>
      </c>
      <c r="K520" s="49" t="s">
        <v>76</v>
      </c>
      <c r="L520" s="49" t="s">
        <v>95</v>
      </c>
      <c r="M520" s="49" t="s">
        <v>77</v>
      </c>
      <c r="N520" s="48" t="s">
        <v>86</v>
      </c>
      <c r="O520" s="49" t="s">
        <v>35</v>
      </c>
      <c r="P520" s="11" t="s">
        <v>80</v>
      </c>
      <c r="Q520" s="11" t="s">
        <v>90</v>
      </c>
      <c r="R520" s="11" t="s">
        <v>232</v>
      </c>
      <c r="S520" s="11" t="s">
        <v>1760</v>
      </c>
      <c r="T520" s="90" t="s">
        <v>1</v>
      </c>
      <c r="U520" s="89"/>
      <c r="V520" s="51">
        <v>45691</v>
      </c>
      <c r="W520" s="49" t="s">
        <v>1580</v>
      </c>
    </row>
    <row r="521" spans="1:23" ht="13" customHeight="1" x14ac:dyDescent="0.35">
      <c r="A521" s="11">
        <v>515</v>
      </c>
      <c r="B521" s="47">
        <v>204883239</v>
      </c>
      <c r="C521" s="94" t="s">
        <v>540</v>
      </c>
      <c r="D521" s="11" t="s">
        <v>541</v>
      </c>
      <c r="E521" s="48" t="s">
        <v>31</v>
      </c>
      <c r="F521" s="48" t="s">
        <v>74</v>
      </c>
      <c r="G521" s="11" t="s">
        <v>64</v>
      </c>
      <c r="H521" s="11" t="s">
        <v>75</v>
      </c>
      <c r="I521" s="11">
        <v>1299</v>
      </c>
      <c r="J521" s="49" t="s">
        <v>32</v>
      </c>
      <c r="K521" s="49" t="s">
        <v>76</v>
      </c>
      <c r="L521" s="49" t="s">
        <v>77</v>
      </c>
      <c r="M521" s="49" t="s">
        <v>78</v>
      </c>
      <c r="N521" s="48" t="s">
        <v>86</v>
      </c>
      <c r="O521" s="49" t="s">
        <v>35</v>
      </c>
      <c r="P521" s="11" t="s">
        <v>80</v>
      </c>
      <c r="Q521" s="11" t="s">
        <v>87</v>
      </c>
      <c r="R521" s="11" t="s">
        <v>226</v>
      </c>
      <c r="S521" s="11" t="s">
        <v>227</v>
      </c>
      <c r="T521" s="90" t="s">
        <v>1</v>
      </c>
      <c r="U521" s="89"/>
      <c r="V521" s="51">
        <v>45691</v>
      </c>
      <c r="W521" s="49" t="s">
        <v>1579</v>
      </c>
    </row>
    <row r="522" spans="1:23" ht="13" customHeight="1" x14ac:dyDescent="0.35">
      <c r="A522" s="11">
        <v>516</v>
      </c>
      <c r="B522" s="47">
        <v>203965493</v>
      </c>
      <c r="C522" s="94" t="s">
        <v>542</v>
      </c>
      <c r="D522" s="11" t="s">
        <v>543</v>
      </c>
      <c r="E522" s="48" t="s">
        <v>31</v>
      </c>
      <c r="F522" s="48" t="s">
        <v>74</v>
      </c>
      <c r="G522" s="11" t="s">
        <v>64</v>
      </c>
      <c r="H522" s="11" t="s">
        <v>75</v>
      </c>
      <c r="I522" s="11">
        <v>1299</v>
      </c>
      <c r="J522" s="49" t="s">
        <v>32</v>
      </c>
      <c r="K522" s="49" t="s">
        <v>76</v>
      </c>
      <c r="L522" s="49" t="s">
        <v>77</v>
      </c>
      <c r="M522" s="49" t="s">
        <v>78</v>
      </c>
      <c r="N522" s="48" t="s">
        <v>79</v>
      </c>
      <c r="O522" s="49" t="s">
        <v>35</v>
      </c>
      <c r="P522" s="11" t="s">
        <v>80</v>
      </c>
      <c r="Q522" s="11" t="s">
        <v>81</v>
      </c>
      <c r="R522" s="11" t="s">
        <v>226</v>
      </c>
      <c r="S522" s="11" t="s">
        <v>227</v>
      </c>
      <c r="T522" s="90" t="s">
        <v>7</v>
      </c>
      <c r="U522" s="90" t="s">
        <v>2914</v>
      </c>
      <c r="V522" s="51">
        <v>45544</v>
      </c>
      <c r="W522" s="49" t="s">
        <v>1580</v>
      </c>
    </row>
    <row r="523" spans="1:23" ht="13" customHeight="1" x14ac:dyDescent="0.35">
      <c r="A523" s="11">
        <v>517</v>
      </c>
      <c r="B523" s="47">
        <v>204882810</v>
      </c>
      <c r="C523" s="94" t="s">
        <v>544</v>
      </c>
      <c r="D523" s="11" t="s">
        <v>545</v>
      </c>
      <c r="E523" s="48" t="s">
        <v>31</v>
      </c>
      <c r="F523" s="48" t="s">
        <v>74</v>
      </c>
      <c r="G523" s="11" t="s">
        <v>64</v>
      </c>
      <c r="H523" s="11" t="s">
        <v>75</v>
      </c>
      <c r="I523" s="11">
        <v>1299</v>
      </c>
      <c r="J523" s="49" t="s">
        <v>32</v>
      </c>
      <c r="K523" s="49" t="s">
        <v>76</v>
      </c>
      <c r="L523" s="49" t="s">
        <v>78</v>
      </c>
      <c r="M523" s="49" t="s">
        <v>92</v>
      </c>
      <c r="N523" s="48" t="s">
        <v>86</v>
      </c>
      <c r="O523" s="49" t="s">
        <v>35</v>
      </c>
      <c r="P523" s="11" t="s">
        <v>80</v>
      </c>
      <c r="Q523" s="11" t="s">
        <v>90</v>
      </c>
      <c r="R523" s="11" t="s">
        <v>225</v>
      </c>
      <c r="S523" s="11" t="s">
        <v>2731</v>
      </c>
      <c r="T523" s="90" t="s">
        <v>1</v>
      </c>
      <c r="U523" s="90"/>
      <c r="V523" s="51">
        <v>45691</v>
      </c>
      <c r="W523" s="49" t="s">
        <v>1580</v>
      </c>
    </row>
    <row r="524" spans="1:23" ht="13" customHeight="1" x14ac:dyDescent="0.35">
      <c r="A524" s="11">
        <v>518</v>
      </c>
      <c r="B524" s="11">
        <v>206873650</v>
      </c>
      <c r="C524" s="94" t="s">
        <v>1787</v>
      </c>
      <c r="D524" s="11" t="s">
        <v>1788</v>
      </c>
      <c r="E524" s="48" t="s">
        <v>31</v>
      </c>
      <c r="F524" s="48" t="s">
        <v>74</v>
      </c>
      <c r="G524" s="48" t="s">
        <v>64</v>
      </c>
      <c r="H524" s="48" t="s">
        <v>75</v>
      </c>
      <c r="I524" s="11">
        <v>1299</v>
      </c>
      <c r="J524" s="49" t="s">
        <v>32</v>
      </c>
      <c r="K524" s="49" t="s">
        <v>76</v>
      </c>
      <c r="L524" s="49" t="s">
        <v>78</v>
      </c>
      <c r="M524" s="49" t="s">
        <v>92</v>
      </c>
      <c r="N524" s="49" t="s">
        <v>89</v>
      </c>
      <c r="O524" s="48" t="s">
        <v>35</v>
      </c>
      <c r="P524" s="48" t="s">
        <v>80</v>
      </c>
      <c r="Q524" s="11" t="s">
        <v>81</v>
      </c>
      <c r="R524" s="11" t="s">
        <v>232</v>
      </c>
      <c r="S524" s="11" t="s">
        <v>1760</v>
      </c>
      <c r="T524" s="90" t="s">
        <v>1</v>
      </c>
      <c r="U524" s="89"/>
      <c r="V524" s="51">
        <v>46020</v>
      </c>
      <c r="W524" s="11" t="s">
        <v>1580</v>
      </c>
    </row>
    <row r="525" spans="1:23" ht="13" customHeight="1" x14ac:dyDescent="0.35">
      <c r="A525" s="11">
        <v>519</v>
      </c>
      <c r="B525" s="47">
        <v>203800486</v>
      </c>
      <c r="C525" s="94" t="s">
        <v>2648</v>
      </c>
      <c r="D525" s="11" t="s">
        <v>2649</v>
      </c>
      <c r="E525" s="48" t="s">
        <v>31</v>
      </c>
      <c r="F525" s="48" t="s">
        <v>74</v>
      </c>
      <c r="G525" s="11" t="s">
        <v>64</v>
      </c>
      <c r="H525" s="11" t="s">
        <v>75</v>
      </c>
      <c r="I525" s="11">
        <v>1299</v>
      </c>
      <c r="J525" s="49" t="s">
        <v>32</v>
      </c>
      <c r="K525" s="49" t="s">
        <v>76</v>
      </c>
      <c r="L525" s="49" t="s">
        <v>77</v>
      </c>
      <c r="M525" s="49" t="s">
        <v>78</v>
      </c>
      <c r="N525" s="48" t="s">
        <v>86</v>
      </c>
      <c r="O525" s="49" t="s">
        <v>35</v>
      </c>
      <c r="P525" s="11" t="s">
        <v>80</v>
      </c>
      <c r="Q525" s="11" t="s">
        <v>90</v>
      </c>
      <c r="R525" s="11" t="s">
        <v>232</v>
      </c>
      <c r="S525" s="11" t="s">
        <v>1760</v>
      </c>
      <c r="T525" s="90" t="s">
        <v>1</v>
      </c>
      <c r="U525" s="89"/>
      <c r="V525" s="51">
        <v>45516</v>
      </c>
      <c r="W525" s="49" t="s">
        <v>1580</v>
      </c>
    </row>
    <row r="526" spans="1:23" ht="13" customHeight="1" x14ac:dyDescent="0.35">
      <c r="A526" s="11">
        <v>520</v>
      </c>
      <c r="B526" s="47">
        <v>205977126</v>
      </c>
      <c r="C526" s="94" t="s">
        <v>2650</v>
      </c>
      <c r="D526" s="11" t="s">
        <v>2651</v>
      </c>
      <c r="E526" s="48" t="s">
        <v>31</v>
      </c>
      <c r="F526" s="48" t="s">
        <v>74</v>
      </c>
      <c r="G526" s="11" t="s">
        <v>64</v>
      </c>
      <c r="H526" s="11" t="s">
        <v>75</v>
      </c>
      <c r="I526" s="11">
        <v>1299</v>
      </c>
      <c r="J526" s="49" t="s">
        <v>32</v>
      </c>
      <c r="K526" s="49" t="s">
        <v>76</v>
      </c>
      <c r="L526" s="49" t="s">
        <v>78</v>
      </c>
      <c r="M526" s="49" t="s">
        <v>92</v>
      </c>
      <c r="N526" s="48" t="s">
        <v>86</v>
      </c>
      <c r="O526" s="49" t="s">
        <v>35</v>
      </c>
      <c r="P526" s="11" t="s">
        <v>80</v>
      </c>
      <c r="Q526" s="11" t="s">
        <v>90</v>
      </c>
      <c r="R526" s="11" t="s">
        <v>225</v>
      </c>
      <c r="S526" s="11" t="s">
        <v>2731</v>
      </c>
      <c r="T526" s="90" t="s">
        <v>7</v>
      </c>
      <c r="U526" s="90" t="s">
        <v>2914</v>
      </c>
      <c r="V526" s="51">
        <v>45915</v>
      </c>
      <c r="W526" s="49" t="s">
        <v>1580</v>
      </c>
    </row>
    <row r="527" spans="1:23" ht="13" customHeight="1" x14ac:dyDescent="0.35">
      <c r="A527" s="11">
        <v>521</v>
      </c>
      <c r="B527" s="47">
        <v>203816295</v>
      </c>
      <c r="C527" s="94" t="s">
        <v>2652</v>
      </c>
      <c r="D527" s="11" t="s">
        <v>2653</v>
      </c>
      <c r="E527" s="48" t="s">
        <v>31</v>
      </c>
      <c r="F527" s="48" t="s">
        <v>74</v>
      </c>
      <c r="G527" s="11" t="s">
        <v>64</v>
      </c>
      <c r="H527" s="11" t="s">
        <v>75</v>
      </c>
      <c r="I527" s="11">
        <v>1299</v>
      </c>
      <c r="J527" s="49" t="s">
        <v>32</v>
      </c>
      <c r="K527" s="49" t="s">
        <v>76</v>
      </c>
      <c r="L527" s="49" t="s">
        <v>95</v>
      </c>
      <c r="M527" s="49" t="s">
        <v>77</v>
      </c>
      <c r="N527" s="48" t="s">
        <v>86</v>
      </c>
      <c r="O527" s="49" t="s">
        <v>35</v>
      </c>
      <c r="P527" s="11" t="s">
        <v>80</v>
      </c>
      <c r="Q527" s="11" t="s">
        <v>90</v>
      </c>
      <c r="R527" s="11" t="s">
        <v>226</v>
      </c>
      <c r="S527" s="11" t="s">
        <v>227</v>
      </c>
      <c r="T527" s="90" t="s">
        <v>1</v>
      </c>
      <c r="U527" s="90"/>
      <c r="V527" s="51">
        <v>45524</v>
      </c>
      <c r="W527" s="49" t="s">
        <v>1579</v>
      </c>
    </row>
    <row r="528" spans="1:23" ht="13" customHeight="1" x14ac:dyDescent="0.35">
      <c r="A528" s="11">
        <v>522</v>
      </c>
      <c r="B528" s="47">
        <v>205608627</v>
      </c>
      <c r="C528" s="94" t="s">
        <v>2654</v>
      </c>
      <c r="D528" s="11" t="s">
        <v>2655</v>
      </c>
      <c r="E528" s="48" t="s">
        <v>31</v>
      </c>
      <c r="F528" s="48" t="s">
        <v>74</v>
      </c>
      <c r="G528" s="11" t="s">
        <v>64</v>
      </c>
      <c r="H528" s="11" t="s">
        <v>75</v>
      </c>
      <c r="I528" s="11">
        <v>1299</v>
      </c>
      <c r="J528" s="49" t="s">
        <v>32</v>
      </c>
      <c r="K528" s="49" t="s">
        <v>76</v>
      </c>
      <c r="L528" s="49" t="s">
        <v>88</v>
      </c>
      <c r="M528" s="49" t="s">
        <v>95</v>
      </c>
      <c r="N528" s="48" t="s">
        <v>86</v>
      </c>
      <c r="O528" s="49" t="s">
        <v>35</v>
      </c>
      <c r="P528" s="11" t="s">
        <v>80</v>
      </c>
      <c r="Q528" s="11" t="s">
        <v>90</v>
      </c>
      <c r="R528" s="11" t="s">
        <v>232</v>
      </c>
      <c r="S528" s="11" t="s">
        <v>1760</v>
      </c>
      <c r="T528" s="90" t="s">
        <v>10</v>
      </c>
      <c r="U528" s="89"/>
      <c r="V528" s="51">
        <v>45845</v>
      </c>
      <c r="W528" s="49" t="s">
        <v>1580</v>
      </c>
    </row>
    <row r="529" spans="1:23" ht="13" customHeight="1" x14ac:dyDescent="0.35">
      <c r="A529" s="11">
        <v>523</v>
      </c>
      <c r="B529" s="47">
        <v>203813082</v>
      </c>
      <c r="C529" s="94" t="s">
        <v>547</v>
      </c>
      <c r="D529" s="11" t="s">
        <v>548</v>
      </c>
      <c r="E529" s="48" t="s">
        <v>31</v>
      </c>
      <c r="F529" s="48" t="s">
        <v>74</v>
      </c>
      <c r="G529" s="11" t="s">
        <v>64</v>
      </c>
      <c r="H529" s="11" t="s">
        <v>75</v>
      </c>
      <c r="I529" s="11">
        <v>1299</v>
      </c>
      <c r="J529" s="49" t="s">
        <v>39</v>
      </c>
      <c r="K529" s="49" t="s">
        <v>76</v>
      </c>
      <c r="L529" s="49" t="s">
        <v>77</v>
      </c>
      <c r="M529" s="49" t="s">
        <v>78</v>
      </c>
      <c r="N529" s="48" t="s">
        <v>86</v>
      </c>
      <c r="O529" s="49" t="s">
        <v>35</v>
      </c>
      <c r="P529" s="11" t="s">
        <v>80</v>
      </c>
      <c r="Q529" s="11" t="s">
        <v>99</v>
      </c>
      <c r="R529" s="11" t="s">
        <v>232</v>
      </c>
      <c r="S529" s="11" t="s">
        <v>1760</v>
      </c>
      <c r="T529" s="90" t="s">
        <v>1</v>
      </c>
      <c r="U529" s="89"/>
      <c r="V529" s="51">
        <v>45517</v>
      </c>
      <c r="W529" s="49" t="s">
        <v>1580</v>
      </c>
    </row>
    <row r="530" spans="1:23" ht="13" customHeight="1" x14ac:dyDescent="0.35">
      <c r="A530" s="11">
        <v>524</v>
      </c>
      <c r="B530" s="11">
        <v>206873561</v>
      </c>
      <c r="C530" s="94" t="s">
        <v>1781</v>
      </c>
      <c r="D530" s="11" t="s">
        <v>1782</v>
      </c>
      <c r="E530" s="48" t="s">
        <v>31</v>
      </c>
      <c r="F530" s="48" t="s">
        <v>74</v>
      </c>
      <c r="G530" s="48" t="s">
        <v>64</v>
      </c>
      <c r="H530" s="48" t="s">
        <v>75</v>
      </c>
      <c r="I530" s="11">
        <v>1299</v>
      </c>
      <c r="J530" s="49" t="s">
        <v>32</v>
      </c>
      <c r="K530" s="49" t="s">
        <v>76</v>
      </c>
      <c r="L530" s="49" t="s">
        <v>78</v>
      </c>
      <c r="M530" s="49" t="s">
        <v>92</v>
      </c>
      <c r="N530" s="49" t="s">
        <v>89</v>
      </c>
      <c r="O530" s="48" t="s">
        <v>35</v>
      </c>
      <c r="P530" s="48" t="s">
        <v>80</v>
      </c>
      <c r="Q530" s="11" t="s">
        <v>81</v>
      </c>
      <c r="R530" s="11" t="s">
        <v>226</v>
      </c>
      <c r="S530" s="11" t="s">
        <v>227</v>
      </c>
      <c r="T530" s="90" t="s">
        <v>1</v>
      </c>
      <c r="U530" s="91"/>
      <c r="V530" s="51">
        <v>46020</v>
      </c>
      <c r="W530" s="49" t="s">
        <v>1579</v>
      </c>
    </row>
    <row r="531" spans="1:23" ht="13" customHeight="1" x14ac:dyDescent="0.35">
      <c r="A531" s="11">
        <v>525</v>
      </c>
      <c r="B531" s="47">
        <v>204246169</v>
      </c>
      <c r="C531" s="94" t="s">
        <v>549</v>
      </c>
      <c r="D531" s="11" t="s">
        <v>550</v>
      </c>
      <c r="E531" s="48" t="s">
        <v>31</v>
      </c>
      <c r="F531" s="48" t="s">
        <v>74</v>
      </c>
      <c r="G531" s="11" t="s">
        <v>64</v>
      </c>
      <c r="H531" s="11" t="s">
        <v>75</v>
      </c>
      <c r="I531" s="11">
        <v>1299</v>
      </c>
      <c r="J531" s="49" t="s">
        <v>32</v>
      </c>
      <c r="K531" s="49" t="s">
        <v>76</v>
      </c>
      <c r="L531" s="49" t="s">
        <v>85</v>
      </c>
      <c r="M531" s="49" t="s">
        <v>88</v>
      </c>
      <c r="N531" s="48" t="s">
        <v>86</v>
      </c>
      <c r="O531" s="49" t="s">
        <v>35</v>
      </c>
      <c r="P531" s="11" t="s">
        <v>80</v>
      </c>
      <c r="Q531" s="11" t="s">
        <v>87</v>
      </c>
      <c r="R531" s="11" t="s">
        <v>232</v>
      </c>
      <c r="S531" s="11" t="s">
        <v>1760</v>
      </c>
      <c r="T531" s="90" t="s">
        <v>10</v>
      </c>
      <c r="U531" s="89"/>
      <c r="V531" s="51">
        <v>45579</v>
      </c>
      <c r="W531" s="49" t="s">
        <v>1580</v>
      </c>
    </row>
    <row r="532" spans="1:23" ht="13" customHeight="1" x14ac:dyDescent="0.35">
      <c r="A532" s="11">
        <v>526</v>
      </c>
      <c r="B532" s="47">
        <v>204967046</v>
      </c>
      <c r="C532" s="94" t="s">
        <v>551</v>
      </c>
      <c r="D532" s="11" t="s">
        <v>552</v>
      </c>
      <c r="E532" s="48" t="s">
        <v>31</v>
      </c>
      <c r="F532" s="48" t="s">
        <v>74</v>
      </c>
      <c r="G532" s="11" t="s">
        <v>64</v>
      </c>
      <c r="H532" s="11" t="s">
        <v>75</v>
      </c>
      <c r="I532" s="11">
        <v>1299</v>
      </c>
      <c r="J532" s="49" t="s">
        <v>32</v>
      </c>
      <c r="K532" s="49" t="s">
        <v>76</v>
      </c>
      <c r="L532" s="49" t="s">
        <v>78</v>
      </c>
      <c r="M532" s="49" t="s">
        <v>92</v>
      </c>
      <c r="N532" s="49" t="s">
        <v>89</v>
      </c>
      <c r="O532" s="49" t="s">
        <v>35</v>
      </c>
      <c r="P532" s="11" t="s">
        <v>80</v>
      </c>
      <c r="Q532" s="11" t="s">
        <v>90</v>
      </c>
      <c r="R532" s="11" t="s">
        <v>232</v>
      </c>
      <c r="S532" s="11" t="s">
        <v>1760</v>
      </c>
      <c r="T532" s="90" t="s">
        <v>1</v>
      </c>
      <c r="U532" s="89"/>
      <c r="V532" s="51">
        <v>45826</v>
      </c>
      <c r="W532" s="49" t="s">
        <v>1580</v>
      </c>
    </row>
    <row r="533" spans="1:23" ht="13" customHeight="1" x14ac:dyDescent="0.35">
      <c r="A533" s="11">
        <v>527</v>
      </c>
      <c r="B533" s="47">
        <v>204246605</v>
      </c>
      <c r="C533" s="94" t="s">
        <v>553</v>
      </c>
      <c r="D533" s="11" t="s">
        <v>554</v>
      </c>
      <c r="E533" s="48" t="s">
        <v>31</v>
      </c>
      <c r="F533" s="48" t="s">
        <v>74</v>
      </c>
      <c r="G533" s="11" t="s">
        <v>64</v>
      </c>
      <c r="H533" s="11" t="s">
        <v>75</v>
      </c>
      <c r="I533" s="11">
        <v>1299</v>
      </c>
      <c r="J533" s="49" t="s">
        <v>32</v>
      </c>
      <c r="K533" s="49" t="s">
        <v>76</v>
      </c>
      <c r="L533" s="49" t="s">
        <v>92</v>
      </c>
      <c r="M533" s="49" t="s">
        <v>84</v>
      </c>
      <c r="N533" s="48" t="s">
        <v>86</v>
      </c>
      <c r="O533" s="49" t="s">
        <v>35</v>
      </c>
      <c r="P533" s="11" t="s">
        <v>80</v>
      </c>
      <c r="Q533" s="11" t="s">
        <v>87</v>
      </c>
      <c r="R533" s="11" t="s">
        <v>232</v>
      </c>
      <c r="S533" s="11" t="s">
        <v>1760</v>
      </c>
      <c r="T533" s="90" t="s">
        <v>1</v>
      </c>
      <c r="U533" s="89"/>
      <c r="V533" s="51">
        <v>45579</v>
      </c>
      <c r="W533" s="49" t="s">
        <v>1580</v>
      </c>
    </row>
    <row r="534" spans="1:23" ht="13" customHeight="1" x14ac:dyDescent="0.35">
      <c r="A534" s="11">
        <v>528</v>
      </c>
      <c r="B534" s="47">
        <v>203965523</v>
      </c>
      <c r="C534" s="94" t="s">
        <v>555</v>
      </c>
      <c r="D534" s="11" t="s">
        <v>556</v>
      </c>
      <c r="E534" s="48" t="s">
        <v>31</v>
      </c>
      <c r="F534" s="48" t="s">
        <v>74</v>
      </c>
      <c r="G534" s="11" t="s">
        <v>64</v>
      </c>
      <c r="H534" s="11" t="s">
        <v>75</v>
      </c>
      <c r="I534" s="11">
        <v>1299</v>
      </c>
      <c r="J534" s="49" t="s">
        <v>32</v>
      </c>
      <c r="K534" s="49" t="s">
        <v>76</v>
      </c>
      <c r="L534" s="49" t="s">
        <v>77</v>
      </c>
      <c r="M534" s="49" t="s">
        <v>78</v>
      </c>
      <c r="N534" s="48" t="s">
        <v>79</v>
      </c>
      <c r="O534" s="49" t="s">
        <v>35</v>
      </c>
      <c r="P534" s="11" t="s">
        <v>80</v>
      </c>
      <c r="Q534" s="11" t="s">
        <v>81</v>
      </c>
      <c r="R534" s="11" t="s">
        <v>232</v>
      </c>
      <c r="S534" s="11" t="s">
        <v>1760</v>
      </c>
      <c r="T534" s="90" t="s">
        <v>1</v>
      </c>
      <c r="U534" s="90"/>
      <c r="V534" s="51">
        <v>45544</v>
      </c>
      <c r="W534" s="49" t="s">
        <v>1580</v>
      </c>
    </row>
    <row r="535" spans="1:23" ht="13" customHeight="1" x14ac:dyDescent="0.35">
      <c r="A535" s="11">
        <v>529</v>
      </c>
      <c r="B535" s="47">
        <v>206513281</v>
      </c>
      <c r="C535" s="94" t="s">
        <v>2656</v>
      </c>
      <c r="D535" s="11" t="s">
        <v>2657</v>
      </c>
      <c r="E535" s="48" t="s">
        <v>31</v>
      </c>
      <c r="F535" s="48" t="s">
        <v>74</v>
      </c>
      <c r="G535" s="11" t="s">
        <v>64</v>
      </c>
      <c r="H535" s="11" t="s">
        <v>75</v>
      </c>
      <c r="I535" s="11">
        <v>1299</v>
      </c>
      <c r="J535" s="49" t="s">
        <v>32</v>
      </c>
      <c r="K535" s="49" t="s">
        <v>76</v>
      </c>
      <c r="L535" s="49" t="s">
        <v>78</v>
      </c>
      <c r="M535" s="49" t="s">
        <v>92</v>
      </c>
      <c r="N535" s="49" t="s">
        <v>89</v>
      </c>
      <c r="O535" s="49" t="s">
        <v>35</v>
      </c>
      <c r="P535" s="11" t="s">
        <v>80</v>
      </c>
      <c r="Q535" s="11" t="s">
        <v>90</v>
      </c>
      <c r="R535" s="11" t="s">
        <v>232</v>
      </c>
      <c r="S535" s="11" t="s">
        <v>1760</v>
      </c>
      <c r="T535" s="90" t="s">
        <v>1</v>
      </c>
      <c r="U535" s="90"/>
      <c r="V535" s="51">
        <v>45971</v>
      </c>
      <c r="W535" s="49" t="s">
        <v>1580</v>
      </c>
    </row>
    <row r="536" spans="1:23" ht="13" customHeight="1" x14ac:dyDescent="0.35">
      <c r="A536" s="11">
        <v>530</v>
      </c>
      <c r="B536" s="47">
        <v>203796750</v>
      </c>
      <c r="C536" s="94" t="s">
        <v>557</v>
      </c>
      <c r="D536" s="11" t="s">
        <v>558</v>
      </c>
      <c r="E536" s="48" t="s">
        <v>31</v>
      </c>
      <c r="F536" s="48" t="s">
        <v>74</v>
      </c>
      <c r="G536" s="11" t="s">
        <v>64</v>
      </c>
      <c r="H536" s="11" t="s">
        <v>75</v>
      </c>
      <c r="I536" s="11">
        <v>1299</v>
      </c>
      <c r="J536" s="49" t="s">
        <v>32</v>
      </c>
      <c r="K536" s="49" t="s">
        <v>76</v>
      </c>
      <c r="L536" s="49" t="s">
        <v>95</v>
      </c>
      <c r="M536" s="49" t="s">
        <v>77</v>
      </c>
      <c r="N536" s="48" t="s">
        <v>79</v>
      </c>
      <c r="O536" s="49" t="s">
        <v>35</v>
      </c>
      <c r="P536" s="11" t="s">
        <v>80</v>
      </c>
      <c r="Q536" s="11" t="s">
        <v>81</v>
      </c>
      <c r="R536" s="11" t="s">
        <v>232</v>
      </c>
      <c r="S536" s="11" t="s">
        <v>1760</v>
      </c>
      <c r="T536" s="90" t="s">
        <v>1</v>
      </c>
      <c r="U536" s="90"/>
      <c r="V536" s="51">
        <v>45516</v>
      </c>
      <c r="W536" s="49" t="s">
        <v>1580</v>
      </c>
    </row>
    <row r="537" spans="1:23" ht="13" customHeight="1" x14ac:dyDescent="0.35">
      <c r="A537" s="11">
        <v>531</v>
      </c>
      <c r="B537" s="47">
        <v>206073367</v>
      </c>
      <c r="C537" s="94" t="s">
        <v>559</v>
      </c>
      <c r="D537" s="11" t="s">
        <v>560</v>
      </c>
      <c r="E537" s="48" t="s">
        <v>31</v>
      </c>
      <c r="F537" s="48" t="s">
        <v>74</v>
      </c>
      <c r="G537" s="11" t="s">
        <v>64</v>
      </c>
      <c r="H537" s="11" t="s">
        <v>75</v>
      </c>
      <c r="I537" s="11">
        <v>1299</v>
      </c>
      <c r="J537" s="49" t="s">
        <v>32</v>
      </c>
      <c r="K537" s="49" t="s">
        <v>76</v>
      </c>
      <c r="L537" s="49" t="s">
        <v>78</v>
      </c>
      <c r="M537" s="49" t="s">
        <v>92</v>
      </c>
      <c r="N537" s="48" t="s">
        <v>79</v>
      </c>
      <c r="O537" s="49" t="s">
        <v>35</v>
      </c>
      <c r="P537" s="11" t="s">
        <v>80</v>
      </c>
      <c r="Q537" s="11" t="s">
        <v>81</v>
      </c>
      <c r="R537" s="11" t="s">
        <v>232</v>
      </c>
      <c r="S537" s="11" t="s">
        <v>1760</v>
      </c>
      <c r="T537" s="90" t="s">
        <v>1</v>
      </c>
      <c r="U537" s="90"/>
      <c r="V537" s="51">
        <v>45922</v>
      </c>
      <c r="W537" s="49" t="s">
        <v>1580</v>
      </c>
    </row>
    <row r="538" spans="1:23" ht="13" customHeight="1" x14ac:dyDescent="0.35">
      <c r="A538" s="11">
        <v>532</v>
      </c>
      <c r="B538" s="47">
        <v>203816757</v>
      </c>
      <c r="C538" s="94" t="s">
        <v>2658</v>
      </c>
      <c r="D538" s="11" t="s">
        <v>2659</v>
      </c>
      <c r="E538" s="48" t="s">
        <v>31</v>
      </c>
      <c r="F538" s="48" t="s">
        <v>74</v>
      </c>
      <c r="G538" s="11" t="s">
        <v>64</v>
      </c>
      <c r="H538" s="11" t="s">
        <v>75</v>
      </c>
      <c r="I538" s="11">
        <v>1299</v>
      </c>
      <c r="J538" s="49" t="s">
        <v>32</v>
      </c>
      <c r="K538" s="49" t="s">
        <v>76</v>
      </c>
      <c r="L538" s="49" t="s">
        <v>78</v>
      </c>
      <c r="M538" s="49" t="s">
        <v>92</v>
      </c>
      <c r="N538" s="48" t="s">
        <v>86</v>
      </c>
      <c r="O538" s="49" t="s">
        <v>35</v>
      </c>
      <c r="P538" s="11" t="s">
        <v>80</v>
      </c>
      <c r="Q538" s="11" t="s">
        <v>90</v>
      </c>
      <c r="R538" s="11" t="s">
        <v>226</v>
      </c>
      <c r="S538" s="11" t="s">
        <v>227</v>
      </c>
      <c r="T538" s="90" t="s">
        <v>1</v>
      </c>
      <c r="U538" s="89"/>
      <c r="V538" s="51">
        <v>45518</v>
      </c>
      <c r="W538" s="49" t="s">
        <v>1579</v>
      </c>
    </row>
    <row r="539" spans="1:23" ht="13" customHeight="1" x14ac:dyDescent="0.35">
      <c r="A539" s="11">
        <v>533</v>
      </c>
      <c r="B539" s="47">
        <v>205496019</v>
      </c>
      <c r="C539" s="94" t="s">
        <v>561</v>
      </c>
      <c r="D539" s="11" t="s">
        <v>562</v>
      </c>
      <c r="E539" s="48" t="s">
        <v>31</v>
      </c>
      <c r="F539" s="48" t="s">
        <v>74</v>
      </c>
      <c r="G539" s="11" t="s">
        <v>64</v>
      </c>
      <c r="H539" s="11" t="s">
        <v>75</v>
      </c>
      <c r="I539" s="11">
        <v>1299</v>
      </c>
      <c r="J539" s="49" t="s">
        <v>32</v>
      </c>
      <c r="K539" s="49" t="s">
        <v>76</v>
      </c>
      <c r="L539" s="49" t="s">
        <v>78</v>
      </c>
      <c r="M539" s="49" t="s">
        <v>92</v>
      </c>
      <c r="N539" s="49" t="s">
        <v>89</v>
      </c>
      <c r="O539" s="49" t="s">
        <v>35</v>
      </c>
      <c r="P539" s="11" t="s">
        <v>80</v>
      </c>
      <c r="Q539" s="11" t="s">
        <v>96</v>
      </c>
      <c r="R539" s="11" t="s">
        <v>232</v>
      </c>
      <c r="S539" s="11" t="s">
        <v>1760</v>
      </c>
      <c r="T539" s="90" t="s">
        <v>3</v>
      </c>
      <c r="U539" s="89"/>
      <c r="V539" s="51">
        <v>45831</v>
      </c>
      <c r="W539" s="49" t="s">
        <v>1580</v>
      </c>
    </row>
    <row r="540" spans="1:23" ht="13" customHeight="1" x14ac:dyDescent="0.35">
      <c r="A540" s="11">
        <v>534</v>
      </c>
      <c r="B540" s="47">
        <v>206513285</v>
      </c>
      <c r="C540" s="94" t="s">
        <v>2660</v>
      </c>
      <c r="D540" s="11" t="s">
        <v>2661</v>
      </c>
      <c r="E540" s="48" t="s">
        <v>31</v>
      </c>
      <c r="F540" s="48" t="s">
        <v>74</v>
      </c>
      <c r="G540" s="11" t="s">
        <v>64</v>
      </c>
      <c r="H540" s="11" t="s">
        <v>75</v>
      </c>
      <c r="I540" s="11">
        <v>1299</v>
      </c>
      <c r="J540" s="49" t="s">
        <v>39</v>
      </c>
      <c r="K540" s="49" t="s">
        <v>76</v>
      </c>
      <c r="L540" s="49" t="s">
        <v>84</v>
      </c>
      <c r="M540" s="49" t="s">
        <v>85</v>
      </c>
      <c r="N540" s="49" t="s">
        <v>89</v>
      </c>
      <c r="O540" s="49" t="s">
        <v>35</v>
      </c>
      <c r="P540" s="11" t="s">
        <v>80</v>
      </c>
      <c r="Q540" s="11" t="s">
        <v>90</v>
      </c>
      <c r="R540" s="11" t="s">
        <v>225</v>
      </c>
      <c r="S540" s="11" t="s">
        <v>2731</v>
      </c>
      <c r="T540" s="90" t="s">
        <v>1</v>
      </c>
      <c r="U540" s="89"/>
      <c r="V540" s="51">
        <v>45971</v>
      </c>
      <c r="W540" s="49" t="s">
        <v>1580</v>
      </c>
    </row>
    <row r="541" spans="1:23" ht="13" customHeight="1" x14ac:dyDescent="0.35">
      <c r="A541" s="11">
        <v>535</v>
      </c>
      <c r="B541" s="47">
        <v>206004608</v>
      </c>
      <c r="C541" s="94" t="s">
        <v>563</v>
      </c>
      <c r="D541" s="11" t="s">
        <v>564</v>
      </c>
      <c r="E541" s="48" t="s">
        <v>31</v>
      </c>
      <c r="F541" s="48" t="s">
        <v>74</v>
      </c>
      <c r="G541" s="11" t="s">
        <v>64</v>
      </c>
      <c r="H541" s="11" t="s">
        <v>75</v>
      </c>
      <c r="I541" s="11">
        <v>1299</v>
      </c>
      <c r="J541" s="49" t="s">
        <v>32</v>
      </c>
      <c r="K541" s="49" t="s">
        <v>76</v>
      </c>
      <c r="L541" s="49" t="s">
        <v>78</v>
      </c>
      <c r="M541" s="49" t="s">
        <v>92</v>
      </c>
      <c r="N541" s="49" t="s">
        <v>89</v>
      </c>
      <c r="O541" s="49" t="s">
        <v>35</v>
      </c>
      <c r="P541" s="11" t="s">
        <v>80</v>
      </c>
      <c r="Q541" s="11" t="s">
        <v>81</v>
      </c>
      <c r="R541" s="11" t="s">
        <v>226</v>
      </c>
      <c r="S541" s="11" t="s">
        <v>227</v>
      </c>
      <c r="T541" s="90" t="s">
        <v>1</v>
      </c>
      <c r="U541" s="89"/>
      <c r="V541" s="51">
        <v>45915</v>
      </c>
      <c r="W541" s="49" t="s">
        <v>1581</v>
      </c>
    </row>
    <row r="542" spans="1:23" ht="13" customHeight="1" x14ac:dyDescent="0.35">
      <c r="A542" s="11">
        <v>536</v>
      </c>
      <c r="B542" s="47">
        <v>206873879</v>
      </c>
      <c r="C542" s="94" t="s">
        <v>1775</v>
      </c>
      <c r="D542" s="11" t="s">
        <v>1776</v>
      </c>
      <c r="E542" s="48" t="s">
        <v>31</v>
      </c>
      <c r="F542" s="48" t="s">
        <v>74</v>
      </c>
      <c r="G542" s="48" t="s">
        <v>64</v>
      </c>
      <c r="H542" s="48" t="s">
        <v>75</v>
      </c>
      <c r="I542" s="11">
        <v>1299</v>
      </c>
      <c r="J542" s="49" t="s">
        <v>32</v>
      </c>
      <c r="K542" s="49" t="s">
        <v>76</v>
      </c>
      <c r="L542" s="49" t="s">
        <v>78</v>
      </c>
      <c r="M542" s="49" t="s">
        <v>92</v>
      </c>
      <c r="N542" s="49" t="s">
        <v>89</v>
      </c>
      <c r="O542" s="48" t="s">
        <v>35</v>
      </c>
      <c r="P542" s="48" t="s">
        <v>80</v>
      </c>
      <c r="Q542" s="11" t="s">
        <v>90</v>
      </c>
      <c r="R542" s="11" t="s">
        <v>232</v>
      </c>
      <c r="S542" s="11" t="s">
        <v>1760</v>
      </c>
      <c r="T542" s="90" t="s">
        <v>1</v>
      </c>
      <c r="U542" s="89"/>
      <c r="V542" s="51">
        <v>46020</v>
      </c>
      <c r="W542" s="49" t="s">
        <v>1580</v>
      </c>
    </row>
    <row r="543" spans="1:23" ht="13" customHeight="1" x14ac:dyDescent="0.35">
      <c r="A543" s="11">
        <v>537</v>
      </c>
      <c r="B543" s="47">
        <v>203736258</v>
      </c>
      <c r="C543" s="94" t="s">
        <v>2662</v>
      </c>
      <c r="D543" s="11" t="s">
        <v>2663</v>
      </c>
      <c r="E543" s="48" t="s">
        <v>31</v>
      </c>
      <c r="F543" s="48" t="s">
        <v>74</v>
      </c>
      <c r="G543" s="11" t="s">
        <v>64</v>
      </c>
      <c r="H543" s="11" t="s">
        <v>75</v>
      </c>
      <c r="I543" s="11">
        <v>1299</v>
      </c>
      <c r="J543" s="49" t="s">
        <v>39</v>
      </c>
      <c r="K543" s="49" t="s">
        <v>76</v>
      </c>
      <c r="L543" s="49" t="s">
        <v>77</v>
      </c>
      <c r="M543" s="49" t="s">
        <v>78</v>
      </c>
      <c r="N543" s="48" t="s">
        <v>86</v>
      </c>
      <c r="O543" s="49" t="s">
        <v>35</v>
      </c>
      <c r="P543" s="11" t="s">
        <v>80</v>
      </c>
      <c r="Q543" s="11" t="s">
        <v>90</v>
      </c>
      <c r="R543" s="11" t="s">
        <v>232</v>
      </c>
      <c r="S543" s="11" t="s">
        <v>1760</v>
      </c>
      <c r="T543" s="90" t="s">
        <v>1</v>
      </c>
      <c r="U543" s="89"/>
      <c r="V543" s="51">
        <v>45502</v>
      </c>
      <c r="W543" s="49" t="s">
        <v>1580</v>
      </c>
    </row>
    <row r="544" spans="1:23" ht="13" customHeight="1" x14ac:dyDescent="0.35">
      <c r="A544" s="11">
        <v>538</v>
      </c>
      <c r="B544" s="47">
        <v>203468402</v>
      </c>
      <c r="C544" s="94" t="s">
        <v>565</v>
      </c>
      <c r="D544" s="11" t="s">
        <v>566</v>
      </c>
      <c r="E544" s="48" t="s">
        <v>31</v>
      </c>
      <c r="F544" s="48" t="s">
        <v>74</v>
      </c>
      <c r="G544" s="11" t="s">
        <v>64</v>
      </c>
      <c r="H544" s="11" t="s">
        <v>75</v>
      </c>
      <c r="I544" s="11">
        <v>1299</v>
      </c>
      <c r="J544" s="49" t="s">
        <v>32</v>
      </c>
      <c r="K544" s="49" t="s">
        <v>76</v>
      </c>
      <c r="L544" s="49" t="s">
        <v>88</v>
      </c>
      <c r="M544" s="49" t="s">
        <v>95</v>
      </c>
      <c r="N544" s="48" t="s">
        <v>79</v>
      </c>
      <c r="O544" s="49" t="s">
        <v>35</v>
      </c>
      <c r="P544" s="11" t="s">
        <v>80</v>
      </c>
      <c r="Q544" s="11" t="s">
        <v>81</v>
      </c>
      <c r="R544" s="11" t="s">
        <v>232</v>
      </c>
      <c r="S544" s="11" t="s">
        <v>1760</v>
      </c>
      <c r="T544" s="90" t="s">
        <v>10</v>
      </c>
      <c r="U544" s="90"/>
      <c r="V544" s="51">
        <v>45456</v>
      </c>
      <c r="W544" s="49" t="s">
        <v>1577</v>
      </c>
    </row>
    <row r="545" spans="1:23" ht="13" customHeight="1" x14ac:dyDescent="0.35">
      <c r="A545" s="11">
        <v>539</v>
      </c>
      <c r="B545" s="47">
        <v>204013737</v>
      </c>
      <c r="C545" s="94" t="s">
        <v>567</v>
      </c>
      <c r="D545" s="11" t="s">
        <v>568</v>
      </c>
      <c r="E545" s="48" t="s">
        <v>31</v>
      </c>
      <c r="F545" s="48" t="s">
        <v>74</v>
      </c>
      <c r="G545" s="11" t="s">
        <v>64</v>
      </c>
      <c r="H545" s="11" t="s">
        <v>75</v>
      </c>
      <c r="I545" s="11">
        <v>1299</v>
      </c>
      <c r="J545" s="49" t="s">
        <v>32</v>
      </c>
      <c r="K545" s="49" t="s">
        <v>76</v>
      </c>
      <c r="L545" s="49" t="s">
        <v>78</v>
      </c>
      <c r="M545" s="49" t="s">
        <v>92</v>
      </c>
      <c r="N545" s="48" t="s">
        <v>79</v>
      </c>
      <c r="O545" s="49" t="s">
        <v>35</v>
      </c>
      <c r="P545" s="11" t="s">
        <v>80</v>
      </c>
      <c r="Q545" s="11" t="s">
        <v>81</v>
      </c>
      <c r="R545" s="11" t="s">
        <v>226</v>
      </c>
      <c r="S545" s="11" t="s">
        <v>227</v>
      </c>
      <c r="T545" s="90" t="s">
        <v>7</v>
      </c>
      <c r="U545" s="90" t="s">
        <v>2914</v>
      </c>
      <c r="V545" s="51">
        <v>45551</v>
      </c>
      <c r="W545" s="49" t="s">
        <v>1580</v>
      </c>
    </row>
    <row r="546" spans="1:23" ht="13" customHeight="1" x14ac:dyDescent="0.35">
      <c r="A546" s="11">
        <v>540</v>
      </c>
      <c r="B546" s="47">
        <v>202444409</v>
      </c>
      <c r="C546" s="94" t="s">
        <v>569</v>
      </c>
      <c r="D546" s="11" t="s">
        <v>570</v>
      </c>
      <c r="E546" s="48" t="s">
        <v>31</v>
      </c>
      <c r="F546" s="48" t="s">
        <v>74</v>
      </c>
      <c r="G546" s="11" t="s">
        <v>64</v>
      </c>
      <c r="H546" s="11" t="s">
        <v>75</v>
      </c>
      <c r="I546" s="11">
        <v>1299</v>
      </c>
      <c r="J546" s="49" t="s">
        <v>32</v>
      </c>
      <c r="K546" s="49" t="s">
        <v>76</v>
      </c>
      <c r="L546" s="49" t="s">
        <v>78</v>
      </c>
      <c r="M546" s="49" t="s">
        <v>92</v>
      </c>
      <c r="N546" s="48" t="s">
        <v>86</v>
      </c>
      <c r="O546" s="49" t="s">
        <v>35</v>
      </c>
      <c r="P546" s="11" t="s">
        <v>80</v>
      </c>
      <c r="Q546" s="11" t="s">
        <v>87</v>
      </c>
      <c r="R546" s="11" t="s">
        <v>232</v>
      </c>
      <c r="S546" s="11" t="s">
        <v>1760</v>
      </c>
      <c r="T546" s="90" t="s">
        <v>1</v>
      </c>
      <c r="U546" s="90"/>
      <c r="V546" s="51">
        <v>45579</v>
      </c>
      <c r="W546" s="49" t="s">
        <v>1580</v>
      </c>
    </row>
    <row r="547" spans="1:23" ht="13" customHeight="1" x14ac:dyDescent="0.35">
      <c r="A547" s="11">
        <v>541</v>
      </c>
      <c r="B547" s="47">
        <v>204246606</v>
      </c>
      <c r="C547" s="94" t="s">
        <v>571</v>
      </c>
      <c r="D547" s="11" t="s">
        <v>572</v>
      </c>
      <c r="E547" s="48" t="s">
        <v>31</v>
      </c>
      <c r="F547" s="48" t="s">
        <v>74</v>
      </c>
      <c r="G547" s="11" t="s">
        <v>64</v>
      </c>
      <c r="H547" s="11" t="s">
        <v>75</v>
      </c>
      <c r="I547" s="11">
        <v>1299</v>
      </c>
      <c r="J547" s="49" t="s">
        <v>32</v>
      </c>
      <c r="K547" s="49" t="s">
        <v>76</v>
      </c>
      <c r="L547" s="49" t="s">
        <v>77</v>
      </c>
      <c r="M547" s="49" t="s">
        <v>78</v>
      </c>
      <c r="N547" s="48" t="s">
        <v>86</v>
      </c>
      <c r="O547" s="49" t="s">
        <v>35</v>
      </c>
      <c r="P547" s="11" t="s">
        <v>80</v>
      </c>
      <c r="Q547" s="11" t="s">
        <v>87</v>
      </c>
      <c r="R547" s="11" t="s">
        <v>232</v>
      </c>
      <c r="S547" s="11" t="s">
        <v>1760</v>
      </c>
      <c r="T547" s="90" t="s">
        <v>1</v>
      </c>
      <c r="U547" s="89"/>
      <c r="V547" s="51">
        <v>45579</v>
      </c>
      <c r="W547" s="49" t="s">
        <v>1579</v>
      </c>
    </row>
    <row r="548" spans="1:23" ht="13" customHeight="1" x14ac:dyDescent="0.35">
      <c r="A548" s="11">
        <v>542</v>
      </c>
      <c r="B548" s="47">
        <v>203521426</v>
      </c>
      <c r="C548" s="94" t="s">
        <v>573</v>
      </c>
      <c r="D548" s="11" t="s">
        <v>574</v>
      </c>
      <c r="E548" s="48" t="s">
        <v>31</v>
      </c>
      <c r="F548" s="48" t="s">
        <v>74</v>
      </c>
      <c r="G548" s="11" t="s">
        <v>64</v>
      </c>
      <c r="H548" s="11" t="s">
        <v>75</v>
      </c>
      <c r="I548" s="11">
        <v>1299</v>
      </c>
      <c r="J548" s="49" t="s">
        <v>32</v>
      </c>
      <c r="K548" s="49" t="s">
        <v>76</v>
      </c>
      <c r="L548" s="49" t="s">
        <v>78</v>
      </c>
      <c r="M548" s="49" t="s">
        <v>92</v>
      </c>
      <c r="N548" s="48" t="s">
        <v>79</v>
      </c>
      <c r="O548" s="49" t="s">
        <v>35</v>
      </c>
      <c r="P548" s="11" t="s">
        <v>80</v>
      </c>
      <c r="Q548" s="11" t="s">
        <v>81</v>
      </c>
      <c r="R548" s="11" t="s">
        <v>226</v>
      </c>
      <c r="S548" s="11" t="s">
        <v>227</v>
      </c>
      <c r="T548" s="90" t="s">
        <v>1</v>
      </c>
      <c r="U548" s="89"/>
      <c r="V548" s="51">
        <v>45463</v>
      </c>
      <c r="W548" s="49" t="s">
        <v>1581</v>
      </c>
    </row>
    <row r="549" spans="1:23" ht="13" customHeight="1" x14ac:dyDescent="0.35">
      <c r="A549" s="11">
        <v>543</v>
      </c>
      <c r="B549" s="47">
        <v>203736781</v>
      </c>
      <c r="C549" s="94" t="s">
        <v>575</v>
      </c>
      <c r="D549" s="11" t="s">
        <v>576</v>
      </c>
      <c r="E549" s="48" t="s">
        <v>31</v>
      </c>
      <c r="F549" s="48" t="s">
        <v>74</v>
      </c>
      <c r="G549" s="11" t="s">
        <v>64</v>
      </c>
      <c r="H549" s="11" t="s">
        <v>75</v>
      </c>
      <c r="I549" s="11">
        <v>1299</v>
      </c>
      <c r="J549" s="49" t="s">
        <v>39</v>
      </c>
      <c r="K549" s="49" t="s">
        <v>76</v>
      </c>
      <c r="L549" s="49" t="s">
        <v>92</v>
      </c>
      <c r="M549" s="49" t="s">
        <v>84</v>
      </c>
      <c r="N549" s="48" t="s">
        <v>86</v>
      </c>
      <c r="O549" s="49" t="s">
        <v>35</v>
      </c>
      <c r="P549" s="11" t="s">
        <v>80</v>
      </c>
      <c r="Q549" s="11" t="s">
        <v>99</v>
      </c>
      <c r="R549" s="11" t="s">
        <v>232</v>
      </c>
      <c r="S549" s="11" t="s">
        <v>1760</v>
      </c>
      <c r="T549" s="90" t="s">
        <v>1</v>
      </c>
      <c r="U549" s="89"/>
      <c r="V549" s="51">
        <v>45502</v>
      </c>
      <c r="W549" s="49" t="s">
        <v>1580</v>
      </c>
    </row>
    <row r="550" spans="1:23" ht="13" customHeight="1" x14ac:dyDescent="0.35">
      <c r="A550" s="11">
        <v>544</v>
      </c>
      <c r="B550" s="47">
        <v>203965521</v>
      </c>
      <c r="C550" s="94" t="s">
        <v>577</v>
      </c>
      <c r="D550" s="11" t="s">
        <v>578</v>
      </c>
      <c r="E550" s="48" t="s">
        <v>31</v>
      </c>
      <c r="F550" s="48" t="s">
        <v>74</v>
      </c>
      <c r="G550" s="11" t="s">
        <v>64</v>
      </c>
      <c r="H550" s="11" t="s">
        <v>75</v>
      </c>
      <c r="I550" s="11">
        <v>1299</v>
      </c>
      <c r="J550" s="49" t="s">
        <v>32</v>
      </c>
      <c r="K550" s="49" t="s">
        <v>76</v>
      </c>
      <c r="L550" s="49" t="s">
        <v>78</v>
      </c>
      <c r="M550" s="49" t="s">
        <v>92</v>
      </c>
      <c r="N550" s="48" t="s">
        <v>79</v>
      </c>
      <c r="O550" s="49" t="s">
        <v>35</v>
      </c>
      <c r="P550" s="11" t="s">
        <v>80</v>
      </c>
      <c r="Q550" s="11" t="s">
        <v>81</v>
      </c>
      <c r="R550" s="11" t="s">
        <v>232</v>
      </c>
      <c r="S550" s="11" t="s">
        <v>1760</v>
      </c>
      <c r="T550" s="90" t="s">
        <v>1</v>
      </c>
      <c r="U550" s="89"/>
      <c r="V550" s="51">
        <v>45544</v>
      </c>
      <c r="W550" s="49" t="s">
        <v>1580</v>
      </c>
    </row>
    <row r="551" spans="1:23" ht="13" customHeight="1" x14ac:dyDescent="0.35">
      <c r="A551" s="11">
        <v>545</v>
      </c>
      <c r="B551" s="47">
        <v>204864420</v>
      </c>
      <c r="C551" s="94" t="s">
        <v>2664</v>
      </c>
      <c r="D551" s="11" t="s">
        <v>2665</v>
      </c>
      <c r="E551" s="48" t="s">
        <v>31</v>
      </c>
      <c r="F551" s="48" t="s">
        <v>74</v>
      </c>
      <c r="G551" s="11" t="s">
        <v>64</v>
      </c>
      <c r="H551" s="11" t="s">
        <v>75</v>
      </c>
      <c r="I551" s="11">
        <v>1299</v>
      </c>
      <c r="J551" s="49" t="s">
        <v>39</v>
      </c>
      <c r="K551" s="49" t="s">
        <v>76</v>
      </c>
      <c r="L551" s="49" t="s">
        <v>77</v>
      </c>
      <c r="M551" s="49" t="s">
        <v>78</v>
      </c>
      <c r="N551" s="49" t="s">
        <v>89</v>
      </c>
      <c r="O551" s="49" t="s">
        <v>35</v>
      </c>
      <c r="P551" s="11" t="s">
        <v>80</v>
      </c>
      <c r="Q551" s="11" t="s">
        <v>90</v>
      </c>
      <c r="R551" s="11" t="s">
        <v>232</v>
      </c>
      <c r="S551" s="11" t="s">
        <v>1760</v>
      </c>
      <c r="T551" s="90" t="s">
        <v>1</v>
      </c>
      <c r="U551" s="89"/>
      <c r="V551" s="51">
        <v>45684</v>
      </c>
      <c r="W551" s="49" t="s">
        <v>1580</v>
      </c>
    </row>
    <row r="552" spans="1:23" ht="13" customHeight="1" x14ac:dyDescent="0.35">
      <c r="A552" s="11">
        <v>546</v>
      </c>
      <c r="B552" s="47">
        <v>206873658</v>
      </c>
      <c r="C552" s="94" t="s">
        <v>1771</v>
      </c>
      <c r="D552" s="11" t="s">
        <v>1772</v>
      </c>
      <c r="E552" s="48" t="s">
        <v>31</v>
      </c>
      <c r="F552" s="48" t="s">
        <v>74</v>
      </c>
      <c r="G552" s="48" t="s">
        <v>64</v>
      </c>
      <c r="H552" s="48" t="s">
        <v>75</v>
      </c>
      <c r="I552" s="11">
        <v>1299</v>
      </c>
      <c r="J552" s="49" t="s">
        <v>32</v>
      </c>
      <c r="K552" s="49" t="s">
        <v>76</v>
      </c>
      <c r="L552" s="49" t="s">
        <v>95</v>
      </c>
      <c r="M552" s="49" t="s">
        <v>77</v>
      </c>
      <c r="N552" s="49" t="s">
        <v>89</v>
      </c>
      <c r="O552" s="48" t="s">
        <v>35</v>
      </c>
      <c r="P552" s="48" t="s">
        <v>80</v>
      </c>
      <c r="Q552" s="11" t="s">
        <v>81</v>
      </c>
      <c r="R552" s="11" t="s">
        <v>232</v>
      </c>
      <c r="S552" s="11" t="s">
        <v>1760</v>
      </c>
      <c r="T552" s="90" t="s">
        <v>1</v>
      </c>
      <c r="U552" s="91"/>
      <c r="V552" s="51">
        <v>46020</v>
      </c>
      <c r="W552" s="49" t="s">
        <v>1580</v>
      </c>
    </row>
    <row r="553" spans="1:23" ht="13" customHeight="1" x14ac:dyDescent="0.35">
      <c r="A553" s="11">
        <v>547</v>
      </c>
      <c r="B553" s="47">
        <v>203736780</v>
      </c>
      <c r="C553" s="94" t="s">
        <v>579</v>
      </c>
      <c r="D553" s="11" t="s">
        <v>580</v>
      </c>
      <c r="E553" s="48" t="s">
        <v>31</v>
      </c>
      <c r="F553" s="48" t="s">
        <v>74</v>
      </c>
      <c r="G553" s="11" t="s">
        <v>64</v>
      </c>
      <c r="H553" s="11" t="s">
        <v>75</v>
      </c>
      <c r="I553" s="11">
        <v>1299</v>
      </c>
      <c r="J553" s="49" t="s">
        <v>39</v>
      </c>
      <c r="K553" s="49" t="s">
        <v>76</v>
      </c>
      <c r="L553" s="49" t="s">
        <v>85</v>
      </c>
      <c r="M553" s="49" t="s">
        <v>88</v>
      </c>
      <c r="N553" s="48" t="s">
        <v>86</v>
      </c>
      <c r="O553" s="49" t="s">
        <v>35</v>
      </c>
      <c r="P553" s="11" t="s">
        <v>80</v>
      </c>
      <c r="Q553" s="11" t="s">
        <v>99</v>
      </c>
      <c r="R553" s="11" t="s">
        <v>232</v>
      </c>
      <c r="S553" s="11" t="s">
        <v>1760</v>
      </c>
      <c r="T553" s="90" t="s">
        <v>10</v>
      </c>
      <c r="U553" s="90"/>
      <c r="V553" s="51">
        <v>45502</v>
      </c>
      <c r="W553" s="49" t="s">
        <v>1580</v>
      </c>
    </row>
    <row r="554" spans="1:23" ht="13" customHeight="1" x14ac:dyDescent="0.35">
      <c r="A554" s="11">
        <v>548</v>
      </c>
      <c r="B554" s="47">
        <v>206873654</v>
      </c>
      <c r="C554" s="94" t="s">
        <v>1763</v>
      </c>
      <c r="D554" s="11" t="s">
        <v>1764</v>
      </c>
      <c r="E554" s="48" t="s">
        <v>31</v>
      </c>
      <c r="F554" s="48" t="s">
        <v>74</v>
      </c>
      <c r="G554" s="48" t="s">
        <v>64</v>
      </c>
      <c r="H554" s="48" t="s">
        <v>75</v>
      </c>
      <c r="I554" s="11">
        <v>1299</v>
      </c>
      <c r="J554" s="49" t="s">
        <v>32</v>
      </c>
      <c r="K554" s="49" t="s">
        <v>76</v>
      </c>
      <c r="L554" s="49" t="s">
        <v>78</v>
      </c>
      <c r="M554" s="49" t="s">
        <v>92</v>
      </c>
      <c r="N554" s="49" t="s">
        <v>89</v>
      </c>
      <c r="O554" s="48" t="s">
        <v>35</v>
      </c>
      <c r="P554" s="48" t="s">
        <v>80</v>
      </c>
      <c r="Q554" s="11" t="s">
        <v>81</v>
      </c>
      <c r="R554" s="11" t="s">
        <v>226</v>
      </c>
      <c r="S554" s="11" t="s">
        <v>227</v>
      </c>
      <c r="T554" s="90" t="s">
        <v>1</v>
      </c>
      <c r="U554" s="89"/>
      <c r="V554" s="51">
        <v>46020</v>
      </c>
      <c r="W554" s="49" t="s">
        <v>1579</v>
      </c>
    </row>
    <row r="555" spans="1:23" ht="13" customHeight="1" x14ac:dyDescent="0.35">
      <c r="A555" s="11">
        <v>549</v>
      </c>
      <c r="B555" s="47">
        <v>206016554</v>
      </c>
      <c r="C555" s="94" t="s">
        <v>581</v>
      </c>
      <c r="D555" s="11" t="s">
        <v>582</v>
      </c>
      <c r="E555" s="48" t="s">
        <v>31</v>
      </c>
      <c r="F555" s="48" t="s">
        <v>74</v>
      </c>
      <c r="G555" s="11" t="s">
        <v>64</v>
      </c>
      <c r="H555" s="11" t="s">
        <v>75</v>
      </c>
      <c r="I555" s="11">
        <v>1299</v>
      </c>
      <c r="J555" s="49" t="s">
        <v>32</v>
      </c>
      <c r="K555" s="49" t="s">
        <v>76</v>
      </c>
      <c r="L555" s="49" t="s">
        <v>77</v>
      </c>
      <c r="M555" s="49" t="s">
        <v>78</v>
      </c>
      <c r="N555" s="48" t="s">
        <v>79</v>
      </c>
      <c r="O555" s="49" t="s">
        <v>35</v>
      </c>
      <c r="P555" s="11" t="s">
        <v>80</v>
      </c>
      <c r="Q555" s="11" t="s">
        <v>81</v>
      </c>
      <c r="R555" s="11" t="s">
        <v>226</v>
      </c>
      <c r="S555" s="11" t="s">
        <v>227</v>
      </c>
      <c r="T555" s="90" t="s">
        <v>1</v>
      </c>
      <c r="U555" s="90"/>
      <c r="V555" s="51">
        <v>45915</v>
      </c>
      <c r="W555" s="49" t="s">
        <v>1581</v>
      </c>
    </row>
    <row r="556" spans="1:23" ht="13" customHeight="1" x14ac:dyDescent="0.35">
      <c r="A556" s="11">
        <v>550</v>
      </c>
      <c r="B556" s="47">
        <v>203709743</v>
      </c>
      <c r="C556" s="94" t="s">
        <v>583</v>
      </c>
      <c r="D556" s="11" t="s">
        <v>584</v>
      </c>
      <c r="E556" s="48" t="s">
        <v>31</v>
      </c>
      <c r="F556" s="48" t="s">
        <v>74</v>
      </c>
      <c r="G556" s="11" t="s">
        <v>64</v>
      </c>
      <c r="H556" s="11" t="s">
        <v>75</v>
      </c>
      <c r="I556" s="11">
        <v>1299</v>
      </c>
      <c r="J556" s="49" t="s">
        <v>32</v>
      </c>
      <c r="K556" s="49" t="s">
        <v>76</v>
      </c>
      <c r="L556" s="49" t="s">
        <v>78</v>
      </c>
      <c r="M556" s="49" t="s">
        <v>92</v>
      </c>
      <c r="N556" s="48" t="s">
        <v>86</v>
      </c>
      <c r="O556" s="49" t="s">
        <v>35</v>
      </c>
      <c r="P556" s="11" t="s">
        <v>80</v>
      </c>
      <c r="Q556" s="11" t="s">
        <v>99</v>
      </c>
      <c r="R556" s="11" t="s">
        <v>232</v>
      </c>
      <c r="S556" s="11" t="s">
        <v>1760</v>
      </c>
      <c r="T556" s="90" t="s">
        <v>7</v>
      </c>
      <c r="U556" s="90" t="s">
        <v>2914</v>
      </c>
      <c r="V556" s="51">
        <v>45495</v>
      </c>
      <c r="W556" s="49" t="s">
        <v>1580</v>
      </c>
    </row>
    <row r="557" spans="1:23" ht="13" customHeight="1" x14ac:dyDescent="0.35">
      <c r="A557" s="11">
        <v>551</v>
      </c>
      <c r="B557" s="47">
        <v>206008709</v>
      </c>
      <c r="C557" s="94" t="s">
        <v>585</v>
      </c>
      <c r="D557" s="11" t="s">
        <v>586</v>
      </c>
      <c r="E557" s="48" t="s">
        <v>31</v>
      </c>
      <c r="F557" s="48" t="s">
        <v>74</v>
      </c>
      <c r="G557" s="11" t="s">
        <v>64</v>
      </c>
      <c r="H557" s="11" t="s">
        <v>75</v>
      </c>
      <c r="I557" s="11">
        <v>1299</v>
      </c>
      <c r="J557" s="49" t="s">
        <v>32</v>
      </c>
      <c r="K557" s="49" t="s">
        <v>76</v>
      </c>
      <c r="L557" s="49" t="s">
        <v>78</v>
      </c>
      <c r="M557" s="49" t="s">
        <v>92</v>
      </c>
      <c r="N557" s="48" t="s">
        <v>79</v>
      </c>
      <c r="O557" s="49" t="s">
        <v>35</v>
      </c>
      <c r="P557" s="11" t="s">
        <v>80</v>
      </c>
      <c r="Q557" s="11" t="s">
        <v>81</v>
      </c>
      <c r="R557" s="11" t="s">
        <v>232</v>
      </c>
      <c r="S557" s="11" t="s">
        <v>1760</v>
      </c>
      <c r="T557" s="90" t="s">
        <v>1</v>
      </c>
      <c r="U557" s="90"/>
      <c r="V557" s="51">
        <v>45915</v>
      </c>
      <c r="W557" s="49" t="s">
        <v>1580</v>
      </c>
    </row>
    <row r="558" spans="1:23" ht="13" customHeight="1" x14ac:dyDescent="0.35">
      <c r="A558" s="11">
        <v>552</v>
      </c>
      <c r="B558" s="47">
        <v>206015636</v>
      </c>
      <c r="C558" s="94" t="s">
        <v>587</v>
      </c>
      <c r="D558" s="11" t="s">
        <v>588</v>
      </c>
      <c r="E558" s="48" t="s">
        <v>31</v>
      </c>
      <c r="F558" s="48" t="s">
        <v>74</v>
      </c>
      <c r="G558" s="11" t="s">
        <v>64</v>
      </c>
      <c r="H558" s="11" t="s">
        <v>75</v>
      </c>
      <c r="I558" s="11">
        <v>1299</v>
      </c>
      <c r="J558" s="49" t="s">
        <v>32</v>
      </c>
      <c r="K558" s="49" t="s">
        <v>76</v>
      </c>
      <c r="L558" s="49" t="s">
        <v>78</v>
      </c>
      <c r="M558" s="49" t="s">
        <v>92</v>
      </c>
      <c r="N558" s="48" t="s">
        <v>79</v>
      </c>
      <c r="O558" s="49" t="s">
        <v>35</v>
      </c>
      <c r="P558" s="11" t="s">
        <v>80</v>
      </c>
      <c r="Q558" s="11" t="s">
        <v>81</v>
      </c>
      <c r="R558" s="11" t="s">
        <v>225</v>
      </c>
      <c r="S558" s="11" t="s">
        <v>2731</v>
      </c>
      <c r="T558" s="90" t="s">
        <v>7</v>
      </c>
      <c r="U558" s="89"/>
      <c r="V558" s="51">
        <v>45915</v>
      </c>
      <c r="W558" s="49" t="s">
        <v>1580</v>
      </c>
    </row>
    <row r="559" spans="1:23" ht="13" customHeight="1" x14ac:dyDescent="0.35">
      <c r="A559" s="11">
        <v>553</v>
      </c>
      <c r="B559" s="47">
        <v>204869087</v>
      </c>
      <c r="C559" s="94" t="s">
        <v>589</v>
      </c>
      <c r="D559" s="11" t="s">
        <v>590</v>
      </c>
      <c r="E559" s="48" t="s">
        <v>31</v>
      </c>
      <c r="F559" s="48" t="s">
        <v>74</v>
      </c>
      <c r="G559" s="11" t="s">
        <v>64</v>
      </c>
      <c r="H559" s="11" t="s">
        <v>75</v>
      </c>
      <c r="I559" s="11">
        <v>1299</v>
      </c>
      <c r="J559" s="49" t="s">
        <v>32</v>
      </c>
      <c r="K559" s="49" t="s">
        <v>76</v>
      </c>
      <c r="L559" s="49" t="s">
        <v>78</v>
      </c>
      <c r="M559" s="49" t="s">
        <v>92</v>
      </c>
      <c r="N559" s="48" t="s">
        <v>86</v>
      </c>
      <c r="O559" s="49" t="s">
        <v>35</v>
      </c>
      <c r="P559" s="11" t="s">
        <v>80</v>
      </c>
      <c r="Q559" s="11" t="s">
        <v>87</v>
      </c>
      <c r="R559" s="11" t="s">
        <v>232</v>
      </c>
      <c r="S559" s="11" t="s">
        <v>1760</v>
      </c>
      <c r="T559" s="90" t="s">
        <v>1</v>
      </c>
      <c r="U559" s="91"/>
      <c r="V559" s="51">
        <v>45691</v>
      </c>
      <c r="W559" s="49" t="s">
        <v>1580</v>
      </c>
    </row>
    <row r="560" spans="1:23" ht="13" customHeight="1" x14ac:dyDescent="0.35">
      <c r="A560" s="11">
        <v>554</v>
      </c>
      <c r="B560" s="47">
        <v>204967051</v>
      </c>
      <c r="C560" s="94" t="s">
        <v>2666</v>
      </c>
      <c r="D560" s="11" t="s">
        <v>2667</v>
      </c>
      <c r="E560" s="48" t="s">
        <v>31</v>
      </c>
      <c r="F560" s="48" t="s">
        <v>74</v>
      </c>
      <c r="G560" s="11" t="s">
        <v>64</v>
      </c>
      <c r="H560" s="11" t="s">
        <v>75</v>
      </c>
      <c r="I560" s="11">
        <v>1299</v>
      </c>
      <c r="J560" s="49" t="s">
        <v>39</v>
      </c>
      <c r="K560" s="49" t="s">
        <v>76</v>
      </c>
      <c r="L560" s="49" t="s">
        <v>78</v>
      </c>
      <c r="M560" s="49" t="s">
        <v>92</v>
      </c>
      <c r="N560" s="49" t="s">
        <v>89</v>
      </c>
      <c r="O560" s="49" t="s">
        <v>35</v>
      </c>
      <c r="P560" s="11" t="s">
        <v>80</v>
      </c>
      <c r="Q560" s="11" t="s">
        <v>90</v>
      </c>
      <c r="R560" s="11" t="s">
        <v>232</v>
      </c>
      <c r="S560" s="11" t="s">
        <v>1760</v>
      </c>
      <c r="T560" s="90" t="s">
        <v>1</v>
      </c>
      <c r="U560" s="89"/>
      <c r="V560" s="51">
        <v>45826</v>
      </c>
      <c r="W560" s="49" t="s">
        <v>1580</v>
      </c>
    </row>
    <row r="561" spans="1:23" ht="13" customHeight="1" x14ac:dyDescent="0.35">
      <c r="A561" s="11">
        <v>555</v>
      </c>
      <c r="B561" s="47">
        <v>203737252</v>
      </c>
      <c r="C561" s="94" t="s">
        <v>2668</v>
      </c>
      <c r="D561" s="11" t="s">
        <v>2669</v>
      </c>
      <c r="E561" s="48" t="s">
        <v>31</v>
      </c>
      <c r="F561" s="48" t="s">
        <v>74</v>
      </c>
      <c r="G561" s="11" t="s">
        <v>64</v>
      </c>
      <c r="H561" s="11" t="s">
        <v>75</v>
      </c>
      <c r="I561" s="11">
        <v>1299</v>
      </c>
      <c r="J561" s="49" t="s">
        <v>32</v>
      </c>
      <c r="K561" s="49" t="s">
        <v>76</v>
      </c>
      <c r="L561" s="49" t="s">
        <v>88</v>
      </c>
      <c r="M561" s="49" t="s">
        <v>95</v>
      </c>
      <c r="N561" s="48" t="s">
        <v>86</v>
      </c>
      <c r="O561" s="49" t="s">
        <v>35</v>
      </c>
      <c r="P561" s="11" t="s">
        <v>80</v>
      </c>
      <c r="Q561" s="11" t="s">
        <v>90</v>
      </c>
      <c r="R561" s="11" t="s">
        <v>232</v>
      </c>
      <c r="S561" s="11" t="s">
        <v>1760</v>
      </c>
      <c r="T561" s="90" t="s">
        <v>10</v>
      </c>
      <c r="U561" s="89"/>
      <c r="V561" s="51">
        <v>45502</v>
      </c>
      <c r="W561" s="49" t="s">
        <v>1580</v>
      </c>
    </row>
    <row r="562" spans="1:23" ht="13" customHeight="1" x14ac:dyDescent="0.35">
      <c r="A562" s="11">
        <v>556</v>
      </c>
      <c r="B562" s="47">
        <v>203737015</v>
      </c>
      <c r="C562" s="94" t="s">
        <v>591</v>
      </c>
      <c r="D562" s="11" t="s">
        <v>592</v>
      </c>
      <c r="E562" s="48" t="s">
        <v>31</v>
      </c>
      <c r="F562" s="48" t="s">
        <v>74</v>
      </c>
      <c r="G562" s="11" t="s">
        <v>64</v>
      </c>
      <c r="H562" s="11" t="s">
        <v>75</v>
      </c>
      <c r="I562" s="11">
        <v>1299</v>
      </c>
      <c r="J562" s="49" t="s">
        <v>32</v>
      </c>
      <c r="K562" s="49" t="s">
        <v>76</v>
      </c>
      <c r="L562" s="49" t="s">
        <v>92</v>
      </c>
      <c r="M562" s="49" t="s">
        <v>84</v>
      </c>
      <c r="N562" s="48" t="s">
        <v>79</v>
      </c>
      <c r="O562" s="49" t="s">
        <v>35</v>
      </c>
      <c r="P562" s="11" t="s">
        <v>80</v>
      </c>
      <c r="Q562" s="11" t="s">
        <v>81</v>
      </c>
      <c r="R562" s="11" t="s">
        <v>232</v>
      </c>
      <c r="S562" s="11" t="s">
        <v>1760</v>
      </c>
      <c r="T562" s="90" t="s">
        <v>1</v>
      </c>
      <c r="U562" s="89"/>
      <c r="V562" s="51">
        <v>45502</v>
      </c>
      <c r="W562" s="49" t="s">
        <v>1580</v>
      </c>
    </row>
    <row r="563" spans="1:23" ht="13" customHeight="1" x14ac:dyDescent="0.35">
      <c r="A563" s="11">
        <v>557</v>
      </c>
      <c r="B563" s="47">
        <v>204883095</v>
      </c>
      <c r="C563" s="94" t="s">
        <v>2670</v>
      </c>
      <c r="D563" s="11" t="s">
        <v>2671</v>
      </c>
      <c r="E563" s="48" t="s">
        <v>31</v>
      </c>
      <c r="F563" s="48" t="s">
        <v>74</v>
      </c>
      <c r="G563" s="11" t="s">
        <v>64</v>
      </c>
      <c r="H563" s="11" t="s">
        <v>75</v>
      </c>
      <c r="I563" s="11">
        <v>1299</v>
      </c>
      <c r="J563" s="49" t="s">
        <v>32</v>
      </c>
      <c r="K563" s="49" t="s">
        <v>76</v>
      </c>
      <c r="L563" s="49" t="s">
        <v>78</v>
      </c>
      <c r="M563" s="49" t="s">
        <v>92</v>
      </c>
      <c r="N563" s="49" t="s">
        <v>89</v>
      </c>
      <c r="O563" s="49" t="s">
        <v>35</v>
      </c>
      <c r="P563" s="11" t="s">
        <v>80</v>
      </c>
      <c r="Q563" s="11" t="s">
        <v>90</v>
      </c>
      <c r="R563" s="11" t="s">
        <v>232</v>
      </c>
      <c r="S563" s="11" t="s">
        <v>1760</v>
      </c>
      <c r="T563" s="90" t="s">
        <v>1</v>
      </c>
      <c r="U563" s="89"/>
      <c r="V563" s="51">
        <v>45826</v>
      </c>
      <c r="W563" s="49" t="s">
        <v>1580</v>
      </c>
    </row>
    <row r="564" spans="1:23" ht="13" customHeight="1" x14ac:dyDescent="0.35">
      <c r="A564" s="11">
        <v>558</v>
      </c>
      <c r="B564" s="47">
        <v>204967558</v>
      </c>
      <c r="C564" s="94" t="s">
        <v>2672</v>
      </c>
      <c r="D564" s="11" t="s">
        <v>2673</v>
      </c>
      <c r="E564" s="48" t="s">
        <v>31</v>
      </c>
      <c r="F564" s="48" t="s">
        <v>74</v>
      </c>
      <c r="G564" s="11" t="s">
        <v>64</v>
      </c>
      <c r="H564" s="11" t="s">
        <v>75</v>
      </c>
      <c r="I564" s="11">
        <v>1299</v>
      </c>
      <c r="J564" s="49" t="s">
        <v>39</v>
      </c>
      <c r="K564" s="49" t="s">
        <v>76</v>
      </c>
      <c r="L564" s="49" t="s">
        <v>78</v>
      </c>
      <c r="M564" s="49" t="s">
        <v>92</v>
      </c>
      <c r="N564" s="48" t="s">
        <v>86</v>
      </c>
      <c r="O564" s="49" t="s">
        <v>35</v>
      </c>
      <c r="P564" s="11" t="s">
        <v>80</v>
      </c>
      <c r="Q564" s="11" t="s">
        <v>90</v>
      </c>
      <c r="R564" s="11" t="s">
        <v>232</v>
      </c>
      <c r="S564" s="11" t="s">
        <v>1760</v>
      </c>
      <c r="T564" s="90" t="s">
        <v>3</v>
      </c>
      <c r="U564" s="89"/>
      <c r="V564" s="51">
        <v>45826</v>
      </c>
      <c r="W564" s="49" t="s">
        <v>1580</v>
      </c>
    </row>
    <row r="565" spans="1:23" ht="13" customHeight="1" x14ac:dyDescent="0.35">
      <c r="A565" s="11">
        <v>559</v>
      </c>
      <c r="B565" s="47">
        <v>112648320</v>
      </c>
      <c r="C565" s="94" t="s">
        <v>2218</v>
      </c>
      <c r="D565" s="11" t="s">
        <v>2371</v>
      </c>
      <c r="E565" s="48" t="s">
        <v>34</v>
      </c>
      <c r="F565" s="48" t="s">
        <v>74</v>
      </c>
      <c r="G565" s="11" t="s">
        <v>64</v>
      </c>
      <c r="H565" s="11" t="s">
        <v>75</v>
      </c>
      <c r="I565" s="11">
        <v>1299</v>
      </c>
      <c r="J565" s="49" t="s">
        <v>32</v>
      </c>
      <c r="K565" s="49" t="s">
        <v>76</v>
      </c>
      <c r="L565" s="49" t="s">
        <v>95</v>
      </c>
      <c r="M565" s="49" t="s">
        <v>77</v>
      </c>
      <c r="N565" s="48" t="s">
        <v>97</v>
      </c>
      <c r="O565" s="47" t="s">
        <v>35</v>
      </c>
      <c r="P565" s="47" t="s">
        <v>80</v>
      </c>
      <c r="Q565" s="47" t="s">
        <v>98</v>
      </c>
      <c r="R565" s="11" t="s">
        <v>226</v>
      </c>
      <c r="S565" s="11" t="s">
        <v>227</v>
      </c>
      <c r="T565" s="90" t="s">
        <v>1</v>
      </c>
      <c r="U565" s="89"/>
      <c r="V565" s="51">
        <v>46132</v>
      </c>
      <c r="W565" s="49" t="s">
        <v>1582</v>
      </c>
    </row>
    <row r="566" spans="1:23" ht="13" customHeight="1" x14ac:dyDescent="0.35">
      <c r="A566" s="11">
        <v>560</v>
      </c>
      <c r="B566" s="47">
        <v>203813083</v>
      </c>
      <c r="C566" s="94" t="s">
        <v>593</v>
      </c>
      <c r="D566" s="11" t="s">
        <v>594</v>
      </c>
      <c r="E566" s="48" t="s">
        <v>31</v>
      </c>
      <c r="F566" s="48" t="s">
        <v>74</v>
      </c>
      <c r="G566" s="11" t="s">
        <v>64</v>
      </c>
      <c r="H566" s="11" t="s">
        <v>75</v>
      </c>
      <c r="I566" s="11">
        <v>1299</v>
      </c>
      <c r="J566" s="49" t="s">
        <v>39</v>
      </c>
      <c r="K566" s="49" t="s">
        <v>76</v>
      </c>
      <c r="L566" s="49" t="s">
        <v>78</v>
      </c>
      <c r="M566" s="49" t="s">
        <v>92</v>
      </c>
      <c r="N566" s="48" t="s">
        <v>86</v>
      </c>
      <c r="O566" s="49" t="s">
        <v>35</v>
      </c>
      <c r="P566" s="11" t="s">
        <v>80</v>
      </c>
      <c r="Q566" s="11" t="s">
        <v>99</v>
      </c>
      <c r="R566" s="11" t="s">
        <v>232</v>
      </c>
      <c r="S566" s="11" t="s">
        <v>1760</v>
      </c>
      <c r="T566" s="90" t="s">
        <v>1</v>
      </c>
      <c r="U566" s="89"/>
      <c r="V566" s="51">
        <v>45517</v>
      </c>
      <c r="W566" s="49" t="s">
        <v>1580</v>
      </c>
    </row>
    <row r="567" spans="1:23" ht="13" customHeight="1" x14ac:dyDescent="0.35">
      <c r="A567" s="11">
        <v>561</v>
      </c>
      <c r="B567" s="47">
        <v>206791445</v>
      </c>
      <c r="C567" s="94" t="s">
        <v>2674</v>
      </c>
      <c r="D567" s="11" t="s">
        <v>2675</v>
      </c>
      <c r="E567" s="48" t="s">
        <v>31</v>
      </c>
      <c r="F567" s="48" t="s">
        <v>74</v>
      </c>
      <c r="G567" s="11" t="s">
        <v>64</v>
      </c>
      <c r="H567" s="11" t="s">
        <v>75</v>
      </c>
      <c r="I567" s="11">
        <v>1299</v>
      </c>
      <c r="J567" s="49" t="s">
        <v>32</v>
      </c>
      <c r="K567" s="49" t="s">
        <v>76</v>
      </c>
      <c r="L567" s="49" t="s">
        <v>78</v>
      </c>
      <c r="M567" s="49" t="s">
        <v>92</v>
      </c>
      <c r="N567" s="49" t="s">
        <v>89</v>
      </c>
      <c r="O567" s="49" t="s">
        <v>35</v>
      </c>
      <c r="P567" s="11" t="s">
        <v>80</v>
      </c>
      <c r="Q567" s="11" t="s">
        <v>90</v>
      </c>
      <c r="R567" s="11" t="s">
        <v>232</v>
      </c>
      <c r="S567" s="11" t="s">
        <v>1760</v>
      </c>
      <c r="T567" s="90" t="s">
        <v>1</v>
      </c>
      <c r="U567" s="89"/>
      <c r="V567" s="51">
        <v>45999</v>
      </c>
      <c r="W567" s="49" t="s">
        <v>1580</v>
      </c>
    </row>
    <row r="568" spans="1:23" ht="13" customHeight="1" x14ac:dyDescent="0.35">
      <c r="A568" s="11">
        <v>562</v>
      </c>
      <c r="B568" s="47">
        <v>206072878</v>
      </c>
      <c r="C568" s="94" t="s">
        <v>596</v>
      </c>
      <c r="D568" s="11" t="s">
        <v>597</v>
      </c>
      <c r="E568" s="48" t="s">
        <v>31</v>
      </c>
      <c r="F568" s="48" t="s">
        <v>74</v>
      </c>
      <c r="G568" s="11" t="s">
        <v>64</v>
      </c>
      <c r="H568" s="11" t="s">
        <v>75</v>
      </c>
      <c r="I568" s="11">
        <v>1299</v>
      </c>
      <c r="J568" s="49" t="s">
        <v>32</v>
      </c>
      <c r="K568" s="49" t="s">
        <v>76</v>
      </c>
      <c r="L568" s="49" t="s">
        <v>78</v>
      </c>
      <c r="M568" s="49" t="s">
        <v>92</v>
      </c>
      <c r="N568" s="48" t="s">
        <v>79</v>
      </c>
      <c r="O568" s="49" t="s">
        <v>35</v>
      </c>
      <c r="P568" s="11" t="s">
        <v>80</v>
      </c>
      <c r="Q568" s="11" t="s">
        <v>81</v>
      </c>
      <c r="R568" s="11" t="s">
        <v>232</v>
      </c>
      <c r="S568" s="11" t="s">
        <v>1760</v>
      </c>
      <c r="T568" s="90" t="s">
        <v>1</v>
      </c>
      <c r="U568" s="90"/>
      <c r="V568" s="51">
        <v>45922</v>
      </c>
      <c r="W568" s="49" t="s">
        <v>1580</v>
      </c>
    </row>
    <row r="569" spans="1:23" ht="13" customHeight="1" x14ac:dyDescent="0.35">
      <c r="A569" s="11">
        <v>563</v>
      </c>
      <c r="B569" s="47">
        <v>206915156</v>
      </c>
      <c r="C569" s="94" t="s">
        <v>1915</v>
      </c>
      <c r="D569" s="11" t="s">
        <v>1922</v>
      </c>
      <c r="E569" s="48" t="s">
        <v>31</v>
      </c>
      <c r="F569" s="48" t="s">
        <v>74</v>
      </c>
      <c r="G569" s="11" t="s">
        <v>64</v>
      </c>
      <c r="H569" s="11" t="s">
        <v>75</v>
      </c>
      <c r="I569" s="11">
        <v>1299</v>
      </c>
      <c r="J569" s="49" t="s">
        <v>39</v>
      </c>
      <c r="K569" s="49" t="s">
        <v>76</v>
      </c>
      <c r="L569" s="49" t="s">
        <v>77</v>
      </c>
      <c r="M569" s="49" t="s">
        <v>78</v>
      </c>
      <c r="N569" s="49" t="s">
        <v>89</v>
      </c>
      <c r="O569" s="49" t="s">
        <v>35</v>
      </c>
      <c r="P569" s="49" t="s">
        <v>80</v>
      </c>
      <c r="Q569" s="49" t="s">
        <v>90</v>
      </c>
      <c r="R569" s="11" t="s">
        <v>226</v>
      </c>
      <c r="S569" s="49" t="s">
        <v>227</v>
      </c>
      <c r="T569" s="90" t="s">
        <v>1</v>
      </c>
      <c r="U569" s="91"/>
      <c r="V569" s="51">
        <v>46034</v>
      </c>
      <c r="W569" s="49" t="s">
        <v>1580</v>
      </c>
    </row>
    <row r="570" spans="1:23" ht="13" customHeight="1" x14ac:dyDescent="0.35">
      <c r="A570" s="11">
        <v>564</v>
      </c>
      <c r="B570" s="47">
        <v>203816396</v>
      </c>
      <c r="C570" s="94" t="s">
        <v>2676</v>
      </c>
      <c r="D570" s="11" t="s">
        <v>2677</v>
      </c>
      <c r="E570" s="48" t="s">
        <v>31</v>
      </c>
      <c r="F570" s="48" t="s">
        <v>74</v>
      </c>
      <c r="G570" s="11" t="s">
        <v>64</v>
      </c>
      <c r="H570" s="11" t="s">
        <v>75</v>
      </c>
      <c r="I570" s="11">
        <v>1299</v>
      </c>
      <c r="J570" s="49" t="s">
        <v>32</v>
      </c>
      <c r="K570" s="49" t="s">
        <v>76</v>
      </c>
      <c r="L570" s="49" t="s">
        <v>78</v>
      </c>
      <c r="M570" s="49" t="s">
        <v>92</v>
      </c>
      <c r="N570" s="49" t="s">
        <v>89</v>
      </c>
      <c r="O570" s="49" t="s">
        <v>35</v>
      </c>
      <c r="P570" s="11" t="s">
        <v>80</v>
      </c>
      <c r="Q570" s="11" t="s">
        <v>90</v>
      </c>
      <c r="R570" s="11" t="s">
        <v>226</v>
      </c>
      <c r="S570" s="11" t="s">
        <v>227</v>
      </c>
      <c r="T570" s="90" t="s">
        <v>1</v>
      </c>
      <c r="U570" s="91"/>
      <c r="V570" s="51">
        <v>45518</v>
      </c>
      <c r="W570" s="49" t="s">
        <v>1579</v>
      </c>
    </row>
    <row r="571" spans="1:23" ht="13" customHeight="1" x14ac:dyDescent="0.35">
      <c r="A571" s="11">
        <v>565</v>
      </c>
      <c r="B571" s="47">
        <v>206873878</v>
      </c>
      <c r="C571" s="94" t="s">
        <v>2678</v>
      </c>
      <c r="D571" s="11" t="s">
        <v>2679</v>
      </c>
      <c r="E571" s="48" t="s">
        <v>31</v>
      </c>
      <c r="F571" s="48" t="s">
        <v>74</v>
      </c>
      <c r="G571" s="48" t="s">
        <v>64</v>
      </c>
      <c r="H571" s="48" t="s">
        <v>75</v>
      </c>
      <c r="I571" s="11">
        <v>1299</v>
      </c>
      <c r="J571" s="49" t="s">
        <v>32</v>
      </c>
      <c r="K571" s="49" t="s">
        <v>76</v>
      </c>
      <c r="L571" s="49" t="s">
        <v>78</v>
      </c>
      <c r="M571" s="49" t="s">
        <v>92</v>
      </c>
      <c r="N571" s="49" t="s">
        <v>89</v>
      </c>
      <c r="O571" s="48" t="s">
        <v>35</v>
      </c>
      <c r="P571" s="48" t="s">
        <v>80</v>
      </c>
      <c r="Q571" s="11" t="s">
        <v>90</v>
      </c>
      <c r="R571" s="11" t="s">
        <v>232</v>
      </c>
      <c r="S571" s="11" t="s">
        <v>1760</v>
      </c>
      <c r="T571" s="90" t="s">
        <v>1</v>
      </c>
      <c r="U571" s="89"/>
      <c r="V571" s="51">
        <v>46020</v>
      </c>
      <c r="W571" s="49" t="s">
        <v>1580</v>
      </c>
    </row>
    <row r="572" spans="1:23" ht="13" customHeight="1" x14ac:dyDescent="0.35">
      <c r="A572" s="11">
        <v>566</v>
      </c>
      <c r="B572" s="47">
        <v>203800482</v>
      </c>
      <c r="C572" s="94" t="s">
        <v>598</v>
      </c>
      <c r="D572" s="11" t="s">
        <v>599</v>
      </c>
      <c r="E572" s="48" t="s">
        <v>31</v>
      </c>
      <c r="F572" s="48" t="s">
        <v>74</v>
      </c>
      <c r="G572" s="11" t="s">
        <v>64</v>
      </c>
      <c r="H572" s="11" t="s">
        <v>75</v>
      </c>
      <c r="I572" s="11">
        <v>1299</v>
      </c>
      <c r="J572" s="49" t="s">
        <v>39</v>
      </c>
      <c r="K572" s="49" t="s">
        <v>76</v>
      </c>
      <c r="L572" s="49" t="s">
        <v>85</v>
      </c>
      <c r="M572" s="49" t="s">
        <v>88</v>
      </c>
      <c r="N572" s="48" t="s">
        <v>86</v>
      </c>
      <c r="O572" s="49" t="s">
        <v>35</v>
      </c>
      <c r="P572" s="11" t="s">
        <v>80</v>
      </c>
      <c r="Q572" s="11" t="s">
        <v>90</v>
      </c>
      <c r="R572" s="11" t="s">
        <v>232</v>
      </c>
      <c r="S572" s="11" t="s">
        <v>1760</v>
      </c>
      <c r="T572" s="90" t="s">
        <v>10</v>
      </c>
      <c r="U572" s="91"/>
      <c r="V572" s="51">
        <v>45516</v>
      </c>
      <c r="W572" s="49" t="s">
        <v>1580</v>
      </c>
    </row>
    <row r="573" spans="1:23" ht="13" customHeight="1" x14ac:dyDescent="0.35">
      <c r="A573" s="11">
        <v>567</v>
      </c>
      <c r="B573" s="11">
        <v>206953817</v>
      </c>
      <c r="C573" s="94" t="s">
        <v>2680</v>
      </c>
      <c r="D573" s="11" t="s">
        <v>2681</v>
      </c>
      <c r="E573" s="48" t="s">
        <v>31</v>
      </c>
      <c r="F573" s="48" t="s">
        <v>74</v>
      </c>
      <c r="G573" s="11" t="s">
        <v>64</v>
      </c>
      <c r="H573" s="11" t="s">
        <v>75</v>
      </c>
      <c r="I573" s="11">
        <v>1299</v>
      </c>
      <c r="J573" s="49" t="s">
        <v>32</v>
      </c>
      <c r="K573" s="49" t="s">
        <v>76</v>
      </c>
      <c r="L573" s="49" t="s">
        <v>78</v>
      </c>
      <c r="M573" s="49" t="s">
        <v>92</v>
      </c>
      <c r="N573" s="49" t="s">
        <v>86</v>
      </c>
      <c r="O573" s="87" t="s">
        <v>35</v>
      </c>
      <c r="P573" s="11" t="s">
        <v>80</v>
      </c>
      <c r="Q573" s="84" t="s">
        <v>90</v>
      </c>
      <c r="R573" s="11" t="s">
        <v>225</v>
      </c>
      <c r="S573" s="54" t="s">
        <v>2731</v>
      </c>
      <c r="T573" s="90" t="s">
        <v>4</v>
      </c>
      <c r="U573" s="89"/>
      <c r="V573" s="51">
        <v>46051</v>
      </c>
      <c r="W573" s="2" t="s">
        <v>1580</v>
      </c>
    </row>
    <row r="574" spans="1:23" ht="13" customHeight="1" x14ac:dyDescent="0.35">
      <c r="A574" s="11">
        <v>568</v>
      </c>
      <c r="B574" s="47">
        <v>106262694</v>
      </c>
      <c r="C574" s="94" t="s">
        <v>2376</v>
      </c>
      <c r="D574" s="11" t="s">
        <v>2377</v>
      </c>
      <c r="E574" s="48" t="s">
        <v>34</v>
      </c>
      <c r="F574" s="48" t="s">
        <v>74</v>
      </c>
      <c r="G574" s="11" t="s">
        <v>64</v>
      </c>
      <c r="H574" s="11" t="s">
        <v>75</v>
      </c>
      <c r="I574" s="11">
        <v>1299</v>
      </c>
      <c r="J574" s="49" t="s">
        <v>32</v>
      </c>
      <c r="K574" s="49" t="s">
        <v>76</v>
      </c>
      <c r="L574" s="49" t="s">
        <v>84</v>
      </c>
      <c r="M574" s="49" t="s">
        <v>85</v>
      </c>
      <c r="N574" s="48" t="s">
        <v>108</v>
      </c>
      <c r="O574" s="49" t="s">
        <v>35</v>
      </c>
      <c r="P574" s="11" t="s">
        <v>80</v>
      </c>
      <c r="Q574" s="11" t="s">
        <v>98</v>
      </c>
      <c r="R574" s="11" t="s">
        <v>232</v>
      </c>
      <c r="S574" s="11" t="s">
        <v>1760</v>
      </c>
      <c r="T574" s="90" t="s">
        <v>1</v>
      </c>
      <c r="U574" s="89"/>
      <c r="V574" s="51">
        <v>44757</v>
      </c>
      <c r="W574" s="49" t="s">
        <v>1577</v>
      </c>
    </row>
    <row r="575" spans="1:23" ht="13" customHeight="1" x14ac:dyDescent="0.35">
      <c r="A575" s="11">
        <v>569</v>
      </c>
      <c r="B575" s="47">
        <v>205506109</v>
      </c>
      <c r="C575" s="94" t="s">
        <v>600</v>
      </c>
      <c r="D575" s="11" t="s">
        <v>601</v>
      </c>
      <c r="E575" s="48" t="s">
        <v>31</v>
      </c>
      <c r="F575" s="48" t="s">
        <v>74</v>
      </c>
      <c r="G575" s="11" t="s">
        <v>64</v>
      </c>
      <c r="H575" s="11" t="s">
        <v>75</v>
      </c>
      <c r="I575" s="11">
        <v>1299</v>
      </c>
      <c r="J575" s="49" t="s">
        <v>32</v>
      </c>
      <c r="K575" s="49" t="s">
        <v>76</v>
      </c>
      <c r="L575" s="49" t="s">
        <v>77</v>
      </c>
      <c r="M575" s="49" t="s">
        <v>78</v>
      </c>
      <c r="N575" s="49" t="s">
        <v>89</v>
      </c>
      <c r="O575" s="49" t="s">
        <v>35</v>
      </c>
      <c r="P575" s="11" t="s">
        <v>80</v>
      </c>
      <c r="Q575" s="11" t="s">
        <v>96</v>
      </c>
      <c r="R575" s="11" t="s">
        <v>232</v>
      </c>
      <c r="S575" s="11" t="s">
        <v>1760</v>
      </c>
      <c r="T575" s="90" t="s">
        <v>1</v>
      </c>
      <c r="U575" s="89"/>
      <c r="V575" s="51">
        <v>45831</v>
      </c>
      <c r="W575" s="49" t="s">
        <v>1580</v>
      </c>
    </row>
    <row r="576" spans="1:23" ht="13" customHeight="1" x14ac:dyDescent="0.35">
      <c r="A576" s="11">
        <v>570</v>
      </c>
      <c r="B576" s="47">
        <v>204967149</v>
      </c>
      <c r="C576" s="94" t="s">
        <v>2682</v>
      </c>
      <c r="D576" s="11" t="s">
        <v>2683</v>
      </c>
      <c r="E576" s="48" t="s">
        <v>31</v>
      </c>
      <c r="F576" s="48" t="s">
        <v>74</v>
      </c>
      <c r="G576" s="11" t="s">
        <v>64</v>
      </c>
      <c r="H576" s="11" t="s">
        <v>75</v>
      </c>
      <c r="I576" s="11">
        <v>1299</v>
      </c>
      <c r="J576" s="49" t="s">
        <v>39</v>
      </c>
      <c r="K576" s="49" t="s">
        <v>76</v>
      </c>
      <c r="L576" s="49" t="s">
        <v>78</v>
      </c>
      <c r="M576" s="49" t="s">
        <v>92</v>
      </c>
      <c r="N576" s="48" t="s">
        <v>86</v>
      </c>
      <c r="O576" s="49" t="s">
        <v>35</v>
      </c>
      <c r="P576" s="11" t="s">
        <v>80</v>
      </c>
      <c r="Q576" s="11" t="s">
        <v>90</v>
      </c>
      <c r="R576" s="11" t="s">
        <v>232</v>
      </c>
      <c r="S576" s="11" t="s">
        <v>1760</v>
      </c>
      <c r="T576" s="90" t="s">
        <v>3</v>
      </c>
      <c r="U576" s="89"/>
      <c r="V576" s="51">
        <v>45826</v>
      </c>
      <c r="W576" s="49" t="s">
        <v>1580</v>
      </c>
    </row>
    <row r="577" spans="1:23" ht="13" customHeight="1" x14ac:dyDescent="0.35">
      <c r="A577" s="11">
        <v>571</v>
      </c>
      <c r="B577" s="47">
        <v>205496022</v>
      </c>
      <c r="C577" s="94" t="s">
        <v>602</v>
      </c>
      <c r="D577" s="11" t="s">
        <v>603</v>
      </c>
      <c r="E577" s="48" t="s">
        <v>31</v>
      </c>
      <c r="F577" s="48" t="s">
        <v>74</v>
      </c>
      <c r="G577" s="11" t="s">
        <v>64</v>
      </c>
      <c r="H577" s="11" t="s">
        <v>75</v>
      </c>
      <c r="I577" s="11">
        <v>1299</v>
      </c>
      <c r="J577" s="49" t="s">
        <v>32</v>
      </c>
      <c r="K577" s="49" t="s">
        <v>76</v>
      </c>
      <c r="L577" s="49" t="s">
        <v>78</v>
      </c>
      <c r="M577" s="49" t="s">
        <v>92</v>
      </c>
      <c r="N577" s="49" t="s">
        <v>89</v>
      </c>
      <c r="O577" s="49" t="s">
        <v>35</v>
      </c>
      <c r="P577" s="11" t="s">
        <v>80</v>
      </c>
      <c r="Q577" s="11" t="s">
        <v>96</v>
      </c>
      <c r="R577" s="11" t="s">
        <v>232</v>
      </c>
      <c r="S577" s="11" t="s">
        <v>1760</v>
      </c>
      <c r="T577" s="90" t="s">
        <v>1</v>
      </c>
      <c r="U577" s="89"/>
      <c r="V577" s="51">
        <v>45831</v>
      </c>
      <c r="W577" s="49" t="s">
        <v>1580</v>
      </c>
    </row>
    <row r="578" spans="1:23" ht="13" customHeight="1" x14ac:dyDescent="0.35">
      <c r="A578" s="11">
        <v>572</v>
      </c>
      <c r="B578" s="47">
        <v>206504596</v>
      </c>
      <c r="C578" s="94" t="s">
        <v>2684</v>
      </c>
      <c r="D578" s="11" t="s">
        <v>2685</v>
      </c>
      <c r="E578" s="48" t="s">
        <v>31</v>
      </c>
      <c r="F578" s="48" t="s">
        <v>74</v>
      </c>
      <c r="G578" s="11" t="s">
        <v>64</v>
      </c>
      <c r="H578" s="11" t="s">
        <v>75</v>
      </c>
      <c r="I578" s="11">
        <v>1299</v>
      </c>
      <c r="J578" s="49" t="s">
        <v>32</v>
      </c>
      <c r="K578" s="49" t="s">
        <v>76</v>
      </c>
      <c r="L578" s="49" t="s">
        <v>78</v>
      </c>
      <c r="M578" s="49" t="s">
        <v>92</v>
      </c>
      <c r="N578" s="49" t="s">
        <v>89</v>
      </c>
      <c r="O578" s="49" t="s">
        <v>35</v>
      </c>
      <c r="P578" s="11" t="s">
        <v>80</v>
      </c>
      <c r="Q578" s="11" t="s">
        <v>90</v>
      </c>
      <c r="R578" s="11" t="s">
        <v>232</v>
      </c>
      <c r="S578" s="11" t="s">
        <v>1760</v>
      </c>
      <c r="T578" s="90" t="s">
        <v>1</v>
      </c>
      <c r="U578" s="89"/>
      <c r="V578" s="51">
        <v>45971</v>
      </c>
      <c r="W578" s="49" t="s">
        <v>1580</v>
      </c>
    </row>
    <row r="579" spans="1:23" ht="13" customHeight="1" x14ac:dyDescent="0.35">
      <c r="A579" s="11">
        <v>573</v>
      </c>
      <c r="B579" s="47">
        <v>204246613</v>
      </c>
      <c r="C579" s="94" t="s">
        <v>604</v>
      </c>
      <c r="D579" s="11" t="s">
        <v>605</v>
      </c>
      <c r="E579" s="48" t="s">
        <v>31</v>
      </c>
      <c r="F579" s="48" t="s">
        <v>74</v>
      </c>
      <c r="G579" s="11" t="s">
        <v>64</v>
      </c>
      <c r="H579" s="11" t="s">
        <v>75</v>
      </c>
      <c r="I579" s="11">
        <v>1299</v>
      </c>
      <c r="J579" s="49" t="s">
        <v>32</v>
      </c>
      <c r="K579" s="49" t="s">
        <v>76</v>
      </c>
      <c r="L579" s="49" t="s">
        <v>78</v>
      </c>
      <c r="M579" s="49" t="s">
        <v>92</v>
      </c>
      <c r="N579" s="48" t="s">
        <v>86</v>
      </c>
      <c r="O579" s="49" t="s">
        <v>35</v>
      </c>
      <c r="P579" s="11" t="s">
        <v>80</v>
      </c>
      <c r="Q579" s="11" t="s">
        <v>87</v>
      </c>
      <c r="R579" s="11" t="s">
        <v>232</v>
      </c>
      <c r="S579" s="11" t="s">
        <v>1760</v>
      </c>
      <c r="T579" s="90" t="s">
        <v>1</v>
      </c>
      <c r="U579" s="89"/>
      <c r="V579" s="51">
        <v>45579</v>
      </c>
      <c r="W579" s="49" t="s">
        <v>1580</v>
      </c>
    </row>
    <row r="580" spans="1:23" ht="13" customHeight="1" x14ac:dyDescent="0.35">
      <c r="A580" s="11">
        <v>574</v>
      </c>
      <c r="B580" s="47">
        <v>206015633</v>
      </c>
      <c r="C580" s="94" t="s">
        <v>606</v>
      </c>
      <c r="D580" s="11" t="s">
        <v>607</v>
      </c>
      <c r="E580" s="48" t="s">
        <v>31</v>
      </c>
      <c r="F580" s="48" t="s">
        <v>74</v>
      </c>
      <c r="G580" s="11" t="s">
        <v>64</v>
      </c>
      <c r="H580" s="11" t="s">
        <v>75</v>
      </c>
      <c r="I580" s="11">
        <v>1299</v>
      </c>
      <c r="J580" s="49" t="s">
        <v>32</v>
      </c>
      <c r="K580" s="49" t="s">
        <v>76</v>
      </c>
      <c r="L580" s="49" t="s">
        <v>78</v>
      </c>
      <c r="M580" s="49" t="s">
        <v>92</v>
      </c>
      <c r="N580" s="48" t="s">
        <v>79</v>
      </c>
      <c r="O580" s="49" t="s">
        <v>35</v>
      </c>
      <c r="P580" s="11" t="s">
        <v>80</v>
      </c>
      <c r="Q580" s="11" t="s">
        <v>81</v>
      </c>
      <c r="R580" s="11" t="s">
        <v>226</v>
      </c>
      <c r="S580" s="11" t="s">
        <v>227</v>
      </c>
      <c r="T580" s="90" t="s">
        <v>1</v>
      </c>
      <c r="U580" s="89"/>
      <c r="V580" s="51">
        <v>45915</v>
      </c>
      <c r="W580" s="49" t="s">
        <v>1581</v>
      </c>
    </row>
    <row r="581" spans="1:23" ht="13" customHeight="1" x14ac:dyDescent="0.35">
      <c r="A581" s="11">
        <v>575</v>
      </c>
      <c r="B581" s="11">
        <v>206875751</v>
      </c>
      <c r="C581" s="94" t="s">
        <v>1793</v>
      </c>
      <c r="D581" s="11" t="s">
        <v>1794</v>
      </c>
      <c r="E581" s="48" t="s">
        <v>31</v>
      </c>
      <c r="F581" s="48" t="s">
        <v>74</v>
      </c>
      <c r="G581" s="48" t="s">
        <v>64</v>
      </c>
      <c r="H581" s="48" t="s">
        <v>75</v>
      </c>
      <c r="I581" s="11">
        <v>1299</v>
      </c>
      <c r="J581" s="49" t="s">
        <v>32</v>
      </c>
      <c r="K581" s="49" t="s">
        <v>76</v>
      </c>
      <c r="L581" s="49" t="s">
        <v>78</v>
      </c>
      <c r="M581" s="49" t="s">
        <v>92</v>
      </c>
      <c r="N581" s="49" t="s">
        <v>89</v>
      </c>
      <c r="O581" s="48" t="s">
        <v>35</v>
      </c>
      <c r="P581" s="48" t="s">
        <v>80</v>
      </c>
      <c r="Q581" s="11" t="s">
        <v>81</v>
      </c>
      <c r="R581" s="11" t="s">
        <v>232</v>
      </c>
      <c r="S581" s="11" t="s">
        <v>1760</v>
      </c>
      <c r="T581" s="90" t="s">
        <v>1</v>
      </c>
      <c r="U581" s="91"/>
      <c r="V581" s="51">
        <v>46020</v>
      </c>
      <c r="W581" s="11" t="s">
        <v>1580</v>
      </c>
    </row>
    <row r="582" spans="1:23" ht="13" customHeight="1" x14ac:dyDescent="0.35">
      <c r="A582" s="11">
        <v>576</v>
      </c>
      <c r="B582" s="47">
        <v>204246612</v>
      </c>
      <c r="C582" s="94" t="s">
        <v>608</v>
      </c>
      <c r="D582" s="11" t="s">
        <v>609</v>
      </c>
      <c r="E582" s="48" t="s">
        <v>31</v>
      </c>
      <c r="F582" s="48" t="s">
        <v>74</v>
      </c>
      <c r="G582" s="11" t="s">
        <v>64</v>
      </c>
      <c r="H582" s="11" t="s">
        <v>75</v>
      </c>
      <c r="I582" s="11">
        <v>1299</v>
      </c>
      <c r="J582" s="49" t="s">
        <v>32</v>
      </c>
      <c r="K582" s="49" t="s">
        <v>76</v>
      </c>
      <c r="L582" s="49" t="s">
        <v>95</v>
      </c>
      <c r="M582" s="49" t="s">
        <v>77</v>
      </c>
      <c r="N582" s="48" t="s">
        <v>86</v>
      </c>
      <c r="O582" s="49" t="s">
        <v>35</v>
      </c>
      <c r="P582" s="11" t="s">
        <v>80</v>
      </c>
      <c r="Q582" s="11" t="s">
        <v>87</v>
      </c>
      <c r="R582" s="11" t="s">
        <v>232</v>
      </c>
      <c r="S582" s="11" t="s">
        <v>1760</v>
      </c>
      <c r="T582" s="90" t="s">
        <v>1</v>
      </c>
      <c r="U582" s="90"/>
      <c r="V582" s="51">
        <v>45579</v>
      </c>
      <c r="W582" s="49" t="s">
        <v>1580</v>
      </c>
    </row>
    <row r="583" spans="1:23" ht="13" customHeight="1" x14ac:dyDescent="0.35">
      <c r="A583" s="11">
        <v>577</v>
      </c>
      <c r="B583" s="47">
        <v>206933423</v>
      </c>
      <c r="C583" s="94" t="s">
        <v>2032</v>
      </c>
      <c r="D583" s="11" t="s">
        <v>2012</v>
      </c>
      <c r="E583" s="48" t="s">
        <v>31</v>
      </c>
      <c r="F583" s="48" t="s">
        <v>74</v>
      </c>
      <c r="G583" s="11" t="s">
        <v>64</v>
      </c>
      <c r="H583" s="11" t="s">
        <v>75</v>
      </c>
      <c r="I583" s="11">
        <v>1299</v>
      </c>
      <c r="J583" s="49" t="s">
        <v>32</v>
      </c>
      <c r="K583" s="49" t="s">
        <v>76</v>
      </c>
      <c r="L583" s="49" t="s">
        <v>78</v>
      </c>
      <c r="M583" s="49" t="s">
        <v>92</v>
      </c>
      <c r="N583" s="49" t="s">
        <v>79</v>
      </c>
      <c r="O583" s="49" t="s">
        <v>35</v>
      </c>
      <c r="P583" s="11" t="s">
        <v>80</v>
      </c>
      <c r="Q583" s="11" t="s">
        <v>96</v>
      </c>
      <c r="R583" s="11" t="s">
        <v>225</v>
      </c>
      <c r="S583" s="11" t="s">
        <v>2731</v>
      </c>
      <c r="T583" s="90" t="s">
        <v>1</v>
      </c>
      <c r="U583" s="90"/>
      <c r="V583" s="51">
        <v>46041</v>
      </c>
      <c r="W583" s="49" t="s">
        <v>1580</v>
      </c>
    </row>
    <row r="584" spans="1:23" ht="13" customHeight="1" x14ac:dyDescent="0.35">
      <c r="A584" s="11">
        <v>578</v>
      </c>
      <c r="B584" s="47">
        <v>206513292</v>
      </c>
      <c r="C584" s="94" t="s">
        <v>2686</v>
      </c>
      <c r="D584" s="11" t="s">
        <v>2687</v>
      </c>
      <c r="E584" s="48" t="s">
        <v>31</v>
      </c>
      <c r="F584" s="48" t="s">
        <v>74</v>
      </c>
      <c r="G584" s="11" t="s">
        <v>64</v>
      </c>
      <c r="H584" s="11" t="s">
        <v>75</v>
      </c>
      <c r="I584" s="11">
        <v>1299</v>
      </c>
      <c r="J584" s="49" t="s">
        <v>32</v>
      </c>
      <c r="K584" s="49" t="s">
        <v>76</v>
      </c>
      <c r="L584" s="49" t="s">
        <v>78</v>
      </c>
      <c r="M584" s="49" t="s">
        <v>92</v>
      </c>
      <c r="N584" s="48" t="s">
        <v>86</v>
      </c>
      <c r="O584" s="49" t="s">
        <v>35</v>
      </c>
      <c r="P584" s="11" t="s">
        <v>80</v>
      </c>
      <c r="Q584" s="11" t="s">
        <v>90</v>
      </c>
      <c r="R584" s="11" t="s">
        <v>232</v>
      </c>
      <c r="S584" s="11" t="s">
        <v>1760</v>
      </c>
      <c r="T584" s="90" t="s">
        <v>1</v>
      </c>
      <c r="U584" s="89"/>
      <c r="V584" s="51">
        <v>45971</v>
      </c>
      <c r="W584" s="49" t="s">
        <v>1580</v>
      </c>
    </row>
    <row r="585" spans="1:23" ht="13" customHeight="1" x14ac:dyDescent="0.35">
      <c r="A585" s="11">
        <v>579</v>
      </c>
      <c r="B585" s="47">
        <v>206791438</v>
      </c>
      <c r="C585" s="94" t="s">
        <v>2688</v>
      </c>
      <c r="D585" s="11" t="s">
        <v>2689</v>
      </c>
      <c r="E585" s="48" t="s">
        <v>31</v>
      </c>
      <c r="F585" s="48" t="s">
        <v>74</v>
      </c>
      <c r="G585" s="11" t="s">
        <v>64</v>
      </c>
      <c r="H585" s="11" t="s">
        <v>75</v>
      </c>
      <c r="I585" s="11">
        <v>1299</v>
      </c>
      <c r="J585" s="49" t="s">
        <v>32</v>
      </c>
      <c r="K585" s="49" t="s">
        <v>76</v>
      </c>
      <c r="L585" s="49" t="s">
        <v>78</v>
      </c>
      <c r="M585" s="49" t="s">
        <v>92</v>
      </c>
      <c r="N585" s="49" t="s">
        <v>89</v>
      </c>
      <c r="O585" s="49" t="s">
        <v>35</v>
      </c>
      <c r="P585" s="11" t="s">
        <v>80</v>
      </c>
      <c r="Q585" s="11" t="s">
        <v>90</v>
      </c>
      <c r="R585" s="11" t="s">
        <v>232</v>
      </c>
      <c r="S585" s="11" t="s">
        <v>1760</v>
      </c>
      <c r="T585" s="90" t="s">
        <v>1</v>
      </c>
      <c r="U585" s="90"/>
      <c r="V585" s="51">
        <v>45999</v>
      </c>
      <c r="W585" s="49" t="s">
        <v>1580</v>
      </c>
    </row>
    <row r="586" spans="1:23" ht="13" customHeight="1" x14ac:dyDescent="0.35">
      <c r="A586" s="11">
        <v>580</v>
      </c>
      <c r="B586" s="47">
        <v>203736259</v>
      </c>
      <c r="C586" s="94" t="s">
        <v>2690</v>
      </c>
      <c r="D586" s="11" t="s">
        <v>2691</v>
      </c>
      <c r="E586" s="48" t="s">
        <v>31</v>
      </c>
      <c r="F586" s="48" t="s">
        <v>74</v>
      </c>
      <c r="G586" s="11" t="s">
        <v>64</v>
      </c>
      <c r="H586" s="11" t="s">
        <v>75</v>
      </c>
      <c r="I586" s="11">
        <v>1299</v>
      </c>
      <c r="J586" s="49" t="s">
        <v>39</v>
      </c>
      <c r="K586" s="49" t="s">
        <v>76</v>
      </c>
      <c r="L586" s="49" t="s">
        <v>78</v>
      </c>
      <c r="M586" s="49" t="s">
        <v>92</v>
      </c>
      <c r="N586" s="48" t="s">
        <v>86</v>
      </c>
      <c r="O586" s="49" t="s">
        <v>35</v>
      </c>
      <c r="P586" s="11" t="s">
        <v>80</v>
      </c>
      <c r="Q586" s="11" t="s">
        <v>90</v>
      </c>
      <c r="R586" s="11" t="s">
        <v>232</v>
      </c>
      <c r="S586" s="11" t="s">
        <v>1760</v>
      </c>
      <c r="T586" s="90" t="s">
        <v>1</v>
      </c>
      <c r="U586" s="89"/>
      <c r="V586" s="51">
        <v>45502</v>
      </c>
      <c r="W586" s="49" t="s">
        <v>1580</v>
      </c>
    </row>
    <row r="587" spans="1:23" ht="13" customHeight="1" x14ac:dyDescent="0.35">
      <c r="A587" s="11">
        <v>581</v>
      </c>
      <c r="B587" s="11">
        <v>206873645</v>
      </c>
      <c r="C587" s="94" t="s">
        <v>1785</v>
      </c>
      <c r="D587" s="11" t="s">
        <v>1786</v>
      </c>
      <c r="E587" s="48" t="s">
        <v>31</v>
      </c>
      <c r="F587" s="48" t="s">
        <v>74</v>
      </c>
      <c r="G587" s="48" t="s">
        <v>64</v>
      </c>
      <c r="H587" s="48" t="s">
        <v>75</v>
      </c>
      <c r="I587" s="11">
        <v>1299</v>
      </c>
      <c r="J587" s="49" t="s">
        <v>32</v>
      </c>
      <c r="K587" s="49" t="s">
        <v>76</v>
      </c>
      <c r="L587" s="49" t="s">
        <v>78</v>
      </c>
      <c r="M587" s="49" t="s">
        <v>92</v>
      </c>
      <c r="N587" s="49" t="s">
        <v>89</v>
      </c>
      <c r="O587" s="48" t="s">
        <v>35</v>
      </c>
      <c r="P587" s="48" t="s">
        <v>80</v>
      </c>
      <c r="Q587" s="11" t="s">
        <v>81</v>
      </c>
      <c r="R587" s="11" t="s">
        <v>232</v>
      </c>
      <c r="S587" s="11" t="s">
        <v>1760</v>
      </c>
      <c r="T587" s="90" t="s">
        <v>1</v>
      </c>
      <c r="U587" s="89"/>
      <c r="V587" s="51">
        <v>46020</v>
      </c>
      <c r="W587" s="11" t="s">
        <v>1580</v>
      </c>
    </row>
    <row r="588" spans="1:23" ht="13" customHeight="1" x14ac:dyDescent="0.35">
      <c r="A588" s="11">
        <v>582</v>
      </c>
      <c r="B588" s="47">
        <v>203813134</v>
      </c>
      <c r="C588" s="94" t="s">
        <v>612</v>
      </c>
      <c r="D588" s="11" t="s">
        <v>613</v>
      </c>
      <c r="E588" s="48" t="s">
        <v>31</v>
      </c>
      <c r="F588" s="48" t="s">
        <v>74</v>
      </c>
      <c r="G588" s="11" t="s">
        <v>64</v>
      </c>
      <c r="H588" s="11" t="s">
        <v>75</v>
      </c>
      <c r="I588" s="11">
        <v>1299</v>
      </c>
      <c r="J588" s="49" t="s">
        <v>39</v>
      </c>
      <c r="K588" s="49" t="s">
        <v>76</v>
      </c>
      <c r="L588" s="49" t="s">
        <v>78</v>
      </c>
      <c r="M588" s="49" t="s">
        <v>92</v>
      </c>
      <c r="N588" s="48" t="s">
        <v>86</v>
      </c>
      <c r="O588" s="49" t="s">
        <v>35</v>
      </c>
      <c r="P588" s="11" t="s">
        <v>80</v>
      </c>
      <c r="Q588" s="11" t="s">
        <v>99</v>
      </c>
      <c r="R588" s="11" t="s">
        <v>232</v>
      </c>
      <c r="S588" s="11" t="s">
        <v>1760</v>
      </c>
      <c r="T588" s="90" t="s">
        <v>1</v>
      </c>
      <c r="U588" s="89"/>
      <c r="V588" s="51">
        <v>45517</v>
      </c>
      <c r="W588" s="49" t="s">
        <v>1580</v>
      </c>
    </row>
    <row r="589" spans="1:23" ht="13" customHeight="1" x14ac:dyDescent="0.35">
      <c r="A589" s="11">
        <v>583</v>
      </c>
      <c r="B589" s="47">
        <v>112911448</v>
      </c>
      <c r="C589" s="94" t="s">
        <v>1711</v>
      </c>
      <c r="D589" s="47" t="s">
        <v>1712</v>
      </c>
      <c r="E589" s="47" t="s">
        <v>34</v>
      </c>
      <c r="F589" s="47" t="s">
        <v>74</v>
      </c>
      <c r="G589" s="47" t="s">
        <v>64</v>
      </c>
      <c r="H589" s="47" t="s">
        <v>75</v>
      </c>
      <c r="I589" s="47">
        <v>1299</v>
      </c>
      <c r="J589" s="49" t="s">
        <v>32</v>
      </c>
      <c r="K589" s="49" t="s">
        <v>76</v>
      </c>
      <c r="L589" s="49" t="s">
        <v>78</v>
      </c>
      <c r="M589" s="49" t="s">
        <v>92</v>
      </c>
      <c r="N589" s="48" t="s">
        <v>97</v>
      </c>
      <c r="O589" s="47" t="s">
        <v>35</v>
      </c>
      <c r="P589" s="47" t="s">
        <v>80</v>
      </c>
      <c r="Q589" s="47" t="s">
        <v>98</v>
      </c>
      <c r="R589" s="11" t="s">
        <v>225</v>
      </c>
      <c r="S589" s="47" t="s">
        <v>2731</v>
      </c>
      <c r="T589" s="90" t="s">
        <v>1</v>
      </c>
      <c r="U589" s="91"/>
      <c r="V589" s="51">
        <v>46013</v>
      </c>
      <c r="W589" s="49" t="s">
        <v>1582</v>
      </c>
    </row>
    <row r="590" spans="1:23" ht="13" customHeight="1" x14ac:dyDescent="0.35">
      <c r="A590" s="11">
        <v>584</v>
      </c>
      <c r="B590" s="47">
        <v>104147044</v>
      </c>
      <c r="C590" s="94" t="s">
        <v>614</v>
      </c>
      <c r="D590" s="11" t="s">
        <v>615</v>
      </c>
      <c r="E590" s="48" t="s">
        <v>34</v>
      </c>
      <c r="F590" s="48" t="s">
        <v>74</v>
      </c>
      <c r="G590" s="11" t="s">
        <v>64</v>
      </c>
      <c r="H590" s="11" t="s">
        <v>75</v>
      </c>
      <c r="I590" s="11">
        <v>1299</v>
      </c>
      <c r="J590" s="49" t="s">
        <v>39</v>
      </c>
      <c r="K590" s="49" t="s">
        <v>76</v>
      </c>
      <c r="L590" s="49" t="s">
        <v>95</v>
      </c>
      <c r="M590" s="49" t="s">
        <v>77</v>
      </c>
      <c r="N590" s="48" t="s">
        <v>108</v>
      </c>
      <c r="O590" s="49" t="s">
        <v>35</v>
      </c>
      <c r="P590" s="11" t="s">
        <v>80</v>
      </c>
      <c r="Q590" s="11" t="s">
        <v>98</v>
      </c>
      <c r="R590" s="11" t="s">
        <v>232</v>
      </c>
      <c r="S590" s="11" t="s">
        <v>1760</v>
      </c>
      <c r="T590" s="90" t="s">
        <v>1</v>
      </c>
      <c r="U590" s="89"/>
      <c r="V590" s="51">
        <v>44861</v>
      </c>
      <c r="W590" s="49" t="s">
        <v>1580</v>
      </c>
    </row>
    <row r="591" spans="1:23" ht="13" customHeight="1" x14ac:dyDescent="0.35">
      <c r="A591" s="11">
        <v>585</v>
      </c>
      <c r="B591" s="47">
        <v>203687852</v>
      </c>
      <c r="C591" s="94" t="s">
        <v>616</v>
      </c>
      <c r="D591" s="11" t="s">
        <v>617</v>
      </c>
      <c r="E591" s="48" t="s">
        <v>31</v>
      </c>
      <c r="F591" s="48" t="s">
        <v>74</v>
      </c>
      <c r="G591" s="11" t="s">
        <v>64</v>
      </c>
      <c r="H591" s="11" t="s">
        <v>75</v>
      </c>
      <c r="I591" s="11">
        <v>1299</v>
      </c>
      <c r="J591" s="49" t="s">
        <v>39</v>
      </c>
      <c r="K591" s="49" t="s">
        <v>76</v>
      </c>
      <c r="L591" s="49" t="s">
        <v>84</v>
      </c>
      <c r="M591" s="49" t="s">
        <v>85</v>
      </c>
      <c r="N591" s="48" t="s">
        <v>86</v>
      </c>
      <c r="O591" s="49" t="s">
        <v>35</v>
      </c>
      <c r="P591" s="11" t="s">
        <v>80</v>
      </c>
      <c r="Q591" s="11" t="s">
        <v>99</v>
      </c>
      <c r="R591" s="11" t="s">
        <v>232</v>
      </c>
      <c r="S591" s="11" t="s">
        <v>1760</v>
      </c>
      <c r="T591" s="90" t="s">
        <v>7</v>
      </c>
      <c r="U591" s="90" t="s">
        <v>2914</v>
      </c>
      <c r="V591" s="51">
        <v>45495</v>
      </c>
      <c r="W591" s="49" t="s">
        <v>1580</v>
      </c>
    </row>
    <row r="592" spans="1:23" ht="13" customHeight="1" x14ac:dyDescent="0.35">
      <c r="A592" s="11">
        <v>586</v>
      </c>
      <c r="B592" s="47">
        <v>206934652</v>
      </c>
      <c r="C592" s="94" t="s">
        <v>2033</v>
      </c>
      <c r="D592" s="11" t="s">
        <v>2013</v>
      </c>
      <c r="E592" s="48" t="s">
        <v>31</v>
      </c>
      <c r="F592" s="48" t="s">
        <v>74</v>
      </c>
      <c r="G592" s="11" t="s">
        <v>64</v>
      </c>
      <c r="H592" s="11" t="s">
        <v>75</v>
      </c>
      <c r="I592" s="11">
        <v>1299</v>
      </c>
      <c r="J592" s="49" t="s">
        <v>32</v>
      </c>
      <c r="K592" s="49" t="s">
        <v>76</v>
      </c>
      <c r="L592" s="49" t="s">
        <v>78</v>
      </c>
      <c r="M592" s="49" t="s">
        <v>92</v>
      </c>
      <c r="N592" s="49" t="s">
        <v>89</v>
      </c>
      <c r="O592" s="49" t="s">
        <v>35</v>
      </c>
      <c r="P592" s="11" t="s">
        <v>80</v>
      </c>
      <c r="Q592" s="11" t="s">
        <v>96</v>
      </c>
      <c r="R592" s="11" t="s">
        <v>225</v>
      </c>
      <c r="S592" s="11" t="s">
        <v>2731</v>
      </c>
      <c r="T592" s="90" t="s">
        <v>1</v>
      </c>
      <c r="U592" s="90"/>
      <c r="V592" s="51">
        <v>46041</v>
      </c>
      <c r="W592" s="49" t="s">
        <v>1580</v>
      </c>
    </row>
    <row r="593" spans="1:23" ht="13" customHeight="1" x14ac:dyDescent="0.35">
      <c r="A593" s="11">
        <v>587</v>
      </c>
      <c r="B593" s="47">
        <v>202435289</v>
      </c>
      <c r="C593" s="94" t="s">
        <v>618</v>
      </c>
      <c r="D593" s="11" t="s">
        <v>619</v>
      </c>
      <c r="E593" s="48" t="s">
        <v>31</v>
      </c>
      <c r="F593" s="48" t="s">
        <v>74</v>
      </c>
      <c r="G593" s="11" t="s">
        <v>64</v>
      </c>
      <c r="H593" s="11" t="s">
        <v>75</v>
      </c>
      <c r="I593" s="11">
        <v>1299</v>
      </c>
      <c r="J593" s="49" t="s">
        <v>39</v>
      </c>
      <c r="K593" s="49" t="s">
        <v>76</v>
      </c>
      <c r="L593" s="49" t="s">
        <v>78</v>
      </c>
      <c r="M593" s="49" t="s">
        <v>92</v>
      </c>
      <c r="N593" s="48" t="s">
        <v>86</v>
      </c>
      <c r="O593" s="49" t="s">
        <v>35</v>
      </c>
      <c r="P593" s="11" t="s">
        <v>80</v>
      </c>
      <c r="Q593" s="11" t="s">
        <v>87</v>
      </c>
      <c r="R593" s="11" t="s">
        <v>232</v>
      </c>
      <c r="S593" s="11" t="s">
        <v>1760</v>
      </c>
      <c r="T593" s="90" t="s">
        <v>1</v>
      </c>
      <c r="U593" s="90"/>
      <c r="V593" s="51">
        <v>45581</v>
      </c>
      <c r="W593" s="49" t="s">
        <v>1580</v>
      </c>
    </row>
    <row r="594" spans="1:23" ht="13" customHeight="1" x14ac:dyDescent="0.35">
      <c r="A594" s="11">
        <v>588</v>
      </c>
      <c r="B594" s="47">
        <v>203813135</v>
      </c>
      <c r="C594" s="94" t="s">
        <v>620</v>
      </c>
      <c r="D594" s="11" t="s">
        <v>621</v>
      </c>
      <c r="E594" s="48" t="s">
        <v>31</v>
      </c>
      <c r="F594" s="48" t="s">
        <v>74</v>
      </c>
      <c r="G594" s="11" t="s">
        <v>64</v>
      </c>
      <c r="H594" s="11" t="s">
        <v>75</v>
      </c>
      <c r="I594" s="11">
        <v>1299</v>
      </c>
      <c r="J594" s="49" t="s">
        <v>39</v>
      </c>
      <c r="K594" s="49" t="s">
        <v>76</v>
      </c>
      <c r="L594" s="49" t="s">
        <v>78</v>
      </c>
      <c r="M594" s="49" t="s">
        <v>92</v>
      </c>
      <c r="N594" s="48" t="s">
        <v>86</v>
      </c>
      <c r="O594" s="49" t="s">
        <v>35</v>
      </c>
      <c r="P594" s="11" t="s">
        <v>80</v>
      </c>
      <c r="Q594" s="11" t="s">
        <v>99</v>
      </c>
      <c r="R594" s="11" t="s">
        <v>232</v>
      </c>
      <c r="S594" s="11" t="s">
        <v>1760</v>
      </c>
      <c r="T594" s="90" t="s">
        <v>1</v>
      </c>
      <c r="U594" s="89"/>
      <c r="V594" s="51">
        <v>45517</v>
      </c>
      <c r="W594" s="49" t="s">
        <v>1580</v>
      </c>
    </row>
    <row r="595" spans="1:23" ht="13" customHeight="1" x14ac:dyDescent="0.35">
      <c r="A595" s="11">
        <v>589</v>
      </c>
      <c r="B595" s="47">
        <v>203965526</v>
      </c>
      <c r="C595" s="94" t="s">
        <v>622</v>
      </c>
      <c r="D595" s="11" t="s">
        <v>623</v>
      </c>
      <c r="E595" s="48" t="s">
        <v>31</v>
      </c>
      <c r="F595" s="48" t="s">
        <v>74</v>
      </c>
      <c r="G595" s="11" t="s">
        <v>64</v>
      </c>
      <c r="H595" s="11" t="s">
        <v>75</v>
      </c>
      <c r="I595" s="11">
        <v>1299</v>
      </c>
      <c r="J595" s="49" t="s">
        <v>32</v>
      </c>
      <c r="K595" s="49" t="s">
        <v>76</v>
      </c>
      <c r="L595" s="49" t="s">
        <v>78</v>
      </c>
      <c r="M595" s="49" t="s">
        <v>92</v>
      </c>
      <c r="N595" s="48" t="s">
        <v>79</v>
      </c>
      <c r="O595" s="49" t="s">
        <v>35</v>
      </c>
      <c r="P595" s="11" t="s">
        <v>80</v>
      </c>
      <c r="Q595" s="11" t="s">
        <v>81</v>
      </c>
      <c r="R595" s="11" t="s">
        <v>232</v>
      </c>
      <c r="S595" s="11" t="s">
        <v>1760</v>
      </c>
      <c r="T595" s="90" t="s">
        <v>1</v>
      </c>
      <c r="U595" s="90"/>
      <c r="V595" s="51">
        <v>45544</v>
      </c>
      <c r="W595" s="49" t="s">
        <v>1580</v>
      </c>
    </row>
    <row r="596" spans="1:23" ht="13" customHeight="1" x14ac:dyDescent="0.35">
      <c r="A596" s="11">
        <v>590</v>
      </c>
      <c r="B596" s="47">
        <v>206962049</v>
      </c>
      <c r="C596" s="94" t="s">
        <v>2111</v>
      </c>
      <c r="D596" s="11" t="s">
        <v>2034</v>
      </c>
      <c r="E596" s="48" t="s">
        <v>31</v>
      </c>
      <c r="F596" s="48" t="s">
        <v>74</v>
      </c>
      <c r="G596" s="11" t="s">
        <v>64</v>
      </c>
      <c r="H596" s="11" t="s">
        <v>75</v>
      </c>
      <c r="I596" s="11">
        <v>1299</v>
      </c>
      <c r="J596" s="49" t="s">
        <v>32</v>
      </c>
      <c r="K596" s="49" t="s">
        <v>76</v>
      </c>
      <c r="L596" s="49" t="s">
        <v>78</v>
      </c>
      <c r="M596" s="49" t="s">
        <v>92</v>
      </c>
      <c r="N596" s="49" t="s">
        <v>89</v>
      </c>
      <c r="O596" s="49" t="s">
        <v>35</v>
      </c>
      <c r="P596" s="11" t="s">
        <v>80</v>
      </c>
      <c r="Q596" s="11" t="s">
        <v>96</v>
      </c>
      <c r="R596" s="11" t="s">
        <v>225</v>
      </c>
      <c r="S596" s="11" t="s">
        <v>2731</v>
      </c>
      <c r="T596" s="90" t="s">
        <v>1</v>
      </c>
      <c r="U596" s="90"/>
      <c r="V596" s="51">
        <v>46048</v>
      </c>
      <c r="W596" s="49" t="s">
        <v>1580</v>
      </c>
    </row>
    <row r="597" spans="1:23" ht="13" customHeight="1" x14ac:dyDescent="0.35">
      <c r="A597" s="11">
        <v>591</v>
      </c>
      <c r="B597" s="47">
        <v>203741319</v>
      </c>
      <c r="C597" s="94" t="s">
        <v>624</v>
      </c>
      <c r="D597" s="11" t="s">
        <v>625</v>
      </c>
      <c r="E597" s="48" t="s">
        <v>31</v>
      </c>
      <c r="F597" s="48" t="s">
        <v>74</v>
      </c>
      <c r="G597" s="11" t="s">
        <v>64</v>
      </c>
      <c r="H597" s="11" t="s">
        <v>75</v>
      </c>
      <c r="I597" s="11">
        <v>1299</v>
      </c>
      <c r="J597" s="49" t="s">
        <v>39</v>
      </c>
      <c r="K597" s="49" t="s">
        <v>76</v>
      </c>
      <c r="L597" s="49" t="s">
        <v>85</v>
      </c>
      <c r="M597" s="49" t="s">
        <v>88</v>
      </c>
      <c r="N597" s="48" t="s">
        <v>79</v>
      </c>
      <c r="O597" s="49" t="s">
        <v>35</v>
      </c>
      <c r="P597" s="11" t="s">
        <v>80</v>
      </c>
      <c r="Q597" s="11" t="s">
        <v>81</v>
      </c>
      <c r="R597" s="11" t="s">
        <v>232</v>
      </c>
      <c r="S597" s="11" t="s">
        <v>1760</v>
      </c>
      <c r="T597" s="90" t="s">
        <v>10</v>
      </c>
      <c r="U597" s="89"/>
      <c r="V597" s="51">
        <v>45502</v>
      </c>
      <c r="W597" s="49" t="s">
        <v>1580</v>
      </c>
    </row>
    <row r="598" spans="1:23" ht="13" customHeight="1" x14ac:dyDescent="0.35">
      <c r="A598" s="11">
        <v>592</v>
      </c>
      <c r="B598" s="47">
        <v>206858475</v>
      </c>
      <c r="C598" s="94" t="s">
        <v>2692</v>
      </c>
      <c r="D598" s="47" t="s">
        <v>2693</v>
      </c>
      <c r="E598" s="47" t="s">
        <v>31</v>
      </c>
      <c r="F598" s="47" t="s">
        <v>74</v>
      </c>
      <c r="G598" s="47" t="s">
        <v>64</v>
      </c>
      <c r="H598" s="47" t="s">
        <v>75</v>
      </c>
      <c r="I598" s="47">
        <v>1299</v>
      </c>
      <c r="J598" s="49" t="s">
        <v>32</v>
      </c>
      <c r="K598" s="49" t="s">
        <v>76</v>
      </c>
      <c r="L598" s="49" t="s">
        <v>78</v>
      </c>
      <c r="M598" s="49" t="s">
        <v>92</v>
      </c>
      <c r="N598" s="49" t="s">
        <v>89</v>
      </c>
      <c r="O598" s="47" t="s">
        <v>35</v>
      </c>
      <c r="P598" s="47" t="s">
        <v>80</v>
      </c>
      <c r="Q598" s="47" t="s">
        <v>90</v>
      </c>
      <c r="R598" s="11" t="s">
        <v>232</v>
      </c>
      <c r="S598" s="47" t="s">
        <v>1760</v>
      </c>
      <c r="T598" s="90" t="s">
        <v>1</v>
      </c>
      <c r="U598" s="89"/>
      <c r="V598" s="51">
        <v>46013</v>
      </c>
      <c r="W598" s="47" t="s">
        <v>1580</v>
      </c>
    </row>
    <row r="599" spans="1:23" ht="13" customHeight="1" x14ac:dyDescent="0.35">
      <c r="A599" s="11">
        <v>593</v>
      </c>
      <c r="B599" s="47">
        <v>203737198</v>
      </c>
      <c r="C599" s="94" t="s">
        <v>626</v>
      </c>
      <c r="D599" s="11" t="s">
        <v>627</v>
      </c>
      <c r="E599" s="48" t="s">
        <v>31</v>
      </c>
      <c r="F599" s="48" t="s">
        <v>74</v>
      </c>
      <c r="G599" s="11" t="s">
        <v>64</v>
      </c>
      <c r="H599" s="11" t="s">
        <v>75</v>
      </c>
      <c r="I599" s="11">
        <v>1299</v>
      </c>
      <c r="J599" s="49" t="s">
        <v>39</v>
      </c>
      <c r="K599" s="49" t="s">
        <v>76</v>
      </c>
      <c r="L599" s="49" t="s">
        <v>78</v>
      </c>
      <c r="M599" s="49" t="s">
        <v>92</v>
      </c>
      <c r="N599" s="48" t="s">
        <v>86</v>
      </c>
      <c r="O599" s="49" t="s">
        <v>35</v>
      </c>
      <c r="P599" s="11" t="s">
        <v>80</v>
      </c>
      <c r="Q599" s="11" t="s">
        <v>90</v>
      </c>
      <c r="R599" s="11" t="s">
        <v>232</v>
      </c>
      <c r="S599" s="11" t="s">
        <v>1760</v>
      </c>
      <c r="T599" s="90" t="s">
        <v>1</v>
      </c>
      <c r="U599" s="91"/>
      <c r="V599" s="51">
        <v>45502</v>
      </c>
      <c r="W599" s="49" t="s">
        <v>1580</v>
      </c>
    </row>
    <row r="600" spans="1:23" ht="13" customHeight="1" x14ac:dyDescent="0.35">
      <c r="A600" s="11">
        <v>594</v>
      </c>
      <c r="B600" s="47">
        <v>203800379</v>
      </c>
      <c r="C600" s="94" t="s">
        <v>2694</v>
      </c>
      <c r="D600" s="11" t="s">
        <v>2695</v>
      </c>
      <c r="E600" s="48" t="s">
        <v>31</v>
      </c>
      <c r="F600" s="48" t="s">
        <v>74</v>
      </c>
      <c r="G600" s="11" t="s">
        <v>64</v>
      </c>
      <c r="H600" s="11" t="s">
        <v>75</v>
      </c>
      <c r="I600" s="11">
        <v>1299</v>
      </c>
      <c r="J600" s="49" t="s">
        <v>32</v>
      </c>
      <c r="K600" s="49" t="s">
        <v>76</v>
      </c>
      <c r="L600" s="49" t="s">
        <v>95</v>
      </c>
      <c r="M600" s="49" t="s">
        <v>77</v>
      </c>
      <c r="N600" s="48" t="s">
        <v>86</v>
      </c>
      <c r="O600" s="49" t="s">
        <v>35</v>
      </c>
      <c r="P600" s="11" t="s">
        <v>80</v>
      </c>
      <c r="Q600" s="11" t="s">
        <v>90</v>
      </c>
      <c r="R600" s="11" t="s">
        <v>232</v>
      </c>
      <c r="S600" s="11" t="s">
        <v>1760</v>
      </c>
      <c r="T600" s="90" t="s">
        <v>1</v>
      </c>
      <c r="U600" s="89"/>
      <c r="V600" s="51">
        <v>45516</v>
      </c>
      <c r="W600" s="49" t="s">
        <v>1580</v>
      </c>
    </row>
    <row r="601" spans="1:23" ht="13" customHeight="1" x14ac:dyDescent="0.35">
      <c r="A601" s="11">
        <v>595</v>
      </c>
      <c r="B601" s="47">
        <v>203521128</v>
      </c>
      <c r="C601" s="94" t="s">
        <v>2467</v>
      </c>
      <c r="D601" s="11" t="s">
        <v>2468</v>
      </c>
      <c r="E601" s="48" t="s">
        <v>34</v>
      </c>
      <c r="F601" s="48" t="s">
        <v>74</v>
      </c>
      <c r="G601" s="11" t="s">
        <v>64</v>
      </c>
      <c r="H601" s="11" t="s">
        <v>75</v>
      </c>
      <c r="I601" s="11">
        <v>1299</v>
      </c>
      <c r="J601" s="49" t="s">
        <v>32</v>
      </c>
      <c r="K601" s="49" t="s">
        <v>76</v>
      </c>
      <c r="L601" s="49" t="s">
        <v>85</v>
      </c>
      <c r="M601" s="49" t="s">
        <v>88</v>
      </c>
      <c r="N601" s="48" t="s">
        <v>97</v>
      </c>
      <c r="O601" s="49" t="s">
        <v>35</v>
      </c>
      <c r="P601" s="11" t="s">
        <v>80</v>
      </c>
      <c r="Q601" s="11" t="s">
        <v>98</v>
      </c>
      <c r="R601" s="11" t="s">
        <v>232</v>
      </c>
      <c r="S601" s="11" t="s">
        <v>1760</v>
      </c>
      <c r="T601" s="90" t="s">
        <v>10</v>
      </c>
      <c r="U601" s="91"/>
      <c r="V601" s="51">
        <v>45463</v>
      </c>
      <c r="W601" s="49" t="s">
        <v>1577</v>
      </c>
    </row>
    <row r="602" spans="1:23" ht="13" customHeight="1" x14ac:dyDescent="0.35">
      <c r="A602" s="11">
        <v>596</v>
      </c>
      <c r="B602" s="47">
        <v>206137330</v>
      </c>
      <c r="C602" s="94" t="s">
        <v>630</v>
      </c>
      <c r="D602" s="11" t="s">
        <v>631</v>
      </c>
      <c r="E602" s="48" t="s">
        <v>31</v>
      </c>
      <c r="F602" s="48" t="s">
        <v>74</v>
      </c>
      <c r="G602" s="11" t="s">
        <v>64</v>
      </c>
      <c r="H602" s="11" t="s">
        <v>75</v>
      </c>
      <c r="I602" s="11">
        <v>1299</v>
      </c>
      <c r="J602" s="49" t="s">
        <v>39</v>
      </c>
      <c r="K602" s="49" t="s">
        <v>76</v>
      </c>
      <c r="L602" s="49" t="s">
        <v>88</v>
      </c>
      <c r="M602" s="49" t="s">
        <v>95</v>
      </c>
      <c r="N602" s="49" t="s">
        <v>89</v>
      </c>
      <c r="O602" s="49" t="s">
        <v>37</v>
      </c>
      <c r="P602" s="11" t="s">
        <v>80</v>
      </c>
      <c r="Q602" s="11" t="s">
        <v>81</v>
      </c>
      <c r="R602" s="11" t="s">
        <v>632</v>
      </c>
      <c r="S602" s="11" t="s">
        <v>633</v>
      </c>
      <c r="T602" s="90" t="s">
        <v>10</v>
      </c>
      <c r="U602" s="90"/>
      <c r="V602" s="51">
        <v>45929</v>
      </c>
      <c r="W602" s="49" t="s">
        <v>1584</v>
      </c>
    </row>
    <row r="603" spans="1:23" ht="13" customHeight="1" x14ac:dyDescent="0.35">
      <c r="A603" s="11">
        <v>597</v>
      </c>
      <c r="B603" s="47">
        <v>205256720</v>
      </c>
      <c r="C603" s="94" t="s">
        <v>2143</v>
      </c>
      <c r="D603" s="11" t="s">
        <v>2144</v>
      </c>
      <c r="E603" s="112" t="s">
        <v>31</v>
      </c>
      <c r="F603" s="48" t="s">
        <v>74</v>
      </c>
      <c r="G603" s="11" t="s">
        <v>64</v>
      </c>
      <c r="H603" s="11" t="s">
        <v>75</v>
      </c>
      <c r="I603" s="11">
        <v>1299</v>
      </c>
      <c r="J603" s="49" t="s">
        <v>2486</v>
      </c>
      <c r="K603" s="49" t="s">
        <v>76</v>
      </c>
      <c r="L603" s="49" t="s">
        <v>78</v>
      </c>
      <c r="M603" s="49" t="s">
        <v>92</v>
      </c>
      <c r="N603" s="49" t="s">
        <v>79</v>
      </c>
      <c r="O603" s="49" t="s">
        <v>37</v>
      </c>
      <c r="P603" s="49" t="s">
        <v>80</v>
      </c>
      <c r="Q603" s="49" t="s">
        <v>96</v>
      </c>
      <c r="R603" s="49" t="s">
        <v>648</v>
      </c>
      <c r="S603" s="49" t="s">
        <v>1805</v>
      </c>
      <c r="T603" s="90" t="s">
        <v>1</v>
      </c>
      <c r="U603" s="89"/>
      <c r="V603" s="51">
        <v>46048</v>
      </c>
      <c r="W603" s="49" t="s">
        <v>1584</v>
      </c>
    </row>
    <row r="604" spans="1:23" ht="13" customHeight="1" x14ac:dyDescent="0.35">
      <c r="A604" s="11">
        <v>598</v>
      </c>
      <c r="B604" s="47">
        <v>200061207</v>
      </c>
      <c r="C604" s="94" t="s">
        <v>634</v>
      </c>
      <c r="D604" s="11" t="s">
        <v>635</v>
      </c>
      <c r="E604" s="48" t="s">
        <v>31</v>
      </c>
      <c r="F604" s="48" t="s">
        <v>74</v>
      </c>
      <c r="G604" s="11" t="s">
        <v>64</v>
      </c>
      <c r="H604" s="11" t="s">
        <v>75</v>
      </c>
      <c r="I604" s="11">
        <v>1299</v>
      </c>
      <c r="J604" s="49" t="s">
        <v>39</v>
      </c>
      <c r="K604" s="49" t="s">
        <v>76</v>
      </c>
      <c r="L604" s="49" t="s">
        <v>78</v>
      </c>
      <c r="M604" s="49" t="s">
        <v>92</v>
      </c>
      <c r="N604" s="48" t="s">
        <v>79</v>
      </c>
      <c r="O604" s="49" t="s">
        <v>37</v>
      </c>
      <c r="P604" s="11" t="s">
        <v>80</v>
      </c>
      <c r="Q604" s="11" t="s">
        <v>81</v>
      </c>
      <c r="R604" s="11" t="s">
        <v>632</v>
      </c>
      <c r="S604" s="11" t="s">
        <v>633</v>
      </c>
      <c r="T604" s="90" t="s">
        <v>1</v>
      </c>
      <c r="U604" s="89"/>
      <c r="V604" s="51">
        <v>45537</v>
      </c>
      <c r="W604" s="49" t="s">
        <v>1585</v>
      </c>
    </row>
    <row r="605" spans="1:23" ht="13" customHeight="1" x14ac:dyDescent="0.35">
      <c r="A605" s="11">
        <v>599</v>
      </c>
      <c r="B605" s="47">
        <v>204117189</v>
      </c>
      <c r="C605" s="94" t="s">
        <v>636</v>
      </c>
      <c r="D605" s="11" t="s">
        <v>637</v>
      </c>
      <c r="E605" s="48" t="s">
        <v>31</v>
      </c>
      <c r="F605" s="48" t="s">
        <v>74</v>
      </c>
      <c r="G605" s="11" t="s">
        <v>64</v>
      </c>
      <c r="H605" s="11" t="s">
        <v>75</v>
      </c>
      <c r="I605" s="11">
        <v>1299</v>
      </c>
      <c r="J605" s="49" t="s">
        <v>39</v>
      </c>
      <c r="K605" s="49" t="s">
        <v>76</v>
      </c>
      <c r="L605" s="49" t="s">
        <v>95</v>
      </c>
      <c r="M605" s="49" t="s">
        <v>77</v>
      </c>
      <c r="N605" s="48" t="s">
        <v>86</v>
      </c>
      <c r="O605" s="49" t="s">
        <v>37</v>
      </c>
      <c r="P605" s="11" t="s">
        <v>80</v>
      </c>
      <c r="Q605" s="11" t="s">
        <v>87</v>
      </c>
      <c r="R605" s="49" t="s">
        <v>628</v>
      </c>
      <c r="S605" s="11" t="s">
        <v>629</v>
      </c>
      <c r="T605" s="90" t="s">
        <v>7</v>
      </c>
      <c r="U605" s="90" t="s">
        <v>2914</v>
      </c>
      <c r="V605" s="51">
        <v>45561</v>
      </c>
      <c r="W605" s="49" t="s">
        <v>1584</v>
      </c>
    </row>
    <row r="606" spans="1:23" ht="13" customHeight="1" x14ac:dyDescent="0.35">
      <c r="A606" s="11">
        <v>600</v>
      </c>
      <c r="B606" s="47">
        <v>204172240</v>
      </c>
      <c r="C606" s="94" t="s">
        <v>2357</v>
      </c>
      <c r="D606" s="11" t="s">
        <v>2358</v>
      </c>
      <c r="E606" s="48" t="s">
        <v>31</v>
      </c>
      <c r="F606" s="48" t="s">
        <v>74</v>
      </c>
      <c r="G606" s="11" t="s">
        <v>64</v>
      </c>
      <c r="H606" s="11" t="s">
        <v>75</v>
      </c>
      <c r="I606" s="11">
        <v>1299</v>
      </c>
      <c r="J606" s="49" t="s">
        <v>39</v>
      </c>
      <c r="K606" s="49" t="s">
        <v>76</v>
      </c>
      <c r="L606" s="49" t="s">
        <v>85</v>
      </c>
      <c r="M606" s="49" t="s">
        <v>88</v>
      </c>
      <c r="N606" s="48" t="s">
        <v>86</v>
      </c>
      <c r="O606" s="49" t="s">
        <v>37</v>
      </c>
      <c r="P606" s="11" t="s">
        <v>80</v>
      </c>
      <c r="Q606" s="11" t="s">
        <v>90</v>
      </c>
      <c r="R606" s="11" t="s">
        <v>1069</v>
      </c>
      <c r="S606" s="11" t="s">
        <v>2733</v>
      </c>
      <c r="T606" s="90" t="s">
        <v>10</v>
      </c>
      <c r="U606" s="90"/>
      <c r="V606" s="51">
        <v>45568</v>
      </c>
      <c r="W606" s="49" t="s">
        <v>1585</v>
      </c>
    </row>
    <row r="607" spans="1:23" ht="13" customHeight="1" x14ac:dyDescent="0.35">
      <c r="A607" s="11">
        <v>601</v>
      </c>
      <c r="B607" s="47">
        <v>206129609</v>
      </c>
      <c r="C607" s="94" t="s">
        <v>638</v>
      </c>
      <c r="D607" s="11" t="s">
        <v>639</v>
      </c>
      <c r="E607" s="48" t="s">
        <v>31</v>
      </c>
      <c r="F607" s="48" t="s">
        <v>74</v>
      </c>
      <c r="G607" s="11" t="s">
        <v>64</v>
      </c>
      <c r="H607" s="11" t="s">
        <v>75</v>
      </c>
      <c r="I607" s="11">
        <v>1299</v>
      </c>
      <c r="J607" s="49" t="s">
        <v>32</v>
      </c>
      <c r="K607" s="49" t="s">
        <v>76</v>
      </c>
      <c r="L607" s="49" t="s">
        <v>36</v>
      </c>
      <c r="M607" s="49" t="s">
        <v>95</v>
      </c>
      <c r="N607" s="48" t="s">
        <v>79</v>
      </c>
      <c r="O607" s="49" t="s">
        <v>37</v>
      </c>
      <c r="P607" s="11" t="s">
        <v>80</v>
      </c>
      <c r="Q607" s="11" t="s">
        <v>81</v>
      </c>
      <c r="R607" s="11" t="s">
        <v>2865</v>
      </c>
      <c r="S607" s="11" t="s">
        <v>2866</v>
      </c>
      <c r="T607" s="90" t="s">
        <v>1</v>
      </c>
      <c r="U607" s="90" t="s">
        <v>2919</v>
      </c>
      <c r="V607" s="51">
        <v>45929</v>
      </c>
      <c r="W607" s="49" t="s">
        <v>1584</v>
      </c>
    </row>
    <row r="608" spans="1:23" ht="13" customHeight="1" x14ac:dyDescent="0.35">
      <c r="A608" s="11">
        <v>602</v>
      </c>
      <c r="B608" s="47">
        <v>203908320</v>
      </c>
      <c r="C608" s="94" t="s">
        <v>2380</v>
      </c>
      <c r="D608" s="11" t="s">
        <v>2381</v>
      </c>
      <c r="E608" s="48" t="s">
        <v>31</v>
      </c>
      <c r="F608" s="48" t="s">
        <v>74</v>
      </c>
      <c r="G608" s="11" t="s">
        <v>64</v>
      </c>
      <c r="H608" s="11" t="s">
        <v>75</v>
      </c>
      <c r="I608" s="11">
        <v>1299</v>
      </c>
      <c r="J608" s="49" t="s">
        <v>39</v>
      </c>
      <c r="K608" s="49" t="s">
        <v>76</v>
      </c>
      <c r="L608" s="49" t="s">
        <v>92</v>
      </c>
      <c r="M608" s="49" t="s">
        <v>84</v>
      </c>
      <c r="N608" s="48" t="s">
        <v>86</v>
      </c>
      <c r="O608" s="49" t="s">
        <v>37</v>
      </c>
      <c r="P608" s="11" t="s">
        <v>80</v>
      </c>
      <c r="Q608" s="11" t="s">
        <v>90</v>
      </c>
      <c r="R608" s="49" t="s">
        <v>648</v>
      </c>
      <c r="S608" s="11" t="s">
        <v>1805</v>
      </c>
      <c r="T608" s="90" t="s">
        <v>1</v>
      </c>
      <c r="U608" s="91"/>
      <c r="V608" s="51">
        <v>45537</v>
      </c>
      <c r="W608" s="49" t="s">
        <v>1584</v>
      </c>
    </row>
    <row r="609" spans="1:23" ht="13" customHeight="1" x14ac:dyDescent="0.35">
      <c r="A609" s="11">
        <v>603</v>
      </c>
      <c r="B609" s="47">
        <v>206137331</v>
      </c>
      <c r="C609" s="94" t="s">
        <v>641</v>
      </c>
      <c r="D609" s="11" t="s">
        <v>642</v>
      </c>
      <c r="E609" s="48" t="s">
        <v>31</v>
      </c>
      <c r="F609" s="48" t="s">
        <v>74</v>
      </c>
      <c r="G609" s="11" t="s">
        <v>64</v>
      </c>
      <c r="H609" s="11" t="s">
        <v>75</v>
      </c>
      <c r="I609" s="11">
        <v>1299</v>
      </c>
      <c r="J609" s="49" t="s">
        <v>39</v>
      </c>
      <c r="K609" s="49" t="s">
        <v>76</v>
      </c>
      <c r="L609" s="49" t="s">
        <v>95</v>
      </c>
      <c r="M609" s="49" t="s">
        <v>77</v>
      </c>
      <c r="N609" s="48" t="s">
        <v>79</v>
      </c>
      <c r="O609" s="49" t="s">
        <v>37</v>
      </c>
      <c r="P609" s="11" t="s">
        <v>80</v>
      </c>
      <c r="Q609" s="11" t="s">
        <v>81</v>
      </c>
      <c r="R609" s="11" t="s">
        <v>632</v>
      </c>
      <c r="S609" s="11" t="s">
        <v>633</v>
      </c>
      <c r="T609" s="90" t="s">
        <v>1</v>
      </c>
      <c r="U609" s="90"/>
      <c r="V609" s="51">
        <v>45929</v>
      </c>
      <c r="W609" s="49" t="s">
        <v>1584</v>
      </c>
    </row>
    <row r="610" spans="1:23" ht="13" customHeight="1" x14ac:dyDescent="0.35">
      <c r="A610" s="11">
        <v>604</v>
      </c>
      <c r="B610" s="47">
        <v>204373723</v>
      </c>
      <c r="C610" s="94" t="s">
        <v>644</v>
      </c>
      <c r="D610" s="11" t="s">
        <v>645</v>
      </c>
      <c r="E610" s="48" t="s">
        <v>31</v>
      </c>
      <c r="F610" s="48" t="s">
        <v>74</v>
      </c>
      <c r="G610" s="11" t="s">
        <v>64</v>
      </c>
      <c r="H610" s="11" t="s">
        <v>75</v>
      </c>
      <c r="I610" s="11">
        <v>1299</v>
      </c>
      <c r="J610" s="49" t="s">
        <v>39</v>
      </c>
      <c r="K610" s="49" t="s">
        <v>76</v>
      </c>
      <c r="L610" s="49" t="s">
        <v>88</v>
      </c>
      <c r="M610" s="49" t="s">
        <v>95</v>
      </c>
      <c r="N610" s="48" t="s">
        <v>86</v>
      </c>
      <c r="O610" s="49" t="s">
        <v>37</v>
      </c>
      <c r="P610" s="11" t="s">
        <v>80</v>
      </c>
      <c r="Q610" s="11" t="s">
        <v>99</v>
      </c>
      <c r="R610" s="49" t="s">
        <v>648</v>
      </c>
      <c r="S610" s="11" t="s">
        <v>1805</v>
      </c>
      <c r="T610" s="90" t="s">
        <v>10</v>
      </c>
      <c r="U610" s="91"/>
      <c r="V610" s="51">
        <v>45593</v>
      </c>
      <c r="W610" s="49" t="s">
        <v>1584</v>
      </c>
    </row>
    <row r="611" spans="1:23" ht="13" customHeight="1" x14ac:dyDescent="0.35">
      <c r="A611" s="11">
        <v>605</v>
      </c>
      <c r="B611" s="47">
        <v>206239522</v>
      </c>
      <c r="C611" s="94" t="s">
        <v>2382</v>
      </c>
      <c r="D611" s="11" t="s">
        <v>2383</v>
      </c>
      <c r="E611" s="48" t="s">
        <v>31</v>
      </c>
      <c r="F611" s="48" t="s">
        <v>74</v>
      </c>
      <c r="G611" s="11" t="s">
        <v>64</v>
      </c>
      <c r="H611" s="11" t="s">
        <v>75</v>
      </c>
      <c r="I611" s="11">
        <v>1299</v>
      </c>
      <c r="J611" s="49" t="s">
        <v>39</v>
      </c>
      <c r="K611" s="49" t="s">
        <v>76</v>
      </c>
      <c r="L611" s="49" t="s">
        <v>85</v>
      </c>
      <c r="M611" s="49" t="s">
        <v>88</v>
      </c>
      <c r="N611" s="49" t="s">
        <v>89</v>
      </c>
      <c r="O611" s="49" t="s">
        <v>37</v>
      </c>
      <c r="P611" s="11" t="s">
        <v>80</v>
      </c>
      <c r="Q611" s="11" t="s">
        <v>90</v>
      </c>
      <c r="R611" s="11" t="s">
        <v>632</v>
      </c>
      <c r="S611" s="11" t="s">
        <v>633</v>
      </c>
      <c r="T611" s="90" t="s">
        <v>10</v>
      </c>
      <c r="U611" s="90"/>
      <c r="V611" s="51">
        <v>45943</v>
      </c>
      <c r="W611" s="49" t="s">
        <v>1585</v>
      </c>
    </row>
    <row r="612" spans="1:23" ht="13" customHeight="1" x14ac:dyDescent="0.35">
      <c r="A612" s="11">
        <v>606</v>
      </c>
      <c r="B612" s="47">
        <v>203965455</v>
      </c>
      <c r="C612" s="94" t="s">
        <v>646</v>
      </c>
      <c r="D612" s="11" t="s">
        <v>647</v>
      </c>
      <c r="E612" s="48" t="s">
        <v>31</v>
      </c>
      <c r="F612" s="48" t="s">
        <v>74</v>
      </c>
      <c r="G612" s="11" t="s">
        <v>64</v>
      </c>
      <c r="H612" s="11" t="s">
        <v>75</v>
      </c>
      <c r="I612" s="11">
        <v>1299</v>
      </c>
      <c r="J612" s="49" t="s">
        <v>39</v>
      </c>
      <c r="K612" s="49" t="s">
        <v>76</v>
      </c>
      <c r="L612" s="49" t="s">
        <v>88</v>
      </c>
      <c r="M612" s="49" t="s">
        <v>95</v>
      </c>
      <c r="N612" s="48" t="s">
        <v>79</v>
      </c>
      <c r="O612" s="49" t="s">
        <v>37</v>
      </c>
      <c r="P612" s="11" t="s">
        <v>80</v>
      </c>
      <c r="Q612" s="11" t="s">
        <v>81</v>
      </c>
      <c r="R612" s="11" t="s">
        <v>1069</v>
      </c>
      <c r="S612" s="11" t="s">
        <v>2733</v>
      </c>
      <c r="T612" s="90" t="s">
        <v>10</v>
      </c>
      <c r="U612" s="89"/>
      <c r="V612" s="51">
        <v>45544</v>
      </c>
      <c r="W612" s="49" t="s">
        <v>1585</v>
      </c>
    </row>
    <row r="613" spans="1:23" ht="13" customHeight="1" x14ac:dyDescent="0.35">
      <c r="A613" s="11">
        <v>607</v>
      </c>
      <c r="B613" s="47">
        <v>203468743</v>
      </c>
      <c r="C613" s="94" t="s">
        <v>649</v>
      </c>
      <c r="D613" s="11" t="s">
        <v>650</v>
      </c>
      <c r="E613" s="48" t="s">
        <v>31</v>
      </c>
      <c r="F613" s="48" t="s">
        <v>74</v>
      </c>
      <c r="G613" s="11" t="s">
        <v>64</v>
      </c>
      <c r="H613" s="11" t="s">
        <v>75</v>
      </c>
      <c r="I613" s="11">
        <v>1299</v>
      </c>
      <c r="J613" s="49" t="s">
        <v>39</v>
      </c>
      <c r="K613" s="49" t="s">
        <v>76</v>
      </c>
      <c r="L613" s="49" t="s">
        <v>84</v>
      </c>
      <c r="M613" s="49" t="s">
        <v>85</v>
      </c>
      <c r="N613" s="48" t="s">
        <v>79</v>
      </c>
      <c r="O613" s="49" t="s">
        <v>37</v>
      </c>
      <c r="P613" s="11" t="s">
        <v>80</v>
      </c>
      <c r="Q613" s="11" t="s">
        <v>81</v>
      </c>
      <c r="R613" s="49" t="s">
        <v>628</v>
      </c>
      <c r="S613" s="11" t="s">
        <v>629</v>
      </c>
      <c r="T613" s="90" t="s">
        <v>1</v>
      </c>
      <c r="U613" s="90"/>
      <c r="V613" s="51">
        <v>45456</v>
      </c>
      <c r="W613" s="49" t="s">
        <v>1586</v>
      </c>
    </row>
    <row r="614" spans="1:23" ht="13" customHeight="1" x14ac:dyDescent="0.35">
      <c r="A614" s="11">
        <v>608</v>
      </c>
      <c r="B614" s="47">
        <v>203908861</v>
      </c>
      <c r="C614" s="94" t="s">
        <v>2384</v>
      </c>
      <c r="D614" s="11" t="s">
        <v>2385</v>
      </c>
      <c r="E614" s="48" t="s">
        <v>31</v>
      </c>
      <c r="F614" s="48" t="s">
        <v>74</v>
      </c>
      <c r="G614" s="11" t="s">
        <v>64</v>
      </c>
      <c r="H614" s="11" t="s">
        <v>75</v>
      </c>
      <c r="I614" s="11">
        <v>1299</v>
      </c>
      <c r="J614" s="49" t="s">
        <v>32</v>
      </c>
      <c r="K614" s="49" t="s">
        <v>76</v>
      </c>
      <c r="L614" s="49" t="s">
        <v>88</v>
      </c>
      <c r="M614" s="49" t="s">
        <v>95</v>
      </c>
      <c r="N614" s="48" t="s">
        <v>86</v>
      </c>
      <c r="O614" s="49" t="s">
        <v>37</v>
      </c>
      <c r="P614" s="11" t="s">
        <v>80</v>
      </c>
      <c r="Q614" s="11" t="s">
        <v>90</v>
      </c>
      <c r="R614" s="11" t="s">
        <v>2865</v>
      </c>
      <c r="S614" s="11" t="s">
        <v>2866</v>
      </c>
      <c r="T614" s="90" t="s">
        <v>10</v>
      </c>
      <c r="U614" s="91"/>
      <c r="V614" s="51">
        <v>45537</v>
      </c>
      <c r="W614" s="49" t="s">
        <v>1585</v>
      </c>
    </row>
    <row r="615" spans="1:23" ht="13" customHeight="1" x14ac:dyDescent="0.35">
      <c r="A615" s="11">
        <v>609</v>
      </c>
      <c r="B615" s="97">
        <v>204946685</v>
      </c>
      <c r="C615" s="47" t="s">
        <v>2751</v>
      </c>
      <c r="D615" s="94" t="s">
        <v>2752</v>
      </c>
      <c r="E615" s="48" t="s">
        <v>31</v>
      </c>
      <c r="F615" s="48" t="s">
        <v>74</v>
      </c>
      <c r="G615" s="11" t="s">
        <v>64</v>
      </c>
      <c r="H615" s="11" t="s">
        <v>75</v>
      </c>
      <c r="I615" s="11">
        <v>1299</v>
      </c>
      <c r="J615" s="49" t="s">
        <v>32</v>
      </c>
      <c r="K615" s="49" t="s">
        <v>76</v>
      </c>
      <c r="L615" s="49" t="s">
        <v>92</v>
      </c>
      <c r="M615" s="49" t="s">
        <v>84</v>
      </c>
      <c r="N615" s="49" t="s">
        <v>89</v>
      </c>
      <c r="O615" s="49" t="s">
        <v>37</v>
      </c>
      <c r="P615" s="11" t="s">
        <v>80</v>
      </c>
      <c r="Q615" s="11" t="s">
        <v>90</v>
      </c>
      <c r="R615" s="11" t="s">
        <v>628</v>
      </c>
      <c r="S615" s="11" t="s">
        <v>629</v>
      </c>
      <c r="T615" s="90" t="s">
        <v>1</v>
      </c>
      <c r="U615" s="91"/>
      <c r="V615" s="51">
        <v>45719</v>
      </c>
      <c r="W615" s="49" t="s">
        <v>1586</v>
      </c>
    </row>
    <row r="616" spans="1:23" ht="13" customHeight="1" x14ac:dyDescent="0.35">
      <c r="A616" s="11">
        <v>610</v>
      </c>
      <c r="B616" s="47">
        <v>201502749</v>
      </c>
      <c r="C616" s="94" t="s">
        <v>651</v>
      </c>
      <c r="D616" s="11" t="s">
        <v>652</v>
      </c>
      <c r="E616" s="48" t="s">
        <v>31</v>
      </c>
      <c r="F616" s="48" t="s">
        <v>74</v>
      </c>
      <c r="G616" s="11" t="s">
        <v>64</v>
      </c>
      <c r="H616" s="11" t="s">
        <v>75</v>
      </c>
      <c r="I616" s="11">
        <v>1299</v>
      </c>
      <c r="J616" s="49" t="s">
        <v>32</v>
      </c>
      <c r="K616" s="49" t="s">
        <v>76</v>
      </c>
      <c r="L616" s="49" t="s">
        <v>77</v>
      </c>
      <c r="M616" s="49" t="s">
        <v>78</v>
      </c>
      <c r="N616" s="48" t="s">
        <v>86</v>
      </c>
      <c r="O616" s="49" t="s">
        <v>37</v>
      </c>
      <c r="P616" s="11" t="s">
        <v>80</v>
      </c>
      <c r="Q616" s="11" t="s">
        <v>87</v>
      </c>
      <c r="R616" s="49" t="s">
        <v>2735</v>
      </c>
      <c r="S616" s="11" t="s">
        <v>643</v>
      </c>
      <c r="T616" s="90" t="s">
        <v>7</v>
      </c>
      <c r="U616" s="90"/>
      <c r="V616" s="51">
        <v>45561</v>
      </c>
      <c r="W616" s="49" t="s">
        <v>1585</v>
      </c>
    </row>
    <row r="617" spans="1:23" ht="13" customHeight="1" x14ac:dyDescent="0.35">
      <c r="A617" s="11">
        <v>611</v>
      </c>
      <c r="B617" s="47">
        <v>206503618</v>
      </c>
      <c r="C617" s="94" t="s">
        <v>2198</v>
      </c>
      <c r="D617" s="11" t="s">
        <v>2199</v>
      </c>
      <c r="E617" s="48" t="s">
        <v>31</v>
      </c>
      <c r="F617" s="48" t="s">
        <v>74</v>
      </c>
      <c r="G617" s="11" t="s">
        <v>64</v>
      </c>
      <c r="H617" s="11" t="s">
        <v>75</v>
      </c>
      <c r="I617" s="11">
        <v>1299</v>
      </c>
      <c r="J617" s="88" t="s">
        <v>39</v>
      </c>
      <c r="K617" s="49" t="s">
        <v>76</v>
      </c>
      <c r="L617" s="49" t="s">
        <v>95</v>
      </c>
      <c r="M617" s="49" t="s">
        <v>77</v>
      </c>
      <c r="N617" s="49" t="s">
        <v>89</v>
      </c>
      <c r="O617" s="49" t="s">
        <v>37</v>
      </c>
      <c r="P617" s="11" t="s">
        <v>80</v>
      </c>
      <c r="Q617" s="11" t="s">
        <v>96</v>
      </c>
      <c r="R617" s="49" t="s">
        <v>648</v>
      </c>
      <c r="S617" s="11" t="s">
        <v>1805</v>
      </c>
      <c r="T617" s="90" t="s">
        <v>1</v>
      </c>
      <c r="U617" s="90"/>
      <c r="V617" s="51">
        <v>46048</v>
      </c>
      <c r="W617" s="49" t="s">
        <v>1584</v>
      </c>
    </row>
    <row r="618" spans="1:23" ht="13" customHeight="1" x14ac:dyDescent="0.35">
      <c r="A618" s="11">
        <v>612</v>
      </c>
      <c r="B618" s="11">
        <v>110804937</v>
      </c>
      <c r="C618" s="94" t="s">
        <v>1866</v>
      </c>
      <c r="D618" s="48" t="s">
        <v>1867</v>
      </c>
      <c r="E618" s="48" t="s">
        <v>34</v>
      </c>
      <c r="F618" s="48" t="s">
        <v>74</v>
      </c>
      <c r="G618" s="11" t="s">
        <v>64</v>
      </c>
      <c r="H618" s="11" t="s">
        <v>75</v>
      </c>
      <c r="I618" s="11">
        <v>1299</v>
      </c>
      <c r="J618" s="49" t="s">
        <v>39</v>
      </c>
      <c r="K618" s="49" t="s">
        <v>76</v>
      </c>
      <c r="L618" s="49" t="s">
        <v>85</v>
      </c>
      <c r="M618" s="49" t="s">
        <v>88</v>
      </c>
      <c r="N618" s="48" t="s">
        <v>97</v>
      </c>
      <c r="O618" s="49" t="s">
        <v>37</v>
      </c>
      <c r="P618" s="11" t="s">
        <v>80</v>
      </c>
      <c r="Q618" s="11" t="s">
        <v>98</v>
      </c>
      <c r="R618" s="11" t="s">
        <v>2864</v>
      </c>
      <c r="S618" s="11" t="s">
        <v>2732</v>
      </c>
      <c r="T618" s="90" t="s">
        <v>10</v>
      </c>
      <c r="U618" s="89"/>
      <c r="V618" s="51">
        <v>44800</v>
      </c>
      <c r="W618" s="49" t="s">
        <v>1588</v>
      </c>
    </row>
    <row r="619" spans="1:23" ht="13" customHeight="1" x14ac:dyDescent="0.35">
      <c r="A619" s="11">
        <v>613</v>
      </c>
      <c r="B619" s="97">
        <v>205236906</v>
      </c>
      <c r="C619" s="47" t="s">
        <v>2753</v>
      </c>
      <c r="D619" s="94" t="s">
        <v>2754</v>
      </c>
      <c r="E619" s="48" t="s">
        <v>31</v>
      </c>
      <c r="F619" s="48" t="s">
        <v>74</v>
      </c>
      <c r="G619" s="11" t="s">
        <v>64</v>
      </c>
      <c r="H619" s="11" t="s">
        <v>75</v>
      </c>
      <c r="I619" s="11">
        <v>1299</v>
      </c>
      <c r="J619" s="49" t="s">
        <v>32</v>
      </c>
      <c r="K619" s="49" t="s">
        <v>76</v>
      </c>
      <c r="L619" s="49" t="s">
        <v>95</v>
      </c>
      <c r="M619" s="49" t="s">
        <v>77</v>
      </c>
      <c r="N619" s="48" t="s">
        <v>86</v>
      </c>
      <c r="O619" s="49" t="s">
        <v>37</v>
      </c>
      <c r="P619" s="11" t="s">
        <v>80</v>
      </c>
      <c r="Q619" s="11" t="s">
        <v>90</v>
      </c>
      <c r="R619" s="11" t="s">
        <v>648</v>
      </c>
      <c r="S619" s="11" t="s">
        <v>2755</v>
      </c>
      <c r="T619" s="90" t="s">
        <v>1</v>
      </c>
      <c r="U619" s="89"/>
      <c r="V619" s="51">
        <v>45789</v>
      </c>
      <c r="W619" s="49" t="s">
        <v>1584</v>
      </c>
    </row>
    <row r="620" spans="1:23" ht="13" customHeight="1" x14ac:dyDescent="0.35">
      <c r="A620" s="11">
        <v>614</v>
      </c>
      <c r="B620" s="47">
        <v>204299070</v>
      </c>
      <c r="C620" s="94" t="s">
        <v>653</v>
      </c>
      <c r="D620" s="11" t="s">
        <v>654</v>
      </c>
      <c r="E620" s="48" t="s">
        <v>31</v>
      </c>
      <c r="F620" s="48" t="s">
        <v>74</v>
      </c>
      <c r="G620" s="11" t="s">
        <v>64</v>
      </c>
      <c r="H620" s="11" t="s">
        <v>75</v>
      </c>
      <c r="I620" s="11">
        <v>1299</v>
      </c>
      <c r="J620" s="49" t="s">
        <v>39</v>
      </c>
      <c r="K620" s="49" t="s">
        <v>76</v>
      </c>
      <c r="L620" s="49" t="s">
        <v>84</v>
      </c>
      <c r="M620" s="49" t="s">
        <v>85</v>
      </c>
      <c r="N620" s="48" t="s">
        <v>86</v>
      </c>
      <c r="O620" s="49" t="s">
        <v>37</v>
      </c>
      <c r="P620" s="11" t="s">
        <v>80</v>
      </c>
      <c r="Q620" s="11" t="s">
        <v>87</v>
      </c>
      <c r="R620" s="11" t="s">
        <v>632</v>
      </c>
      <c r="S620" s="11" t="s">
        <v>633</v>
      </c>
      <c r="T620" s="90" t="s">
        <v>1</v>
      </c>
      <c r="U620" s="91"/>
      <c r="V620" s="51">
        <v>45586</v>
      </c>
      <c r="W620" s="49" t="s">
        <v>1585</v>
      </c>
    </row>
    <row r="621" spans="1:23" ht="13" customHeight="1" x14ac:dyDescent="0.35">
      <c r="A621" s="11">
        <v>615</v>
      </c>
      <c r="B621" s="47">
        <v>203522193</v>
      </c>
      <c r="C621" s="94" t="s">
        <v>655</v>
      </c>
      <c r="D621" s="11" t="s">
        <v>656</v>
      </c>
      <c r="E621" s="48" t="s">
        <v>31</v>
      </c>
      <c r="F621" s="48" t="s">
        <v>74</v>
      </c>
      <c r="G621" s="11" t="s">
        <v>64</v>
      </c>
      <c r="H621" s="11" t="s">
        <v>75</v>
      </c>
      <c r="I621" s="11">
        <v>1299</v>
      </c>
      <c r="J621" s="49" t="s">
        <v>39</v>
      </c>
      <c r="K621" s="49" t="s">
        <v>76</v>
      </c>
      <c r="L621" s="49" t="s">
        <v>85</v>
      </c>
      <c r="M621" s="49" t="s">
        <v>88</v>
      </c>
      <c r="N621" s="48" t="s">
        <v>86</v>
      </c>
      <c r="O621" s="49" t="s">
        <v>37</v>
      </c>
      <c r="P621" s="11" t="s">
        <v>80</v>
      </c>
      <c r="Q621" s="11" t="s">
        <v>99</v>
      </c>
      <c r="R621" s="49" t="s">
        <v>628</v>
      </c>
      <c r="S621" s="11" t="s">
        <v>629</v>
      </c>
      <c r="T621" s="90" t="s">
        <v>10</v>
      </c>
      <c r="U621" s="90"/>
      <c r="V621" s="51">
        <v>45463</v>
      </c>
      <c r="W621" s="49" t="s">
        <v>1586</v>
      </c>
    </row>
    <row r="622" spans="1:23" ht="13" customHeight="1" x14ac:dyDescent="0.35">
      <c r="A622" s="11">
        <v>616</v>
      </c>
      <c r="B622" s="47">
        <v>203851103</v>
      </c>
      <c r="C622" s="94" t="s">
        <v>657</v>
      </c>
      <c r="D622" s="11" t="s">
        <v>658</v>
      </c>
      <c r="E622" s="48" t="s">
        <v>31</v>
      </c>
      <c r="F622" s="48" t="s">
        <v>74</v>
      </c>
      <c r="G622" s="11" t="s">
        <v>64</v>
      </c>
      <c r="H622" s="11" t="s">
        <v>75</v>
      </c>
      <c r="I622" s="11">
        <v>1299</v>
      </c>
      <c r="J622" s="49" t="s">
        <v>32</v>
      </c>
      <c r="K622" s="49" t="s">
        <v>76</v>
      </c>
      <c r="L622" s="49" t="s">
        <v>84</v>
      </c>
      <c r="M622" s="49" t="s">
        <v>85</v>
      </c>
      <c r="N622" s="48" t="s">
        <v>79</v>
      </c>
      <c r="O622" s="49" t="s">
        <v>37</v>
      </c>
      <c r="P622" s="11" t="s">
        <v>80</v>
      </c>
      <c r="Q622" s="11" t="s">
        <v>81</v>
      </c>
      <c r="R622" s="49" t="s">
        <v>648</v>
      </c>
      <c r="S622" s="11" t="s">
        <v>1805</v>
      </c>
      <c r="T622" s="90" t="s">
        <v>1</v>
      </c>
      <c r="U622" s="90"/>
      <c r="V622" s="51">
        <v>45524</v>
      </c>
      <c r="W622" s="49" t="s">
        <v>1586</v>
      </c>
    </row>
    <row r="623" spans="1:23" ht="13" customHeight="1" x14ac:dyDescent="0.35">
      <c r="A623" s="11">
        <v>617</v>
      </c>
      <c r="B623" s="47">
        <v>206850851</v>
      </c>
      <c r="C623" s="94" t="s">
        <v>2386</v>
      </c>
      <c r="D623" s="47" t="s">
        <v>2387</v>
      </c>
      <c r="E623" s="47" t="s">
        <v>31</v>
      </c>
      <c r="F623" s="48" t="s">
        <v>74</v>
      </c>
      <c r="G623" s="11" t="s">
        <v>64</v>
      </c>
      <c r="H623" s="11" t="s">
        <v>75</v>
      </c>
      <c r="I623" s="47">
        <v>1299</v>
      </c>
      <c r="J623" s="49" t="s">
        <v>32</v>
      </c>
      <c r="K623" s="49" t="s">
        <v>76</v>
      </c>
      <c r="L623" s="49" t="s">
        <v>84</v>
      </c>
      <c r="M623" s="49" t="s">
        <v>85</v>
      </c>
      <c r="N623" s="49" t="s">
        <v>89</v>
      </c>
      <c r="O623" s="49" t="s">
        <v>37</v>
      </c>
      <c r="P623" s="11" t="s">
        <v>80</v>
      </c>
      <c r="Q623" s="47" t="s">
        <v>90</v>
      </c>
      <c r="R623" s="49" t="s">
        <v>648</v>
      </c>
      <c r="S623" s="47" t="s">
        <v>1805</v>
      </c>
      <c r="T623" s="90" t="s">
        <v>1</v>
      </c>
      <c r="U623" s="90"/>
      <c r="V623" s="51">
        <v>46013</v>
      </c>
      <c r="W623" s="49" t="s">
        <v>1584</v>
      </c>
    </row>
    <row r="624" spans="1:23" ht="13" customHeight="1" x14ac:dyDescent="0.35">
      <c r="A624" s="11">
        <v>618</v>
      </c>
      <c r="B624" s="47">
        <v>203965006</v>
      </c>
      <c r="C624" s="94" t="s">
        <v>659</v>
      </c>
      <c r="D624" s="11" t="s">
        <v>660</v>
      </c>
      <c r="E624" s="48" t="s">
        <v>31</v>
      </c>
      <c r="F624" s="48" t="s">
        <v>74</v>
      </c>
      <c r="G624" s="11" t="s">
        <v>64</v>
      </c>
      <c r="H624" s="11" t="s">
        <v>75</v>
      </c>
      <c r="I624" s="11">
        <v>1299</v>
      </c>
      <c r="J624" s="49" t="s">
        <v>39</v>
      </c>
      <c r="K624" s="49" t="s">
        <v>76</v>
      </c>
      <c r="L624" s="49" t="s">
        <v>92</v>
      </c>
      <c r="M624" s="49" t="s">
        <v>84</v>
      </c>
      <c r="N624" s="48" t="s">
        <v>86</v>
      </c>
      <c r="O624" s="49" t="s">
        <v>37</v>
      </c>
      <c r="P624" s="11" t="s">
        <v>80</v>
      </c>
      <c r="Q624" s="11" t="s">
        <v>99</v>
      </c>
      <c r="R624" s="49" t="s">
        <v>628</v>
      </c>
      <c r="S624" s="11" t="s">
        <v>629</v>
      </c>
      <c r="T624" s="90" t="s">
        <v>1</v>
      </c>
      <c r="U624" s="91"/>
      <c r="V624" s="51">
        <v>45544</v>
      </c>
      <c r="W624" s="49" t="s">
        <v>1584</v>
      </c>
    </row>
    <row r="625" spans="1:23" ht="13" customHeight="1" x14ac:dyDescent="0.35">
      <c r="A625" s="11">
        <v>619</v>
      </c>
      <c r="B625" s="97">
        <v>204864796</v>
      </c>
      <c r="C625" s="47" t="s">
        <v>2756</v>
      </c>
      <c r="D625" s="94" t="s">
        <v>2757</v>
      </c>
      <c r="E625" s="48" t="s">
        <v>31</v>
      </c>
      <c r="F625" s="48" t="s">
        <v>74</v>
      </c>
      <c r="G625" s="11" t="s">
        <v>64</v>
      </c>
      <c r="H625" s="11" t="s">
        <v>75</v>
      </c>
      <c r="I625" s="11">
        <v>1299</v>
      </c>
      <c r="J625" s="49" t="s">
        <v>32</v>
      </c>
      <c r="K625" s="49" t="s">
        <v>76</v>
      </c>
      <c r="L625" s="49" t="s">
        <v>84</v>
      </c>
      <c r="M625" s="49" t="s">
        <v>85</v>
      </c>
      <c r="N625" s="48" t="s">
        <v>2758</v>
      </c>
      <c r="O625" s="49" t="s">
        <v>37</v>
      </c>
      <c r="P625" s="11" t="s">
        <v>80</v>
      </c>
      <c r="Q625" s="11" t="s">
        <v>90</v>
      </c>
      <c r="R625" s="11" t="s">
        <v>2865</v>
      </c>
      <c r="S625" s="11" t="s">
        <v>2866</v>
      </c>
      <c r="T625" s="90" t="s">
        <v>1</v>
      </c>
      <c r="U625" s="90"/>
      <c r="V625" s="51">
        <v>45789</v>
      </c>
      <c r="W625" s="49" t="s">
        <v>1584</v>
      </c>
    </row>
    <row r="626" spans="1:23" ht="13" customHeight="1" x14ac:dyDescent="0.35">
      <c r="A626" s="11">
        <v>620</v>
      </c>
      <c r="B626" s="47">
        <v>203477173</v>
      </c>
      <c r="C626" s="94" t="s">
        <v>661</v>
      </c>
      <c r="D626" s="11" t="s">
        <v>662</v>
      </c>
      <c r="E626" s="48" t="s">
        <v>31</v>
      </c>
      <c r="F626" s="48" t="s">
        <v>74</v>
      </c>
      <c r="G626" s="11" t="s">
        <v>64</v>
      </c>
      <c r="H626" s="11" t="s">
        <v>75</v>
      </c>
      <c r="I626" s="11">
        <v>1299</v>
      </c>
      <c r="J626" s="49" t="s">
        <v>39</v>
      </c>
      <c r="K626" s="49" t="s">
        <v>76</v>
      </c>
      <c r="L626" s="49" t="s">
        <v>92</v>
      </c>
      <c r="M626" s="49" t="s">
        <v>84</v>
      </c>
      <c r="N626" s="48" t="s">
        <v>86</v>
      </c>
      <c r="O626" s="49" t="s">
        <v>37</v>
      </c>
      <c r="P626" s="11" t="s">
        <v>80</v>
      </c>
      <c r="Q626" s="11" t="s">
        <v>99</v>
      </c>
      <c r="R626" s="49" t="s">
        <v>628</v>
      </c>
      <c r="S626" s="11" t="s">
        <v>629</v>
      </c>
      <c r="T626" s="90" t="s">
        <v>1</v>
      </c>
      <c r="U626" s="89"/>
      <c r="V626" s="51">
        <v>45456</v>
      </c>
      <c r="W626" s="49" t="s">
        <v>1586</v>
      </c>
    </row>
    <row r="627" spans="1:23" ht="13" customHeight="1" x14ac:dyDescent="0.35">
      <c r="A627" s="11">
        <v>621</v>
      </c>
      <c r="B627" s="47">
        <v>206915466</v>
      </c>
      <c r="C627" s="94" t="s">
        <v>1919</v>
      </c>
      <c r="D627" s="11" t="s">
        <v>1926</v>
      </c>
      <c r="E627" s="48" t="s">
        <v>31</v>
      </c>
      <c r="F627" s="48" t="s">
        <v>74</v>
      </c>
      <c r="G627" s="11" t="s">
        <v>64</v>
      </c>
      <c r="H627" s="11" t="s">
        <v>75</v>
      </c>
      <c r="I627" s="11">
        <v>1299</v>
      </c>
      <c r="J627" s="49" t="s">
        <v>39</v>
      </c>
      <c r="K627" s="49" t="s">
        <v>76</v>
      </c>
      <c r="L627" s="49" t="s">
        <v>92</v>
      </c>
      <c r="M627" s="49" t="s">
        <v>84</v>
      </c>
      <c r="N627" s="49" t="s">
        <v>89</v>
      </c>
      <c r="O627" s="49" t="s">
        <v>37</v>
      </c>
      <c r="P627" s="49" t="s">
        <v>80</v>
      </c>
      <c r="Q627" s="49" t="s">
        <v>90</v>
      </c>
      <c r="R627" s="49" t="s">
        <v>648</v>
      </c>
      <c r="S627" s="49" t="s">
        <v>1805</v>
      </c>
      <c r="T627" s="90" t="s">
        <v>1</v>
      </c>
      <c r="U627" s="90"/>
      <c r="V627" s="51">
        <v>46034</v>
      </c>
      <c r="W627" s="49" t="s">
        <v>1583</v>
      </c>
    </row>
    <row r="628" spans="1:23" ht="13" customHeight="1" x14ac:dyDescent="0.35">
      <c r="A628" s="11">
        <v>622</v>
      </c>
      <c r="B628" s="47">
        <v>203850770</v>
      </c>
      <c r="C628" s="94" t="s">
        <v>663</v>
      </c>
      <c r="D628" s="11" t="s">
        <v>664</v>
      </c>
      <c r="E628" s="48" t="s">
        <v>31</v>
      </c>
      <c r="F628" s="48" t="s">
        <v>74</v>
      </c>
      <c r="G628" s="11" t="s">
        <v>64</v>
      </c>
      <c r="H628" s="11" t="s">
        <v>75</v>
      </c>
      <c r="I628" s="11">
        <v>1299</v>
      </c>
      <c r="J628" s="49" t="s">
        <v>39</v>
      </c>
      <c r="K628" s="49" t="s">
        <v>76</v>
      </c>
      <c r="L628" s="49" t="s">
        <v>84</v>
      </c>
      <c r="M628" s="49" t="s">
        <v>85</v>
      </c>
      <c r="N628" s="48" t="s">
        <v>86</v>
      </c>
      <c r="O628" s="49" t="s">
        <v>37</v>
      </c>
      <c r="P628" s="11" t="s">
        <v>80</v>
      </c>
      <c r="Q628" s="11" t="s">
        <v>90</v>
      </c>
      <c r="R628" s="49" t="s">
        <v>648</v>
      </c>
      <c r="S628" s="11" t="s">
        <v>1805</v>
      </c>
      <c r="T628" s="90" t="s">
        <v>1</v>
      </c>
      <c r="U628" s="89"/>
      <c r="V628" s="51">
        <v>45524</v>
      </c>
      <c r="W628" s="49" t="s">
        <v>1584</v>
      </c>
    </row>
    <row r="629" spans="1:23" ht="13" customHeight="1" x14ac:dyDescent="0.35">
      <c r="A629" s="11">
        <v>623</v>
      </c>
      <c r="B629" s="47">
        <v>204116439</v>
      </c>
      <c r="C629" s="94" t="s">
        <v>665</v>
      </c>
      <c r="D629" s="11" t="s">
        <v>666</v>
      </c>
      <c r="E629" s="48" t="s">
        <v>31</v>
      </c>
      <c r="F629" s="48" t="s">
        <v>74</v>
      </c>
      <c r="G629" s="11" t="s">
        <v>64</v>
      </c>
      <c r="H629" s="11" t="s">
        <v>75</v>
      </c>
      <c r="I629" s="11">
        <v>1299</v>
      </c>
      <c r="J629" s="49" t="s">
        <v>39</v>
      </c>
      <c r="K629" s="49" t="s">
        <v>76</v>
      </c>
      <c r="L629" s="49" t="s">
        <v>78</v>
      </c>
      <c r="M629" s="49" t="s">
        <v>92</v>
      </c>
      <c r="N629" s="48" t="s">
        <v>86</v>
      </c>
      <c r="O629" s="49" t="s">
        <v>37</v>
      </c>
      <c r="P629" s="11" t="s">
        <v>80</v>
      </c>
      <c r="Q629" s="11" t="s">
        <v>87</v>
      </c>
      <c r="R629" s="49" t="s">
        <v>648</v>
      </c>
      <c r="S629" s="11" t="s">
        <v>1805</v>
      </c>
      <c r="T629" s="90" t="s">
        <v>1</v>
      </c>
      <c r="U629" s="89"/>
      <c r="V629" s="51">
        <v>45561</v>
      </c>
      <c r="W629" s="49" t="s">
        <v>1583</v>
      </c>
    </row>
    <row r="630" spans="1:23" ht="13" customHeight="1" x14ac:dyDescent="0.35">
      <c r="A630" s="11">
        <v>624</v>
      </c>
      <c r="B630" s="47">
        <v>112649477</v>
      </c>
      <c r="C630" s="94" t="s">
        <v>667</v>
      </c>
      <c r="D630" s="11" t="s">
        <v>668</v>
      </c>
      <c r="E630" s="48" t="s">
        <v>31</v>
      </c>
      <c r="F630" s="48" t="s">
        <v>74</v>
      </c>
      <c r="G630" s="11" t="s">
        <v>64</v>
      </c>
      <c r="H630" s="11" t="s">
        <v>75</v>
      </c>
      <c r="I630" s="11">
        <v>1299</v>
      </c>
      <c r="J630" s="49" t="s">
        <v>39</v>
      </c>
      <c r="K630" s="49" t="s">
        <v>76</v>
      </c>
      <c r="L630" s="49" t="s">
        <v>78</v>
      </c>
      <c r="M630" s="49" t="s">
        <v>92</v>
      </c>
      <c r="N630" s="48" t="s">
        <v>86</v>
      </c>
      <c r="O630" s="49" t="s">
        <v>37</v>
      </c>
      <c r="P630" s="11" t="s">
        <v>80</v>
      </c>
      <c r="Q630" s="11" t="s">
        <v>87</v>
      </c>
      <c r="R630" s="11" t="s">
        <v>1069</v>
      </c>
      <c r="S630" s="11" t="s">
        <v>2733</v>
      </c>
      <c r="T630" s="90" t="s">
        <v>1</v>
      </c>
      <c r="U630" s="91"/>
      <c r="V630" s="51">
        <v>45568</v>
      </c>
      <c r="W630" s="49" t="s">
        <v>1585</v>
      </c>
    </row>
    <row r="631" spans="1:23" ht="13" customHeight="1" x14ac:dyDescent="0.35">
      <c r="A631" s="11">
        <v>625</v>
      </c>
      <c r="B631" s="47">
        <v>205846579</v>
      </c>
      <c r="C631" s="94" t="s">
        <v>669</v>
      </c>
      <c r="D631" s="11" t="s">
        <v>670</v>
      </c>
      <c r="E631" s="48" t="s">
        <v>31</v>
      </c>
      <c r="F631" s="48" t="s">
        <v>74</v>
      </c>
      <c r="G631" s="11" t="s">
        <v>64</v>
      </c>
      <c r="H631" s="11" t="s">
        <v>75</v>
      </c>
      <c r="I631" s="11">
        <v>1299</v>
      </c>
      <c r="J631" s="49" t="s">
        <v>39</v>
      </c>
      <c r="K631" s="49" t="s">
        <v>76</v>
      </c>
      <c r="L631" s="49" t="s">
        <v>88</v>
      </c>
      <c r="M631" s="49" t="s">
        <v>95</v>
      </c>
      <c r="N631" s="49" t="s">
        <v>89</v>
      </c>
      <c r="O631" s="49" t="s">
        <v>37</v>
      </c>
      <c r="P631" s="11" t="s">
        <v>80</v>
      </c>
      <c r="Q631" s="11" t="s">
        <v>96</v>
      </c>
      <c r="R631" s="11" t="s">
        <v>632</v>
      </c>
      <c r="S631" s="11" t="s">
        <v>633</v>
      </c>
      <c r="T631" s="90" t="s">
        <v>10</v>
      </c>
      <c r="U631" s="90"/>
      <c r="V631" s="51">
        <v>45894</v>
      </c>
      <c r="W631" s="49" t="s">
        <v>1584</v>
      </c>
    </row>
    <row r="632" spans="1:23" ht="13" customHeight="1" x14ac:dyDescent="0.35">
      <c r="A632" s="11">
        <v>626</v>
      </c>
      <c r="B632" s="47">
        <v>203555843</v>
      </c>
      <c r="C632" s="94" t="s">
        <v>671</v>
      </c>
      <c r="D632" s="11" t="s">
        <v>672</v>
      </c>
      <c r="E632" s="48" t="s">
        <v>31</v>
      </c>
      <c r="F632" s="48" t="s">
        <v>74</v>
      </c>
      <c r="G632" s="11" t="s">
        <v>64</v>
      </c>
      <c r="H632" s="11" t="s">
        <v>75</v>
      </c>
      <c r="I632" s="11">
        <v>1299</v>
      </c>
      <c r="J632" s="49" t="s">
        <v>32</v>
      </c>
      <c r="K632" s="49" t="s">
        <v>76</v>
      </c>
      <c r="L632" s="49" t="s">
        <v>77</v>
      </c>
      <c r="M632" s="49" t="s">
        <v>78</v>
      </c>
      <c r="N632" s="48" t="s">
        <v>86</v>
      </c>
      <c r="O632" s="49" t="s">
        <v>37</v>
      </c>
      <c r="P632" s="11" t="s">
        <v>80</v>
      </c>
      <c r="Q632" s="11" t="s">
        <v>99</v>
      </c>
      <c r="R632" s="11" t="s">
        <v>1069</v>
      </c>
      <c r="S632" s="11" t="s">
        <v>2733</v>
      </c>
      <c r="T632" s="90" t="s">
        <v>1</v>
      </c>
      <c r="U632" s="91"/>
      <c r="V632" s="51">
        <v>45470</v>
      </c>
      <c r="W632" s="49" t="s">
        <v>1584</v>
      </c>
    </row>
    <row r="633" spans="1:23" ht="13" customHeight="1" x14ac:dyDescent="0.35">
      <c r="A633" s="11">
        <v>627</v>
      </c>
      <c r="B633" s="47">
        <v>203992092</v>
      </c>
      <c r="C633" s="94" t="s">
        <v>673</v>
      </c>
      <c r="D633" s="11" t="s">
        <v>674</v>
      </c>
      <c r="E633" s="48" t="s">
        <v>31</v>
      </c>
      <c r="F633" s="48" t="s">
        <v>74</v>
      </c>
      <c r="G633" s="11" t="s">
        <v>64</v>
      </c>
      <c r="H633" s="11" t="s">
        <v>75</v>
      </c>
      <c r="I633" s="11">
        <v>1299</v>
      </c>
      <c r="J633" s="49" t="s">
        <v>39</v>
      </c>
      <c r="K633" s="49" t="s">
        <v>76</v>
      </c>
      <c r="L633" s="49" t="s">
        <v>95</v>
      </c>
      <c r="M633" s="49" t="s">
        <v>77</v>
      </c>
      <c r="N633" s="48" t="s">
        <v>79</v>
      </c>
      <c r="O633" s="49" t="s">
        <v>37</v>
      </c>
      <c r="P633" s="11" t="s">
        <v>80</v>
      </c>
      <c r="Q633" s="11" t="s">
        <v>81</v>
      </c>
      <c r="R633" s="49" t="s">
        <v>628</v>
      </c>
      <c r="S633" s="11" t="s">
        <v>629</v>
      </c>
      <c r="T633" s="90" t="s">
        <v>1</v>
      </c>
      <c r="U633" s="90"/>
      <c r="V633" s="51">
        <v>45547</v>
      </c>
      <c r="W633" s="49" t="s">
        <v>1584</v>
      </c>
    </row>
    <row r="634" spans="1:23" ht="13" customHeight="1" x14ac:dyDescent="0.35">
      <c r="A634" s="11">
        <v>628</v>
      </c>
      <c r="B634" s="47">
        <v>205839289</v>
      </c>
      <c r="C634" s="94" t="s">
        <v>675</v>
      </c>
      <c r="D634" s="11" t="s">
        <v>676</v>
      </c>
      <c r="E634" s="48" t="s">
        <v>31</v>
      </c>
      <c r="F634" s="48" t="s">
        <v>74</v>
      </c>
      <c r="G634" s="11" t="s">
        <v>64</v>
      </c>
      <c r="H634" s="11" t="s">
        <v>75</v>
      </c>
      <c r="I634" s="11">
        <v>1299</v>
      </c>
      <c r="J634" s="49" t="s">
        <v>32</v>
      </c>
      <c r="K634" s="49" t="s">
        <v>76</v>
      </c>
      <c r="L634" s="49" t="s">
        <v>92</v>
      </c>
      <c r="M634" s="49" t="s">
        <v>84</v>
      </c>
      <c r="N634" s="49" t="s">
        <v>89</v>
      </c>
      <c r="O634" s="49" t="s">
        <v>37</v>
      </c>
      <c r="P634" s="11" t="s">
        <v>80</v>
      </c>
      <c r="Q634" s="11" t="s">
        <v>90</v>
      </c>
      <c r="R634" s="49" t="s">
        <v>628</v>
      </c>
      <c r="S634" s="11" t="s">
        <v>629</v>
      </c>
      <c r="T634" s="90" t="s">
        <v>1</v>
      </c>
      <c r="U634" s="90"/>
      <c r="V634" s="51">
        <v>45894</v>
      </c>
      <c r="W634" s="49" t="s">
        <v>1583</v>
      </c>
    </row>
    <row r="635" spans="1:23" ht="13" customHeight="1" x14ac:dyDescent="0.35">
      <c r="A635" s="11">
        <v>629</v>
      </c>
      <c r="B635" s="97">
        <v>203850772</v>
      </c>
      <c r="C635" s="47" t="s">
        <v>2759</v>
      </c>
      <c r="D635" s="94" t="s">
        <v>2760</v>
      </c>
      <c r="E635" s="48" t="s">
        <v>31</v>
      </c>
      <c r="F635" s="48" t="s">
        <v>74</v>
      </c>
      <c r="G635" s="11" t="s">
        <v>64</v>
      </c>
      <c r="H635" s="11" t="s">
        <v>75</v>
      </c>
      <c r="I635" s="11">
        <v>1299</v>
      </c>
      <c r="J635" s="49" t="s">
        <v>39</v>
      </c>
      <c r="K635" s="49" t="s">
        <v>76</v>
      </c>
      <c r="L635" s="49" t="s">
        <v>85</v>
      </c>
      <c r="M635" s="49" t="s">
        <v>88</v>
      </c>
      <c r="N635" s="49" t="s">
        <v>89</v>
      </c>
      <c r="O635" s="49" t="s">
        <v>37</v>
      </c>
      <c r="P635" s="11" t="s">
        <v>80</v>
      </c>
      <c r="Q635" s="11" t="s">
        <v>90</v>
      </c>
      <c r="R635" s="11" t="s">
        <v>2865</v>
      </c>
      <c r="S635" s="11" t="s">
        <v>2866</v>
      </c>
      <c r="T635" s="90" t="s">
        <v>10</v>
      </c>
      <c r="U635" s="90"/>
      <c r="V635" s="51">
        <v>45524</v>
      </c>
      <c r="W635" s="49" t="s">
        <v>1584</v>
      </c>
    </row>
    <row r="636" spans="1:23" ht="13" customHeight="1" x14ac:dyDescent="0.35">
      <c r="A636" s="11">
        <v>630</v>
      </c>
      <c r="B636" s="97">
        <v>205977116</v>
      </c>
      <c r="C636" s="47" t="s">
        <v>2761</v>
      </c>
      <c r="D636" s="94" t="s">
        <v>2762</v>
      </c>
      <c r="E636" s="48" t="s">
        <v>31</v>
      </c>
      <c r="F636" s="48" t="s">
        <v>74</v>
      </c>
      <c r="G636" s="11" t="s">
        <v>64</v>
      </c>
      <c r="H636" s="11" t="s">
        <v>75</v>
      </c>
      <c r="I636" s="11">
        <v>1299</v>
      </c>
      <c r="J636" s="49" t="s">
        <v>32</v>
      </c>
      <c r="K636" s="49" t="s">
        <v>76</v>
      </c>
      <c r="L636" s="49" t="s">
        <v>92</v>
      </c>
      <c r="M636" s="49" t="s">
        <v>84</v>
      </c>
      <c r="N636" s="48" t="s">
        <v>86</v>
      </c>
      <c r="O636" s="49" t="s">
        <v>37</v>
      </c>
      <c r="P636" s="11" t="s">
        <v>80</v>
      </c>
      <c r="Q636" s="11" t="s">
        <v>90</v>
      </c>
      <c r="R636" s="11" t="s">
        <v>628</v>
      </c>
      <c r="S636" s="11" t="s">
        <v>629</v>
      </c>
      <c r="T636" s="90" t="s">
        <v>1</v>
      </c>
      <c r="U636" s="89"/>
      <c r="V636" s="51">
        <v>45915</v>
      </c>
      <c r="W636" s="49" t="s">
        <v>1584</v>
      </c>
    </row>
    <row r="637" spans="1:23" ht="13" customHeight="1" x14ac:dyDescent="0.35">
      <c r="A637" s="11">
        <v>631</v>
      </c>
      <c r="B637" s="47">
        <v>203850778</v>
      </c>
      <c r="C637" s="94" t="s">
        <v>677</v>
      </c>
      <c r="D637" s="11" t="s">
        <v>678</v>
      </c>
      <c r="E637" s="48" t="s">
        <v>31</v>
      </c>
      <c r="F637" s="48" t="s">
        <v>74</v>
      </c>
      <c r="G637" s="11" t="s">
        <v>64</v>
      </c>
      <c r="H637" s="11" t="s">
        <v>75</v>
      </c>
      <c r="I637" s="11">
        <v>1299</v>
      </c>
      <c r="J637" s="49" t="s">
        <v>32</v>
      </c>
      <c r="K637" s="49" t="s">
        <v>76</v>
      </c>
      <c r="L637" s="49" t="s">
        <v>85</v>
      </c>
      <c r="M637" s="49" t="s">
        <v>88</v>
      </c>
      <c r="N637" s="48" t="s">
        <v>86</v>
      </c>
      <c r="O637" s="49" t="s">
        <v>37</v>
      </c>
      <c r="P637" s="11" t="s">
        <v>80</v>
      </c>
      <c r="Q637" s="11" t="s">
        <v>90</v>
      </c>
      <c r="R637" s="49" t="s">
        <v>648</v>
      </c>
      <c r="S637" s="11" t="s">
        <v>1805</v>
      </c>
      <c r="T637" s="90" t="s">
        <v>10</v>
      </c>
      <c r="U637" s="89"/>
      <c r="V637" s="51">
        <v>45524</v>
      </c>
      <c r="W637" s="49" t="s">
        <v>1584</v>
      </c>
    </row>
    <row r="638" spans="1:23" ht="13" customHeight="1" x14ac:dyDescent="0.35">
      <c r="A638" s="11">
        <v>632</v>
      </c>
      <c r="B638" s="47">
        <v>206897550</v>
      </c>
      <c r="C638" s="94" t="s">
        <v>1896</v>
      </c>
      <c r="D638" s="11" t="s">
        <v>1897</v>
      </c>
      <c r="E638" s="48" t="s">
        <v>31</v>
      </c>
      <c r="F638" s="48" t="s">
        <v>74</v>
      </c>
      <c r="G638" s="11" t="s">
        <v>64</v>
      </c>
      <c r="H638" s="11" t="s">
        <v>75</v>
      </c>
      <c r="I638" s="11">
        <v>1290</v>
      </c>
      <c r="J638" s="49" t="s">
        <v>39</v>
      </c>
      <c r="K638" s="49" t="s">
        <v>76</v>
      </c>
      <c r="L638" s="49" t="s">
        <v>77</v>
      </c>
      <c r="M638" s="49" t="s">
        <v>78</v>
      </c>
      <c r="N638" s="49" t="s">
        <v>89</v>
      </c>
      <c r="O638" s="48" t="s">
        <v>37</v>
      </c>
      <c r="P638" s="48" t="s">
        <v>80</v>
      </c>
      <c r="Q638" s="11" t="s">
        <v>81</v>
      </c>
      <c r="R638" s="11" t="s">
        <v>1069</v>
      </c>
      <c r="S638" s="11" t="s">
        <v>2733</v>
      </c>
      <c r="T638" s="90" t="s">
        <v>1</v>
      </c>
      <c r="U638" s="89"/>
      <c r="V638" s="51">
        <v>46030</v>
      </c>
      <c r="W638" s="49" t="s">
        <v>1584</v>
      </c>
    </row>
    <row r="639" spans="1:23" ht="13" customHeight="1" x14ac:dyDescent="0.35">
      <c r="A639" s="11">
        <v>633</v>
      </c>
      <c r="B639" s="47">
        <v>102865830</v>
      </c>
      <c r="C639" s="94" t="s">
        <v>679</v>
      </c>
      <c r="D639" s="11" t="s">
        <v>680</v>
      </c>
      <c r="E639" s="48" t="s">
        <v>34</v>
      </c>
      <c r="F639" s="48" t="s">
        <v>74</v>
      </c>
      <c r="G639" s="11" t="s">
        <v>64</v>
      </c>
      <c r="H639" s="11" t="s">
        <v>75</v>
      </c>
      <c r="I639" s="11">
        <v>1299</v>
      </c>
      <c r="J639" s="49" t="s">
        <v>39</v>
      </c>
      <c r="K639" s="49" t="s">
        <v>76</v>
      </c>
      <c r="L639" s="49" t="s">
        <v>84</v>
      </c>
      <c r="M639" s="49" t="s">
        <v>85</v>
      </c>
      <c r="N639" s="48" t="s">
        <v>108</v>
      </c>
      <c r="O639" s="49" t="s">
        <v>37</v>
      </c>
      <c r="P639" s="11" t="s">
        <v>80</v>
      </c>
      <c r="Q639" s="11" t="s">
        <v>98</v>
      </c>
      <c r="R639" s="11" t="s">
        <v>1069</v>
      </c>
      <c r="S639" s="11" t="s">
        <v>2733</v>
      </c>
      <c r="T639" s="90" t="s">
        <v>1</v>
      </c>
      <c r="U639" s="89"/>
      <c r="V639" s="51">
        <v>43012</v>
      </c>
      <c r="W639" s="49" t="s">
        <v>1587</v>
      </c>
    </row>
    <row r="640" spans="1:23" ht="13" customHeight="1" x14ac:dyDescent="0.35">
      <c r="A640" s="11">
        <v>634</v>
      </c>
      <c r="B640" s="47">
        <v>111164491</v>
      </c>
      <c r="C640" s="94" t="s">
        <v>681</v>
      </c>
      <c r="D640" s="11" t="s">
        <v>682</v>
      </c>
      <c r="E640" s="48" t="s">
        <v>34</v>
      </c>
      <c r="F640" s="48" t="s">
        <v>74</v>
      </c>
      <c r="G640" s="11" t="s">
        <v>64</v>
      </c>
      <c r="H640" s="11" t="s">
        <v>75</v>
      </c>
      <c r="I640" s="11">
        <v>1299</v>
      </c>
      <c r="J640" s="49" t="s">
        <v>39</v>
      </c>
      <c r="K640" s="49" t="s">
        <v>76</v>
      </c>
      <c r="L640" s="49" t="s">
        <v>78</v>
      </c>
      <c r="M640" s="49" t="s">
        <v>92</v>
      </c>
      <c r="N640" s="48" t="s">
        <v>108</v>
      </c>
      <c r="O640" s="49" t="s">
        <v>37</v>
      </c>
      <c r="P640" s="11" t="s">
        <v>80</v>
      </c>
      <c r="Q640" s="11" t="s">
        <v>98</v>
      </c>
      <c r="R640" s="49" t="s">
        <v>648</v>
      </c>
      <c r="S640" s="11" t="s">
        <v>1805</v>
      </c>
      <c r="T640" s="90" t="s">
        <v>1</v>
      </c>
      <c r="U640" s="89"/>
      <c r="V640" s="51">
        <v>44797</v>
      </c>
      <c r="W640" s="49" t="s">
        <v>1584</v>
      </c>
    </row>
    <row r="641" spans="1:23" ht="13" customHeight="1" x14ac:dyDescent="0.35">
      <c r="A641" s="11">
        <v>635</v>
      </c>
      <c r="B641" s="47">
        <v>206239763</v>
      </c>
      <c r="C641" s="94" t="s">
        <v>1654</v>
      </c>
      <c r="D641" s="11" t="s">
        <v>1633</v>
      </c>
      <c r="E641" s="48" t="s">
        <v>31</v>
      </c>
      <c r="F641" s="48" t="s">
        <v>74</v>
      </c>
      <c r="G641" s="11" t="s">
        <v>64</v>
      </c>
      <c r="H641" s="11" t="s">
        <v>75</v>
      </c>
      <c r="I641" s="11">
        <v>1299</v>
      </c>
      <c r="J641" s="49" t="s">
        <v>32</v>
      </c>
      <c r="K641" s="49" t="s">
        <v>76</v>
      </c>
      <c r="L641" s="49" t="s">
        <v>78</v>
      </c>
      <c r="M641" s="49" t="s">
        <v>92</v>
      </c>
      <c r="N641" s="48" t="s">
        <v>79</v>
      </c>
      <c r="O641" s="49" t="s">
        <v>37</v>
      </c>
      <c r="P641" s="11" t="s">
        <v>80</v>
      </c>
      <c r="Q641" s="11" t="s">
        <v>81</v>
      </c>
      <c r="R641" s="11" t="s">
        <v>1069</v>
      </c>
      <c r="S641" s="11" t="s">
        <v>2733</v>
      </c>
      <c r="T641" s="90" t="s">
        <v>7</v>
      </c>
      <c r="U641" s="90" t="s">
        <v>2914</v>
      </c>
      <c r="V641" s="51">
        <v>45943</v>
      </c>
      <c r="W641" s="49" t="s">
        <v>1584</v>
      </c>
    </row>
    <row r="642" spans="1:23" ht="13" customHeight="1" x14ac:dyDescent="0.35">
      <c r="A642" s="11">
        <v>636</v>
      </c>
      <c r="B642" s="97">
        <v>204009672</v>
      </c>
      <c r="C642" s="47" t="s">
        <v>2763</v>
      </c>
      <c r="D642" s="94" t="s">
        <v>2764</v>
      </c>
      <c r="E642" s="48" t="s">
        <v>31</v>
      </c>
      <c r="F642" s="48" t="s">
        <v>74</v>
      </c>
      <c r="G642" s="11" t="s">
        <v>64</v>
      </c>
      <c r="H642" s="11" t="s">
        <v>75</v>
      </c>
      <c r="I642" s="11">
        <v>1299</v>
      </c>
      <c r="J642" s="49" t="s">
        <v>32</v>
      </c>
      <c r="K642" s="49" t="s">
        <v>76</v>
      </c>
      <c r="L642" s="49" t="s">
        <v>95</v>
      </c>
      <c r="M642" s="49" t="s">
        <v>77</v>
      </c>
      <c r="N642" s="48" t="s">
        <v>86</v>
      </c>
      <c r="O642" s="49" t="s">
        <v>37</v>
      </c>
      <c r="P642" s="11" t="s">
        <v>80</v>
      </c>
      <c r="Q642" s="11" t="s">
        <v>90</v>
      </c>
      <c r="R642" s="11" t="s">
        <v>1069</v>
      </c>
      <c r="S642" s="11" t="s">
        <v>2765</v>
      </c>
      <c r="T642" s="90" t="s">
        <v>1</v>
      </c>
      <c r="U642" s="90"/>
      <c r="V642" s="51">
        <v>45551</v>
      </c>
      <c r="W642" s="49" t="s">
        <v>1584</v>
      </c>
    </row>
    <row r="643" spans="1:23" ht="13" customHeight="1" x14ac:dyDescent="0.35">
      <c r="A643" s="11">
        <v>637</v>
      </c>
      <c r="B643" s="47">
        <v>206239523</v>
      </c>
      <c r="C643" s="94" t="s">
        <v>1649</v>
      </c>
      <c r="D643" s="11" t="s">
        <v>1644</v>
      </c>
      <c r="E643" s="48" t="s">
        <v>31</v>
      </c>
      <c r="F643" s="48" t="s">
        <v>74</v>
      </c>
      <c r="G643" s="11" t="s">
        <v>64</v>
      </c>
      <c r="H643" s="11" t="s">
        <v>75</v>
      </c>
      <c r="I643" s="11">
        <v>1299</v>
      </c>
      <c r="J643" s="88" t="s">
        <v>39</v>
      </c>
      <c r="K643" s="49" t="s">
        <v>76</v>
      </c>
      <c r="L643" s="49" t="s">
        <v>92</v>
      </c>
      <c r="M643" s="49" t="s">
        <v>84</v>
      </c>
      <c r="N643" s="49" t="s">
        <v>89</v>
      </c>
      <c r="O643" s="49" t="s">
        <v>37</v>
      </c>
      <c r="P643" s="11" t="s">
        <v>80</v>
      </c>
      <c r="Q643" s="11" t="s">
        <v>96</v>
      </c>
      <c r="R643" s="11" t="s">
        <v>2865</v>
      </c>
      <c r="S643" s="11" t="s">
        <v>2866</v>
      </c>
      <c r="T643" s="90" t="s">
        <v>1</v>
      </c>
      <c r="U643" s="89"/>
      <c r="V643" s="51">
        <v>45943</v>
      </c>
      <c r="W643" s="49" t="s">
        <v>1584</v>
      </c>
    </row>
    <row r="644" spans="1:23" ht="13" customHeight="1" x14ac:dyDescent="0.35">
      <c r="A644" s="11">
        <v>638</v>
      </c>
      <c r="B644" s="47">
        <v>205846573</v>
      </c>
      <c r="C644" s="94" t="s">
        <v>683</v>
      </c>
      <c r="D644" s="11" t="s">
        <v>684</v>
      </c>
      <c r="E644" s="48" t="s">
        <v>31</v>
      </c>
      <c r="F644" s="48" t="s">
        <v>74</v>
      </c>
      <c r="G644" s="11" t="s">
        <v>64</v>
      </c>
      <c r="H644" s="11" t="s">
        <v>75</v>
      </c>
      <c r="I644" s="11">
        <v>1299</v>
      </c>
      <c r="J644" s="49" t="s">
        <v>39</v>
      </c>
      <c r="K644" s="49" t="s">
        <v>76</v>
      </c>
      <c r="L644" s="49" t="s">
        <v>85</v>
      </c>
      <c r="M644" s="49" t="s">
        <v>88</v>
      </c>
      <c r="N644" s="49" t="s">
        <v>89</v>
      </c>
      <c r="O644" s="49" t="s">
        <v>37</v>
      </c>
      <c r="P644" s="11" t="s">
        <v>80</v>
      </c>
      <c r="Q644" s="11" t="s">
        <v>96</v>
      </c>
      <c r="R644" s="11" t="s">
        <v>632</v>
      </c>
      <c r="S644" s="11" t="s">
        <v>633</v>
      </c>
      <c r="T644" s="90" t="s">
        <v>10</v>
      </c>
      <c r="U644" s="89"/>
      <c r="V644" s="51">
        <v>45894</v>
      </c>
      <c r="W644" s="49" t="s">
        <v>1584</v>
      </c>
    </row>
    <row r="645" spans="1:23" ht="13" customHeight="1" x14ac:dyDescent="0.35">
      <c r="A645" s="11">
        <v>639</v>
      </c>
      <c r="B645" s="47">
        <v>206930130</v>
      </c>
      <c r="C645" s="94" t="s">
        <v>2015</v>
      </c>
      <c r="D645" s="11" t="s">
        <v>2023</v>
      </c>
      <c r="E645" s="48" t="s">
        <v>31</v>
      </c>
      <c r="F645" s="48" t="s">
        <v>74</v>
      </c>
      <c r="G645" s="48" t="s">
        <v>64</v>
      </c>
      <c r="H645" s="48" t="s">
        <v>75</v>
      </c>
      <c r="I645" s="11">
        <v>1299</v>
      </c>
      <c r="J645" s="49" t="s">
        <v>32</v>
      </c>
      <c r="K645" s="49" t="s">
        <v>76</v>
      </c>
      <c r="L645" s="49" t="s">
        <v>77</v>
      </c>
      <c r="M645" s="49" t="s">
        <v>78</v>
      </c>
      <c r="N645" s="49" t="s">
        <v>79</v>
      </c>
      <c r="O645" s="49" t="s">
        <v>37</v>
      </c>
      <c r="P645" s="49" t="s">
        <v>80</v>
      </c>
      <c r="Q645" s="49" t="s">
        <v>96</v>
      </c>
      <c r="R645" s="49" t="s">
        <v>628</v>
      </c>
      <c r="S645" s="49" t="s">
        <v>629</v>
      </c>
      <c r="T645" s="90" t="s">
        <v>1</v>
      </c>
      <c r="U645" s="91"/>
      <c r="V645" s="51">
        <v>46037</v>
      </c>
      <c r="W645" s="49" t="s">
        <v>1584</v>
      </c>
    </row>
    <row r="646" spans="1:23" ht="13" customHeight="1" x14ac:dyDescent="0.35">
      <c r="A646" s="11">
        <v>640</v>
      </c>
      <c r="B646" s="47">
        <v>206129604</v>
      </c>
      <c r="C646" s="94" t="s">
        <v>685</v>
      </c>
      <c r="D646" s="11" t="s">
        <v>686</v>
      </c>
      <c r="E646" s="48" t="s">
        <v>31</v>
      </c>
      <c r="F646" s="48" t="s">
        <v>74</v>
      </c>
      <c r="G646" s="11" t="s">
        <v>64</v>
      </c>
      <c r="H646" s="11" t="s">
        <v>75</v>
      </c>
      <c r="I646" s="11">
        <v>1299</v>
      </c>
      <c r="J646" s="49" t="s">
        <v>32</v>
      </c>
      <c r="K646" s="49" t="s">
        <v>76</v>
      </c>
      <c r="L646" s="49" t="s">
        <v>78</v>
      </c>
      <c r="M646" s="49" t="s">
        <v>92</v>
      </c>
      <c r="N646" s="49" t="s">
        <v>89</v>
      </c>
      <c r="O646" s="49" t="s">
        <v>37</v>
      </c>
      <c r="P646" s="11" t="s">
        <v>80</v>
      </c>
      <c r="Q646" s="11" t="s">
        <v>81</v>
      </c>
      <c r="R646" s="49" t="s">
        <v>648</v>
      </c>
      <c r="S646" s="11" t="s">
        <v>1805</v>
      </c>
      <c r="T646" s="90" t="s">
        <v>1</v>
      </c>
      <c r="U646" s="90"/>
      <c r="V646" s="51">
        <v>45929</v>
      </c>
      <c r="W646" s="49" t="s">
        <v>1584</v>
      </c>
    </row>
    <row r="647" spans="1:23" ht="13" customHeight="1" x14ac:dyDescent="0.35">
      <c r="A647" s="11">
        <v>641</v>
      </c>
      <c r="B647" s="47">
        <v>204868506</v>
      </c>
      <c r="C647" s="94" t="s">
        <v>2388</v>
      </c>
      <c r="D647" s="11" t="s">
        <v>2389</v>
      </c>
      <c r="E647" s="48" t="s">
        <v>31</v>
      </c>
      <c r="F647" s="48" t="s">
        <v>74</v>
      </c>
      <c r="G647" s="11" t="s">
        <v>64</v>
      </c>
      <c r="H647" s="11" t="s">
        <v>75</v>
      </c>
      <c r="I647" s="11">
        <v>1299</v>
      </c>
      <c r="J647" s="49" t="s">
        <v>32</v>
      </c>
      <c r="K647" s="49" t="s">
        <v>76</v>
      </c>
      <c r="L647" s="49" t="s">
        <v>92</v>
      </c>
      <c r="M647" s="49" t="s">
        <v>84</v>
      </c>
      <c r="N647" s="48" t="s">
        <v>86</v>
      </c>
      <c r="O647" s="49" t="s">
        <v>37</v>
      </c>
      <c r="P647" s="11" t="s">
        <v>80</v>
      </c>
      <c r="Q647" s="11" t="s">
        <v>90</v>
      </c>
      <c r="R647" s="11" t="s">
        <v>1069</v>
      </c>
      <c r="S647" s="11" t="s">
        <v>2733</v>
      </c>
      <c r="T647" s="90" t="s">
        <v>1</v>
      </c>
      <c r="U647" s="90"/>
      <c r="V647" s="51">
        <v>45789</v>
      </c>
      <c r="W647" s="49" t="s">
        <v>1584</v>
      </c>
    </row>
    <row r="648" spans="1:23" ht="13" customHeight="1" x14ac:dyDescent="0.35">
      <c r="A648" s="11">
        <v>642</v>
      </c>
      <c r="B648" s="47">
        <v>206873782</v>
      </c>
      <c r="C648" s="94" t="s">
        <v>1878</v>
      </c>
      <c r="D648" s="11" t="s">
        <v>1879</v>
      </c>
      <c r="E648" s="48" t="s">
        <v>31</v>
      </c>
      <c r="F648" s="48" t="s">
        <v>74</v>
      </c>
      <c r="G648" s="11" t="s">
        <v>64</v>
      </c>
      <c r="H648" s="11" t="s">
        <v>75</v>
      </c>
      <c r="I648" s="11">
        <v>1299</v>
      </c>
      <c r="J648" s="49" t="s">
        <v>39</v>
      </c>
      <c r="K648" s="49" t="s">
        <v>76</v>
      </c>
      <c r="L648" s="49" t="s">
        <v>84</v>
      </c>
      <c r="M648" s="49" t="s">
        <v>85</v>
      </c>
      <c r="N648" s="49" t="s">
        <v>89</v>
      </c>
      <c r="O648" s="48" t="s">
        <v>37</v>
      </c>
      <c r="P648" s="48" t="s">
        <v>80</v>
      </c>
      <c r="Q648" s="11" t="s">
        <v>90</v>
      </c>
      <c r="R648" s="49" t="s">
        <v>648</v>
      </c>
      <c r="S648" s="11" t="s">
        <v>1805</v>
      </c>
      <c r="T648" s="90" t="s">
        <v>1</v>
      </c>
      <c r="U648" s="89"/>
      <c r="V648" s="51">
        <v>46030</v>
      </c>
      <c r="W648" s="49" t="s">
        <v>1584</v>
      </c>
    </row>
    <row r="649" spans="1:23" ht="13" customHeight="1" x14ac:dyDescent="0.35">
      <c r="A649" s="11">
        <v>643</v>
      </c>
      <c r="B649" s="47">
        <v>203341965</v>
      </c>
      <c r="C649" s="94" t="s">
        <v>687</v>
      </c>
      <c r="D649" s="11" t="s">
        <v>688</v>
      </c>
      <c r="E649" s="48" t="s">
        <v>31</v>
      </c>
      <c r="F649" s="48" t="s">
        <v>74</v>
      </c>
      <c r="G649" s="11" t="s">
        <v>64</v>
      </c>
      <c r="H649" s="11" t="s">
        <v>75</v>
      </c>
      <c r="I649" s="11">
        <v>1299</v>
      </c>
      <c r="J649" s="49" t="s">
        <v>39</v>
      </c>
      <c r="K649" s="49" t="s">
        <v>76</v>
      </c>
      <c r="L649" s="49" t="s">
        <v>85</v>
      </c>
      <c r="M649" s="49" t="s">
        <v>88</v>
      </c>
      <c r="N649" s="48" t="s">
        <v>86</v>
      </c>
      <c r="O649" s="49" t="s">
        <v>37</v>
      </c>
      <c r="P649" s="11" t="s">
        <v>80</v>
      </c>
      <c r="Q649" s="11" t="s">
        <v>99</v>
      </c>
      <c r="R649" s="11" t="s">
        <v>1069</v>
      </c>
      <c r="S649" s="11" t="s">
        <v>2733</v>
      </c>
      <c r="T649" s="90" t="s">
        <v>10</v>
      </c>
      <c r="U649" s="89"/>
      <c r="V649" s="51">
        <v>45432</v>
      </c>
      <c r="W649" s="49" t="s">
        <v>1586</v>
      </c>
    </row>
    <row r="650" spans="1:23" ht="13" customHeight="1" x14ac:dyDescent="0.35">
      <c r="A650" s="11">
        <v>644</v>
      </c>
      <c r="B650" s="47">
        <v>109808051</v>
      </c>
      <c r="C650" s="94" t="s">
        <v>689</v>
      </c>
      <c r="D650" s="11" t="s">
        <v>690</v>
      </c>
      <c r="E650" s="48" t="s">
        <v>34</v>
      </c>
      <c r="F650" s="48" t="s">
        <v>74</v>
      </c>
      <c r="G650" s="11" t="s">
        <v>64</v>
      </c>
      <c r="H650" s="11" t="s">
        <v>75</v>
      </c>
      <c r="I650" s="11">
        <v>1299</v>
      </c>
      <c r="J650" s="49" t="s">
        <v>32</v>
      </c>
      <c r="K650" s="49" t="s">
        <v>76</v>
      </c>
      <c r="L650" s="49" t="s">
        <v>95</v>
      </c>
      <c r="M650" s="49" t="s">
        <v>77</v>
      </c>
      <c r="N650" s="48" t="s">
        <v>108</v>
      </c>
      <c r="O650" s="49" t="s">
        <v>37</v>
      </c>
      <c r="P650" s="11" t="s">
        <v>80</v>
      </c>
      <c r="Q650" s="11" t="s">
        <v>98</v>
      </c>
      <c r="R650" s="11" t="s">
        <v>640</v>
      </c>
      <c r="S650" s="11" t="s">
        <v>2734</v>
      </c>
      <c r="T650" s="90" t="s">
        <v>1</v>
      </c>
      <c r="U650" s="91"/>
      <c r="V650" s="51">
        <v>44875</v>
      </c>
      <c r="W650" s="49" t="s">
        <v>1587</v>
      </c>
    </row>
    <row r="651" spans="1:23" ht="13" customHeight="1" x14ac:dyDescent="0.35">
      <c r="A651" s="11">
        <v>645</v>
      </c>
      <c r="B651" s="47">
        <v>203735959</v>
      </c>
      <c r="C651" s="94" t="s">
        <v>2390</v>
      </c>
      <c r="D651" s="11" t="s">
        <v>2391</v>
      </c>
      <c r="E651" s="48" t="s">
        <v>31</v>
      </c>
      <c r="F651" s="48" t="s">
        <v>74</v>
      </c>
      <c r="G651" s="11" t="s">
        <v>64</v>
      </c>
      <c r="H651" s="11" t="s">
        <v>75</v>
      </c>
      <c r="I651" s="11">
        <v>1299</v>
      </c>
      <c r="J651" s="49" t="s">
        <v>39</v>
      </c>
      <c r="K651" s="49" t="s">
        <v>76</v>
      </c>
      <c r="L651" s="49" t="s">
        <v>92</v>
      </c>
      <c r="M651" s="49" t="s">
        <v>84</v>
      </c>
      <c r="N651" s="48" t="s">
        <v>86</v>
      </c>
      <c r="O651" s="49" t="s">
        <v>37</v>
      </c>
      <c r="P651" s="11" t="s">
        <v>80</v>
      </c>
      <c r="Q651" s="11" t="s">
        <v>90</v>
      </c>
      <c r="R651" s="49" t="s">
        <v>628</v>
      </c>
      <c r="S651" s="11" t="s">
        <v>629</v>
      </c>
      <c r="T651" s="90" t="s">
        <v>1</v>
      </c>
      <c r="U651" s="90"/>
      <c r="V651" s="51">
        <v>45502</v>
      </c>
      <c r="W651" s="49" t="s">
        <v>1584</v>
      </c>
    </row>
    <row r="652" spans="1:23" ht="13" customHeight="1" x14ac:dyDescent="0.35">
      <c r="A652" s="11">
        <v>646</v>
      </c>
      <c r="B652" s="47">
        <v>203964989</v>
      </c>
      <c r="C652" s="94" t="s">
        <v>691</v>
      </c>
      <c r="D652" s="11" t="s">
        <v>692</v>
      </c>
      <c r="E652" s="48" t="s">
        <v>31</v>
      </c>
      <c r="F652" s="48" t="s">
        <v>74</v>
      </c>
      <c r="G652" s="11" t="s">
        <v>64</v>
      </c>
      <c r="H652" s="11" t="s">
        <v>75</v>
      </c>
      <c r="I652" s="11">
        <v>1299</v>
      </c>
      <c r="J652" s="49" t="s">
        <v>32</v>
      </c>
      <c r="K652" s="49" t="s">
        <v>76</v>
      </c>
      <c r="L652" s="49" t="s">
        <v>84</v>
      </c>
      <c r="M652" s="49" t="s">
        <v>85</v>
      </c>
      <c r="N652" s="48" t="s">
        <v>86</v>
      </c>
      <c r="O652" s="49" t="s">
        <v>37</v>
      </c>
      <c r="P652" s="11" t="s">
        <v>80</v>
      </c>
      <c r="Q652" s="11" t="s">
        <v>99</v>
      </c>
      <c r="R652" s="49" t="s">
        <v>648</v>
      </c>
      <c r="S652" s="11" t="s">
        <v>1805</v>
      </c>
      <c r="T652" s="90" t="s">
        <v>1</v>
      </c>
      <c r="U652" s="90"/>
      <c r="V652" s="51">
        <v>45544</v>
      </c>
      <c r="W652" s="49" t="s">
        <v>1584</v>
      </c>
    </row>
    <row r="653" spans="1:23" ht="13" customHeight="1" x14ac:dyDescent="0.35">
      <c r="A653" s="11">
        <v>647</v>
      </c>
      <c r="B653" s="47">
        <v>203964995</v>
      </c>
      <c r="C653" s="94" t="s">
        <v>693</v>
      </c>
      <c r="D653" s="11" t="s">
        <v>694</v>
      </c>
      <c r="E653" s="48" t="s">
        <v>31</v>
      </c>
      <c r="F653" s="48" t="s">
        <v>74</v>
      </c>
      <c r="G653" s="11" t="s">
        <v>64</v>
      </c>
      <c r="H653" s="11" t="s">
        <v>75</v>
      </c>
      <c r="I653" s="11">
        <v>1299</v>
      </c>
      <c r="J653" s="49" t="s">
        <v>32</v>
      </c>
      <c r="K653" s="49" t="s">
        <v>76</v>
      </c>
      <c r="L653" s="49" t="s">
        <v>78</v>
      </c>
      <c r="M653" s="49" t="s">
        <v>92</v>
      </c>
      <c r="N653" s="48" t="s">
        <v>86</v>
      </c>
      <c r="O653" s="49" t="s">
        <v>37</v>
      </c>
      <c r="P653" s="11" t="s">
        <v>80</v>
      </c>
      <c r="Q653" s="11" t="s">
        <v>99</v>
      </c>
      <c r="R653" s="11" t="s">
        <v>1069</v>
      </c>
      <c r="S653" s="11" t="s">
        <v>2733</v>
      </c>
      <c r="T653" s="90" t="s">
        <v>1</v>
      </c>
      <c r="U653" s="90"/>
      <c r="V653" s="51">
        <v>45544</v>
      </c>
      <c r="W653" s="49" t="s">
        <v>1584</v>
      </c>
    </row>
    <row r="654" spans="1:23" ht="13" customHeight="1" x14ac:dyDescent="0.35">
      <c r="A654" s="11">
        <v>648</v>
      </c>
      <c r="B654" s="47">
        <v>206850960</v>
      </c>
      <c r="C654" s="94" t="s">
        <v>1812</v>
      </c>
      <c r="D654" s="47" t="s">
        <v>1813</v>
      </c>
      <c r="E654" s="47" t="s">
        <v>31</v>
      </c>
      <c r="F654" s="48" t="s">
        <v>74</v>
      </c>
      <c r="G654" s="11" t="s">
        <v>64</v>
      </c>
      <c r="H654" s="11" t="s">
        <v>75</v>
      </c>
      <c r="I654" s="47">
        <v>1299</v>
      </c>
      <c r="J654" s="49" t="s">
        <v>32</v>
      </c>
      <c r="K654" s="49" t="s">
        <v>76</v>
      </c>
      <c r="L654" s="49" t="s">
        <v>95</v>
      </c>
      <c r="M654" s="49" t="s">
        <v>77</v>
      </c>
      <c r="N654" s="49" t="s">
        <v>89</v>
      </c>
      <c r="O654" s="49" t="s">
        <v>37</v>
      </c>
      <c r="P654" s="11" t="s">
        <v>80</v>
      </c>
      <c r="Q654" s="47" t="s">
        <v>90</v>
      </c>
      <c r="R654" s="11" t="s">
        <v>2865</v>
      </c>
      <c r="S654" s="11" t="s">
        <v>2866</v>
      </c>
      <c r="T654" s="90" t="s">
        <v>1</v>
      </c>
      <c r="U654" s="89"/>
      <c r="V654" s="51">
        <v>46013</v>
      </c>
      <c r="W654" s="49" t="s">
        <v>1584</v>
      </c>
    </row>
    <row r="655" spans="1:23" ht="13" customHeight="1" x14ac:dyDescent="0.35">
      <c r="A655" s="11">
        <v>649</v>
      </c>
      <c r="B655" s="47">
        <v>206199915</v>
      </c>
      <c r="C655" s="94" t="s">
        <v>1600</v>
      </c>
      <c r="D655" s="11" t="s">
        <v>1594</v>
      </c>
      <c r="E655" s="48" t="s">
        <v>31</v>
      </c>
      <c r="F655" s="48" t="s">
        <v>74</v>
      </c>
      <c r="G655" s="11" t="s">
        <v>64</v>
      </c>
      <c r="H655" s="11" t="s">
        <v>75</v>
      </c>
      <c r="I655" s="11">
        <v>1299</v>
      </c>
      <c r="J655" s="49" t="s">
        <v>32</v>
      </c>
      <c r="K655" s="49" t="s">
        <v>76</v>
      </c>
      <c r="L655" s="49" t="s">
        <v>92</v>
      </c>
      <c r="M655" s="49" t="s">
        <v>84</v>
      </c>
      <c r="N655" s="48" t="s">
        <v>79</v>
      </c>
      <c r="O655" s="49" t="s">
        <v>37</v>
      </c>
      <c r="P655" s="11" t="s">
        <v>80</v>
      </c>
      <c r="Q655" s="11" t="s">
        <v>81</v>
      </c>
      <c r="R655" s="11" t="s">
        <v>1069</v>
      </c>
      <c r="S655" s="11" t="s">
        <v>2733</v>
      </c>
      <c r="T655" s="90" t="s">
        <v>1</v>
      </c>
      <c r="U655" s="89"/>
      <c r="V655" s="51">
        <v>45936</v>
      </c>
      <c r="W655" s="49" t="s">
        <v>1584</v>
      </c>
    </row>
    <row r="656" spans="1:23" ht="13" customHeight="1" x14ac:dyDescent="0.35">
      <c r="A656" s="11">
        <v>650</v>
      </c>
      <c r="B656" s="47">
        <v>204009348</v>
      </c>
      <c r="C656" s="94" t="s">
        <v>2392</v>
      </c>
      <c r="D656" s="11" t="s">
        <v>2393</v>
      </c>
      <c r="E656" s="48" t="s">
        <v>31</v>
      </c>
      <c r="F656" s="48" t="s">
        <v>74</v>
      </c>
      <c r="G656" s="11" t="s">
        <v>64</v>
      </c>
      <c r="H656" s="11" t="s">
        <v>75</v>
      </c>
      <c r="I656" s="11">
        <v>1299</v>
      </c>
      <c r="J656" s="49" t="s">
        <v>39</v>
      </c>
      <c r="K656" s="49" t="s">
        <v>76</v>
      </c>
      <c r="L656" s="49" t="s">
        <v>88</v>
      </c>
      <c r="M656" s="49" t="s">
        <v>95</v>
      </c>
      <c r="N656" s="48" t="s">
        <v>86</v>
      </c>
      <c r="O656" s="49" t="s">
        <v>37</v>
      </c>
      <c r="P656" s="11" t="s">
        <v>80</v>
      </c>
      <c r="Q656" s="11" t="s">
        <v>90</v>
      </c>
      <c r="R656" s="49" t="s">
        <v>628</v>
      </c>
      <c r="S656" s="11" t="s">
        <v>629</v>
      </c>
      <c r="T656" s="90" t="s">
        <v>10</v>
      </c>
      <c r="U656" s="91"/>
      <c r="V656" s="51">
        <v>45551</v>
      </c>
      <c r="W656" s="49" t="s">
        <v>1584</v>
      </c>
    </row>
    <row r="657" spans="1:23" ht="13" customHeight="1" x14ac:dyDescent="0.35">
      <c r="A657" s="11">
        <v>651</v>
      </c>
      <c r="B657" s="97">
        <v>203850786</v>
      </c>
      <c r="C657" s="47" t="s">
        <v>2766</v>
      </c>
      <c r="D657" s="94" t="s">
        <v>2767</v>
      </c>
      <c r="E657" s="48" t="s">
        <v>31</v>
      </c>
      <c r="F657" s="48" t="s">
        <v>74</v>
      </c>
      <c r="G657" s="11" t="s">
        <v>64</v>
      </c>
      <c r="H657" s="11" t="s">
        <v>75</v>
      </c>
      <c r="I657" s="11">
        <v>1299</v>
      </c>
      <c r="J657" s="49" t="s">
        <v>32</v>
      </c>
      <c r="K657" s="49" t="s">
        <v>76</v>
      </c>
      <c r="L657" s="49" t="s">
        <v>78</v>
      </c>
      <c r="M657" s="49" t="s">
        <v>92</v>
      </c>
      <c r="N657" s="48" t="s">
        <v>86</v>
      </c>
      <c r="O657" s="49" t="s">
        <v>37</v>
      </c>
      <c r="P657" s="11" t="s">
        <v>80</v>
      </c>
      <c r="Q657" s="11" t="s">
        <v>90</v>
      </c>
      <c r="R657" s="11" t="s">
        <v>628</v>
      </c>
      <c r="S657" s="11" t="s">
        <v>629</v>
      </c>
      <c r="T657" s="90" t="s">
        <v>1</v>
      </c>
      <c r="U657" s="91"/>
      <c r="V657" s="51">
        <v>45524</v>
      </c>
      <c r="W657" s="49" t="s">
        <v>1584</v>
      </c>
    </row>
    <row r="658" spans="1:23" ht="13" customHeight="1" x14ac:dyDescent="0.35">
      <c r="A658" s="11">
        <v>652</v>
      </c>
      <c r="B658" s="47">
        <v>203850997</v>
      </c>
      <c r="C658" s="94" t="s">
        <v>695</v>
      </c>
      <c r="D658" s="11" t="s">
        <v>696</v>
      </c>
      <c r="E658" s="48" t="s">
        <v>31</v>
      </c>
      <c r="F658" s="48" t="s">
        <v>74</v>
      </c>
      <c r="G658" s="11" t="s">
        <v>64</v>
      </c>
      <c r="H658" s="11" t="s">
        <v>75</v>
      </c>
      <c r="I658" s="11">
        <v>1299</v>
      </c>
      <c r="J658" s="49" t="s">
        <v>39</v>
      </c>
      <c r="K658" s="49" t="s">
        <v>76</v>
      </c>
      <c r="L658" s="49" t="s">
        <v>88</v>
      </c>
      <c r="M658" s="49" t="s">
        <v>95</v>
      </c>
      <c r="N658" s="48" t="s">
        <v>79</v>
      </c>
      <c r="O658" s="49" t="s">
        <v>37</v>
      </c>
      <c r="P658" s="11" t="s">
        <v>80</v>
      </c>
      <c r="Q658" s="11" t="s">
        <v>81</v>
      </c>
      <c r="R658" s="11" t="s">
        <v>632</v>
      </c>
      <c r="S658" s="11" t="s">
        <v>633</v>
      </c>
      <c r="T658" s="90" t="s">
        <v>10</v>
      </c>
      <c r="U658" s="91"/>
      <c r="V658" s="51">
        <v>45524</v>
      </c>
      <c r="W658" s="49" t="s">
        <v>1585</v>
      </c>
    </row>
    <row r="659" spans="1:23" ht="13" customHeight="1" x14ac:dyDescent="0.35">
      <c r="A659" s="11">
        <v>653</v>
      </c>
      <c r="B659" s="47">
        <v>203965024</v>
      </c>
      <c r="C659" s="94" t="s">
        <v>697</v>
      </c>
      <c r="D659" s="11" t="s">
        <v>698</v>
      </c>
      <c r="E659" s="48" t="s">
        <v>31</v>
      </c>
      <c r="F659" s="48" t="s">
        <v>74</v>
      </c>
      <c r="G659" s="11" t="s">
        <v>64</v>
      </c>
      <c r="H659" s="11" t="s">
        <v>75</v>
      </c>
      <c r="I659" s="11">
        <v>1299</v>
      </c>
      <c r="J659" s="49" t="s">
        <v>32</v>
      </c>
      <c r="K659" s="49" t="s">
        <v>76</v>
      </c>
      <c r="L659" s="49" t="s">
        <v>77</v>
      </c>
      <c r="M659" s="49" t="s">
        <v>78</v>
      </c>
      <c r="N659" s="48" t="s">
        <v>86</v>
      </c>
      <c r="O659" s="49" t="s">
        <v>37</v>
      </c>
      <c r="P659" s="11" t="s">
        <v>80</v>
      </c>
      <c r="Q659" s="11" t="s">
        <v>99</v>
      </c>
      <c r="R659" s="49" t="s">
        <v>648</v>
      </c>
      <c r="S659" s="11" t="s">
        <v>1805</v>
      </c>
      <c r="T659" s="90" t="s">
        <v>7</v>
      </c>
      <c r="U659" s="90" t="s">
        <v>2914</v>
      </c>
      <c r="V659" s="51">
        <v>45544</v>
      </c>
      <c r="W659" s="49" t="s">
        <v>1584</v>
      </c>
    </row>
    <row r="660" spans="1:23" ht="13" customHeight="1" x14ac:dyDescent="0.35">
      <c r="A660" s="11">
        <v>654</v>
      </c>
      <c r="B660" s="47">
        <v>203342030</v>
      </c>
      <c r="C660" s="94" t="s">
        <v>699</v>
      </c>
      <c r="D660" s="11" t="s">
        <v>700</v>
      </c>
      <c r="E660" s="48" t="s">
        <v>31</v>
      </c>
      <c r="F660" s="48" t="s">
        <v>74</v>
      </c>
      <c r="G660" s="11" t="s">
        <v>64</v>
      </c>
      <c r="H660" s="11" t="s">
        <v>75</v>
      </c>
      <c r="I660" s="11">
        <v>1299</v>
      </c>
      <c r="J660" s="49" t="s">
        <v>32</v>
      </c>
      <c r="K660" s="49" t="s">
        <v>76</v>
      </c>
      <c r="L660" s="49" t="s">
        <v>77</v>
      </c>
      <c r="M660" s="49" t="s">
        <v>78</v>
      </c>
      <c r="N660" s="48" t="s">
        <v>86</v>
      </c>
      <c r="O660" s="49" t="s">
        <v>37</v>
      </c>
      <c r="P660" s="11" t="s">
        <v>80</v>
      </c>
      <c r="Q660" s="11" t="s">
        <v>99</v>
      </c>
      <c r="R660" s="11" t="s">
        <v>1069</v>
      </c>
      <c r="S660" s="11" t="s">
        <v>2733</v>
      </c>
      <c r="T660" s="90" t="s">
        <v>1</v>
      </c>
      <c r="U660" s="91"/>
      <c r="V660" s="51">
        <v>45432</v>
      </c>
      <c r="W660" s="49" t="s">
        <v>1585</v>
      </c>
    </row>
    <row r="661" spans="1:23" ht="13" customHeight="1" x14ac:dyDescent="0.35">
      <c r="A661" s="11">
        <v>655</v>
      </c>
      <c r="B661" s="47">
        <v>204172225</v>
      </c>
      <c r="C661" s="94" t="s">
        <v>701</v>
      </c>
      <c r="D661" s="11" t="s">
        <v>702</v>
      </c>
      <c r="E661" s="48" t="s">
        <v>31</v>
      </c>
      <c r="F661" s="48" t="s">
        <v>74</v>
      </c>
      <c r="G661" s="11" t="s">
        <v>64</v>
      </c>
      <c r="H661" s="11" t="s">
        <v>75</v>
      </c>
      <c r="I661" s="11">
        <v>1299</v>
      </c>
      <c r="J661" s="49" t="s">
        <v>32</v>
      </c>
      <c r="K661" s="49" t="s">
        <v>76</v>
      </c>
      <c r="L661" s="49" t="s">
        <v>85</v>
      </c>
      <c r="M661" s="49" t="s">
        <v>88</v>
      </c>
      <c r="N661" s="49" t="s">
        <v>89</v>
      </c>
      <c r="O661" s="49" t="s">
        <v>37</v>
      </c>
      <c r="P661" s="11" t="s">
        <v>80</v>
      </c>
      <c r="Q661" s="11" t="s">
        <v>90</v>
      </c>
      <c r="R661" s="49" t="s">
        <v>648</v>
      </c>
      <c r="S661" s="11" t="s">
        <v>1805</v>
      </c>
      <c r="T661" s="90" t="s">
        <v>10</v>
      </c>
      <c r="U661" s="90"/>
      <c r="V661" s="51">
        <v>45568</v>
      </c>
      <c r="W661" s="49" t="s">
        <v>1584</v>
      </c>
    </row>
    <row r="662" spans="1:23" ht="13" customHeight="1" x14ac:dyDescent="0.35">
      <c r="A662" s="11">
        <v>656</v>
      </c>
      <c r="B662" s="47">
        <v>204319794</v>
      </c>
      <c r="C662" s="94" t="s">
        <v>703</v>
      </c>
      <c r="D662" s="11" t="s">
        <v>704</v>
      </c>
      <c r="E662" s="48" t="s">
        <v>31</v>
      </c>
      <c r="F662" s="48" t="s">
        <v>74</v>
      </c>
      <c r="G662" s="11" t="s">
        <v>64</v>
      </c>
      <c r="H662" s="11" t="s">
        <v>75</v>
      </c>
      <c r="I662" s="11">
        <v>1299</v>
      </c>
      <c r="J662" s="49" t="s">
        <v>39</v>
      </c>
      <c r="K662" s="49" t="s">
        <v>76</v>
      </c>
      <c r="L662" s="49" t="s">
        <v>88</v>
      </c>
      <c r="M662" s="49" t="s">
        <v>95</v>
      </c>
      <c r="N662" s="48" t="s">
        <v>86</v>
      </c>
      <c r="O662" s="49" t="s">
        <v>37</v>
      </c>
      <c r="P662" s="11" t="s">
        <v>80</v>
      </c>
      <c r="Q662" s="11" t="s">
        <v>87</v>
      </c>
      <c r="R662" s="11" t="s">
        <v>632</v>
      </c>
      <c r="S662" s="11" t="s">
        <v>633</v>
      </c>
      <c r="T662" s="90" t="s">
        <v>10</v>
      </c>
      <c r="U662" s="90"/>
      <c r="V662" s="51">
        <v>45589</v>
      </c>
      <c r="W662" s="49" t="s">
        <v>1586</v>
      </c>
    </row>
    <row r="663" spans="1:23" ht="13" customHeight="1" x14ac:dyDescent="0.35">
      <c r="A663" s="11">
        <v>657</v>
      </c>
      <c r="B663" s="47">
        <v>206926474</v>
      </c>
      <c r="C663" s="94" t="s">
        <v>2020</v>
      </c>
      <c r="D663" s="11" t="s">
        <v>2027</v>
      </c>
      <c r="E663" s="48" t="s">
        <v>31</v>
      </c>
      <c r="F663" s="48" t="s">
        <v>74</v>
      </c>
      <c r="G663" s="48" t="s">
        <v>64</v>
      </c>
      <c r="H663" s="48" t="s">
        <v>1339</v>
      </c>
      <c r="I663" s="11">
        <v>1299</v>
      </c>
      <c r="J663" s="49" t="s">
        <v>32</v>
      </c>
      <c r="K663" s="49" t="s">
        <v>76</v>
      </c>
      <c r="L663" s="49" t="s">
        <v>95</v>
      </c>
      <c r="M663" s="49" t="s">
        <v>77</v>
      </c>
      <c r="N663" s="49" t="s">
        <v>89</v>
      </c>
      <c r="O663" s="49" t="s">
        <v>37</v>
      </c>
      <c r="P663" s="49" t="s">
        <v>80</v>
      </c>
      <c r="Q663" s="49" t="s">
        <v>90</v>
      </c>
      <c r="R663" s="49" t="s">
        <v>648</v>
      </c>
      <c r="S663" s="49" t="s">
        <v>1805</v>
      </c>
      <c r="T663" s="90" t="s">
        <v>1</v>
      </c>
      <c r="U663" s="90"/>
      <c r="V663" s="51">
        <v>46037</v>
      </c>
      <c r="W663" s="49" t="s">
        <v>2029</v>
      </c>
    </row>
    <row r="664" spans="1:23" ht="13" customHeight="1" x14ac:dyDescent="0.35">
      <c r="A664" s="11">
        <v>658</v>
      </c>
      <c r="B664" s="47">
        <v>205236902</v>
      </c>
      <c r="C664" s="94" t="s">
        <v>705</v>
      </c>
      <c r="D664" s="11" t="s">
        <v>706</v>
      </c>
      <c r="E664" s="48" t="s">
        <v>31</v>
      </c>
      <c r="F664" s="48" t="s">
        <v>74</v>
      </c>
      <c r="G664" s="11" t="s">
        <v>64</v>
      </c>
      <c r="H664" s="11" t="s">
        <v>75</v>
      </c>
      <c r="I664" s="11">
        <v>1299</v>
      </c>
      <c r="J664" s="49" t="s">
        <v>39</v>
      </c>
      <c r="K664" s="49" t="s">
        <v>76</v>
      </c>
      <c r="L664" s="49" t="s">
        <v>78</v>
      </c>
      <c r="M664" s="49" t="s">
        <v>92</v>
      </c>
      <c r="N664" s="48" t="s">
        <v>86</v>
      </c>
      <c r="O664" s="49" t="s">
        <v>37</v>
      </c>
      <c r="P664" s="11" t="s">
        <v>80</v>
      </c>
      <c r="Q664" s="11" t="s">
        <v>90</v>
      </c>
      <c r="R664" s="11" t="s">
        <v>632</v>
      </c>
      <c r="S664" s="11" t="s">
        <v>633</v>
      </c>
      <c r="T664" s="90" t="s">
        <v>1</v>
      </c>
      <c r="U664" s="91"/>
      <c r="V664" s="51">
        <v>45789</v>
      </c>
      <c r="W664" s="49" t="s">
        <v>1584</v>
      </c>
    </row>
    <row r="665" spans="1:23" ht="13" customHeight="1" x14ac:dyDescent="0.35">
      <c r="A665" s="11">
        <v>659</v>
      </c>
      <c r="B665" s="47">
        <v>204053434</v>
      </c>
      <c r="C665" s="94" t="s">
        <v>707</v>
      </c>
      <c r="D665" s="11" t="s">
        <v>708</v>
      </c>
      <c r="E665" s="48" t="s">
        <v>31</v>
      </c>
      <c r="F665" s="48" t="s">
        <v>74</v>
      </c>
      <c r="G665" s="11" t="s">
        <v>64</v>
      </c>
      <c r="H665" s="11" t="s">
        <v>75</v>
      </c>
      <c r="I665" s="11">
        <v>1299</v>
      </c>
      <c r="J665" s="49" t="s">
        <v>32</v>
      </c>
      <c r="K665" s="49" t="s">
        <v>76</v>
      </c>
      <c r="L665" s="49" t="s">
        <v>95</v>
      </c>
      <c r="M665" s="49" t="s">
        <v>77</v>
      </c>
      <c r="N665" s="48" t="s">
        <v>86</v>
      </c>
      <c r="O665" s="49" t="s">
        <v>37</v>
      </c>
      <c r="P665" s="11" t="s">
        <v>80</v>
      </c>
      <c r="Q665" s="11" t="s">
        <v>99</v>
      </c>
      <c r="R665" s="11" t="s">
        <v>2865</v>
      </c>
      <c r="S665" s="11" t="s">
        <v>2866</v>
      </c>
      <c r="T665" s="90" t="s">
        <v>1</v>
      </c>
      <c r="U665" s="89"/>
      <c r="V665" s="51">
        <v>45558</v>
      </c>
      <c r="W665" s="49" t="s">
        <v>1583</v>
      </c>
    </row>
    <row r="666" spans="1:23" ht="13" customHeight="1" x14ac:dyDescent="0.35">
      <c r="A666" s="11">
        <v>660</v>
      </c>
      <c r="B666" s="47">
        <v>205236897</v>
      </c>
      <c r="C666" s="94" t="s">
        <v>2394</v>
      </c>
      <c r="D666" s="11" t="s">
        <v>2395</v>
      </c>
      <c r="E666" s="48" t="s">
        <v>31</v>
      </c>
      <c r="F666" s="48" t="s">
        <v>74</v>
      </c>
      <c r="G666" s="11" t="s">
        <v>64</v>
      </c>
      <c r="H666" s="11" t="s">
        <v>75</v>
      </c>
      <c r="I666" s="11">
        <v>1299</v>
      </c>
      <c r="J666" s="49" t="s">
        <v>39</v>
      </c>
      <c r="K666" s="49" t="s">
        <v>76</v>
      </c>
      <c r="L666" s="49" t="s">
        <v>36</v>
      </c>
      <c r="M666" s="49" t="s">
        <v>95</v>
      </c>
      <c r="N666" s="48" t="s">
        <v>86</v>
      </c>
      <c r="O666" s="49" t="s">
        <v>37</v>
      </c>
      <c r="P666" s="11" t="s">
        <v>80</v>
      </c>
      <c r="Q666" s="11" t="s">
        <v>90</v>
      </c>
      <c r="R666" s="11" t="s">
        <v>632</v>
      </c>
      <c r="S666" s="11" t="s">
        <v>633</v>
      </c>
      <c r="T666" s="90" t="s">
        <v>1</v>
      </c>
      <c r="U666" s="125" t="s">
        <v>2919</v>
      </c>
      <c r="V666" s="51">
        <v>45789</v>
      </c>
      <c r="W666" s="49" t="s">
        <v>1584</v>
      </c>
    </row>
    <row r="667" spans="1:23" ht="13" customHeight="1" x14ac:dyDescent="0.35">
      <c r="A667" s="11">
        <v>661</v>
      </c>
      <c r="B667" s="47">
        <v>204013688</v>
      </c>
      <c r="C667" s="94" t="s">
        <v>709</v>
      </c>
      <c r="D667" s="11" t="s">
        <v>710</v>
      </c>
      <c r="E667" s="48" t="s">
        <v>31</v>
      </c>
      <c r="F667" s="48" t="s">
        <v>74</v>
      </c>
      <c r="G667" s="11" t="s">
        <v>64</v>
      </c>
      <c r="H667" s="11" t="s">
        <v>75</v>
      </c>
      <c r="I667" s="11">
        <v>1299</v>
      </c>
      <c r="J667" s="49" t="s">
        <v>39</v>
      </c>
      <c r="K667" s="49" t="s">
        <v>76</v>
      </c>
      <c r="L667" s="49" t="s">
        <v>88</v>
      </c>
      <c r="M667" s="49" t="s">
        <v>95</v>
      </c>
      <c r="N667" s="48" t="s">
        <v>79</v>
      </c>
      <c r="O667" s="49" t="s">
        <v>37</v>
      </c>
      <c r="P667" s="11" t="s">
        <v>80</v>
      </c>
      <c r="Q667" s="11" t="s">
        <v>81</v>
      </c>
      <c r="R667" s="49" t="s">
        <v>628</v>
      </c>
      <c r="S667" s="11" t="s">
        <v>629</v>
      </c>
      <c r="T667" s="90" t="s">
        <v>10</v>
      </c>
      <c r="U667" s="90"/>
      <c r="V667" s="51">
        <v>45551</v>
      </c>
      <c r="W667" s="49" t="s">
        <v>1584</v>
      </c>
    </row>
    <row r="668" spans="1:23" ht="13" customHeight="1" x14ac:dyDescent="0.35">
      <c r="A668" s="11">
        <v>662</v>
      </c>
      <c r="B668" s="47">
        <v>206897553</v>
      </c>
      <c r="C668" s="94" t="s">
        <v>1906</v>
      </c>
      <c r="D668" s="11" t="s">
        <v>1907</v>
      </c>
      <c r="E668" s="48" t="s">
        <v>31</v>
      </c>
      <c r="F668" s="48" t="s">
        <v>74</v>
      </c>
      <c r="G668" s="11" t="s">
        <v>64</v>
      </c>
      <c r="H668" s="11" t="s">
        <v>75</v>
      </c>
      <c r="I668" s="11">
        <v>1290</v>
      </c>
      <c r="J668" s="49" t="s">
        <v>39</v>
      </c>
      <c r="K668" s="49" t="s">
        <v>76</v>
      </c>
      <c r="L668" s="49" t="s">
        <v>77</v>
      </c>
      <c r="M668" s="49" t="s">
        <v>78</v>
      </c>
      <c r="N668" s="49" t="s">
        <v>89</v>
      </c>
      <c r="O668" s="48" t="s">
        <v>37</v>
      </c>
      <c r="P668" s="48" t="s">
        <v>80</v>
      </c>
      <c r="Q668" s="11" t="s">
        <v>81</v>
      </c>
      <c r="R668" s="11" t="s">
        <v>1069</v>
      </c>
      <c r="S668" s="11" t="s">
        <v>2733</v>
      </c>
      <c r="T668" s="90" t="s">
        <v>1</v>
      </c>
      <c r="U668" s="89"/>
      <c r="V668" s="51">
        <v>46030</v>
      </c>
      <c r="W668" s="49" t="s">
        <v>1585</v>
      </c>
    </row>
    <row r="669" spans="1:23" ht="13" customHeight="1" x14ac:dyDescent="0.35">
      <c r="A669" s="11">
        <v>663</v>
      </c>
      <c r="B669" s="47">
        <v>205854273</v>
      </c>
      <c r="C669" s="94" t="s">
        <v>711</v>
      </c>
      <c r="D669" s="11" t="s">
        <v>712</v>
      </c>
      <c r="E669" s="48" t="s">
        <v>31</v>
      </c>
      <c r="F669" s="48" t="s">
        <v>74</v>
      </c>
      <c r="G669" s="11" t="s">
        <v>64</v>
      </c>
      <c r="H669" s="11" t="s">
        <v>75</v>
      </c>
      <c r="I669" s="11">
        <v>1299</v>
      </c>
      <c r="J669" s="49" t="s">
        <v>32</v>
      </c>
      <c r="K669" s="49" t="s">
        <v>76</v>
      </c>
      <c r="L669" s="49" t="s">
        <v>92</v>
      </c>
      <c r="M669" s="49" t="s">
        <v>84</v>
      </c>
      <c r="N669" s="49" t="s">
        <v>79</v>
      </c>
      <c r="O669" s="49" t="s">
        <v>37</v>
      </c>
      <c r="P669" s="11" t="s">
        <v>80</v>
      </c>
      <c r="Q669" s="11" t="s">
        <v>96</v>
      </c>
      <c r="R669" s="11" t="s">
        <v>632</v>
      </c>
      <c r="S669" s="11" t="s">
        <v>633</v>
      </c>
      <c r="T669" s="90" t="s">
        <v>7</v>
      </c>
      <c r="U669" s="90" t="s">
        <v>2914</v>
      </c>
      <c r="V669" s="51">
        <v>45894</v>
      </c>
      <c r="W669" s="49" t="s">
        <v>1584</v>
      </c>
    </row>
    <row r="670" spans="1:23" ht="13" customHeight="1" x14ac:dyDescent="0.35">
      <c r="A670" s="11">
        <v>664</v>
      </c>
      <c r="B670" s="47">
        <v>206926475</v>
      </c>
      <c r="C670" s="94" t="s">
        <v>2018</v>
      </c>
      <c r="D670" s="11" t="s">
        <v>2025</v>
      </c>
      <c r="E670" s="48" t="s">
        <v>31</v>
      </c>
      <c r="F670" s="48" t="s">
        <v>74</v>
      </c>
      <c r="G670" s="48" t="s">
        <v>64</v>
      </c>
      <c r="H670" s="48" t="s">
        <v>1339</v>
      </c>
      <c r="I670" s="11">
        <v>1299</v>
      </c>
      <c r="J670" s="49" t="s">
        <v>32</v>
      </c>
      <c r="K670" s="49" t="s">
        <v>76</v>
      </c>
      <c r="L670" s="49" t="s">
        <v>78</v>
      </c>
      <c r="M670" s="49" t="s">
        <v>92</v>
      </c>
      <c r="N670" s="49" t="s">
        <v>89</v>
      </c>
      <c r="O670" s="49" t="s">
        <v>37</v>
      </c>
      <c r="P670" s="49" t="s">
        <v>80</v>
      </c>
      <c r="Q670" s="49" t="s">
        <v>90</v>
      </c>
      <c r="R670" s="49" t="s">
        <v>2735</v>
      </c>
      <c r="S670" s="11" t="s">
        <v>643</v>
      </c>
      <c r="T670" s="90" t="s">
        <v>1</v>
      </c>
      <c r="U670" s="90"/>
      <c r="V670" s="51">
        <v>46037</v>
      </c>
      <c r="W670" s="49" t="s">
        <v>2029</v>
      </c>
    </row>
    <row r="671" spans="1:23" ht="13" customHeight="1" x14ac:dyDescent="0.35">
      <c r="A671" s="11">
        <v>665</v>
      </c>
      <c r="B671" s="47">
        <v>206128846</v>
      </c>
      <c r="C671" s="94" t="s">
        <v>713</v>
      </c>
      <c r="D671" s="11" t="s">
        <v>714</v>
      </c>
      <c r="E671" s="48" t="s">
        <v>31</v>
      </c>
      <c r="F671" s="48" t="s">
        <v>74</v>
      </c>
      <c r="G671" s="11" t="s">
        <v>64</v>
      </c>
      <c r="H671" s="11" t="s">
        <v>75</v>
      </c>
      <c r="I671" s="11">
        <v>1299</v>
      </c>
      <c r="J671" s="49" t="s">
        <v>32</v>
      </c>
      <c r="K671" s="49" t="s">
        <v>76</v>
      </c>
      <c r="L671" s="49" t="s">
        <v>92</v>
      </c>
      <c r="M671" s="49" t="s">
        <v>84</v>
      </c>
      <c r="N671" s="49" t="s">
        <v>89</v>
      </c>
      <c r="O671" s="49" t="s">
        <v>37</v>
      </c>
      <c r="P671" s="11" t="s">
        <v>80</v>
      </c>
      <c r="Q671" s="11" t="s">
        <v>81</v>
      </c>
      <c r="R671" s="11" t="s">
        <v>640</v>
      </c>
      <c r="S671" s="11" t="s">
        <v>2734</v>
      </c>
      <c r="T671" s="90" t="s">
        <v>1</v>
      </c>
      <c r="U671" s="90"/>
      <c r="V671" s="51">
        <v>45929</v>
      </c>
      <c r="W671" s="49" t="s">
        <v>1584</v>
      </c>
    </row>
    <row r="672" spans="1:23" ht="13" customHeight="1" x14ac:dyDescent="0.35">
      <c r="A672" s="11">
        <v>666</v>
      </c>
      <c r="B672" s="47">
        <v>204013691</v>
      </c>
      <c r="C672" s="94" t="s">
        <v>715</v>
      </c>
      <c r="D672" s="11" t="s">
        <v>716</v>
      </c>
      <c r="E672" s="48" t="s">
        <v>31</v>
      </c>
      <c r="F672" s="48" t="s">
        <v>74</v>
      </c>
      <c r="G672" s="11" t="s">
        <v>64</v>
      </c>
      <c r="H672" s="11" t="s">
        <v>75</v>
      </c>
      <c r="I672" s="11">
        <v>1299</v>
      </c>
      <c r="J672" s="49" t="s">
        <v>39</v>
      </c>
      <c r="K672" s="49" t="s">
        <v>76</v>
      </c>
      <c r="L672" s="49" t="s">
        <v>85</v>
      </c>
      <c r="M672" s="49" t="s">
        <v>88</v>
      </c>
      <c r="N672" s="48" t="s">
        <v>79</v>
      </c>
      <c r="O672" s="49" t="s">
        <v>37</v>
      </c>
      <c r="P672" s="11" t="s">
        <v>80</v>
      </c>
      <c r="Q672" s="11" t="s">
        <v>81</v>
      </c>
      <c r="R672" s="11" t="s">
        <v>632</v>
      </c>
      <c r="S672" s="11" t="s">
        <v>633</v>
      </c>
      <c r="T672" s="90" t="s">
        <v>10</v>
      </c>
      <c r="U672" s="90"/>
      <c r="V672" s="51">
        <v>45551</v>
      </c>
      <c r="W672" s="49" t="s">
        <v>1584</v>
      </c>
    </row>
    <row r="673" spans="1:23" ht="13" customHeight="1" x14ac:dyDescent="0.35">
      <c r="A673" s="11">
        <v>667</v>
      </c>
      <c r="B673" s="97">
        <v>205848051</v>
      </c>
      <c r="C673" s="47" t="s">
        <v>2768</v>
      </c>
      <c r="D673" s="94" t="s">
        <v>2769</v>
      </c>
      <c r="E673" s="48" t="s">
        <v>31</v>
      </c>
      <c r="F673" s="48" t="s">
        <v>74</v>
      </c>
      <c r="G673" s="11" t="s">
        <v>64</v>
      </c>
      <c r="H673" s="11" t="s">
        <v>75</v>
      </c>
      <c r="I673" s="11">
        <v>1299</v>
      </c>
      <c r="J673" s="49" t="s">
        <v>39</v>
      </c>
      <c r="K673" s="49" t="s">
        <v>76</v>
      </c>
      <c r="L673" s="49" t="s">
        <v>92</v>
      </c>
      <c r="M673" s="49" t="s">
        <v>84</v>
      </c>
      <c r="N673" s="49" t="s">
        <v>89</v>
      </c>
      <c r="O673" s="49" t="s">
        <v>37</v>
      </c>
      <c r="P673" s="11" t="s">
        <v>80</v>
      </c>
      <c r="Q673" s="11" t="s">
        <v>96</v>
      </c>
      <c r="R673" s="11" t="s">
        <v>648</v>
      </c>
      <c r="S673" s="11" t="s">
        <v>2755</v>
      </c>
      <c r="T673" s="90" t="s">
        <v>1</v>
      </c>
      <c r="U673" s="90"/>
      <c r="V673" s="51">
        <v>45894</v>
      </c>
      <c r="W673" s="49" t="s">
        <v>1584</v>
      </c>
    </row>
    <row r="674" spans="1:23" ht="13" customHeight="1" x14ac:dyDescent="0.35">
      <c r="A674" s="11">
        <v>668</v>
      </c>
      <c r="B674" s="47">
        <v>203908868</v>
      </c>
      <c r="C674" s="94" t="s">
        <v>717</v>
      </c>
      <c r="D674" s="11" t="s">
        <v>718</v>
      </c>
      <c r="E674" s="48" t="s">
        <v>31</v>
      </c>
      <c r="F674" s="48" t="s">
        <v>74</v>
      </c>
      <c r="G674" s="11" t="s">
        <v>64</v>
      </c>
      <c r="H674" s="11" t="s">
        <v>75</v>
      </c>
      <c r="I674" s="11">
        <v>1299</v>
      </c>
      <c r="J674" s="49" t="s">
        <v>39</v>
      </c>
      <c r="K674" s="49" t="s">
        <v>76</v>
      </c>
      <c r="L674" s="49" t="s">
        <v>92</v>
      </c>
      <c r="M674" s="49" t="s">
        <v>84</v>
      </c>
      <c r="N674" s="48" t="s">
        <v>79</v>
      </c>
      <c r="O674" s="49" t="s">
        <v>37</v>
      </c>
      <c r="P674" s="11" t="s">
        <v>80</v>
      </c>
      <c r="Q674" s="11" t="s">
        <v>81</v>
      </c>
      <c r="R674" s="11" t="s">
        <v>632</v>
      </c>
      <c r="S674" s="11" t="s">
        <v>633</v>
      </c>
      <c r="T674" s="90" t="s">
        <v>1</v>
      </c>
      <c r="U674" s="89"/>
      <c r="V674" s="51">
        <v>45537</v>
      </c>
      <c r="W674" s="49" t="s">
        <v>1584</v>
      </c>
    </row>
    <row r="675" spans="1:23" ht="13" customHeight="1" x14ac:dyDescent="0.35">
      <c r="A675" s="11">
        <v>669</v>
      </c>
      <c r="B675" s="47">
        <v>206072090</v>
      </c>
      <c r="C675" s="94" t="s">
        <v>719</v>
      </c>
      <c r="D675" s="11" t="s">
        <v>720</v>
      </c>
      <c r="E675" s="48" t="s">
        <v>31</v>
      </c>
      <c r="F675" s="48" t="s">
        <v>74</v>
      </c>
      <c r="G675" s="11" t="s">
        <v>64</v>
      </c>
      <c r="H675" s="11" t="s">
        <v>75</v>
      </c>
      <c r="I675" s="11">
        <v>1299</v>
      </c>
      <c r="J675" s="49" t="s">
        <v>32</v>
      </c>
      <c r="K675" s="49" t="s">
        <v>76</v>
      </c>
      <c r="L675" s="49" t="s">
        <v>95</v>
      </c>
      <c r="M675" s="49" t="s">
        <v>77</v>
      </c>
      <c r="N675" s="48" t="s">
        <v>79</v>
      </c>
      <c r="O675" s="49" t="s">
        <v>37</v>
      </c>
      <c r="P675" s="11" t="s">
        <v>80</v>
      </c>
      <c r="Q675" s="11" t="s">
        <v>81</v>
      </c>
      <c r="R675" s="49" t="s">
        <v>648</v>
      </c>
      <c r="S675" s="11" t="s">
        <v>1805</v>
      </c>
      <c r="T675" s="90" t="s">
        <v>1</v>
      </c>
      <c r="U675" s="90"/>
      <c r="V675" s="51">
        <v>45922</v>
      </c>
      <c r="W675" s="49" t="s">
        <v>1584</v>
      </c>
    </row>
    <row r="676" spans="1:23" ht="13" customHeight="1" x14ac:dyDescent="0.35">
      <c r="A676" s="11">
        <v>670</v>
      </c>
      <c r="B676" s="47">
        <v>203965180</v>
      </c>
      <c r="C676" s="94" t="s">
        <v>721</v>
      </c>
      <c r="D676" s="11" t="s">
        <v>722</v>
      </c>
      <c r="E676" s="48" t="s">
        <v>31</v>
      </c>
      <c r="F676" s="48" t="s">
        <v>74</v>
      </c>
      <c r="G676" s="11" t="s">
        <v>64</v>
      </c>
      <c r="H676" s="11" t="s">
        <v>75</v>
      </c>
      <c r="I676" s="11">
        <v>1299</v>
      </c>
      <c r="J676" s="49" t="s">
        <v>39</v>
      </c>
      <c r="K676" s="49" t="s">
        <v>76</v>
      </c>
      <c r="L676" s="49" t="s">
        <v>85</v>
      </c>
      <c r="M676" s="49" t="s">
        <v>88</v>
      </c>
      <c r="N676" s="48" t="s">
        <v>79</v>
      </c>
      <c r="O676" s="49" t="s">
        <v>37</v>
      </c>
      <c r="P676" s="11" t="s">
        <v>80</v>
      </c>
      <c r="Q676" s="11" t="s">
        <v>81</v>
      </c>
      <c r="R676" s="11" t="s">
        <v>632</v>
      </c>
      <c r="S676" s="11" t="s">
        <v>633</v>
      </c>
      <c r="T676" s="90" t="s">
        <v>10</v>
      </c>
      <c r="U676" s="89"/>
      <c r="V676" s="51">
        <v>45544</v>
      </c>
      <c r="W676" s="49" t="s">
        <v>1584</v>
      </c>
    </row>
    <row r="677" spans="1:23" ht="13" customHeight="1" x14ac:dyDescent="0.35">
      <c r="A677" s="11">
        <v>671</v>
      </c>
      <c r="B677" s="47">
        <v>201161555</v>
      </c>
      <c r="C677" s="94" t="s">
        <v>723</v>
      </c>
      <c r="D677" s="11" t="s">
        <v>724</v>
      </c>
      <c r="E677" s="48" t="s">
        <v>31</v>
      </c>
      <c r="F677" s="48" t="s">
        <v>74</v>
      </c>
      <c r="G677" s="11" t="s">
        <v>64</v>
      </c>
      <c r="H677" s="11" t="s">
        <v>75</v>
      </c>
      <c r="I677" s="11">
        <v>1299</v>
      </c>
      <c r="J677" s="49" t="s">
        <v>39</v>
      </c>
      <c r="K677" s="49" t="s">
        <v>76</v>
      </c>
      <c r="L677" s="49" t="s">
        <v>95</v>
      </c>
      <c r="M677" s="49" t="s">
        <v>77</v>
      </c>
      <c r="N677" s="48" t="s">
        <v>86</v>
      </c>
      <c r="O677" s="49" t="s">
        <v>37</v>
      </c>
      <c r="P677" s="11" t="s">
        <v>80</v>
      </c>
      <c r="Q677" s="11" t="s">
        <v>87</v>
      </c>
      <c r="R677" s="11" t="s">
        <v>632</v>
      </c>
      <c r="S677" s="11" t="s">
        <v>633</v>
      </c>
      <c r="T677" s="90" t="s">
        <v>1</v>
      </c>
      <c r="U677" s="90"/>
      <c r="V677" s="51">
        <v>45586</v>
      </c>
      <c r="W677" s="49" t="s">
        <v>1585</v>
      </c>
    </row>
    <row r="678" spans="1:23" ht="13" customHeight="1" x14ac:dyDescent="0.35">
      <c r="A678" s="11">
        <v>672</v>
      </c>
      <c r="B678" s="47">
        <v>204117188</v>
      </c>
      <c r="C678" s="94" t="s">
        <v>725</v>
      </c>
      <c r="D678" s="11" t="s">
        <v>726</v>
      </c>
      <c r="E678" s="48" t="s">
        <v>31</v>
      </c>
      <c r="F678" s="48" t="s">
        <v>74</v>
      </c>
      <c r="G678" s="11" t="s">
        <v>64</v>
      </c>
      <c r="H678" s="11" t="s">
        <v>75</v>
      </c>
      <c r="I678" s="11">
        <v>1299</v>
      </c>
      <c r="J678" s="49" t="s">
        <v>39</v>
      </c>
      <c r="K678" s="49" t="s">
        <v>76</v>
      </c>
      <c r="L678" s="49" t="s">
        <v>85</v>
      </c>
      <c r="M678" s="49" t="s">
        <v>88</v>
      </c>
      <c r="N678" s="48" t="s">
        <v>86</v>
      </c>
      <c r="O678" s="49" t="s">
        <v>37</v>
      </c>
      <c r="P678" s="11" t="s">
        <v>80</v>
      </c>
      <c r="Q678" s="11" t="s">
        <v>87</v>
      </c>
      <c r="R678" s="49" t="s">
        <v>628</v>
      </c>
      <c r="S678" s="11" t="s">
        <v>629</v>
      </c>
      <c r="T678" s="90" t="s">
        <v>10</v>
      </c>
      <c r="U678" s="90"/>
      <c r="V678" s="51">
        <v>45561</v>
      </c>
      <c r="W678" s="49" t="s">
        <v>1583</v>
      </c>
    </row>
    <row r="679" spans="1:23" ht="13" customHeight="1" x14ac:dyDescent="0.35">
      <c r="A679" s="11">
        <v>673</v>
      </c>
      <c r="B679" s="97">
        <v>204172234</v>
      </c>
      <c r="C679" s="47" t="s">
        <v>2770</v>
      </c>
      <c r="D679" s="94" t="s">
        <v>2771</v>
      </c>
      <c r="E679" s="48" t="s">
        <v>31</v>
      </c>
      <c r="F679" s="48" t="s">
        <v>74</v>
      </c>
      <c r="G679" s="11" t="s">
        <v>64</v>
      </c>
      <c r="H679" s="11" t="s">
        <v>75</v>
      </c>
      <c r="I679" s="11">
        <v>1299</v>
      </c>
      <c r="J679" s="49" t="s">
        <v>39</v>
      </c>
      <c r="K679" s="49" t="s">
        <v>76</v>
      </c>
      <c r="L679" s="49" t="s">
        <v>88</v>
      </c>
      <c r="M679" s="49" t="s">
        <v>95</v>
      </c>
      <c r="N679" s="49" t="s">
        <v>89</v>
      </c>
      <c r="O679" s="49" t="s">
        <v>37</v>
      </c>
      <c r="P679" s="11" t="s">
        <v>80</v>
      </c>
      <c r="Q679" s="11" t="s">
        <v>90</v>
      </c>
      <c r="R679" s="11" t="s">
        <v>648</v>
      </c>
      <c r="S679" s="11" t="s">
        <v>2755</v>
      </c>
      <c r="T679" s="90" t="s">
        <v>10</v>
      </c>
      <c r="U679" s="89"/>
      <c r="V679" s="51">
        <v>45568</v>
      </c>
      <c r="W679" s="49" t="s">
        <v>1584</v>
      </c>
    </row>
    <row r="680" spans="1:23" ht="13" customHeight="1" x14ac:dyDescent="0.35">
      <c r="A680" s="11">
        <v>674</v>
      </c>
      <c r="B680" s="97">
        <v>204009916</v>
      </c>
      <c r="C680" s="47" t="s">
        <v>2772</v>
      </c>
      <c r="D680" s="94" t="s">
        <v>2773</v>
      </c>
      <c r="E680" s="48" t="s">
        <v>31</v>
      </c>
      <c r="F680" s="48" t="s">
        <v>74</v>
      </c>
      <c r="G680" s="11" t="s">
        <v>64</v>
      </c>
      <c r="H680" s="11" t="s">
        <v>75</v>
      </c>
      <c r="I680" s="11">
        <v>1299</v>
      </c>
      <c r="J680" s="49" t="s">
        <v>32</v>
      </c>
      <c r="K680" s="49" t="s">
        <v>76</v>
      </c>
      <c r="L680" s="49" t="s">
        <v>92</v>
      </c>
      <c r="M680" s="49" t="s">
        <v>84</v>
      </c>
      <c r="N680" s="48" t="s">
        <v>86</v>
      </c>
      <c r="O680" s="49" t="s">
        <v>37</v>
      </c>
      <c r="P680" s="11" t="s">
        <v>80</v>
      </c>
      <c r="Q680" s="11" t="s">
        <v>90</v>
      </c>
      <c r="R680" s="11" t="s">
        <v>648</v>
      </c>
      <c r="S680" s="11" t="s">
        <v>2755</v>
      </c>
      <c r="T680" s="90" t="s">
        <v>1</v>
      </c>
      <c r="U680" s="89"/>
      <c r="V680" s="51">
        <v>45551</v>
      </c>
      <c r="W680" s="49" t="s">
        <v>1584</v>
      </c>
    </row>
    <row r="681" spans="1:23" ht="13" customHeight="1" x14ac:dyDescent="0.35">
      <c r="A681" s="11">
        <v>675</v>
      </c>
      <c r="B681" s="97">
        <v>203908328</v>
      </c>
      <c r="C681" s="47" t="s">
        <v>2774</v>
      </c>
      <c r="D681" s="94" t="s">
        <v>2775</v>
      </c>
      <c r="E681" s="48" t="s">
        <v>31</v>
      </c>
      <c r="F681" s="48" t="s">
        <v>74</v>
      </c>
      <c r="G681" s="11" t="s">
        <v>64</v>
      </c>
      <c r="H681" s="11" t="s">
        <v>75</v>
      </c>
      <c r="I681" s="11">
        <v>1299</v>
      </c>
      <c r="J681" s="49" t="s">
        <v>32</v>
      </c>
      <c r="K681" s="49" t="s">
        <v>76</v>
      </c>
      <c r="L681" s="49" t="s">
        <v>85</v>
      </c>
      <c r="M681" s="49" t="s">
        <v>88</v>
      </c>
      <c r="N681" s="49" t="s">
        <v>89</v>
      </c>
      <c r="O681" s="49" t="s">
        <v>37</v>
      </c>
      <c r="P681" s="11" t="s">
        <v>80</v>
      </c>
      <c r="Q681" s="11" t="s">
        <v>90</v>
      </c>
      <c r="R681" s="11" t="s">
        <v>2865</v>
      </c>
      <c r="S681" s="11" t="s">
        <v>2866</v>
      </c>
      <c r="T681" s="90" t="s">
        <v>10</v>
      </c>
      <c r="U681" s="90"/>
      <c r="V681" s="51">
        <v>45537</v>
      </c>
      <c r="W681" s="49" t="s">
        <v>1584</v>
      </c>
    </row>
    <row r="682" spans="1:23" ht="13" customHeight="1" x14ac:dyDescent="0.35">
      <c r="A682" s="11">
        <v>676</v>
      </c>
      <c r="B682" s="47">
        <v>203512948</v>
      </c>
      <c r="C682" s="94" t="s">
        <v>727</v>
      </c>
      <c r="D682" s="11" t="s">
        <v>728</v>
      </c>
      <c r="E682" s="48" t="s">
        <v>31</v>
      </c>
      <c r="F682" s="48" t="s">
        <v>74</v>
      </c>
      <c r="G682" s="11" t="s">
        <v>64</v>
      </c>
      <c r="H682" s="11" t="s">
        <v>75</v>
      </c>
      <c r="I682" s="11">
        <v>1299</v>
      </c>
      <c r="J682" s="49" t="s">
        <v>39</v>
      </c>
      <c r="K682" s="49" t="s">
        <v>76</v>
      </c>
      <c r="L682" s="49" t="s">
        <v>88</v>
      </c>
      <c r="M682" s="49" t="s">
        <v>95</v>
      </c>
      <c r="N682" s="48" t="s">
        <v>79</v>
      </c>
      <c r="O682" s="49" t="s">
        <v>37</v>
      </c>
      <c r="P682" s="11" t="s">
        <v>80</v>
      </c>
      <c r="Q682" s="11" t="s">
        <v>81</v>
      </c>
      <c r="R682" s="11" t="s">
        <v>632</v>
      </c>
      <c r="S682" s="11" t="s">
        <v>633</v>
      </c>
      <c r="T682" s="90" t="s">
        <v>10</v>
      </c>
      <c r="U682" s="89"/>
      <c r="V682" s="51">
        <v>45463</v>
      </c>
      <c r="W682" s="49" t="s">
        <v>1584</v>
      </c>
    </row>
    <row r="683" spans="1:23" ht="13" customHeight="1" x14ac:dyDescent="0.35">
      <c r="A683" s="11">
        <v>677</v>
      </c>
      <c r="B683" s="47">
        <v>204137703</v>
      </c>
      <c r="C683" s="94" t="s">
        <v>729</v>
      </c>
      <c r="D683" s="11" t="s">
        <v>730</v>
      </c>
      <c r="E683" s="48" t="s">
        <v>31</v>
      </c>
      <c r="F683" s="48" t="s">
        <v>74</v>
      </c>
      <c r="G683" s="11" t="s">
        <v>64</v>
      </c>
      <c r="H683" s="11" t="s">
        <v>75</v>
      </c>
      <c r="I683" s="11">
        <v>1299</v>
      </c>
      <c r="J683" s="49" t="s">
        <v>39</v>
      </c>
      <c r="K683" s="49" t="s">
        <v>76</v>
      </c>
      <c r="L683" s="49" t="s">
        <v>88</v>
      </c>
      <c r="M683" s="49" t="s">
        <v>95</v>
      </c>
      <c r="N683" s="48" t="s">
        <v>86</v>
      </c>
      <c r="O683" s="49" t="s">
        <v>37</v>
      </c>
      <c r="P683" s="11" t="s">
        <v>80</v>
      </c>
      <c r="Q683" s="11" t="s">
        <v>87</v>
      </c>
      <c r="R683" s="11" t="s">
        <v>632</v>
      </c>
      <c r="S683" s="11" t="s">
        <v>633</v>
      </c>
      <c r="T683" s="90" t="s">
        <v>10</v>
      </c>
      <c r="U683" s="90"/>
      <c r="V683" s="51">
        <v>45565</v>
      </c>
      <c r="W683" s="49" t="s">
        <v>1584</v>
      </c>
    </row>
    <row r="684" spans="1:23" ht="13" customHeight="1" x14ac:dyDescent="0.35">
      <c r="A684" s="11">
        <v>678</v>
      </c>
      <c r="B684" s="47">
        <v>204299063</v>
      </c>
      <c r="C684" s="94" t="s">
        <v>731</v>
      </c>
      <c r="D684" s="11" t="s">
        <v>732</v>
      </c>
      <c r="E684" s="48" t="s">
        <v>31</v>
      </c>
      <c r="F684" s="48" t="s">
        <v>74</v>
      </c>
      <c r="G684" s="11" t="s">
        <v>64</v>
      </c>
      <c r="H684" s="11" t="s">
        <v>75</v>
      </c>
      <c r="I684" s="11">
        <v>1299</v>
      </c>
      <c r="J684" s="49" t="s">
        <v>39</v>
      </c>
      <c r="K684" s="49" t="s">
        <v>76</v>
      </c>
      <c r="L684" s="49" t="s">
        <v>77</v>
      </c>
      <c r="M684" s="49" t="s">
        <v>78</v>
      </c>
      <c r="N684" s="48" t="s">
        <v>86</v>
      </c>
      <c r="O684" s="49" t="s">
        <v>37</v>
      </c>
      <c r="P684" s="11" t="s">
        <v>80</v>
      </c>
      <c r="Q684" s="11" t="s">
        <v>87</v>
      </c>
      <c r="R684" s="11" t="s">
        <v>632</v>
      </c>
      <c r="S684" s="11" t="s">
        <v>633</v>
      </c>
      <c r="T684" s="90" t="s">
        <v>1</v>
      </c>
      <c r="U684" s="89"/>
      <c r="V684" s="51">
        <v>45586</v>
      </c>
      <c r="W684" s="49" t="s">
        <v>1585</v>
      </c>
    </row>
    <row r="685" spans="1:23" ht="13" customHeight="1" x14ac:dyDescent="0.35">
      <c r="A685" s="11">
        <v>679</v>
      </c>
      <c r="B685" s="47">
        <v>206239521</v>
      </c>
      <c r="C685" s="94" t="s">
        <v>2396</v>
      </c>
      <c r="D685" s="11" t="s">
        <v>2397</v>
      </c>
      <c r="E685" s="48" t="s">
        <v>31</v>
      </c>
      <c r="F685" s="48" t="s">
        <v>74</v>
      </c>
      <c r="G685" s="11" t="s">
        <v>64</v>
      </c>
      <c r="H685" s="11" t="s">
        <v>75</v>
      </c>
      <c r="I685" s="11">
        <v>1299</v>
      </c>
      <c r="J685" s="49" t="s">
        <v>39</v>
      </c>
      <c r="K685" s="49" t="s">
        <v>76</v>
      </c>
      <c r="L685" s="49" t="s">
        <v>84</v>
      </c>
      <c r="M685" s="49" t="s">
        <v>85</v>
      </c>
      <c r="N685" s="49" t="s">
        <v>89</v>
      </c>
      <c r="O685" s="49" t="s">
        <v>37</v>
      </c>
      <c r="P685" s="11" t="s">
        <v>80</v>
      </c>
      <c r="Q685" s="11" t="s">
        <v>90</v>
      </c>
      <c r="R685" s="11" t="s">
        <v>632</v>
      </c>
      <c r="S685" s="11" t="s">
        <v>633</v>
      </c>
      <c r="T685" s="90" t="s">
        <v>1</v>
      </c>
      <c r="U685" s="90"/>
      <c r="V685" s="51">
        <v>45943</v>
      </c>
      <c r="W685" s="49" t="s">
        <v>1585</v>
      </c>
    </row>
    <row r="686" spans="1:23" ht="13" customHeight="1" x14ac:dyDescent="0.35">
      <c r="A686" s="11">
        <v>680</v>
      </c>
      <c r="B686" s="47">
        <v>206239750</v>
      </c>
      <c r="C686" s="94" t="s">
        <v>1646</v>
      </c>
      <c r="D686" s="11" t="s">
        <v>1641</v>
      </c>
      <c r="E686" s="48" t="s">
        <v>31</v>
      </c>
      <c r="F686" s="48" t="s">
        <v>74</v>
      </c>
      <c r="G686" s="11" t="s">
        <v>64</v>
      </c>
      <c r="H686" s="11" t="s">
        <v>75</v>
      </c>
      <c r="I686" s="11">
        <v>1299</v>
      </c>
      <c r="J686" s="49" t="s">
        <v>39</v>
      </c>
      <c r="K686" s="49" t="s">
        <v>76</v>
      </c>
      <c r="L686" s="49" t="s">
        <v>88</v>
      </c>
      <c r="M686" s="49" t="s">
        <v>95</v>
      </c>
      <c r="N686" s="49" t="s">
        <v>89</v>
      </c>
      <c r="O686" s="49" t="s">
        <v>37</v>
      </c>
      <c r="P686" s="11" t="s">
        <v>80</v>
      </c>
      <c r="Q686" s="11" t="s">
        <v>90</v>
      </c>
      <c r="R686" s="11" t="s">
        <v>632</v>
      </c>
      <c r="S686" s="11" t="s">
        <v>633</v>
      </c>
      <c r="T686" s="90" t="s">
        <v>10</v>
      </c>
      <c r="U686" s="90"/>
      <c r="V686" s="51">
        <v>45943</v>
      </c>
      <c r="W686" s="49" t="s">
        <v>1585</v>
      </c>
    </row>
    <row r="687" spans="1:23" ht="13" customHeight="1" x14ac:dyDescent="0.35">
      <c r="A687" s="11">
        <v>681</v>
      </c>
      <c r="B687" s="47">
        <v>203513810</v>
      </c>
      <c r="C687" s="94" t="s">
        <v>733</v>
      </c>
      <c r="D687" s="11" t="s">
        <v>734</v>
      </c>
      <c r="E687" s="48" t="s">
        <v>31</v>
      </c>
      <c r="F687" s="48" t="s">
        <v>74</v>
      </c>
      <c r="G687" s="11" t="s">
        <v>64</v>
      </c>
      <c r="H687" s="11" t="s">
        <v>75</v>
      </c>
      <c r="I687" s="11">
        <v>1299</v>
      </c>
      <c r="J687" s="49" t="s">
        <v>32</v>
      </c>
      <c r="K687" s="49" t="s">
        <v>76</v>
      </c>
      <c r="L687" s="49" t="s">
        <v>85</v>
      </c>
      <c r="M687" s="49" t="s">
        <v>88</v>
      </c>
      <c r="N687" s="48" t="s">
        <v>79</v>
      </c>
      <c r="O687" s="49" t="s">
        <v>37</v>
      </c>
      <c r="P687" s="11" t="s">
        <v>80</v>
      </c>
      <c r="Q687" s="11" t="s">
        <v>81</v>
      </c>
      <c r="R687" s="49" t="s">
        <v>2735</v>
      </c>
      <c r="S687" s="11" t="s">
        <v>643</v>
      </c>
      <c r="T687" s="90" t="s">
        <v>10</v>
      </c>
      <c r="U687" s="90"/>
      <c r="V687" s="51">
        <v>45463</v>
      </c>
      <c r="W687" s="49" t="s">
        <v>1584</v>
      </c>
    </row>
    <row r="688" spans="1:23" ht="13" customHeight="1" x14ac:dyDescent="0.35">
      <c r="A688" s="11">
        <v>682</v>
      </c>
      <c r="B688" s="47">
        <v>206491327</v>
      </c>
      <c r="C688" s="94" t="s">
        <v>2147</v>
      </c>
      <c r="D688" s="11" t="s">
        <v>2148</v>
      </c>
      <c r="E688" s="112" t="s">
        <v>31</v>
      </c>
      <c r="F688" s="48" t="s">
        <v>74</v>
      </c>
      <c r="G688" s="11" t="s">
        <v>64</v>
      </c>
      <c r="H688" s="11" t="s">
        <v>75</v>
      </c>
      <c r="I688" s="11">
        <v>1299</v>
      </c>
      <c r="J688" s="88" t="s">
        <v>39</v>
      </c>
      <c r="K688" s="49" t="s">
        <v>76</v>
      </c>
      <c r="L688" s="49" t="s">
        <v>78</v>
      </c>
      <c r="M688" s="49" t="s">
        <v>92</v>
      </c>
      <c r="N688" s="49" t="s">
        <v>89</v>
      </c>
      <c r="O688" s="49" t="s">
        <v>37</v>
      </c>
      <c r="P688" s="49" t="s">
        <v>80</v>
      </c>
      <c r="Q688" s="49" t="s">
        <v>96</v>
      </c>
      <c r="R688" s="49" t="s">
        <v>648</v>
      </c>
      <c r="S688" s="49" t="s">
        <v>1805</v>
      </c>
      <c r="T688" s="90" t="s">
        <v>1</v>
      </c>
      <c r="U688" s="91"/>
      <c r="V688" s="51">
        <v>46048</v>
      </c>
      <c r="W688" s="49" t="s">
        <v>1584</v>
      </c>
    </row>
    <row r="689" spans="1:23" ht="13" customHeight="1" x14ac:dyDescent="0.35">
      <c r="A689" s="11">
        <v>683</v>
      </c>
      <c r="B689" s="47">
        <v>203512670</v>
      </c>
      <c r="C689" s="94" t="s">
        <v>735</v>
      </c>
      <c r="D689" s="11" t="s">
        <v>736</v>
      </c>
      <c r="E689" s="48" t="s">
        <v>31</v>
      </c>
      <c r="F689" s="48" t="s">
        <v>74</v>
      </c>
      <c r="G689" s="11" t="s">
        <v>64</v>
      </c>
      <c r="H689" s="11" t="s">
        <v>75</v>
      </c>
      <c r="I689" s="11">
        <v>1299</v>
      </c>
      <c r="J689" s="49" t="s">
        <v>32</v>
      </c>
      <c r="K689" s="49" t="s">
        <v>76</v>
      </c>
      <c r="L689" s="49" t="s">
        <v>77</v>
      </c>
      <c r="M689" s="49" t="s">
        <v>78</v>
      </c>
      <c r="N689" s="48" t="s">
        <v>79</v>
      </c>
      <c r="O689" s="49" t="s">
        <v>37</v>
      </c>
      <c r="P689" s="11" t="s">
        <v>80</v>
      </c>
      <c r="Q689" s="11" t="s">
        <v>81</v>
      </c>
      <c r="R689" s="11" t="s">
        <v>632</v>
      </c>
      <c r="S689" s="11" t="s">
        <v>633</v>
      </c>
      <c r="T689" s="90" t="s">
        <v>1</v>
      </c>
      <c r="U689" s="90"/>
      <c r="V689" s="51">
        <v>45463</v>
      </c>
      <c r="W689" s="49" t="s">
        <v>1586</v>
      </c>
    </row>
    <row r="690" spans="1:23" ht="13" customHeight="1" x14ac:dyDescent="0.35">
      <c r="A690" s="11">
        <v>684</v>
      </c>
      <c r="B690" s="47">
        <v>203512667</v>
      </c>
      <c r="C690" s="94" t="s">
        <v>737</v>
      </c>
      <c r="D690" s="11" t="s">
        <v>738</v>
      </c>
      <c r="E690" s="48" t="s">
        <v>31</v>
      </c>
      <c r="F690" s="48" t="s">
        <v>74</v>
      </c>
      <c r="G690" s="11" t="s">
        <v>64</v>
      </c>
      <c r="H690" s="11" t="s">
        <v>75</v>
      </c>
      <c r="I690" s="11">
        <v>1299</v>
      </c>
      <c r="J690" s="49" t="s">
        <v>39</v>
      </c>
      <c r="K690" s="49" t="s">
        <v>76</v>
      </c>
      <c r="L690" s="49" t="s">
        <v>77</v>
      </c>
      <c r="M690" s="49" t="s">
        <v>78</v>
      </c>
      <c r="N690" s="48" t="s">
        <v>79</v>
      </c>
      <c r="O690" s="49" t="s">
        <v>37</v>
      </c>
      <c r="P690" s="11" t="s">
        <v>80</v>
      </c>
      <c r="Q690" s="11" t="s">
        <v>81</v>
      </c>
      <c r="R690" s="11" t="s">
        <v>632</v>
      </c>
      <c r="S690" s="11" t="s">
        <v>633</v>
      </c>
      <c r="T690" s="90" t="s">
        <v>1</v>
      </c>
      <c r="U690" s="89"/>
      <c r="V690" s="51">
        <v>45463</v>
      </c>
      <c r="W690" s="49" t="s">
        <v>1585</v>
      </c>
    </row>
    <row r="691" spans="1:23" ht="13" customHeight="1" x14ac:dyDescent="0.35">
      <c r="A691" s="11">
        <v>685</v>
      </c>
      <c r="B691" s="47">
        <v>206890213</v>
      </c>
      <c r="C691" s="94" t="s">
        <v>1842</v>
      </c>
      <c r="D691" s="11" t="s">
        <v>1843</v>
      </c>
      <c r="E691" s="11" t="s">
        <v>31</v>
      </c>
      <c r="F691" s="48" t="s">
        <v>74</v>
      </c>
      <c r="G691" s="11" t="s">
        <v>64</v>
      </c>
      <c r="H691" s="11" t="s">
        <v>75</v>
      </c>
      <c r="I691" s="11">
        <v>1299</v>
      </c>
      <c r="J691" s="49" t="s">
        <v>32</v>
      </c>
      <c r="K691" s="49" t="s">
        <v>76</v>
      </c>
      <c r="L691" s="49" t="s">
        <v>88</v>
      </c>
      <c r="M691" s="49" t="s">
        <v>95</v>
      </c>
      <c r="N691" s="49" t="s">
        <v>89</v>
      </c>
      <c r="O691" s="49" t="s">
        <v>37</v>
      </c>
      <c r="P691" s="11" t="s">
        <v>80</v>
      </c>
      <c r="Q691" s="11" t="s">
        <v>96</v>
      </c>
      <c r="R691" s="11" t="s">
        <v>2865</v>
      </c>
      <c r="S691" s="11" t="s">
        <v>2866</v>
      </c>
      <c r="T691" s="90" t="s">
        <v>10</v>
      </c>
      <c r="U691" s="90"/>
      <c r="V691" s="51">
        <v>46027</v>
      </c>
      <c r="W691" s="49" t="s">
        <v>1584</v>
      </c>
    </row>
    <row r="692" spans="1:23" ht="13" customHeight="1" x14ac:dyDescent="0.35">
      <c r="A692" s="11">
        <v>686</v>
      </c>
      <c r="B692" s="47">
        <v>205280684</v>
      </c>
      <c r="C692" s="94" t="s">
        <v>2145</v>
      </c>
      <c r="D692" s="11" t="s">
        <v>2146</v>
      </c>
      <c r="E692" s="112" t="s">
        <v>31</v>
      </c>
      <c r="F692" s="48" t="s">
        <v>74</v>
      </c>
      <c r="G692" s="11" t="s">
        <v>64</v>
      </c>
      <c r="H692" s="11" t="s">
        <v>75</v>
      </c>
      <c r="I692" s="11">
        <v>1299</v>
      </c>
      <c r="J692" s="88" t="s">
        <v>39</v>
      </c>
      <c r="K692" s="49" t="s">
        <v>76</v>
      </c>
      <c r="L692" s="49" t="s">
        <v>92</v>
      </c>
      <c r="M692" s="49" t="s">
        <v>84</v>
      </c>
      <c r="N692" s="49" t="s">
        <v>89</v>
      </c>
      <c r="O692" s="49" t="s">
        <v>37</v>
      </c>
      <c r="P692" s="49" t="s">
        <v>80</v>
      </c>
      <c r="Q692" s="49" t="s">
        <v>96</v>
      </c>
      <c r="R692" s="49" t="s">
        <v>648</v>
      </c>
      <c r="S692" s="49" t="s">
        <v>1805</v>
      </c>
      <c r="T692" s="90" t="s">
        <v>1</v>
      </c>
      <c r="U692" s="90"/>
      <c r="V692" s="51">
        <v>46048</v>
      </c>
      <c r="W692" s="49" t="s">
        <v>1584</v>
      </c>
    </row>
    <row r="693" spans="1:23" ht="13" customHeight="1" x14ac:dyDescent="0.35">
      <c r="A693" s="11">
        <v>687</v>
      </c>
      <c r="B693" s="97">
        <v>204172222</v>
      </c>
      <c r="C693" s="47" t="s">
        <v>2776</v>
      </c>
      <c r="D693" s="94" t="s">
        <v>2777</v>
      </c>
      <c r="E693" s="48" t="s">
        <v>31</v>
      </c>
      <c r="F693" s="48" t="s">
        <v>74</v>
      </c>
      <c r="G693" s="11" t="s">
        <v>64</v>
      </c>
      <c r="H693" s="11" t="s">
        <v>75</v>
      </c>
      <c r="I693" s="11">
        <v>1299</v>
      </c>
      <c r="J693" s="49" t="s">
        <v>32</v>
      </c>
      <c r="K693" s="49" t="s">
        <v>76</v>
      </c>
      <c r="L693" s="49" t="s">
        <v>77</v>
      </c>
      <c r="M693" s="49" t="s">
        <v>78</v>
      </c>
      <c r="N693" s="48" t="s">
        <v>86</v>
      </c>
      <c r="O693" s="49" t="s">
        <v>37</v>
      </c>
      <c r="P693" s="11" t="s">
        <v>80</v>
      </c>
      <c r="Q693" s="11" t="s">
        <v>90</v>
      </c>
      <c r="R693" s="11" t="s">
        <v>2865</v>
      </c>
      <c r="S693" s="11" t="s">
        <v>2866</v>
      </c>
      <c r="T693" s="90" t="s">
        <v>1</v>
      </c>
      <c r="U693" s="90"/>
      <c r="V693" s="51">
        <v>45568</v>
      </c>
      <c r="W693" s="49" t="s">
        <v>1584</v>
      </c>
    </row>
    <row r="694" spans="1:23" ht="13" customHeight="1" x14ac:dyDescent="0.35">
      <c r="A694" s="11">
        <v>688</v>
      </c>
      <c r="B694" s="47">
        <v>206914994</v>
      </c>
      <c r="C694" s="94" t="s">
        <v>2398</v>
      </c>
      <c r="D694" s="11" t="s">
        <v>2399</v>
      </c>
      <c r="E694" s="48" t="s">
        <v>31</v>
      </c>
      <c r="F694" s="48" t="s">
        <v>74</v>
      </c>
      <c r="G694" s="11" t="s">
        <v>64</v>
      </c>
      <c r="H694" s="11" t="s">
        <v>75</v>
      </c>
      <c r="I694" s="11">
        <v>1299</v>
      </c>
      <c r="J694" s="49" t="s">
        <v>32</v>
      </c>
      <c r="K694" s="49" t="s">
        <v>76</v>
      </c>
      <c r="L694" s="49" t="s">
        <v>95</v>
      </c>
      <c r="M694" s="49" t="s">
        <v>77</v>
      </c>
      <c r="N694" s="49" t="s">
        <v>89</v>
      </c>
      <c r="O694" s="49" t="s">
        <v>37</v>
      </c>
      <c r="P694" s="11" t="s">
        <v>80</v>
      </c>
      <c r="Q694" s="11" t="s">
        <v>90</v>
      </c>
      <c r="R694" s="11" t="s">
        <v>2864</v>
      </c>
      <c r="S694" s="11" t="s">
        <v>2732</v>
      </c>
      <c r="T694" s="90" t="s">
        <v>1</v>
      </c>
      <c r="U694" s="90"/>
      <c r="V694" s="51">
        <v>46034</v>
      </c>
      <c r="W694" s="49" t="s">
        <v>1584</v>
      </c>
    </row>
    <row r="695" spans="1:23" ht="13" customHeight="1" x14ac:dyDescent="0.35">
      <c r="A695" s="11">
        <v>689</v>
      </c>
      <c r="B695" s="47">
        <v>206238897</v>
      </c>
      <c r="C695" s="94" t="s">
        <v>1655</v>
      </c>
      <c r="D695" s="11" t="s">
        <v>1629</v>
      </c>
      <c r="E695" s="48" t="s">
        <v>31</v>
      </c>
      <c r="F695" s="48" t="s">
        <v>74</v>
      </c>
      <c r="G695" s="11" t="s">
        <v>64</v>
      </c>
      <c r="H695" s="11" t="s">
        <v>75</v>
      </c>
      <c r="I695" s="11">
        <v>1299</v>
      </c>
      <c r="J695" s="49" t="s">
        <v>32</v>
      </c>
      <c r="K695" s="49" t="s">
        <v>76</v>
      </c>
      <c r="L695" s="49" t="s">
        <v>78</v>
      </c>
      <c r="M695" s="49" t="s">
        <v>92</v>
      </c>
      <c r="N695" s="49" t="s">
        <v>89</v>
      </c>
      <c r="O695" s="49" t="s">
        <v>37</v>
      </c>
      <c r="P695" s="11" t="s">
        <v>80</v>
      </c>
      <c r="Q695" s="11" t="s">
        <v>81</v>
      </c>
      <c r="R695" s="49" t="s">
        <v>2735</v>
      </c>
      <c r="S695" s="11" t="s">
        <v>643</v>
      </c>
      <c r="T695" s="90" t="s">
        <v>1</v>
      </c>
      <c r="U695" s="90"/>
      <c r="V695" s="51">
        <v>45943</v>
      </c>
      <c r="W695" s="49" t="s">
        <v>1584</v>
      </c>
    </row>
    <row r="696" spans="1:23" ht="13" customHeight="1" x14ac:dyDescent="0.35">
      <c r="A696" s="11">
        <v>690</v>
      </c>
      <c r="B696" s="47">
        <v>203342654</v>
      </c>
      <c r="C696" s="94" t="s">
        <v>739</v>
      </c>
      <c r="D696" s="11" t="s">
        <v>740</v>
      </c>
      <c r="E696" s="48" t="s">
        <v>31</v>
      </c>
      <c r="F696" s="48" t="s">
        <v>74</v>
      </c>
      <c r="G696" s="11" t="s">
        <v>64</v>
      </c>
      <c r="H696" s="11" t="s">
        <v>75</v>
      </c>
      <c r="I696" s="11">
        <v>1299</v>
      </c>
      <c r="J696" s="49" t="s">
        <v>32</v>
      </c>
      <c r="K696" s="49" t="s">
        <v>76</v>
      </c>
      <c r="L696" s="49" t="s">
        <v>77</v>
      </c>
      <c r="M696" s="49" t="s">
        <v>78</v>
      </c>
      <c r="N696" s="48" t="s">
        <v>86</v>
      </c>
      <c r="O696" s="49" t="s">
        <v>37</v>
      </c>
      <c r="P696" s="11" t="s">
        <v>80</v>
      </c>
      <c r="Q696" s="11" t="s">
        <v>99</v>
      </c>
      <c r="R696" s="49" t="s">
        <v>648</v>
      </c>
      <c r="S696" s="11" t="s">
        <v>1805</v>
      </c>
      <c r="T696" s="90" t="s">
        <v>1</v>
      </c>
      <c r="U696" s="89"/>
      <c r="V696" s="51">
        <v>45432</v>
      </c>
      <c r="W696" s="49" t="s">
        <v>1585</v>
      </c>
    </row>
    <row r="697" spans="1:23" ht="13" customHeight="1" x14ac:dyDescent="0.35">
      <c r="A697" s="11">
        <v>691</v>
      </c>
      <c r="B697" s="47">
        <v>205848042</v>
      </c>
      <c r="C697" s="94" t="s">
        <v>741</v>
      </c>
      <c r="D697" s="11" t="s">
        <v>742</v>
      </c>
      <c r="E697" s="48" t="s">
        <v>31</v>
      </c>
      <c r="F697" s="48" t="s">
        <v>74</v>
      </c>
      <c r="G697" s="11" t="s">
        <v>64</v>
      </c>
      <c r="H697" s="11" t="s">
        <v>75</v>
      </c>
      <c r="I697" s="11">
        <v>1299</v>
      </c>
      <c r="J697" s="49" t="s">
        <v>32</v>
      </c>
      <c r="K697" s="49" t="s">
        <v>76</v>
      </c>
      <c r="L697" s="49" t="s">
        <v>77</v>
      </c>
      <c r="M697" s="49" t="s">
        <v>78</v>
      </c>
      <c r="N697" s="49" t="s">
        <v>79</v>
      </c>
      <c r="O697" s="49" t="s">
        <v>37</v>
      </c>
      <c r="P697" s="11" t="s">
        <v>80</v>
      </c>
      <c r="Q697" s="11" t="s">
        <v>96</v>
      </c>
      <c r="R697" s="49" t="s">
        <v>648</v>
      </c>
      <c r="S697" s="11" t="s">
        <v>1805</v>
      </c>
      <c r="T697" s="90" t="s">
        <v>1</v>
      </c>
      <c r="U697" s="89"/>
      <c r="V697" s="51">
        <v>45894</v>
      </c>
      <c r="W697" s="49" t="s">
        <v>1584</v>
      </c>
    </row>
    <row r="698" spans="1:23" ht="13" customHeight="1" x14ac:dyDescent="0.35">
      <c r="A698" s="11">
        <v>692</v>
      </c>
      <c r="B698" s="47">
        <v>206239212</v>
      </c>
      <c r="C698" s="94" t="s">
        <v>1656</v>
      </c>
      <c r="D698" s="11" t="s">
        <v>1632</v>
      </c>
      <c r="E698" s="48" t="s">
        <v>31</v>
      </c>
      <c r="F698" s="48" t="s">
        <v>74</v>
      </c>
      <c r="G698" s="11" t="s">
        <v>64</v>
      </c>
      <c r="H698" s="11" t="s">
        <v>75</v>
      </c>
      <c r="I698" s="11">
        <v>1299</v>
      </c>
      <c r="J698" s="49" t="s">
        <v>32</v>
      </c>
      <c r="K698" s="49" t="s">
        <v>76</v>
      </c>
      <c r="L698" s="49" t="s">
        <v>77</v>
      </c>
      <c r="M698" s="49" t="s">
        <v>78</v>
      </c>
      <c r="N698" s="48" t="s">
        <v>79</v>
      </c>
      <c r="O698" s="49" t="s">
        <v>37</v>
      </c>
      <c r="P698" s="11" t="s">
        <v>80</v>
      </c>
      <c r="Q698" s="11" t="s">
        <v>81</v>
      </c>
      <c r="R698" s="11" t="s">
        <v>1069</v>
      </c>
      <c r="S698" s="11" t="s">
        <v>2733</v>
      </c>
      <c r="T698" s="90" t="s">
        <v>1</v>
      </c>
      <c r="U698" s="89"/>
      <c r="V698" s="51">
        <v>45943</v>
      </c>
      <c r="W698" s="49" t="s">
        <v>1584</v>
      </c>
    </row>
    <row r="699" spans="1:23" ht="13" customHeight="1" x14ac:dyDescent="0.35">
      <c r="A699" s="11">
        <v>693</v>
      </c>
      <c r="B699" s="47">
        <v>206191969</v>
      </c>
      <c r="C699" s="94" t="s">
        <v>1617</v>
      </c>
      <c r="D699" s="11" t="s">
        <v>1610</v>
      </c>
      <c r="E699" s="48" t="s">
        <v>31</v>
      </c>
      <c r="F699" s="48" t="s">
        <v>74</v>
      </c>
      <c r="G699" s="11" t="s">
        <v>64</v>
      </c>
      <c r="H699" s="11" t="s">
        <v>75</v>
      </c>
      <c r="I699" s="11">
        <v>1299</v>
      </c>
      <c r="J699" s="49" t="s">
        <v>39</v>
      </c>
      <c r="K699" s="49" t="s">
        <v>76</v>
      </c>
      <c r="L699" s="49" t="s">
        <v>85</v>
      </c>
      <c r="M699" s="49" t="s">
        <v>88</v>
      </c>
      <c r="N699" s="49" t="s">
        <v>89</v>
      </c>
      <c r="O699" s="49" t="s">
        <v>37</v>
      </c>
      <c r="P699" s="11" t="s">
        <v>80</v>
      </c>
      <c r="Q699" s="11" t="s">
        <v>96</v>
      </c>
      <c r="R699" s="11" t="s">
        <v>632</v>
      </c>
      <c r="S699" s="11" t="s">
        <v>633</v>
      </c>
      <c r="T699" s="90" t="s">
        <v>10</v>
      </c>
      <c r="U699" s="89"/>
      <c r="V699" s="51">
        <v>45936</v>
      </c>
      <c r="W699" s="49" t="s">
        <v>1584</v>
      </c>
    </row>
    <row r="700" spans="1:23" ht="13" customHeight="1" x14ac:dyDescent="0.35">
      <c r="A700" s="11">
        <v>694</v>
      </c>
      <c r="B700" s="47">
        <v>108196835</v>
      </c>
      <c r="C700" s="94" t="s">
        <v>743</v>
      </c>
      <c r="D700" s="11" t="s">
        <v>744</v>
      </c>
      <c r="E700" s="48" t="s">
        <v>31</v>
      </c>
      <c r="F700" s="48" t="s">
        <v>74</v>
      </c>
      <c r="G700" s="11" t="s">
        <v>64</v>
      </c>
      <c r="H700" s="11" t="s">
        <v>75</v>
      </c>
      <c r="I700" s="11">
        <v>1299</v>
      </c>
      <c r="J700" s="49" t="s">
        <v>39</v>
      </c>
      <c r="K700" s="49" t="s">
        <v>76</v>
      </c>
      <c r="L700" s="49" t="s">
        <v>78</v>
      </c>
      <c r="M700" s="49" t="s">
        <v>92</v>
      </c>
      <c r="N700" s="48" t="s">
        <v>86</v>
      </c>
      <c r="O700" s="49" t="s">
        <v>37</v>
      </c>
      <c r="P700" s="11" t="s">
        <v>80</v>
      </c>
      <c r="Q700" s="11" t="s">
        <v>87</v>
      </c>
      <c r="R700" s="49" t="s">
        <v>628</v>
      </c>
      <c r="S700" s="11" t="s">
        <v>629</v>
      </c>
      <c r="T700" s="90" t="s">
        <v>1</v>
      </c>
      <c r="U700" s="89"/>
      <c r="V700" s="51">
        <v>45589</v>
      </c>
      <c r="W700" s="49" t="s">
        <v>1583</v>
      </c>
    </row>
    <row r="701" spans="1:23" ht="13" customHeight="1" x14ac:dyDescent="0.35">
      <c r="A701" s="11">
        <v>695</v>
      </c>
      <c r="B701" s="47">
        <v>206136720</v>
      </c>
      <c r="C701" s="94" t="s">
        <v>745</v>
      </c>
      <c r="D701" s="11" t="s">
        <v>746</v>
      </c>
      <c r="E701" s="48" t="s">
        <v>31</v>
      </c>
      <c r="F701" s="48" t="s">
        <v>74</v>
      </c>
      <c r="G701" s="11" t="s">
        <v>64</v>
      </c>
      <c r="H701" s="11" t="s">
        <v>75</v>
      </c>
      <c r="I701" s="11">
        <v>1299</v>
      </c>
      <c r="J701" s="49" t="s">
        <v>39</v>
      </c>
      <c r="K701" s="49" t="s">
        <v>76</v>
      </c>
      <c r="L701" s="49" t="s">
        <v>92</v>
      </c>
      <c r="M701" s="49" t="s">
        <v>84</v>
      </c>
      <c r="N701" s="48" t="s">
        <v>79</v>
      </c>
      <c r="O701" s="49" t="s">
        <v>37</v>
      </c>
      <c r="P701" s="11" t="s">
        <v>80</v>
      </c>
      <c r="Q701" s="11" t="s">
        <v>81</v>
      </c>
      <c r="R701" s="11" t="s">
        <v>632</v>
      </c>
      <c r="S701" s="11" t="s">
        <v>633</v>
      </c>
      <c r="T701" s="90" t="s">
        <v>1</v>
      </c>
      <c r="U701" s="89"/>
      <c r="V701" s="51">
        <v>45929</v>
      </c>
      <c r="W701" s="49" t="s">
        <v>1584</v>
      </c>
    </row>
    <row r="702" spans="1:23" ht="13" customHeight="1" x14ac:dyDescent="0.35">
      <c r="A702" s="11">
        <v>696</v>
      </c>
      <c r="B702" s="47">
        <v>203342034</v>
      </c>
      <c r="C702" s="94" t="s">
        <v>747</v>
      </c>
      <c r="D702" s="11" t="s">
        <v>748</v>
      </c>
      <c r="E702" s="48" t="s">
        <v>31</v>
      </c>
      <c r="F702" s="48" t="s">
        <v>74</v>
      </c>
      <c r="G702" s="11" t="s">
        <v>64</v>
      </c>
      <c r="H702" s="11" t="s">
        <v>75</v>
      </c>
      <c r="I702" s="11">
        <v>1299</v>
      </c>
      <c r="J702" s="49" t="s">
        <v>32</v>
      </c>
      <c r="K702" s="49" t="s">
        <v>76</v>
      </c>
      <c r="L702" s="49" t="s">
        <v>77</v>
      </c>
      <c r="M702" s="49" t="s">
        <v>78</v>
      </c>
      <c r="N702" s="48" t="s">
        <v>86</v>
      </c>
      <c r="O702" s="49" t="s">
        <v>37</v>
      </c>
      <c r="P702" s="11" t="s">
        <v>80</v>
      </c>
      <c r="Q702" s="11" t="s">
        <v>99</v>
      </c>
      <c r="R702" s="11" t="s">
        <v>2865</v>
      </c>
      <c r="S702" s="11" t="s">
        <v>2866</v>
      </c>
      <c r="T702" s="90" t="s">
        <v>1</v>
      </c>
      <c r="U702" s="89"/>
      <c r="V702" s="51">
        <v>45432</v>
      </c>
      <c r="W702" s="49" t="s">
        <v>1584</v>
      </c>
    </row>
    <row r="703" spans="1:23" ht="13" customHeight="1" x14ac:dyDescent="0.35">
      <c r="A703" s="11">
        <v>697</v>
      </c>
      <c r="B703" s="47">
        <v>206491325</v>
      </c>
      <c r="C703" s="94" t="s">
        <v>2155</v>
      </c>
      <c r="D703" s="11" t="s">
        <v>2156</v>
      </c>
      <c r="E703" s="112" t="s">
        <v>31</v>
      </c>
      <c r="F703" s="48" t="s">
        <v>74</v>
      </c>
      <c r="G703" s="11" t="s">
        <v>64</v>
      </c>
      <c r="H703" s="11" t="s">
        <v>75</v>
      </c>
      <c r="I703" s="11">
        <v>1299</v>
      </c>
      <c r="J703" s="49" t="s">
        <v>32</v>
      </c>
      <c r="K703" s="49" t="s">
        <v>76</v>
      </c>
      <c r="L703" s="49" t="s">
        <v>92</v>
      </c>
      <c r="M703" s="49" t="s">
        <v>84</v>
      </c>
      <c r="N703" s="49" t="s">
        <v>89</v>
      </c>
      <c r="O703" s="49" t="s">
        <v>37</v>
      </c>
      <c r="P703" s="49" t="s">
        <v>80</v>
      </c>
      <c r="Q703" s="49" t="s">
        <v>96</v>
      </c>
      <c r="R703" s="11" t="s">
        <v>632</v>
      </c>
      <c r="S703" s="49" t="s">
        <v>633</v>
      </c>
      <c r="T703" s="90" t="s">
        <v>7</v>
      </c>
      <c r="U703" s="90" t="s">
        <v>2914</v>
      </c>
      <c r="V703" s="51">
        <v>46048</v>
      </c>
      <c r="W703" s="49" t="s">
        <v>1584</v>
      </c>
    </row>
    <row r="704" spans="1:23" ht="13" customHeight="1" x14ac:dyDescent="0.35">
      <c r="A704" s="11">
        <v>698</v>
      </c>
      <c r="B704" s="47">
        <v>205848048</v>
      </c>
      <c r="C704" s="94" t="s">
        <v>749</v>
      </c>
      <c r="D704" s="11" t="s">
        <v>750</v>
      </c>
      <c r="E704" s="48" t="s">
        <v>31</v>
      </c>
      <c r="F704" s="48" t="s">
        <v>74</v>
      </c>
      <c r="G704" s="11" t="s">
        <v>64</v>
      </c>
      <c r="H704" s="11" t="s">
        <v>75</v>
      </c>
      <c r="I704" s="11">
        <v>1299</v>
      </c>
      <c r="J704" s="49" t="s">
        <v>32</v>
      </c>
      <c r="K704" s="49" t="s">
        <v>76</v>
      </c>
      <c r="L704" s="49" t="s">
        <v>84</v>
      </c>
      <c r="M704" s="49" t="s">
        <v>85</v>
      </c>
      <c r="N704" s="49" t="s">
        <v>89</v>
      </c>
      <c r="O704" s="49" t="s">
        <v>37</v>
      </c>
      <c r="P704" s="11" t="s">
        <v>80</v>
      </c>
      <c r="Q704" s="11" t="s">
        <v>96</v>
      </c>
      <c r="R704" s="11" t="s">
        <v>1069</v>
      </c>
      <c r="S704" s="11" t="s">
        <v>2733</v>
      </c>
      <c r="T704" s="90" t="s">
        <v>1</v>
      </c>
      <c r="U704" s="90"/>
      <c r="V704" s="51">
        <v>45894</v>
      </c>
      <c r="W704" s="49" t="s">
        <v>1584</v>
      </c>
    </row>
    <row r="705" spans="1:23" ht="13" customHeight="1" x14ac:dyDescent="0.35">
      <c r="A705" s="11">
        <v>699</v>
      </c>
      <c r="B705" s="47">
        <v>203512665</v>
      </c>
      <c r="C705" s="94" t="s">
        <v>751</v>
      </c>
      <c r="D705" s="11" t="s">
        <v>752</v>
      </c>
      <c r="E705" s="48" t="s">
        <v>31</v>
      </c>
      <c r="F705" s="48" t="s">
        <v>74</v>
      </c>
      <c r="G705" s="11" t="s">
        <v>64</v>
      </c>
      <c r="H705" s="11" t="s">
        <v>75</v>
      </c>
      <c r="I705" s="11">
        <v>1299</v>
      </c>
      <c r="J705" s="49" t="s">
        <v>32</v>
      </c>
      <c r="K705" s="49" t="s">
        <v>76</v>
      </c>
      <c r="L705" s="49" t="s">
        <v>88</v>
      </c>
      <c r="M705" s="49" t="s">
        <v>95</v>
      </c>
      <c r="N705" s="48" t="s">
        <v>79</v>
      </c>
      <c r="O705" s="49" t="s">
        <v>37</v>
      </c>
      <c r="P705" s="11" t="s">
        <v>80</v>
      </c>
      <c r="Q705" s="11" t="s">
        <v>81</v>
      </c>
      <c r="R705" s="49" t="s">
        <v>648</v>
      </c>
      <c r="S705" s="11" t="s">
        <v>1805</v>
      </c>
      <c r="T705" s="90" t="s">
        <v>10</v>
      </c>
      <c r="U705" s="90"/>
      <c r="V705" s="51">
        <v>45463</v>
      </c>
      <c r="W705" s="49" t="s">
        <v>1585</v>
      </c>
    </row>
    <row r="706" spans="1:23" ht="13" customHeight="1" x14ac:dyDescent="0.35">
      <c r="A706" s="11">
        <v>700</v>
      </c>
      <c r="B706" s="47">
        <v>203965413</v>
      </c>
      <c r="C706" s="94" t="s">
        <v>753</v>
      </c>
      <c r="D706" s="11" t="s">
        <v>754</v>
      </c>
      <c r="E706" s="48" t="s">
        <v>31</v>
      </c>
      <c r="F706" s="48" t="s">
        <v>74</v>
      </c>
      <c r="G706" s="11" t="s">
        <v>64</v>
      </c>
      <c r="H706" s="11" t="s">
        <v>75</v>
      </c>
      <c r="I706" s="11">
        <v>1299</v>
      </c>
      <c r="J706" s="49" t="s">
        <v>32</v>
      </c>
      <c r="K706" s="49" t="s">
        <v>76</v>
      </c>
      <c r="L706" s="49" t="s">
        <v>95</v>
      </c>
      <c r="M706" s="49" t="s">
        <v>77</v>
      </c>
      <c r="N706" s="48" t="s">
        <v>79</v>
      </c>
      <c r="O706" s="49" t="s">
        <v>37</v>
      </c>
      <c r="P706" s="11" t="s">
        <v>80</v>
      </c>
      <c r="Q706" s="11" t="s">
        <v>81</v>
      </c>
      <c r="R706" s="49" t="s">
        <v>2735</v>
      </c>
      <c r="S706" s="11" t="s">
        <v>643</v>
      </c>
      <c r="T706" s="90" t="s">
        <v>7</v>
      </c>
      <c r="U706" s="90"/>
      <c r="V706" s="51">
        <v>45544</v>
      </c>
      <c r="W706" s="49" t="s">
        <v>1584</v>
      </c>
    </row>
    <row r="707" spans="1:23" ht="13" customHeight="1" x14ac:dyDescent="0.35">
      <c r="A707" s="11">
        <v>701</v>
      </c>
      <c r="B707" s="47">
        <v>203881660</v>
      </c>
      <c r="C707" s="94" t="s">
        <v>755</v>
      </c>
      <c r="D707" s="11" t="s">
        <v>756</v>
      </c>
      <c r="E707" s="48" t="s">
        <v>31</v>
      </c>
      <c r="F707" s="48" t="s">
        <v>74</v>
      </c>
      <c r="G707" s="11" t="s">
        <v>64</v>
      </c>
      <c r="H707" s="11" t="s">
        <v>75</v>
      </c>
      <c r="I707" s="11">
        <v>1299</v>
      </c>
      <c r="J707" s="49" t="s">
        <v>39</v>
      </c>
      <c r="K707" s="49" t="s">
        <v>76</v>
      </c>
      <c r="L707" s="49" t="s">
        <v>95</v>
      </c>
      <c r="M707" s="49" t="s">
        <v>77</v>
      </c>
      <c r="N707" s="48" t="s">
        <v>79</v>
      </c>
      <c r="O707" s="49" t="s">
        <v>37</v>
      </c>
      <c r="P707" s="11" t="s">
        <v>80</v>
      </c>
      <c r="Q707" s="11" t="s">
        <v>81</v>
      </c>
      <c r="R707" s="49" t="s">
        <v>628</v>
      </c>
      <c r="S707" s="11" t="s">
        <v>629</v>
      </c>
      <c r="T707" s="90" t="s">
        <v>1</v>
      </c>
      <c r="U707" s="90"/>
      <c r="V707" s="51">
        <v>45530</v>
      </c>
      <c r="W707" s="49" t="s">
        <v>1584</v>
      </c>
    </row>
    <row r="708" spans="1:23" ht="13" customHeight="1" x14ac:dyDescent="0.35">
      <c r="A708" s="11">
        <v>702</v>
      </c>
      <c r="B708" s="47">
        <v>203512671</v>
      </c>
      <c r="C708" s="94" t="s">
        <v>757</v>
      </c>
      <c r="D708" s="11" t="s">
        <v>758</v>
      </c>
      <c r="E708" s="48" t="s">
        <v>31</v>
      </c>
      <c r="F708" s="48" t="s">
        <v>74</v>
      </c>
      <c r="G708" s="11" t="s">
        <v>64</v>
      </c>
      <c r="H708" s="11" t="s">
        <v>75</v>
      </c>
      <c r="I708" s="11">
        <v>1299</v>
      </c>
      <c r="J708" s="49" t="s">
        <v>32</v>
      </c>
      <c r="K708" s="49" t="s">
        <v>76</v>
      </c>
      <c r="L708" s="49" t="s">
        <v>85</v>
      </c>
      <c r="M708" s="49" t="s">
        <v>88</v>
      </c>
      <c r="N708" s="48" t="s">
        <v>79</v>
      </c>
      <c r="O708" s="49" t="s">
        <v>37</v>
      </c>
      <c r="P708" s="11" t="s">
        <v>80</v>
      </c>
      <c r="Q708" s="11" t="s">
        <v>81</v>
      </c>
      <c r="R708" s="49" t="s">
        <v>2735</v>
      </c>
      <c r="S708" s="11" t="s">
        <v>643</v>
      </c>
      <c r="T708" s="90" t="s">
        <v>10</v>
      </c>
      <c r="U708" s="89"/>
      <c r="V708" s="51">
        <v>45463</v>
      </c>
      <c r="W708" s="49" t="s">
        <v>1585</v>
      </c>
    </row>
    <row r="709" spans="1:23" ht="13" customHeight="1" x14ac:dyDescent="0.35">
      <c r="A709" s="11">
        <v>703</v>
      </c>
      <c r="B709" s="47">
        <v>203881698</v>
      </c>
      <c r="C709" s="94" t="s">
        <v>759</v>
      </c>
      <c r="D709" s="11" t="s">
        <v>760</v>
      </c>
      <c r="E709" s="48" t="s">
        <v>31</v>
      </c>
      <c r="F709" s="48" t="s">
        <v>74</v>
      </c>
      <c r="G709" s="11" t="s">
        <v>64</v>
      </c>
      <c r="H709" s="11" t="s">
        <v>75</v>
      </c>
      <c r="I709" s="11">
        <v>1299</v>
      </c>
      <c r="J709" s="49" t="s">
        <v>39</v>
      </c>
      <c r="K709" s="49" t="s">
        <v>76</v>
      </c>
      <c r="L709" s="49" t="s">
        <v>77</v>
      </c>
      <c r="M709" s="49" t="s">
        <v>78</v>
      </c>
      <c r="N709" s="48" t="s">
        <v>79</v>
      </c>
      <c r="O709" s="49" t="s">
        <v>37</v>
      </c>
      <c r="P709" s="11" t="s">
        <v>80</v>
      </c>
      <c r="Q709" s="11" t="s">
        <v>81</v>
      </c>
      <c r="R709" s="49" t="s">
        <v>628</v>
      </c>
      <c r="S709" s="11" t="s">
        <v>629</v>
      </c>
      <c r="T709" s="90" t="s">
        <v>7</v>
      </c>
      <c r="U709" s="90" t="s">
        <v>2914</v>
      </c>
      <c r="V709" s="51">
        <v>45530</v>
      </c>
      <c r="W709" s="49" t="s">
        <v>1586</v>
      </c>
    </row>
    <row r="710" spans="1:23" ht="13" customHeight="1" x14ac:dyDescent="0.35">
      <c r="A710" s="11">
        <v>704</v>
      </c>
      <c r="B710" s="47">
        <v>204145465</v>
      </c>
      <c r="C710" s="94" t="s">
        <v>761</v>
      </c>
      <c r="D710" s="11" t="s">
        <v>762</v>
      </c>
      <c r="E710" s="48" t="s">
        <v>31</v>
      </c>
      <c r="F710" s="48" t="s">
        <v>74</v>
      </c>
      <c r="G710" s="11" t="s">
        <v>64</v>
      </c>
      <c r="H710" s="11" t="s">
        <v>75</v>
      </c>
      <c r="I710" s="11">
        <v>1299</v>
      </c>
      <c r="J710" s="49" t="s">
        <v>32</v>
      </c>
      <c r="K710" s="49" t="s">
        <v>76</v>
      </c>
      <c r="L710" s="49" t="s">
        <v>88</v>
      </c>
      <c r="M710" s="49" t="s">
        <v>95</v>
      </c>
      <c r="N710" s="48" t="s">
        <v>86</v>
      </c>
      <c r="O710" s="49" t="s">
        <v>37</v>
      </c>
      <c r="P710" s="11" t="s">
        <v>80</v>
      </c>
      <c r="Q710" s="11" t="s">
        <v>87</v>
      </c>
      <c r="R710" s="11" t="s">
        <v>1069</v>
      </c>
      <c r="S710" s="11" t="s">
        <v>2733</v>
      </c>
      <c r="T710" s="90" t="s">
        <v>10</v>
      </c>
      <c r="U710" s="90"/>
      <c r="V710" s="51">
        <v>45568</v>
      </c>
      <c r="W710" s="49" t="s">
        <v>1585</v>
      </c>
    </row>
    <row r="711" spans="1:23" ht="13" customHeight="1" x14ac:dyDescent="0.35">
      <c r="A711" s="11">
        <v>705</v>
      </c>
      <c r="B711" s="47">
        <v>206145766</v>
      </c>
      <c r="C711" s="94" t="s">
        <v>763</v>
      </c>
      <c r="D711" s="11" t="s">
        <v>764</v>
      </c>
      <c r="E711" s="48" t="s">
        <v>31</v>
      </c>
      <c r="F711" s="48" t="s">
        <v>74</v>
      </c>
      <c r="G711" s="11" t="s">
        <v>64</v>
      </c>
      <c r="H711" s="11" t="s">
        <v>75</v>
      </c>
      <c r="I711" s="11">
        <v>1299</v>
      </c>
      <c r="J711" s="49" t="s">
        <v>39</v>
      </c>
      <c r="K711" s="49" t="s">
        <v>76</v>
      </c>
      <c r="L711" s="49" t="s">
        <v>95</v>
      </c>
      <c r="M711" s="49" t="s">
        <v>77</v>
      </c>
      <c r="N711" s="49" t="s">
        <v>89</v>
      </c>
      <c r="O711" s="49" t="s">
        <v>37</v>
      </c>
      <c r="P711" s="11" t="s">
        <v>80</v>
      </c>
      <c r="Q711" s="11" t="s">
        <v>81</v>
      </c>
      <c r="R711" s="11" t="s">
        <v>632</v>
      </c>
      <c r="S711" s="11" t="s">
        <v>633</v>
      </c>
      <c r="T711" s="90" t="s">
        <v>1</v>
      </c>
      <c r="U711" s="89"/>
      <c r="V711" s="51">
        <v>45929</v>
      </c>
      <c r="W711" s="49" t="s">
        <v>1584</v>
      </c>
    </row>
    <row r="712" spans="1:23" ht="13" customHeight="1" x14ac:dyDescent="0.35">
      <c r="A712" s="11">
        <v>706</v>
      </c>
      <c r="B712" s="97">
        <v>205227534</v>
      </c>
      <c r="C712" s="47" t="s">
        <v>2778</v>
      </c>
      <c r="D712" s="94" t="s">
        <v>2779</v>
      </c>
      <c r="E712" s="48" t="s">
        <v>31</v>
      </c>
      <c r="F712" s="48" t="s">
        <v>74</v>
      </c>
      <c r="G712" s="11" t="s">
        <v>64</v>
      </c>
      <c r="H712" s="11" t="s">
        <v>75</v>
      </c>
      <c r="I712" s="11">
        <v>1299</v>
      </c>
      <c r="J712" s="49" t="s">
        <v>39</v>
      </c>
      <c r="K712" s="49" t="s">
        <v>76</v>
      </c>
      <c r="L712" s="49" t="s">
        <v>88</v>
      </c>
      <c r="M712" s="49" t="s">
        <v>95</v>
      </c>
      <c r="N712" s="48" t="s">
        <v>2758</v>
      </c>
      <c r="O712" s="49" t="s">
        <v>37</v>
      </c>
      <c r="P712" s="11" t="s">
        <v>80</v>
      </c>
      <c r="Q712" s="11" t="s">
        <v>90</v>
      </c>
      <c r="R712" s="11" t="s">
        <v>1069</v>
      </c>
      <c r="S712" s="11" t="s">
        <v>2765</v>
      </c>
      <c r="T712" s="90" t="s">
        <v>10</v>
      </c>
      <c r="U712" s="89"/>
      <c r="V712" s="51">
        <v>45789</v>
      </c>
      <c r="W712" s="49" t="s">
        <v>1584</v>
      </c>
    </row>
    <row r="713" spans="1:23" ht="13" customHeight="1" x14ac:dyDescent="0.35">
      <c r="A713" s="11">
        <v>707</v>
      </c>
      <c r="B713" s="47">
        <v>205257390</v>
      </c>
      <c r="C713" s="95" t="s">
        <v>2083</v>
      </c>
      <c r="D713" s="11" t="s">
        <v>2084</v>
      </c>
      <c r="E713" s="48" t="s">
        <v>31</v>
      </c>
      <c r="F713" s="48" t="s">
        <v>74</v>
      </c>
      <c r="G713" s="11" t="s">
        <v>64</v>
      </c>
      <c r="H713" s="11" t="s">
        <v>75</v>
      </c>
      <c r="I713" s="11">
        <v>1299</v>
      </c>
      <c r="J713" s="88" t="s">
        <v>39</v>
      </c>
      <c r="K713" s="49" t="s">
        <v>76</v>
      </c>
      <c r="L713" s="49" t="s">
        <v>77</v>
      </c>
      <c r="M713" s="49" t="s">
        <v>78</v>
      </c>
      <c r="N713" s="49" t="s">
        <v>89</v>
      </c>
      <c r="O713" s="49" t="s">
        <v>37</v>
      </c>
      <c r="P713" s="11" t="s">
        <v>80</v>
      </c>
      <c r="Q713" s="11" t="s">
        <v>96</v>
      </c>
      <c r="R713" s="11" t="s">
        <v>2864</v>
      </c>
      <c r="S713" s="11" t="s">
        <v>2732</v>
      </c>
      <c r="T713" s="90" t="s">
        <v>7</v>
      </c>
      <c r="U713" s="90" t="s">
        <v>2914</v>
      </c>
      <c r="V713" s="51">
        <v>46048</v>
      </c>
      <c r="W713" s="49" t="s">
        <v>1584</v>
      </c>
    </row>
    <row r="714" spans="1:23" ht="13" customHeight="1" x14ac:dyDescent="0.35">
      <c r="A714" s="11">
        <v>708</v>
      </c>
      <c r="B714" s="47">
        <v>206491331</v>
      </c>
      <c r="C714" s="94" t="s">
        <v>2149</v>
      </c>
      <c r="D714" s="11" t="s">
        <v>2150</v>
      </c>
      <c r="E714" s="112" t="s">
        <v>31</v>
      </c>
      <c r="F714" s="48" t="s">
        <v>74</v>
      </c>
      <c r="G714" s="11" t="s">
        <v>64</v>
      </c>
      <c r="H714" s="11" t="s">
        <v>75</v>
      </c>
      <c r="I714" s="11">
        <v>1299</v>
      </c>
      <c r="J714" s="88" t="s">
        <v>39</v>
      </c>
      <c r="K714" s="49" t="s">
        <v>76</v>
      </c>
      <c r="L714" s="49" t="s">
        <v>78</v>
      </c>
      <c r="M714" s="49" t="s">
        <v>92</v>
      </c>
      <c r="N714" s="49" t="s">
        <v>89</v>
      </c>
      <c r="O714" s="49" t="s">
        <v>37</v>
      </c>
      <c r="P714" s="49" t="s">
        <v>80</v>
      </c>
      <c r="Q714" s="49" t="s">
        <v>96</v>
      </c>
      <c r="R714" s="49" t="s">
        <v>648</v>
      </c>
      <c r="S714" s="49" t="s">
        <v>1805</v>
      </c>
      <c r="T714" s="90" t="s">
        <v>1</v>
      </c>
      <c r="U714" s="90"/>
      <c r="V714" s="51">
        <v>46048</v>
      </c>
      <c r="W714" s="49" t="s">
        <v>1584</v>
      </c>
    </row>
    <row r="715" spans="1:23" ht="13" customHeight="1" x14ac:dyDescent="0.35">
      <c r="A715" s="11">
        <v>709</v>
      </c>
      <c r="B715" s="47">
        <v>203993306</v>
      </c>
      <c r="C715" s="94" t="s">
        <v>765</v>
      </c>
      <c r="D715" s="11" t="s">
        <v>766</v>
      </c>
      <c r="E715" s="48" t="s">
        <v>31</v>
      </c>
      <c r="F715" s="48" t="s">
        <v>74</v>
      </c>
      <c r="G715" s="11" t="s">
        <v>64</v>
      </c>
      <c r="H715" s="11" t="s">
        <v>75</v>
      </c>
      <c r="I715" s="11">
        <v>1299</v>
      </c>
      <c r="J715" s="49" t="s">
        <v>32</v>
      </c>
      <c r="K715" s="49" t="s">
        <v>76</v>
      </c>
      <c r="L715" s="49" t="s">
        <v>77</v>
      </c>
      <c r="M715" s="49" t="s">
        <v>78</v>
      </c>
      <c r="N715" s="48" t="s">
        <v>79</v>
      </c>
      <c r="O715" s="49" t="s">
        <v>37</v>
      </c>
      <c r="P715" s="11" t="s">
        <v>80</v>
      </c>
      <c r="Q715" s="11" t="s">
        <v>81</v>
      </c>
      <c r="R715" s="11" t="s">
        <v>1069</v>
      </c>
      <c r="S715" s="11" t="s">
        <v>2733</v>
      </c>
      <c r="T715" s="90" t="s">
        <v>1</v>
      </c>
      <c r="U715" s="90"/>
      <c r="V715" s="51">
        <v>45547</v>
      </c>
      <c r="W715" s="49" t="s">
        <v>1584</v>
      </c>
    </row>
    <row r="716" spans="1:23" ht="13" customHeight="1" x14ac:dyDescent="0.35">
      <c r="A716" s="11">
        <v>710</v>
      </c>
      <c r="B716" s="47">
        <v>204013689</v>
      </c>
      <c r="C716" s="94" t="s">
        <v>767</v>
      </c>
      <c r="D716" s="11" t="s">
        <v>768</v>
      </c>
      <c r="E716" s="48" t="s">
        <v>31</v>
      </c>
      <c r="F716" s="48" t="s">
        <v>74</v>
      </c>
      <c r="G716" s="11" t="s">
        <v>64</v>
      </c>
      <c r="H716" s="11" t="s">
        <v>75</v>
      </c>
      <c r="I716" s="11">
        <v>1299</v>
      </c>
      <c r="J716" s="49" t="s">
        <v>39</v>
      </c>
      <c r="K716" s="49" t="s">
        <v>76</v>
      </c>
      <c r="L716" s="49" t="s">
        <v>95</v>
      </c>
      <c r="M716" s="49" t="s">
        <v>77</v>
      </c>
      <c r="N716" s="48" t="s">
        <v>79</v>
      </c>
      <c r="O716" s="49" t="s">
        <v>37</v>
      </c>
      <c r="P716" s="11" t="s">
        <v>80</v>
      </c>
      <c r="Q716" s="11" t="s">
        <v>81</v>
      </c>
      <c r="R716" s="49" t="s">
        <v>628</v>
      </c>
      <c r="S716" s="11" t="s">
        <v>629</v>
      </c>
      <c r="T716" s="90" t="s">
        <v>1</v>
      </c>
      <c r="U716" s="89"/>
      <c r="V716" s="51">
        <v>45551</v>
      </c>
      <c r="W716" s="49" t="s">
        <v>1584</v>
      </c>
    </row>
    <row r="717" spans="1:23" ht="13" customHeight="1" x14ac:dyDescent="0.35">
      <c r="A717" s="11">
        <v>711</v>
      </c>
      <c r="B717" s="11">
        <v>205854274</v>
      </c>
      <c r="C717" s="94" t="s">
        <v>2850</v>
      </c>
      <c r="D717" s="11" t="s">
        <v>2851</v>
      </c>
      <c r="E717" s="48" t="s">
        <v>31</v>
      </c>
      <c r="F717" s="48" t="s">
        <v>74</v>
      </c>
      <c r="G717" s="11" t="s">
        <v>64</v>
      </c>
      <c r="H717" s="11" t="s">
        <v>75</v>
      </c>
      <c r="I717" s="11">
        <v>1299</v>
      </c>
      <c r="J717" s="49" t="s">
        <v>39</v>
      </c>
      <c r="K717" s="49" t="s">
        <v>76</v>
      </c>
      <c r="L717" s="49" t="s">
        <v>92</v>
      </c>
      <c r="M717" s="49" t="s">
        <v>84</v>
      </c>
      <c r="N717" s="11" t="s">
        <v>89</v>
      </c>
      <c r="O717" s="11" t="s">
        <v>37</v>
      </c>
      <c r="P717" s="11" t="s">
        <v>80</v>
      </c>
      <c r="Q717" s="11" t="s">
        <v>96</v>
      </c>
      <c r="R717" s="11" t="s">
        <v>632</v>
      </c>
      <c r="S717" s="11" t="s">
        <v>633</v>
      </c>
      <c r="T717" s="90" t="s">
        <v>1</v>
      </c>
      <c r="U717" s="90"/>
      <c r="V717" s="51">
        <v>46226</v>
      </c>
      <c r="W717" s="11" t="s">
        <v>1584</v>
      </c>
    </row>
    <row r="718" spans="1:23" ht="13" customHeight="1" x14ac:dyDescent="0.35">
      <c r="A718" s="11">
        <v>712</v>
      </c>
      <c r="B718" s="47">
        <v>204010041</v>
      </c>
      <c r="C718" s="94" t="s">
        <v>769</v>
      </c>
      <c r="D718" s="11" t="s">
        <v>770</v>
      </c>
      <c r="E718" s="48" t="s">
        <v>31</v>
      </c>
      <c r="F718" s="48" t="s">
        <v>74</v>
      </c>
      <c r="G718" s="11" t="s">
        <v>64</v>
      </c>
      <c r="H718" s="11" t="s">
        <v>75</v>
      </c>
      <c r="I718" s="11">
        <v>1299</v>
      </c>
      <c r="J718" s="49" t="s">
        <v>39</v>
      </c>
      <c r="K718" s="49" t="s">
        <v>76</v>
      </c>
      <c r="L718" s="49" t="s">
        <v>85</v>
      </c>
      <c r="M718" s="49" t="s">
        <v>88</v>
      </c>
      <c r="N718" s="48" t="s">
        <v>86</v>
      </c>
      <c r="O718" s="49" t="s">
        <v>37</v>
      </c>
      <c r="P718" s="11" t="s">
        <v>80</v>
      </c>
      <c r="Q718" s="11" t="s">
        <v>90</v>
      </c>
      <c r="R718" s="11" t="s">
        <v>632</v>
      </c>
      <c r="S718" s="11" t="s">
        <v>633</v>
      </c>
      <c r="T718" s="90" t="s">
        <v>10</v>
      </c>
      <c r="U718" s="89"/>
      <c r="V718" s="51">
        <v>45551</v>
      </c>
      <c r="W718" s="49" t="s">
        <v>1585</v>
      </c>
    </row>
    <row r="719" spans="1:23" ht="13" customHeight="1" x14ac:dyDescent="0.35">
      <c r="A719" s="11">
        <v>713</v>
      </c>
      <c r="B719" s="47">
        <v>205839583</v>
      </c>
      <c r="C719" s="94" t="s">
        <v>2400</v>
      </c>
      <c r="D719" s="11" t="s">
        <v>2401</v>
      </c>
      <c r="E719" s="48" t="s">
        <v>31</v>
      </c>
      <c r="F719" s="48" t="s">
        <v>74</v>
      </c>
      <c r="G719" s="11" t="s">
        <v>64</v>
      </c>
      <c r="H719" s="11" t="s">
        <v>75</v>
      </c>
      <c r="I719" s="11">
        <v>1299</v>
      </c>
      <c r="J719" s="49" t="s">
        <v>39</v>
      </c>
      <c r="K719" s="49" t="s">
        <v>76</v>
      </c>
      <c r="L719" s="49" t="s">
        <v>85</v>
      </c>
      <c r="M719" s="49" t="s">
        <v>88</v>
      </c>
      <c r="N719" s="49" t="s">
        <v>89</v>
      </c>
      <c r="O719" s="49" t="s">
        <v>37</v>
      </c>
      <c r="P719" s="11" t="s">
        <v>80</v>
      </c>
      <c r="Q719" s="11" t="s">
        <v>90</v>
      </c>
      <c r="R719" s="49" t="s">
        <v>628</v>
      </c>
      <c r="S719" s="11" t="s">
        <v>629</v>
      </c>
      <c r="T719" s="90" t="s">
        <v>10</v>
      </c>
      <c r="U719" s="89"/>
      <c r="V719" s="51">
        <v>45894</v>
      </c>
      <c r="W719" s="49" t="s">
        <v>1583</v>
      </c>
    </row>
    <row r="720" spans="1:23" ht="13" customHeight="1" x14ac:dyDescent="0.35">
      <c r="A720" s="11">
        <v>714</v>
      </c>
      <c r="B720" s="97">
        <v>204967147</v>
      </c>
      <c r="C720" s="47" t="s">
        <v>2780</v>
      </c>
      <c r="D720" s="94" t="s">
        <v>2781</v>
      </c>
      <c r="E720" s="48" t="s">
        <v>31</v>
      </c>
      <c r="F720" s="48" t="s">
        <v>74</v>
      </c>
      <c r="G720" s="11" t="s">
        <v>64</v>
      </c>
      <c r="H720" s="11" t="s">
        <v>75</v>
      </c>
      <c r="I720" s="11">
        <v>1299</v>
      </c>
      <c r="J720" s="49" t="s">
        <v>32</v>
      </c>
      <c r="K720" s="49" t="s">
        <v>76</v>
      </c>
      <c r="L720" s="49" t="s">
        <v>84</v>
      </c>
      <c r="M720" s="49" t="s">
        <v>85</v>
      </c>
      <c r="N720" s="48" t="s">
        <v>86</v>
      </c>
      <c r="O720" s="49" t="s">
        <v>37</v>
      </c>
      <c r="P720" s="11" t="s">
        <v>80</v>
      </c>
      <c r="Q720" s="11" t="s">
        <v>90</v>
      </c>
      <c r="R720" s="11" t="s">
        <v>648</v>
      </c>
      <c r="S720" s="11" t="s">
        <v>2755</v>
      </c>
      <c r="T720" s="90" t="s">
        <v>1</v>
      </c>
      <c r="U720" s="90"/>
      <c r="V720" s="51">
        <v>45789</v>
      </c>
      <c r="W720" s="49" t="s">
        <v>1584</v>
      </c>
    </row>
    <row r="721" spans="1:23" ht="13" customHeight="1" x14ac:dyDescent="0.35">
      <c r="A721" s="11">
        <v>715</v>
      </c>
      <c r="B721" s="47">
        <v>204138497</v>
      </c>
      <c r="C721" s="94" t="s">
        <v>771</v>
      </c>
      <c r="D721" s="11" t="s">
        <v>772</v>
      </c>
      <c r="E721" s="48" t="s">
        <v>31</v>
      </c>
      <c r="F721" s="48" t="s">
        <v>74</v>
      </c>
      <c r="G721" s="11" t="s">
        <v>64</v>
      </c>
      <c r="H721" s="11" t="s">
        <v>75</v>
      </c>
      <c r="I721" s="11">
        <v>1299</v>
      </c>
      <c r="J721" s="49" t="s">
        <v>39</v>
      </c>
      <c r="K721" s="49" t="s">
        <v>76</v>
      </c>
      <c r="L721" s="49" t="s">
        <v>77</v>
      </c>
      <c r="M721" s="49" t="s">
        <v>78</v>
      </c>
      <c r="N721" s="48" t="s">
        <v>79</v>
      </c>
      <c r="O721" s="49" t="s">
        <v>37</v>
      </c>
      <c r="P721" s="11" t="s">
        <v>80</v>
      </c>
      <c r="Q721" s="11" t="s">
        <v>81</v>
      </c>
      <c r="R721" s="49" t="s">
        <v>628</v>
      </c>
      <c r="S721" s="11" t="s">
        <v>629</v>
      </c>
      <c r="T721" s="90" t="s">
        <v>1</v>
      </c>
      <c r="U721" s="90"/>
      <c r="V721" s="51">
        <v>45565</v>
      </c>
      <c r="W721" s="49" t="s">
        <v>1584</v>
      </c>
    </row>
    <row r="722" spans="1:23" ht="13" customHeight="1" x14ac:dyDescent="0.35">
      <c r="A722" s="11">
        <v>716</v>
      </c>
      <c r="B722" s="47">
        <v>206846688</v>
      </c>
      <c r="C722" s="94" t="s">
        <v>1822</v>
      </c>
      <c r="D722" s="47" t="s">
        <v>1823</v>
      </c>
      <c r="E722" s="47" t="s">
        <v>31</v>
      </c>
      <c r="F722" s="48" t="s">
        <v>74</v>
      </c>
      <c r="G722" s="11" t="s">
        <v>64</v>
      </c>
      <c r="H722" s="11" t="s">
        <v>75</v>
      </c>
      <c r="I722" s="47">
        <v>1299</v>
      </c>
      <c r="J722" s="49" t="s">
        <v>39</v>
      </c>
      <c r="K722" s="49" t="s">
        <v>76</v>
      </c>
      <c r="L722" s="49" t="s">
        <v>78</v>
      </c>
      <c r="M722" s="49" t="s">
        <v>92</v>
      </c>
      <c r="N722" s="49" t="s">
        <v>89</v>
      </c>
      <c r="O722" s="49" t="s">
        <v>37</v>
      </c>
      <c r="P722" s="11" t="s">
        <v>80</v>
      </c>
      <c r="Q722" s="47" t="s">
        <v>90</v>
      </c>
      <c r="R722" s="11" t="s">
        <v>2864</v>
      </c>
      <c r="S722" s="47" t="s">
        <v>2732</v>
      </c>
      <c r="T722" s="90" t="s">
        <v>1</v>
      </c>
      <c r="U722" s="89"/>
      <c r="V722" s="51">
        <v>46013</v>
      </c>
      <c r="W722" s="49" t="s">
        <v>1584</v>
      </c>
    </row>
    <row r="723" spans="1:23" ht="13" customHeight="1" x14ac:dyDescent="0.35">
      <c r="A723" s="11">
        <v>717</v>
      </c>
      <c r="B723" s="47">
        <v>203965177</v>
      </c>
      <c r="C723" s="94" t="s">
        <v>773</v>
      </c>
      <c r="D723" s="11" t="s">
        <v>774</v>
      </c>
      <c r="E723" s="48" t="s">
        <v>31</v>
      </c>
      <c r="F723" s="48" t="s">
        <v>74</v>
      </c>
      <c r="G723" s="11" t="s">
        <v>64</v>
      </c>
      <c r="H723" s="11" t="s">
        <v>75</v>
      </c>
      <c r="I723" s="11">
        <v>1299</v>
      </c>
      <c r="J723" s="49" t="s">
        <v>32</v>
      </c>
      <c r="K723" s="49" t="s">
        <v>76</v>
      </c>
      <c r="L723" s="49" t="s">
        <v>85</v>
      </c>
      <c r="M723" s="49" t="s">
        <v>88</v>
      </c>
      <c r="N723" s="48" t="s">
        <v>79</v>
      </c>
      <c r="O723" s="49" t="s">
        <v>37</v>
      </c>
      <c r="P723" s="11" t="s">
        <v>80</v>
      </c>
      <c r="Q723" s="11" t="s">
        <v>81</v>
      </c>
      <c r="R723" s="49" t="s">
        <v>2735</v>
      </c>
      <c r="S723" s="11" t="s">
        <v>643</v>
      </c>
      <c r="T723" s="90" t="s">
        <v>10</v>
      </c>
      <c r="U723" s="91"/>
      <c r="V723" s="51">
        <v>45544</v>
      </c>
      <c r="W723" s="49" t="s">
        <v>1584</v>
      </c>
    </row>
    <row r="724" spans="1:23" ht="13" customHeight="1" x14ac:dyDescent="0.35">
      <c r="A724" s="11">
        <v>718</v>
      </c>
      <c r="B724" s="47">
        <v>102434089</v>
      </c>
      <c r="C724" s="94" t="s">
        <v>775</v>
      </c>
      <c r="D724" s="11" t="s">
        <v>776</v>
      </c>
      <c r="E724" s="48" t="s">
        <v>34</v>
      </c>
      <c r="F724" s="48" t="s">
        <v>74</v>
      </c>
      <c r="G724" s="11" t="s">
        <v>64</v>
      </c>
      <c r="H724" s="11" t="s">
        <v>75</v>
      </c>
      <c r="I724" s="11">
        <v>1299</v>
      </c>
      <c r="J724" s="49" t="s">
        <v>32</v>
      </c>
      <c r="K724" s="49" t="s">
        <v>76</v>
      </c>
      <c r="L724" s="49" t="s">
        <v>95</v>
      </c>
      <c r="M724" s="49" t="s">
        <v>77</v>
      </c>
      <c r="N724" s="48" t="s">
        <v>97</v>
      </c>
      <c r="O724" s="49" t="s">
        <v>37</v>
      </c>
      <c r="P724" s="11" t="s">
        <v>80</v>
      </c>
      <c r="Q724" s="11" t="s">
        <v>98</v>
      </c>
      <c r="R724" s="11" t="s">
        <v>632</v>
      </c>
      <c r="S724" s="11" t="s">
        <v>633</v>
      </c>
      <c r="T724" s="90" t="s">
        <v>7</v>
      </c>
      <c r="U724" s="90"/>
      <c r="V724" s="51">
        <v>42897</v>
      </c>
      <c r="W724" s="49" t="s">
        <v>1586</v>
      </c>
    </row>
    <row r="725" spans="1:23" ht="13" customHeight="1" x14ac:dyDescent="0.35">
      <c r="A725" s="11">
        <v>719</v>
      </c>
      <c r="B725" s="47">
        <v>206199998</v>
      </c>
      <c r="C725" s="94" t="s">
        <v>1599</v>
      </c>
      <c r="D725" s="11" t="s">
        <v>1593</v>
      </c>
      <c r="E725" s="48" t="s">
        <v>31</v>
      </c>
      <c r="F725" s="48" t="s">
        <v>74</v>
      </c>
      <c r="G725" s="11" t="s">
        <v>64</v>
      </c>
      <c r="H725" s="11" t="s">
        <v>75</v>
      </c>
      <c r="I725" s="11">
        <v>1299</v>
      </c>
      <c r="J725" s="49" t="s">
        <v>32</v>
      </c>
      <c r="K725" s="49" t="s">
        <v>76</v>
      </c>
      <c r="L725" s="49" t="s">
        <v>78</v>
      </c>
      <c r="M725" s="49" t="s">
        <v>92</v>
      </c>
      <c r="N725" s="49" t="s">
        <v>89</v>
      </c>
      <c r="O725" s="49" t="s">
        <v>37</v>
      </c>
      <c r="P725" s="11" t="s">
        <v>80</v>
      </c>
      <c r="Q725" s="11" t="s">
        <v>81</v>
      </c>
      <c r="R725" s="11" t="s">
        <v>1069</v>
      </c>
      <c r="S725" s="11" t="s">
        <v>2733</v>
      </c>
      <c r="T725" s="90" t="s">
        <v>7</v>
      </c>
      <c r="U725" s="90" t="s">
        <v>2914</v>
      </c>
      <c r="V725" s="51">
        <v>45936</v>
      </c>
      <c r="W725" s="49" t="s">
        <v>1584</v>
      </c>
    </row>
    <row r="726" spans="1:23" ht="13" customHeight="1" x14ac:dyDescent="0.35">
      <c r="A726" s="11">
        <v>720</v>
      </c>
      <c r="B726" s="47">
        <v>205861618</v>
      </c>
      <c r="C726" s="94" t="s">
        <v>2097</v>
      </c>
      <c r="D726" s="11" t="s">
        <v>2098</v>
      </c>
      <c r="E726" s="48" t="s">
        <v>31</v>
      </c>
      <c r="F726" s="48" t="s">
        <v>74</v>
      </c>
      <c r="G726" s="11" t="s">
        <v>64</v>
      </c>
      <c r="H726" s="11" t="s">
        <v>75</v>
      </c>
      <c r="I726" s="11">
        <v>1299</v>
      </c>
      <c r="J726" s="49" t="s">
        <v>39</v>
      </c>
      <c r="K726" s="49" t="s">
        <v>76</v>
      </c>
      <c r="L726" s="49" t="s">
        <v>88</v>
      </c>
      <c r="M726" s="49" t="s">
        <v>95</v>
      </c>
      <c r="N726" s="49" t="s">
        <v>89</v>
      </c>
      <c r="O726" s="49" t="s">
        <v>37</v>
      </c>
      <c r="P726" s="11" t="s">
        <v>80</v>
      </c>
      <c r="Q726" s="11" t="s">
        <v>96</v>
      </c>
      <c r="R726" s="49" t="s">
        <v>628</v>
      </c>
      <c r="S726" s="11" t="s">
        <v>629</v>
      </c>
      <c r="T726" s="90" t="s">
        <v>10</v>
      </c>
      <c r="U726" s="90"/>
      <c r="V726" s="51">
        <v>46048</v>
      </c>
      <c r="W726" s="49" t="s">
        <v>1584</v>
      </c>
    </row>
    <row r="727" spans="1:23" ht="13" customHeight="1" x14ac:dyDescent="0.35">
      <c r="A727" s="11">
        <v>721</v>
      </c>
      <c r="B727" s="11">
        <v>206247771</v>
      </c>
      <c r="C727" s="94" t="s">
        <v>2854</v>
      </c>
      <c r="D727" s="11" t="s">
        <v>2855</v>
      </c>
      <c r="E727" s="48" t="s">
        <v>31</v>
      </c>
      <c r="F727" s="48" t="s">
        <v>74</v>
      </c>
      <c r="G727" s="11" t="s">
        <v>64</v>
      </c>
      <c r="H727" s="11" t="s">
        <v>75</v>
      </c>
      <c r="I727" s="11">
        <v>1299</v>
      </c>
      <c r="J727" s="49" t="s">
        <v>39</v>
      </c>
      <c r="K727" s="49" t="s">
        <v>76</v>
      </c>
      <c r="L727" s="49" t="s">
        <v>95</v>
      </c>
      <c r="M727" s="49" t="s">
        <v>77</v>
      </c>
      <c r="N727" s="11" t="s">
        <v>89</v>
      </c>
      <c r="O727" s="11" t="s">
        <v>37</v>
      </c>
      <c r="P727" s="11" t="s">
        <v>80</v>
      </c>
      <c r="Q727" s="11" t="s">
        <v>96</v>
      </c>
      <c r="R727" s="11" t="s">
        <v>628</v>
      </c>
      <c r="S727" s="11" t="s">
        <v>629</v>
      </c>
      <c r="T727" s="90" t="s">
        <v>1</v>
      </c>
      <c r="U727" s="90"/>
      <c r="V727" s="51">
        <v>46226</v>
      </c>
      <c r="W727" s="11" t="s">
        <v>1584</v>
      </c>
    </row>
    <row r="728" spans="1:23" ht="13" customHeight="1" x14ac:dyDescent="0.35">
      <c r="A728" s="11">
        <v>722</v>
      </c>
      <c r="B728" s="47">
        <v>204319798</v>
      </c>
      <c r="C728" s="94" t="s">
        <v>777</v>
      </c>
      <c r="D728" s="11" t="s">
        <v>778</v>
      </c>
      <c r="E728" s="48" t="s">
        <v>31</v>
      </c>
      <c r="F728" s="48" t="s">
        <v>74</v>
      </c>
      <c r="G728" s="11" t="s">
        <v>64</v>
      </c>
      <c r="H728" s="11" t="s">
        <v>75</v>
      </c>
      <c r="I728" s="11">
        <v>1299</v>
      </c>
      <c r="J728" s="49" t="s">
        <v>39</v>
      </c>
      <c r="K728" s="49" t="s">
        <v>76</v>
      </c>
      <c r="L728" s="49" t="s">
        <v>95</v>
      </c>
      <c r="M728" s="49" t="s">
        <v>77</v>
      </c>
      <c r="N728" s="48" t="s">
        <v>86</v>
      </c>
      <c r="O728" s="49" t="s">
        <v>37</v>
      </c>
      <c r="P728" s="11" t="s">
        <v>80</v>
      </c>
      <c r="Q728" s="11" t="s">
        <v>87</v>
      </c>
      <c r="R728" s="11" t="s">
        <v>2865</v>
      </c>
      <c r="S728" s="11" t="s">
        <v>2866</v>
      </c>
      <c r="T728" s="90" t="s">
        <v>7</v>
      </c>
      <c r="U728" s="90" t="s">
        <v>2914</v>
      </c>
      <c r="V728" s="51">
        <v>45589</v>
      </c>
      <c r="W728" s="49" t="s">
        <v>1586</v>
      </c>
    </row>
    <row r="729" spans="1:23" ht="13" customHeight="1" x14ac:dyDescent="0.35">
      <c r="A729" s="11">
        <v>723</v>
      </c>
      <c r="B729" s="47">
        <v>206915474</v>
      </c>
      <c r="C729" s="94" t="s">
        <v>1928</v>
      </c>
      <c r="D729" s="11" t="s">
        <v>1911</v>
      </c>
      <c r="E729" s="48" t="s">
        <v>31</v>
      </c>
      <c r="F729" s="48" t="s">
        <v>74</v>
      </c>
      <c r="G729" s="11" t="s">
        <v>64</v>
      </c>
      <c r="H729" s="11" t="s">
        <v>75</v>
      </c>
      <c r="I729" s="11">
        <v>1299</v>
      </c>
      <c r="J729" s="49" t="s">
        <v>32</v>
      </c>
      <c r="K729" s="49" t="s">
        <v>76</v>
      </c>
      <c r="L729" s="49" t="s">
        <v>88</v>
      </c>
      <c r="M729" s="49" t="s">
        <v>95</v>
      </c>
      <c r="N729" s="49" t="s">
        <v>89</v>
      </c>
      <c r="O729" s="49" t="s">
        <v>37</v>
      </c>
      <c r="P729" s="11" t="s">
        <v>80</v>
      </c>
      <c r="Q729" s="11" t="s">
        <v>90</v>
      </c>
      <c r="R729" s="11" t="s">
        <v>632</v>
      </c>
      <c r="S729" s="11" t="s">
        <v>633</v>
      </c>
      <c r="T729" s="90" t="s">
        <v>10</v>
      </c>
      <c r="U729" s="89"/>
      <c r="V729" s="51">
        <v>46034</v>
      </c>
      <c r="W729" s="49" t="s">
        <v>1584</v>
      </c>
    </row>
    <row r="730" spans="1:23" ht="13" customHeight="1" x14ac:dyDescent="0.35">
      <c r="A730" s="11">
        <v>724</v>
      </c>
      <c r="B730" s="47">
        <v>203850766</v>
      </c>
      <c r="C730" s="94" t="s">
        <v>2402</v>
      </c>
      <c r="D730" s="11" t="s">
        <v>2403</v>
      </c>
      <c r="E730" s="48" t="s">
        <v>31</v>
      </c>
      <c r="F730" s="48" t="s">
        <v>74</v>
      </c>
      <c r="G730" s="11" t="s">
        <v>64</v>
      </c>
      <c r="H730" s="11" t="s">
        <v>75</v>
      </c>
      <c r="I730" s="11">
        <v>1299</v>
      </c>
      <c r="J730" s="49" t="s">
        <v>39</v>
      </c>
      <c r="K730" s="49" t="s">
        <v>76</v>
      </c>
      <c r="L730" s="49" t="s">
        <v>84</v>
      </c>
      <c r="M730" s="49" t="s">
        <v>85</v>
      </c>
      <c r="N730" s="48" t="s">
        <v>86</v>
      </c>
      <c r="O730" s="49" t="s">
        <v>37</v>
      </c>
      <c r="P730" s="11" t="s">
        <v>80</v>
      </c>
      <c r="Q730" s="11" t="s">
        <v>90</v>
      </c>
      <c r="R730" s="49" t="s">
        <v>628</v>
      </c>
      <c r="S730" s="11" t="s">
        <v>629</v>
      </c>
      <c r="T730" s="90" t="s">
        <v>1</v>
      </c>
      <c r="U730" s="89"/>
      <c r="V730" s="51">
        <v>45524</v>
      </c>
      <c r="W730" s="49" t="s">
        <v>1584</v>
      </c>
    </row>
    <row r="731" spans="1:23" ht="13" customHeight="1" x14ac:dyDescent="0.35">
      <c r="A731" s="11">
        <v>725</v>
      </c>
      <c r="B731" s="47">
        <v>203908841</v>
      </c>
      <c r="C731" s="94" t="s">
        <v>779</v>
      </c>
      <c r="D731" s="11" t="s">
        <v>780</v>
      </c>
      <c r="E731" s="48" t="s">
        <v>31</v>
      </c>
      <c r="F731" s="48" t="s">
        <v>74</v>
      </c>
      <c r="G731" s="11" t="s">
        <v>64</v>
      </c>
      <c r="H731" s="11" t="s">
        <v>75</v>
      </c>
      <c r="I731" s="11">
        <v>1299</v>
      </c>
      <c r="J731" s="49" t="s">
        <v>32</v>
      </c>
      <c r="K731" s="49" t="s">
        <v>76</v>
      </c>
      <c r="L731" s="49" t="s">
        <v>78</v>
      </c>
      <c r="M731" s="49" t="s">
        <v>92</v>
      </c>
      <c r="N731" s="48" t="s">
        <v>79</v>
      </c>
      <c r="O731" s="49" t="s">
        <v>37</v>
      </c>
      <c r="P731" s="11" t="s">
        <v>80</v>
      </c>
      <c r="Q731" s="11" t="s">
        <v>81</v>
      </c>
      <c r="R731" s="49" t="s">
        <v>648</v>
      </c>
      <c r="S731" s="11" t="s">
        <v>1805</v>
      </c>
      <c r="T731" s="90" t="s">
        <v>1</v>
      </c>
      <c r="U731" s="89"/>
      <c r="V731" s="51">
        <v>45537</v>
      </c>
      <c r="W731" s="49" t="s">
        <v>1584</v>
      </c>
    </row>
    <row r="732" spans="1:23" ht="13" customHeight="1" x14ac:dyDescent="0.35">
      <c r="A732" s="11">
        <v>726</v>
      </c>
      <c r="B732" s="47">
        <v>206930333</v>
      </c>
      <c r="C732" s="94" t="s">
        <v>2016</v>
      </c>
      <c r="D732" s="11" t="s">
        <v>2024</v>
      </c>
      <c r="E732" s="48" t="s">
        <v>31</v>
      </c>
      <c r="F732" s="48" t="s">
        <v>74</v>
      </c>
      <c r="G732" s="48" t="s">
        <v>64</v>
      </c>
      <c r="H732" s="48" t="s">
        <v>75</v>
      </c>
      <c r="I732" s="11">
        <v>1299</v>
      </c>
      <c r="J732" s="49" t="s">
        <v>32</v>
      </c>
      <c r="K732" s="49" t="s">
        <v>76</v>
      </c>
      <c r="L732" s="49" t="s">
        <v>77</v>
      </c>
      <c r="M732" s="49" t="s">
        <v>78</v>
      </c>
      <c r="N732" s="49" t="s">
        <v>89</v>
      </c>
      <c r="O732" s="49" t="s">
        <v>37</v>
      </c>
      <c r="P732" s="49" t="s">
        <v>80</v>
      </c>
      <c r="Q732" s="49" t="s">
        <v>96</v>
      </c>
      <c r="R732" s="49" t="s">
        <v>628</v>
      </c>
      <c r="S732" s="49" t="s">
        <v>629</v>
      </c>
      <c r="T732" s="90" t="s">
        <v>1</v>
      </c>
      <c r="U732" s="89"/>
      <c r="V732" s="51">
        <v>46037</v>
      </c>
      <c r="W732" s="49" t="s">
        <v>1584</v>
      </c>
    </row>
    <row r="733" spans="1:23" ht="13" customHeight="1" x14ac:dyDescent="0.35">
      <c r="A733" s="11">
        <v>727</v>
      </c>
      <c r="B733" s="47">
        <v>203813032</v>
      </c>
      <c r="C733" s="94" t="s">
        <v>781</v>
      </c>
      <c r="D733" s="11" t="s">
        <v>782</v>
      </c>
      <c r="E733" s="48" t="s">
        <v>31</v>
      </c>
      <c r="F733" s="48" t="s">
        <v>74</v>
      </c>
      <c r="G733" s="11" t="s">
        <v>64</v>
      </c>
      <c r="H733" s="11" t="s">
        <v>75</v>
      </c>
      <c r="I733" s="11">
        <v>1299</v>
      </c>
      <c r="J733" s="49" t="s">
        <v>32</v>
      </c>
      <c r="K733" s="49" t="s">
        <v>76</v>
      </c>
      <c r="L733" s="49" t="s">
        <v>88</v>
      </c>
      <c r="M733" s="49" t="s">
        <v>95</v>
      </c>
      <c r="N733" s="48" t="s">
        <v>86</v>
      </c>
      <c r="O733" s="49" t="s">
        <v>37</v>
      </c>
      <c r="P733" s="11" t="s">
        <v>80</v>
      </c>
      <c r="Q733" s="11" t="s">
        <v>99</v>
      </c>
      <c r="R733" s="11" t="s">
        <v>2865</v>
      </c>
      <c r="S733" s="11" t="s">
        <v>2866</v>
      </c>
      <c r="T733" s="90" t="s">
        <v>10</v>
      </c>
      <c r="U733" s="90"/>
      <c r="V733" s="51">
        <v>45517</v>
      </c>
      <c r="W733" s="49" t="s">
        <v>1584</v>
      </c>
    </row>
    <row r="734" spans="1:23" ht="13" customHeight="1" x14ac:dyDescent="0.35">
      <c r="A734" s="11">
        <v>728</v>
      </c>
      <c r="B734" s="47">
        <v>204009619</v>
      </c>
      <c r="C734" s="94" t="s">
        <v>783</v>
      </c>
      <c r="D734" s="11" t="s">
        <v>784</v>
      </c>
      <c r="E734" s="48" t="s">
        <v>31</v>
      </c>
      <c r="F734" s="48" t="s">
        <v>74</v>
      </c>
      <c r="G734" s="11" t="s">
        <v>64</v>
      </c>
      <c r="H734" s="11" t="s">
        <v>75</v>
      </c>
      <c r="I734" s="11">
        <v>1299</v>
      </c>
      <c r="J734" s="49" t="s">
        <v>39</v>
      </c>
      <c r="K734" s="49" t="s">
        <v>76</v>
      </c>
      <c r="L734" s="49" t="s">
        <v>78</v>
      </c>
      <c r="M734" s="49" t="s">
        <v>92</v>
      </c>
      <c r="N734" s="48" t="s">
        <v>86</v>
      </c>
      <c r="O734" s="49" t="s">
        <v>37</v>
      </c>
      <c r="P734" s="11" t="s">
        <v>80</v>
      </c>
      <c r="Q734" s="11" t="s">
        <v>90</v>
      </c>
      <c r="R734" s="49" t="s">
        <v>648</v>
      </c>
      <c r="S734" s="11" t="s">
        <v>1805</v>
      </c>
      <c r="T734" s="90" t="s">
        <v>1</v>
      </c>
      <c r="U734" s="90"/>
      <c r="V734" s="51">
        <v>45551</v>
      </c>
      <c r="W734" s="49" t="s">
        <v>1584</v>
      </c>
    </row>
    <row r="735" spans="1:23" ht="13" customHeight="1" x14ac:dyDescent="0.35">
      <c r="A735" s="11">
        <v>729</v>
      </c>
      <c r="B735" s="47">
        <v>204094216</v>
      </c>
      <c r="C735" s="94" t="s">
        <v>2359</v>
      </c>
      <c r="D735" s="11" t="s">
        <v>2360</v>
      </c>
      <c r="E735" s="48" t="s">
        <v>31</v>
      </c>
      <c r="F735" s="48" t="s">
        <v>74</v>
      </c>
      <c r="G735" s="11" t="s">
        <v>64</v>
      </c>
      <c r="H735" s="11" t="s">
        <v>75</v>
      </c>
      <c r="I735" s="11">
        <v>1299</v>
      </c>
      <c r="J735" s="49" t="s">
        <v>39</v>
      </c>
      <c r="K735" s="49" t="s">
        <v>76</v>
      </c>
      <c r="L735" s="49" t="s">
        <v>85</v>
      </c>
      <c r="M735" s="49" t="s">
        <v>88</v>
      </c>
      <c r="N735" s="48" t="s">
        <v>86</v>
      </c>
      <c r="O735" s="49" t="s">
        <v>37</v>
      </c>
      <c r="P735" s="11" t="s">
        <v>80</v>
      </c>
      <c r="Q735" s="11" t="s">
        <v>87</v>
      </c>
      <c r="R735" s="11" t="s">
        <v>632</v>
      </c>
      <c r="S735" s="11" t="s">
        <v>633</v>
      </c>
      <c r="T735" s="90" t="s">
        <v>10</v>
      </c>
      <c r="U735" s="89"/>
      <c r="V735" s="51">
        <v>45561</v>
      </c>
      <c r="W735" s="49" t="s">
        <v>1583</v>
      </c>
    </row>
    <row r="736" spans="1:23" ht="13" customHeight="1" x14ac:dyDescent="0.35">
      <c r="A736" s="11">
        <v>730</v>
      </c>
      <c r="B736" s="47">
        <v>202516581</v>
      </c>
      <c r="C736" s="94" t="s">
        <v>785</v>
      </c>
      <c r="D736" s="11" t="s">
        <v>786</v>
      </c>
      <c r="E736" s="48" t="s">
        <v>31</v>
      </c>
      <c r="F736" s="48" t="s">
        <v>74</v>
      </c>
      <c r="G736" s="11" t="s">
        <v>64</v>
      </c>
      <c r="H736" s="11" t="s">
        <v>75</v>
      </c>
      <c r="I736" s="11">
        <v>1299</v>
      </c>
      <c r="J736" s="49" t="s">
        <v>39</v>
      </c>
      <c r="K736" s="49" t="s">
        <v>76</v>
      </c>
      <c r="L736" s="49" t="s">
        <v>77</v>
      </c>
      <c r="M736" s="49" t="s">
        <v>78</v>
      </c>
      <c r="N736" s="48" t="s">
        <v>79</v>
      </c>
      <c r="O736" s="49" t="s">
        <v>37</v>
      </c>
      <c r="P736" s="11" t="s">
        <v>80</v>
      </c>
      <c r="Q736" s="11" t="s">
        <v>81</v>
      </c>
      <c r="R736" s="49" t="s">
        <v>648</v>
      </c>
      <c r="S736" s="11" t="s">
        <v>1805</v>
      </c>
      <c r="T736" s="90" t="s">
        <v>1</v>
      </c>
      <c r="U736" s="90"/>
      <c r="V736" s="51">
        <v>45530</v>
      </c>
      <c r="W736" s="49" t="s">
        <v>1584</v>
      </c>
    </row>
    <row r="737" spans="1:23" ht="13" customHeight="1" x14ac:dyDescent="0.35">
      <c r="A737" s="11">
        <v>731</v>
      </c>
      <c r="B737" s="47">
        <v>203908859</v>
      </c>
      <c r="C737" s="94" t="s">
        <v>787</v>
      </c>
      <c r="D737" s="11" t="s">
        <v>788</v>
      </c>
      <c r="E737" s="48" t="s">
        <v>31</v>
      </c>
      <c r="F737" s="48" t="s">
        <v>74</v>
      </c>
      <c r="G737" s="11" t="s">
        <v>64</v>
      </c>
      <c r="H737" s="11" t="s">
        <v>75</v>
      </c>
      <c r="I737" s="11">
        <v>1299</v>
      </c>
      <c r="J737" s="49" t="s">
        <v>32</v>
      </c>
      <c r="K737" s="49" t="s">
        <v>76</v>
      </c>
      <c r="L737" s="49" t="s">
        <v>78</v>
      </c>
      <c r="M737" s="49" t="s">
        <v>92</v>
      </c>
      <c r="N737" s="48" t="s">
        <v>79</v>
      </c>
      <c r="O737" s="49" t="s">
        <v>37</v>
      </c>
      <c r="P737" s="11" t="s">
        <v>80</v>
      </c>
      <c r="Q737" s="11" t="s">
        <v>81</v>
      </c>
      <c r="R737" s="49" t="s">
        <v>648</v>
      </c>
      <c r="S737" s="11" t="s">
        <v>1805</v>
      </c>
      <c r="T737" s="90" t="s">
        <v>7</v>
      </c>
      <c r="U737" s="90"/>
      <c r="V737" s="51">
        <v>45537</v>
      </c>
      <c r="W737" s="49" t="s">
        <v>1584</v>
      </c>
    </row>
    <row r="738" spans="1:23" ht="13" customHeight="1" x14ac:dyDescent="0.35">
      <c r="A738" s="11">
        <v>732</v>
      </c>
      <c r="B738" s="47">
        <v>206073363</v>
      </c>
      <c r="C738" s="94" t="s">
        <v>789</v>
      </c>
      <c r="D738" s="11" t="s">
        <v>790</v>
      </c>
      <c r="E738" s="48" t="s">
        <v>31</v>
      </c>
      <c r="F738" s="48" t="s">
        <v>74</v>
      </c>
      <c r="G738" s="11" t="s">
        <v>64</v>
      </c>
      <c r="H738" s="11" t="s">
        <v>75</v>
      </c>
      <c r="I738" s="11">
        <v>1299</v>
      </c>
      <c r="J738" s="49" t="s">
        <v>32</v>
      </c>
      <c r="K738" s="49" t="s">
        <v>76</v>
      </c>
      <c r="L738" s="49" t="s">
        <v>77</v>
      </c>
      <c r="M738" s="49" t="s">
        <v>78</v>
      </c>
      <c r="N738" s="48" t="s">
        <v>79</v>
      </c>
      <c r="O738" s="49" t="s">
        <v>37</v>
      </c>
      <c r="P738" s="11" t="s">
        <v>80</v>
      </c>
      <c r="Q738" s="11" t="s">
        <v>81</v>
      </c>
      <c r="R738" s="49" t="s">
        <v>648</v>
      </c>
      <c r="S738" s="11" t="s">
        <v>1805</v>
      </c>
      <c r="T738" s="90" t="s">
        <v>1</v>
      </c>
      <c r="U738" s="90"/>
      <c r="V738" s="51">
        <v>45929</v>
      </c>
      <c r="W738" s="49" t="s">
        <v>1584</v>
      </c>
    </row>
    <row r="739" spans="1:23" ht="13" customHeight="1" x14ac:dyDescent="0.35">
      <c r="A739" s="11">
        <v>733</v>
      </c>
      <c r="B739" s="47">
        <v>205839586</v>
      </c>
      <c r="C739" s="94" t="s">
        <v>791</v>
      </c>
      <c r="D739" s="11" t="s">
        <v>792</v>
      </c>
      <c r="E739" s="48" t="s">
        <v>31</v>
      </c>
      <c r="F739" s="48" t="s">
        <v>74</v>
      </c>
      <c r="G739" s="11" t="s">
        <v>64</v>
      </c>
      <c r="H739" s="11" t="s">
        <v>75</v>
      </c>
      <c r="I739" s="11">
        <v>1299</v>
      </c>
      <c r="J739" s="49" t="s">
        <v>32</v>
      </c>
      <c r="K739" s="49" t="s">
        <v>76</v>
      </c>
      <c r="L739" s="49" t="s">
        <v>77</v>
      </c>
      <c r="M739" s="49" t="s">
        <v>78</v>
      </c>
      <c r="N739" s="48" t="s">
        <v>86</v>
      </c>
      <c r="O739" s="49" t="s">
        <v>37</v>
      </c>
      <c r="P739" s="11" t="s">
        <v>80</v>
      </c>
      <c r="Q739" s="11" t="s">
        <v>90</v>
      </c>
      <c r="R739" s="11" t="s">
        <v>2865</v>
      </c>
      <c r="S739" s="11" t="s">
        <v>2866</v>
      </c>
      <c r="T739" s="90" t="s">
        <v>1</v>
      </c>
      <c r="U739" s="91"/>
      <c r="V739" s="51">
        <v>45894</v>
      </c>
      <c r="W739" s="49" t="s">
        <v>1584</v>
      </c>
    </row>
    <row r="740" spans="1:23" ht="13" customHeight="1" x14ac:dyDescent="0.35">
      <c r="A740" s="11">
        <v>734</v>
      </c>
      <c r="B740" s="47">
        <v>204172862</v>
      </c>
      <c r="C740" s="94" t="s">
        <v>793</v>
      </c>
      <c r="D740" s="11" t="s">
        <v>794</v>
      </c>
      <c r="E740" s="48" t="s">
        <v>31</v>
      </c>
      <c r="F740" s="48" t="s">
        <v>74</v>
      </c>
      <c r="G740" s="11" t="s">
        <v>64</v>
      </c>
      <c r="H740" s="11" t="s">
        <v>75</v>
      </c>
      <c r="I740" s="11">
        <v>1299</v>
      </c>
      <c r="J740" s="49" t="s">
        <v>39</v>
      </c>
      <c r="K740" s="49" t="s">
        <v>76</v>
      </c>
      <c r="L740" s="49" t="s">
        <v>88</v>
      </c>
      <c r="M740" s="49" t="s">
        <v>95</v>
      </c>
      <c r="N740" s="48" t="s">
        <v>79</v>
      </c>
      <c r="O740" s="49" t="s">
        <v>37</v>
      </c>
      <c r="P740" s="11" t="s">
        <v>80</v>
      </c>
      <c r="Q740" s="11" t="s">
        <v>81</v>
      </c>
      <c r="R740" s="49" t="s">
        <v>628</v>
      </c>
      <c r="S740" s="11" t="s">
        <v>629</v>
      </c>
      <c r="T740" s="90" t="s">
        <v>10</v>
      </c>
      <c r="U740" s="90"/>
      <c r="V740" s="51">
        <v>45568</v>
      </c>
      <c r="W740" s="49" t="s">
        <v>1583</v>
      </c>
    </row>
    <row r="741" spans="1:23" ht="13" customHeight="1" x14ac:dyDescent="0.35">
      <c r="A741" s="11">
        <v>735</v>
      </c>
      <c r="B741" s="47">
        <v>203741316</v>
      </c>
      <c r="C741" s="94" t="s">
        <v>795</v>
      </c>
      <c r="D741" s="11" t="s">
        <v>796</v>
      </c>
      <c r="E741" s="48" t="s">
        <v>31</v>
      </c>
      <c r="F741" s="48" t="s">
        <v>74</v>
      </c>
      <c r="G741" s="11" t="s">
        <v>64</v>
      </c>
      <c r="H741" s="11" t="s">
        <v>75</v>
      </c>
      <c r="I741" s="11">
        <v>1299</v>
      </c>
      <c r="J741" s="49" t="s">
        <v>32</v>
      </c>
      <c r="K741" s="49" t="s">
        <v>76</v>
      </c>
      <c r="L741" s="49" t="s">
        <v>78</v>
      </c>
      <c r="M741" s="49" t="s">
        <v>92</v>
      </c>
      <c r="N741" s="48" t="s">
        <v>79</v>
      </c>
      <c r="O741" s="49" t="s">
        <v>37</v>
      </c>
      <c r="P741" s="11" t="s">
        <v>80</v>
      </c>
      <c r="Q741" s="11" t="s">
        <v>81</v>
      </c>
      <c r="R741" s="49" t="s">
        <v>648</v>
      </c>
      <c r="S741" s="11" t="s">
        <v>1805</v>
      </c>
      <c r="T741" s="90" t="s">
        <v>1</v>
      </c>
      <c r="U741" s="91"/>
      <c r="V741" s="51">
        <v>45502</v>
      </c>
      <c r="W741" s="49" t="s">
        <v>1584</v>
      </c>
    </row>
    <row r="742" spans="1:23" ht="13" customHeight="1" x14ac:dyDescent="0.35">
      <c r="A742" s="11">
        <v>736</v>
      </c>
      <c r="B742" s="47">
        <v>204116867</v>
      </c>
      <c r="C742" s="94" t="s">
        <v>797</v>
      </c>
      <c r="D742" s="11" t="s">
        <v>798</v>
      </c>
      <c r="E742" s="48" t="s">
        <v>31</v>
      </c>
      <c r="F742" s="48" t="s">
        <v>74</v>
      </c>
      <c r="G742" s="11" t="s">
        <v>64</v>
      </c>
      <c r="H742" s="11" t="s">
        <v>75</v>
      </c>
      <c r="I742" s="11">
        <v>1299</v>
      </c>
      <c r="J742" s="49" t="s">
        <v>39</v>
      </c>
      <c r="K742" s="49" t="s">
        <v>76</v>
      </c>
      <c r="L742" s="49" t="s">
        <v>85</v>
      </c>
      <c r="M742" s="49" t="s">
        <v>88</v>
      </c>
      <c r="N742" s="48" t="s">
        <v>86</v>
      </c>
      <c r="O742" s="49" t="s">
        <v>37</v>
      </c>
      <c r="P742" s="11" t="s">
        <v>80</v>
      </c>
      <c r="Q742" s="11" t="s">
        <v>87</v>
      </c>
      <c r="R742" s="11" t="s">
        <v>632</v>
      </c>
      <c r="S742" s="11" t="s">
        <v>633</v>
      </c>
      <c r="T742" s="90" t="s">
        <v>10</v>
      </c>
      <c r="U742" s="90"/>
      <c r="V742" s="51">
        <v>45561</v>
      </c>
      <c r="W742" s="49" t="s">
        <v>1583</v>
      </c>
    </row>
    <row r="743" spans="1:23" ht="13" customHeight="1" x14ac:dyDescent="0.35">
      <c r="A743" s="11">
        <v>737</v>
      </c>
      <c r="B743" s="47">
        <v>203800485</v>
      </c>
      <c r="C743" s="94" t="s">
        <v>2404</v>
      </c>
      <c r="D743" s="11" t="s">
        <v>2405</v>
      </c>
      <c r="E743" s="48" t="s">
        <v>31</v>
      </c>
      <c r="F743" s="48" t="s">
        <v>74</v>
      </c>
      <c r="G743" s="11" t="s">
        <v>64</v>
      </c>
      <c r="H743" s="11" t="s">
        <v>75</v>
      </c>
      <c r="I743" s="11">
        <v>1299</v>
      </c>
      <c r="J743" s="49" t="s">
        <v>32</v>
      </c>
      <c r="K743" s="49" t="s">
        <v>76</v>
      </c>
      <c r="L743" s="49" t="s">
        <v>85</v>
      </c>
      <c r="M743" s="49" t="s">
        <v>88</v>
      </c>
      <c r="N743" s="48" t="s">
        <v>86</v>
      </c>
      <c r="O743" s="49" t="s">
        <v>37</v>
      </c>
      <c r="P743" s="11" t="s">
        <v>80</v>
      </c>
      <c r="Q743" s="11" t="s">
        <v>90</v>
      </c>
      <c r="R743" s="49" t="s">
        <v>648</v>
      </c>
      <c r="S743" s="11" t="s">
        <v>1805</v>
      </c>
      <c r="T743" s="90" t="s">
        <v>10</v>
      </c>
      <c r="U743" s="90"/>
      <c r="V743" s="51">
        <v>45516</v>
      </c>
      <c r="W743" s="49" t="s">
        <v>1584</v>
      </c>
    </row>
    <row r="744" spans="1:23" ht="13" customHeight="1" x14ac:dyDescent="0.35">
      <c r="A744" s="11">
        <v>738</v>
      </c>
      <c r="B744" s="47">
        <v>206897637</v>
      </c>
      <c r="C744" s="94" t="s">
        <v>1898</v>
      </c>
      <c r="D744" s="11" t="s">
        <v>1899</v>
      </c>
      <c r="E744" s="48" t="s">
        <v>31</v>
      </c>
      <c r="F744" s="48" t="s">
        <v>74</v>
      </c>
      <c r="G744" s="11" t="s">
        <v>64</v>
      </c>
      <c r="H744" s="11" t="s">
        <v>75</v>
      </c>
      <c r="I744" s="11">
        <v>1290</v>
      </c>
      <c r="J744" s="49" t="s">
        <v>32</v>
      </c>
      <c r="K744" s="49" t="s">
        <v>76</v>
      </c>
      <c r="L744" s="49" t="s">
        <v>95</v>
      </c>
      <c r="M744" s="49" t="s">
        <v>77</v>
      </c>
      <c r="N744" s="49" t="s">
        <v>89</v>
      </c>
      <c r="O744" s="48" t="s">
        <v>37</v>
      </c>
      <c r="P744" s="48" t="s">
        <v>80</v>
      </c>
      <c r="Q744" s="11" t="s">
        <v>81</v>
      </c>
      <c r="R744" s="11" t="s">
        <v>1069</v>
      </c>
      <c r="S744" s="11" t="s">
        <v>2733</v>
      </c>
      <c r="T744" s="90" t="s">
        <v>1</v>
      </c>
      <c r="U744" s="91"/>
      <c r="V744" s="51">
        <v>46030</v>
      </c>
      <c r="W744" s="49" t="s">
        <v>1584</v>
      </c>
    </row>
    <row r="745" spans="1:23" ht="13" customHeight="1" x14ac:dyDescent="0.35">
      <c r="A745" s="11">
        <v>739</v>
      </c>
      <c r="B745" s="47">
        <v>204010535</v>
      </c>
      <c r="C745" s="94" t="s">
        <v>799</v>
      </c>
      <c r="D745" s="11" t="s">
        <v>800</v>
      </c>
      <c r="E745" s="48" t="s">
        <v>31</v>
      </c>
      <c r="F745" s="48" t="s">
        <v>74</v>
      </c>
      <c r="G745" s="11" t="s">
        <v>64</v>
      </c>
      <c r="H745" s="11" t="s">
        <v>75</v>
      </c>
      <c r="I745" s="11">
        <v>1299</v>
      </c>
      <c r="J745" s="49" t="s">
        <v>39</v>
      </c>
      <c r="K745" s="49" t="s">
        <v>76</v>
      </c>
      <c r="L745" s="49" t="s">
        <v>88</v>
      </c>
      <c r="M745" s="49" t="s">
        <v>95</v>
      </c>
      <c r="N745" s="48" t="s">
        <v>86</v>
      </c>
      <c r="O745" s="49" t="s">
        <v>37</v>
      </c>
      <c r="P745" s="11" t="s">
        <v>80</v>
      </c>
      <c r="Q745" s="11" t="s">
        <v>90</v>
      </c>
      <c r="R745" s="49" t="s">
        <v>628</v>
      </c>
      <c r="S745" s="11" t="s">
        <v>629</v>
      </c>
      <c r="T745" s="90" t="s">
        <v>10</v>
      </c>
      <c r="U745" s="89"/>
      <c r="V745" s="51">
        <v>45551</v>
      </c>
      <c r="W745" s="49" t="s">
        <v>1584</v>
      </c>
    </row>
    <row r="746" spans="1:23" ht="13" customHeight="1" x14ac:dyDescent="0.35">
      <c r="A746" s="11">
        <v>740</v>
      </c>
      <c r="B746" s="47">
        <v>203514419</v>
      </c>
      <c r="C746" s="94" t="s">
        <v>801</v>
      </c>
      <c r="D746" s="11" t="s">
        <v>802</v>
      </c>
      <c r="E746" s="48" t="s">
        <v>31</v>
      </c>
      <c r="F746" s="48" t="s">
        <v>74</v>
      </c>
      <c r="G746" s="11" t="s">
        <v>64</v>
      </c>
      <c r="H746" s="11" t="s">
        <v>75</v>
      </c>
      <c r="I746" s="11">
        <v>1299</v>
      </c>
      <c r="J746" s="49" t="s">
        <v>39</v>
      </c>
      <c r="K746" s="49" t="s">
        <v>76</v>
      </c>
      <c r="L746" s="49" t="s">
        <v>85</v>
      </c>
      <c r="M746" s="49" t="s">
        <v>88</v>
      </c>
      <c r="N746" s="48" t="s">
        <v>79</v>
      </c>
      <c r="O746" s="49" t="s">
        <v>37</v>
      </c>
      <c r="P746" s="11" t="s">
        <v>80</v>
      </c>
      <c r="Q746" s="11" t="s">
        <v>81</v>
      </c>
      <c r="R746" s="11" t="s">
        <v>1069</v>
      </c>
      <c r="S746" s="11" t="s">
        <v>2733</v>
      </c>
      <c r="T746" s="90" t="s">
        <v>10</v>
      </c>
      <c r="U746" s="90"/>
      <c r="V746" s="51">
        <v>45463</v>
      </c>
      <c r="W746" s="49" t="s">
        <v>1584</v>
      </c>
    </row>
    <row r="747" spans="1:23" ht="13" customHeight="1" x14ac:dyDescent="0.35">
      <c r="A747" s="11">
        <v>741</v>
      </c>
      <c r="B747" s="47">
        <v>203851106</v>
      </c>
      <c r="C747" s="94" t="s">
        <v>803</v>
      </c>
      <c r="D747" s="11" t="s">
        <v>804</v>
      </c>
      <c r="E747" s="48" t="s">
        <v>31</v>
      </c>
      <c r="F747" s="48" t="s">
        <v>74</v>
      </c>
      <c r="G747" s="11" t="s">
        <v>64</v>
      </c>
      <c r="H747" s="11" t="s">
        <v>75</v>
      </c>
      <c r="I747" s="11">
        <v>1299</v>
      </c>
      <c r="J747" s="49" t="s">
        <v>39</v>
      </c>
      <c r="K747" s="49" t="s">
        <v>76</v>
      </c>
      <c r="L747" s="49" t="s">
        <v>88</v>
      </c>
      <c r="M747" s="49" t="s">
        <v>95</v>
      </c>
      <c r="N747" s="48" t="s">
        <v>79</v>
      </c>
      <c r="O747" s="49" t="s">
        <v>37</v>
      </c>
      <c r="P747" s="11" t="s">
        <v>80</v>
      </c>
      <c r="Q747" s="11" t="s">
        <v>81</v>
      </c>
      <c r="R747" s="49" t="s">
        <v>648</v>
      </c>
      <c r="S747" s="11" t="s">
        <v>1805</v>
      </c>
      <c r="T747" s="90" t="s">
        <v>10</v>
      </c>
      <c r="U747" s="90"/>
      <c r="V747" s="51">
        <v>45524</v>
      </c>
      <c r="W747" s="49" t="s">
        <v>1586</v>
      </c>
    </row>
    <row r="748" spans="1:23" ht="13" customHeight="1" x14ac:dyDescent="0.35">
      <c r="A748" s="11">
        <v>742</v>
      </c>
      <c r="B748" s="11">
        <v>206930332</v>
      </c>
      <c r="C748" s="94" t="s">
        <v>2848</v>
      </c>
      <c r="D748" s="11" t="s">
        <v>2849</v>
      </c>
      <c r="E748" s="48" t="s">
        <v>31</v>
      </c>
      <c r="F748" s="48" t="s">
        <v>74</v>
      </c>
      <c r="G748" s="11" t="s">
        <v>64</v>
      </c>
      <c r="H748" s="11" t="s">
        <v>75</v>
      </c>
      <c r="I748" s="11">
        <v>1299</v>
      </c>
      <c r="J748" s="49" t="s">
        <v>39</v>
      </c>
      <c r="K748" s="49" t="s">
        <v>76</v>
      </c>
      <c r="L748" s="49" t="s">
        <v>77</v>
      </c>
      <c r="M748" s="49" t="s">
        <v>78</v>
      </c>
      <c r="N748" s="11" t="s">
        <v>89</v>
      </c>
      <c r="O748" s="11" t="s">
        <v>37</v>
      </c>
      <c r="P748" s="11" t="s">
        <v>80</v>
      </c>
      <c r="Q748" s="11" t="s">
        <v>96</v>
      </c>
      <c r="R748" s="11" t="s">
        <v>628</v>
      </c>
      <c r="S748" s="11" t="s">
        <v>629</v>
      </c>
      <c r="T748" s="90" t="s">
        <v>1</v>
      </c>
      <c r="U748" s="89"/>
      <c r="V748" s="51">
        <v>46226</v>
      </c>
      <c r="W748" s="11" t="s">
        <v>1584</v>
      </c>
    </row>
    <row r="749" spans="1:23" ht="13" customHeight="1" x14ac:dyDescent="0.35">
      <c r="A749" s="11">
        <v>743</v>
      </c>
      <c r="B749" s="97">
        <v>203908894</v>
      </c>
      <c r="C749" s="47" t="s">
        <v>2782</v>
      </c>
      <c r="D749" s="94" t="s">
        <v>2783</v>
      </c>
      <c r="E749" s="48" t="s">
        <v>31</v>
      </c>
      <c r="F749" s="48" t="s">
        <v>74</v>
      </c>
      <c r="G749" s="11" t="s">
        <v>64</v>
      </c>
      <c r="H749" s="11" t="s">
        <v>75</v>
      </c>
      <c r="I749" s="11">
        <v>1299</v>
      </c>
      <c r="J749" s="49" t="s">
        <v>39</v>
      </c>
      <c r="K749" s="49" t="s">
        <v>76</v>
      </c>
      <c r="L749" s="49" t="s">
        <v>85</v>
      </c>
      <c r="M749" s="49" t="s">
        <v>88</v>
      </c>
      <c r="N749" s="49" t="s">
        <v>89</v>
      </c>
      <c r="O749" s="49" t="s">
        <v>37</v>
      </c>
      <c r="P749" s="11" t="s">
        <v>80</v>
      </c>
      <c r="Q749" s="11" t="s">
        <v>90</v>
      </c>
      <c r="R749" s="11" t="s">
        <v>2865</v>
      </c>
      <c r="S749" s="11" t="s">
        <v>2866</v>
      </c>
      <c r="T749" s="90" t="s">
        <v>10</v>
      </c>
      <c r="U749" s="89"/>
      <c r="V749" s="51">
        <v>45537</v>
      </c>
      <c r="W749" s="49" t="s">
        <v>1584</v>
      </c>
    </row>
    <row r="750" spans="1:23" ht="13" customHeight="1" x14ac:dyDescent="0.35">
      <c r="A750" s="11">
        <v>744</v>
      </c>
      <c r="B750" s="47">
        <v>203468752</v>
      </c>
      <c r="C750" s="94" t="s">
        <v>805</v>
      </c>
      <c r="D750" s="11" t="s">
        <v>806</v>
      </c>
      <c r="E750" s="48" t="s">
        <v>31</v>
      </c>
      <c r="F750" s="48" t="s">
        <v>74</v>
      </c>
      <c r="G750" s="11" t="s">
        <v>64</v>
      </c>
      <c r="H750" s="11" t="s">
        <v>75</v>
      </c>
      <c r="I750" s="11">
        <v>1299</v>
      </c>
      <c r="J750" s="49" t="s">
        <v>39</v>
      </c>
      <c r="K750" s="49" t="s">
        <v>76</v>
      </c>
      <c r="L750" s="49" t="s">
        <v>77</v>
      </c>
      <c r="M750" s="49" t="s">
        <v>78</v>
      </c>
      <c r="N750" s="48" t="s">
        <v>79</v>
      </c>
      <c r="O750" s="49" t="s">
        <v>37</v>
      </c>
      <c r="P750" s="11" t="s">
        <v>80</v>
      </c>
      <c r="Q750" s="11" t="s">
        <v>81</v>
      </c>
      <c r="R750" s="49" t="s">
        <v>628</v>
      </c>
      <c r="S750" s="11" t="s">
        <v>629</v>
      </c>
      <c r="T750" s="90" t="s">
        <v>1</v>
      </c>
      <c r="U750" s="90"/>
      <c r="V750" s="51">
        <v>45456</v>
      </c>
      <c r="W750" s="49" t="s">
        <v>1586</v>
      </c>
    </row>
    <row r="751" spans="1:23" ht="13" customHeight="1" x14ac:dyDescent="0.35">
      <c r="A751" s="11">
        <v>745</v>
      </c>
      <c r="B751" s="47">
        <v>203965409</v>
      </c>
      <c r="C751" s="94" t="s">
        <v>807</v>
      </c>
      <c r="D751" s="11" t="s">
        <v>808</v>
      </c>
      <c r="E751" s="48" t="s">
        <v>31</v>
      </c>
      <c r="F751" s="48" t="s">
        <v>74</v>
      </c>
      <c r="G751" s="11" t="s">
        <v>64</v>
      </c>
      <c r="H751" s="11" t="s">
        <v>75</v>
      </c>
      <c r="I751" s="11">
        <v>1299</v>
      </c>
      <c r="J751" s="49" t="s">
        <v>32</v>
      </c>
      <c r="K751" s="49" t="s">
        <v>76</v>
      </c>
      <c r="L751" s="49" t="s">
        <v>88</v>
      </c>
      <c r="M751" s="49" t="s">
        <v>95</v>
      </c>
      <c r="N751" s="48" t="s">
        <v>79</v>
      </c>
      <c r="O751" s="49" t="s">
        <v>37</v>
      </c>
      <c r="P751" s="11" t="s">
        <v>80</v>
      </c>
      <c r="Q751" s="11" t="s">
        <v>81</v>
      </c>
      <c r="R751" s="49" t="s">
        <v>648</v>
      </c>
      <c r="S751" s="11" t="s">
        <v>1805</v>
      </c>
      <c r="T751" s="90" t="s">
        <v>10</v>
      </c>
      <c r="U751" s="90"/>
      <c r="V751" s="51">
        <v>45544</v>
      </c>
      <c r="W751" s="49" t="s">
        <v>1584</v>
      </c>
    </row>
    <row r="752" spans="1:23" ht="13" customHeight="1" x14ac:dyDescent="0.35">
      <c r="A752" s="11">
        <v>746</v>
      </c>
      <c r="B752" s="47">
        <v>203965407</v>
      </c>
      <c r="C752" s="94" t="s">
        <v>809</v>
      </c>
      <c r="D752" s="11" t="s">
        <v>810</v>
      </c>
      <c r="E752" s="48" t="s">
        <v>31</v>
      </c>
      <c r="F752" s="48" t="s">
        <v>74</v>
      </c>
      <c r="G752" s="11" t="s">
        <v>64</v>
      </c>
      <c r="H752" s="11" t="s">
        <v>75</v>
      </c>
      <c r="I752" s="11">
        <v>1299</v>
      </c>
      <c r="J752" s="49" t="s">
        <v>39</v>
      </c>
      <c r="K752" s="49" t="s">
        <v>76</v>
      </c>
      <c r="L752" s="49" t="s">
        <v>77</v>
      </c>
      <c r="M752" s="49" t="s">
        <v>78</v>
      </c>
      <c r="N752" s="48" t="s">
        <v>79</v>
      </c>
      <c r="O752" s="49" t="s">
        <v>37</v>
      </c>
      <c r="P752" s="11" t="s">
        <v>80</v>
      </c>
      <c r="Q752" s="11" t="s">
        <v>81</v>
      </c>
      <c r="R752" s="49" t="s">
        <v>628</v>
      </c>
      <c r="S752" s="11" t="s">
        <v>629</v>
      </c>
      <c r="T752" s="90" t="s">
        <v>1</v>
      </c>
      <c r="U752" s="90"/>
      <c r="V752" s="51">
        <v>45544</v>
      </c>
      <c r="W752" s="49" t="s">
        <v>1584</v>
      </c>
    </row>
    <row r="753" spans="1:23" ht="13" customHeight="1" x14ac:dyDescent="0.35">
      <c r="A753" s="11">
        <v>747</v>
      </c>
      <c r="B753" s="47">
        <v>203965522</v>
      </c>
      <c r="C753" s="94" t="s">
        <v>811</v>
      </c>
      <c r="D753" s="11" t="s">
        <v>812</v>
      </c>
      <c r="E753" s="48" t="s">
        <v>31</v>
      </c>
      <c r="F753" s="48" t="s">
        <v>74</v>
      </c>
      <c r="G753" s="11" t="s">
        <v>64</v>
      </c>
      <c r="H753" s="11" t="s">
        <v>75</v>
      </c>
      <c r="I753" s="11">
        <v>1299</v>
      </c>
      <c r="J753" s="49" t="s">
        <v>39</v>
      </c>
      <c r="K753" s="49" t="s">
        <v>76</v>
      </c>
      <c r="L753" s="49" t="s">
        <v>84</v>
      </c>
      <c r="M753" s="49" t="s">
        <v>85</v>
      </c>
      <c r="N753" s="48" t="s">
        <v>79</v>
      </c>
      <c r="O753" s="49" t="s">
        <v>37</v>
      </c>
      <c r="P753" s="11" t="s">
        <v>80</v>
      </c>
      <c r="Q753" s="11" t="s">
        <v>81</v>
      </c>
      <c r="R753" s="49" t="s">
        <v>628</v>
      </c>
      <c r="S753" s="11" t="s">
        <v>629</v>
      </c>
      <c r="T753" s="90" t="s">
        <v>1</v>
      </c>
      <c r="U753" s="89"/>
      <c r="V753" s="51">
        <v>45544</v>
      </c>
      <c r="W753" s="49" t="s">
        <v>1584</v>
      </c>
    </row>
    <row r="754" spans="1:23" ht="13" customHeight="1" x14ac:dyDescent="0.35">
      <c r="A754" s="11">
        <v>748</v>
      </c>
      <c r="B754" s="47">
        <v>204138500</v>
      </c>
      <c r="C754" s="94" t="s">
        <v>813</v>
      </c>
      <c r="D754" s="11" t="s">
        <v>814</v>
      </c>
      <c r="E754" s="48" t="s">
        <v>31</v>
      </c>
      <c r="F754" s="48" t="s">
        <v>74</v>
      </c>
      <c r="G754" s="11" t="s">
        <v>64</v>
      </c>
      <c r="H754" s="11" t="s">
        <v>75</v>
      </c>
      <c r="I754" s="11">
        <v>1299</v>
      </c>
      <c r="J754" s="49" t="s">
        <v>32</v>
      </c>
      <c r="K754" s="49" t="s">
        <v>76</v>
      </c>
      <c r="L754" s="49" t="s">
        <v>84</v>
      </c>
      <c r="M754" s="49" t="s">
        <v>85</v>
      </c>
      <c r="N754" s="48" t="s">
        <v>86</v>
      </c>
      <c r="O754" s="49" t="s">
        <v>37</v>
      </c>
      <c r="P754" s="11" t="s">
        <v>80</v>
      </c>
      <c r="Q754" s="11" t="s">
        <v>87</v>
      </c>
      <c r="R754" s="11" t="s">
        <v>1069</v>
      </c>
      <c r="S754" s="11" t="s">
        <v>2733</v>
      </c>
      <c r="T754" s="90" t="s">
        <v>1</v>
      </c>
      <c r="U754" s="90"/>
      <c r="V754" s="51">
        <v>45565</v>
      </c>
      <c r="W754" s="49" t="s">
        <v>1586</v>
      </c>
    </row>
    <row r="755" spans="1:23" ht="13" customHeight="1" x14ac:dyDescent="0.35">
      <c r="A755" s="11">
        <v>749</v>
      </c>
      <c r="B755" s="47">
        <v>203468749</v>
      </c>
      <c r="C755" s="94" t="s">
        <v>815</v>
      </c>
      <c r="D755" s="11" t="s">
        <v>816</v>
      </c>
      <c r="E755" s="48" t="s">
        <v>31</v>
      </c>
      <c r="F755" s="48" t="s">
        <v>74</v>
      </c>
      <c r="G755" s="11" t="s">
        <v>64</v>
      </c>
      <c r="H755" s="11" t="s">
        <v>75</v>
      </c>
      <c r="I755" s="11">
        <v>1299</v>
      </c>
      <c r="J755" s="49" t="s">
        <v>39</v>
      </c>
      <c r="K755" s="49" t="s">
        <v>76</v>
      </c>
      <c r="L755" s="49" t="s">
        <v>95</v>
      </c>
      <c r="M755" s="49" t="s">
        <v>77</v>
      </c>
      <c r="N755" s="48" t="s">
        <v>79</v>
      </c>
      <c r="O755" s="49" t="s">
        <v>37</v>
      </c>
      <c r="P755" s="11" t="s">
        <v>80</v>
      </c>
      <c r="Q755" s="11" t="s">
        <v>81</v>
      </c>
      <c r="R755" s="11" t="s">
        <v>632</v>
      </c>
      <c r="S755" s="11" t="s">
        <v>633</v>
      </c>
      <c r="T755" s="90" t="s">
        <v>1</v>
      </c>
      <c r="U755" s="89"/>
      <c r="V755" s="51">
        <v>45456</v>
      </c>
      <c r="W755" s="49" t="s">
        <v>1586</v>
      </c>
    </row>
    <row r="756" spans="1:23" ht="13" customHeight="1" x14ac:dyDescent="0.35">
      <c r="A756" s="11">
        <v>750</v>
      </c>
      <c r="B756" s="47">
        <v>206129606</v>
      </c>
      <c r="C756" s="94" t="s">
        <v>817</v>
      </c>
      <c r="D756" s="11" t="s">
        <v>818</v>
      </c>
      <c r="E756" s="48" t="s">
        <v>31</v>
      </c>
      <c r="F756" s="48" t="s">
        <v>74</v>
      </c>
      <c r="G756" s="11" t="s">
        <v>64</v>
      </c>
      <c r="H756" s="11" t="s">
        <v>75</v>
      </c>
      <c r="I756" s="11">
        <v>1299</v>
      </c>
      <c r="J756" s="49" t="s">
        <v>32</v>
      </c>
      <c r="K756" s="49" t="s">
        <v>76</v>
      </c>
      <c r="L756" s="49" t="s">
        <v>85</v>
      </c>
      <c r="M756" s="49" t="s">
        <v>88</v>
      </c>
      <c r="N756" s="48" t="s">
        <v>79</v>
      </c>
      <c r="O756" s="49" t="s">
        <v>37</v>
      </c>
      <c r="P756" s="11" t="s">
        <v>80</v>
      </c>
      <c r="Q756" s="11" t="s">
        <v>81</v>
      </c>
      <c r="R756" s="11" t="s">
        <v>1069</v>
      </c>
      <c r="S756" s="11" t="s">
        <v>2733</v>
      </c>
      <c r="T756" s="90" t="s">
        <v>10</v>
      </c>
      <c r="U756" s="89"/>
      <c r="V756" s="51">
        <v>45929</v>
      </c>
      <c r="W756" s="49" t="s">
        <v>1584</v>
      </c>
    </row>
    <row r="757" spans="1:23" ht="13" customHeight="1" x14ac:dyDescent="0.35">
      <c r="A757" s="11">
        <v>751</v>
      </c>
      <c r="B757" s="11">
        <v>206915012</v>
      </c>
      <c r="C757" s="94" t="s">
        <v>2862</v>
      </c>
      <c r="D757" s="11" t="s">
        <v>2863</v>
      </c>
      <c r="E757" s="48" t="s">
        <v>31</v>
      </c>
      <c r="F757" s="48" t="s">
        <v>74</v>
      </c>
      <c r="G757" s="11" t="s">
        <v>64</v>
      </c>
      <c r="H757" s="11" t="s">
        <v>75</v>
      </c>
      <c r="I757" s="11">
        <v>1299</v>
      </c>
      <c r="J757" s="49" t="s">
        <v>39</v>
      </c>
      <c r="K757" s="49" t="s">
        <v>76</v>
      </c>
      <c r="L757" s="49" t="s">
        <v>77</v>
      </c>
      <c r="M757" s="49" t="s">
        <v>78</v>
      </c>
      <c r="N757" s="11" t="s">
        <v>89</v>
      </c>
      <c r="O757" s="11" t="s">
        <v>37</v>
      </c>
      <c r="P757" s="11" t="s">
        <v>80</v>
      </c>
      <c r="Q757" s="11" t="s">
        <v>90</v>
      </c>
      <c r="R757" s="11" t="s">
        <v>632</v>
      </c>
      <c r="S757" s="11" t="s">
        <v>633</v>
      </c>
      <c r="T757" s="90" t="s">
        <v>1</v>
      </c>
      <c r="U757" s="90"/>
      <c r="V757" s="51">
        <v>46226</v>
      </c>
      <c r="W757" s="11" t="s">
        <v>1584</v>
      </c>
    </row>
    <row r="758" spans="1:23" ht="13" customHeight="1" x14ac:dyDescent="0.35">
      <c r="A758" s="11">
        <v>752</v>
      </c>
      <c r="B758" s="47">
        <v>204319808</v>
      </c>
      <c r="C758" s="94" t="s">
        <v>819</v>
      </c>
      <c r="D758" s="11" t="s">
        <v>820</v>
      </c>
      <c r="E758" s="48" t="s">
        <v>31</v>
      </c>
      <c r="F758" s="48" t="s">
        <v>74</v>
      </c>
      <c r="G758" s="11" t="s">
        <v>64</v>
      </c>
      <c r="H758" s="11" t="s">
        <v>75</v>
      </c>
      <c r="I758" s="11">
        <v>1299</v>
      </c>
      <c r="J758" s="49" t="s">
        <v>39</v>
      </c>
      <c r="K758" s="49" t="s">
        <v>76</v>
      </c>
      <c r="L758" s="49" t="s">
        <v>78</v>
      </c>
      <c r="M758" s="49" t="s">
        <v>92</v>
      </c>
      <c r="N758" s="48" t="s">
        <v>86</v>
      </c>
      <c r="O758" s="49" t="s">
        <v>37</v>
      </c>
      <c r="P758" s="11" t="s">
        <v>80</v>
      </c>
      <c r="Q758" s="11" t="s">
        <v>87</v>
      </c>
      <c r="R758" s="11" t="s">
        <v>632</v>
      </c>
      <c r="S758" s="11" t="s">
        <v>633</v>
      </c>
      <c r="T758" s="90" t="s">
        <v>1</v>
      </c>
      <c r="U758" s="90"/>
      <c r="V758" s="51">
        <v>45589</v>
      </c>
      <c r="W758" s="49" t="s">
        <v>1586</v>
      </c>
    </row>
    <row r="759" spans="1:23" ht="13" customHeight="1" x14ac:dyDescent="0.35">
      <c r="A759" s="11">
        <v>753</v>
      </c>
      <c r="B759" s="47">
        <v>204009355</v>
      </c>
      <c r="C759" s="94" t="s">
        <v>2406</v>
      </c>
      <c r="D759" s="11" t="s">
        <v>2407</v>
      </c>
      <c r="E759" s="48" t="s">
        <v>31</v>
      </c>
      <c r="F759" s="48" t="s">
        <v>74</v>
      </c>
      <c r="G759" s="11" t="s">
        <v>64</v>
      </c>
      <c r="H759" s="11" t="s">
        <v>75</v>
      </c>
      <c r="I759" s="11">
        <v>1299</v>
      </c>
      <c r="J759" s="49" t="s">
        <v>32</v>
      </c>
      <c r="K759" s="49" t="s">
        <v>76</v>
      </c>
      <c r="L759" s="49" t="s">
        <v>88</v>
      </c>
      <c r="M759" s="49" t="s">
        <v>95</v>
      </c>
      <c r="N759" s="48" t="s">
        <v>86</v>
      </c>
      <c r="O759" s="49" t="s">
        <v>37</v>
      </c>
      <c r="P759" s="11" t="s">
        <v>80</v>
      </c>
      <c r="Q759" s="11" t="s">
        <v>90</v>
      </c>
      <c r="R759" s="11" t="s">
        <v>2865</v>
      </c>
      <c r="S759" s="11" t="s">
        <v>2866</v>
      </c>
      <c r="T759" s="90" t="s">
        <v>10</v>
      </c>
      <c r="U759" s="91"/>
      <c r="V759" s="51">
        <v>45551</v>
      </c>
      <c r="W759" s="49" t="s">
        <v>1584</v>
      </c>
    </row>
    <row r="760" spans="1:23" ht="13" customHeight="1" x14ac:dyDescent="0.35">
      <c r="A760" s="11">
        <v>754</v>
      </c>
      <c r="B760" s="47">
        <v>206846111</v>
      </c>
      <c r="C760" s="94" t="s">
        <v>1830</v>
      </c>
      <c r="D760" s="47" t="s">
        <v>1831</v>
      </c>
      <c r="E760" s="47" t="s">
        <v>31</v>
      </c>
      <c r="F760" s="48" t="s">
        <v>74</v>
      </c>
      <c r="G760" s="11" t="s">
        <v>64</v>
      </c>
      <c r="H760" s="11" t="s">
        <v>75</v>
      </c>
      <c r="I760" s="47">
        <v>1299</v>
      </c>
      <c r="J760" s="49" t="s">
        <v>39</v>
      </c>
      <c r="K760" s="49" t="s">
        <v>76</v>
      </c>
      <c r="L760" s="49" t="s">
        <v>36</v>
      </c>
      <c r="M760" s="49" t="s">
        <v>95</v>
      </c>
      <c r="N760" s="49" t="s">
        <v>89</v>
      </c>
      <c r="O760" s="49" t="s">
        <v>37</v>
      </c>
      <c r="P760" s="11" t="s">
        <v>80</v>
      </c>
      <c r="Q760" s="47" t="s">
        <v>90</v>
      </c>
      <c r="R760" s="49" t="s">
        <v>2735</v>
      </c>
      <c r="S760" s="47" t="s">
        <v>643</v>
      </c>
      <c r="T760" s="90" t="s">
        <v>1</v>
      </c>
      <c r="U760" s="125" t="s">
        <v>2919</v>
      </c>
      <c r="V760" s="51">
        <v>46013</v>
      </c>
      <c r="W760" s="49" t="s">
        <v>1584</v>
      </c>
    </row>
    <row r="761" spans="1:23" ht="13" customHeight="1" x14ac:dyDescent="0.35">
      <c r="A761" s="11">
        <v>755</v>
      </c>
      <c r="B761" s="47">
        <v>206897636</v>
      </c>
      <c r="C761" s="94" t="s">
        <v>1908</v>
      </c>
      <c r="D761" s="11" t="s">
        <v>1909</v>
      </c>
      <c r="E761" s="48" t="s">
        <v>31</v>
      </c>
      <c r="F761" s="48" t="s">
        <v>74</v>
      </c>
      <c r="G761" s="11" t="s">
        <v>64</v>
      </c>
      <c r="H761" s="11" t="s">
        <v>75</v>
      </c>
      <c r="I761" s="11">
        <v>1290</v>
      </c>
      <c r="J761" s="49" t="s">
        <v>32</v>
      </c>
      <c r="K761" s="49" t="s">
        <v>76</v>
      </c>
      <c r="L761" s="49" t="s">
        <v>77</v>
      </c>
      <c r="M761" s="49" t="s">
        <v>78</v>
      </c>
      <c r="N761" s="49" t="s">
        <v>89</v>
      </c>
      <c r="O761" s="48" t="s">
        <v>37</v>
      </c>
      <c r="P761" s="48" t="s">
        <v>80</v>
      </c>
      <c r="Q761" s="11" t="s">
        <v>81</v>
      </c>
      <c r="R761" s="11" t="s">
        <v>1069</v>
      </c>
      <c r="S761" s="11" t="s">
        <v>2733</v>
      </c>
      <c r="T761" s="90" t="s">
        <v>1</v>
      </c>
      <c r="U761" s="89" t="s">
        <v>2920</v>
      </c>
      <c r="V761" s="51">
        <v>46030</v>
      </c>
      <c r="W761" s="49" t="s">
        <v>1585</v>
      </c>
    </row>
    <row r="762" spans="1:23" ht="13" customHeight="1" x14ac:dyDescent="0.35">
      <c r="A762" s="11">
        <v>756</v>
      </c>
      <c r="B762" s="47">
        <v>204946697</v>
      </c>
      <c r="C762" s="94" t="s">
        <v>821</v>
      </c>
      <c r="D762" s="11" t="s">
        <v>822</v>
      </c>
      <c r="E762" s="48" t="s">
        <v>31</v>
      </c>
      <c r="F762" s="48" t="s">
        <v>74</v>
      </c>
      <c r="G762" s="11" t="s">
        <v>64</v>
      </c>
      <c r="H762" s="11" t="s">
        <v>75</v>
      </c>
      <c r="I762" s="11">
        <v>1299</v>
      </c>
      <c r="J762" s="49" t="s">
        <v>39</v>
      </c>
      <c r="K762" s="49" t="s">
        <v>76</v>
      </c>
      <c r="L762" s="49" t="s">
        <v>92</v>
      </c>
      <c r="M762" s="49" t="s">
        <v>84</v>
      </c>
      <c r="N762" s="48" t="s">
        <v>86</v>
      </c>
      <c r="O762" s="49" t="s">
        <v>37</v>
      </c>
      <c r="P762" s="11" t="s">
        <v>80</v>
      </c>
      <c r="Q762" s="11" t="s">
        <v>90</v>
      </c>
      <c r="R762" s="49" t="s">
        <v>648</v>
      </c>
      <c r="S762" s="11" t="s">
        <v>1805</v>
      </c>
      <c r="T762" s="90" t="s">
        <v>1</v>
      </c>
      <c r="U762" s="90"/>
      <c r="V762" s="51">
        <v>45719</v>
      </c>
      <c r="W762" s="49" t="s">
        <v>1584</v>
      </c>
    </row>
    <row r="763" spans="1:23" ht="13" customHeight="1" x14ac:dyDescent="0.35">
      <c r="A763" s="11">
        <v>757</v>
      </c>
      <c r="B763" s="47">
        <v>204967053</v>
      </c>
      <c r="C763" s="94" t="s">
        <v>823</v>
      </c>
      <c r="D763" s="11" t="s">
        <v>824</v>
      </c>
      <c r="E763" s="48" t="s">
        <v>31</v>
      </c>
      <c r="F763" s="48" t="s">
        <v>74</v>
      </c>
      <c r="G763" s="11" t="s">
        <v>64</v>
      </c>
      <c r="H763" s="11" t="s">
        <v>75</v>
      </c>
      <c r="I763" s="11">
        <v>1299</v>
      </c>
      <c r="J763" s="49" t="s">
        <v>32</v>
      </c>
      <c r="K763" s="49" t="s">
        <v>76</v>
      </c>
      <c r="L763" s="49" t="s">
        <v>85</v>
      </c>
      <c r="M763" s="49" t="s">
        <v>88</v>
      </c>
      <c r="N763" s="48" t="s">
        <v>86</v>
      </c>
      <c r="O763" s="49" t="s">
        <v>37</v>
      </c>
      <c r="P763" s="11" t="s">
        <v>80</v>
      </c>
      <c r="Q763" s="11" t="s">
        <v>90</v>
      </c>
      <c r="R763" s="49" t="s">
        <v>648</v>
      </c>
      <c r="S763" s="11" t="s">
        <v>1805</v>
      </c>
      <c r="T763" s="90" t="s">
        <v>10</v>
      </c>
      <c r="U763" s="91"/>
      <c r="V763" s="51">
        <v>45719</v>
      </c>
      <c r="W763" s="49" t="s">
        <v>1584</v>
      </c>
    </row>
    <row r="764" spans="1:23" ht="13" customHeight="1" x14ac:dyDescent="0.35">
      <c r="A764" s="11">
        <v>758</v>
      </c>
      <c r="B764" s="47">
        <v>206137344</v>
      </c>
      <c r="C764" s="94" t="s">
        <v>1648</v>
      </c>
      <c r="D764" s="11" t="s">
        <v>1643</v>
      </c>
      <c r="E764" s="48" t="s">
        <v>31</v>
      </c>
      <c r="F764" s="48" t="s">
        <v>74</v>
      </c>
      <c r="G764" s="11" t="s">
        <v>64</v>
      </c>
      <c r="H764" s="11" t="s">
        <v>75</v>
      </c>
      <c r="I764" s="11">
        <v>1299</v>
      </c>
      <c r="J764" s="49" t="s">
        <v>32</v>
      </c>
      <c r="K764" s="49" t="s">
        <v>76</v>
      </c>
      <c r="L764" s="49" t="s">
        <v>92</v>
      </c>
      <c r="M764" s="49" t="s">
        <v>84</v>
      </c>
      <c r="N764" s="49" t="s">
        <v>89</v>
      </c>
      <c r="O764" s="49" t="s">
        <v>37</v>
      </c>
      <c r="P764" s="11" t="s">
        <v>80</v>
      </c>
      <c r="Q764" s="11" t="s">
        <v>81</v>
      </c>
      <c r="R764" s="49" t="s">
        <v>628</v>
      </c>
      <c r="S764" s="11" t="s">
        <v>629</v>
      </c>
      <c r="T764" s="90" t="s">
        <v>1</v>
      </c>
      <c r="U764" s="90"/>
      <c r="V764" s="51">
        <v>45943</v>
      </c>
      <c r="W764" s="49" t="s">
        <v>1583</v>
      </c>
    </row>
    <row r="765" spans="1:23" ht="13" customHeight="1" x14ac:dyDescent="0.35">
      <c r="A765" s="11">
        <v>759</v>
      </c>
      <c r="B765" s="47">
        <v>206192264</v>
      </c>
      <c r="C765" s="94" t="s">
        <v>1621</v>
      </c>
      <c r="D765" s="11" t="s">
        <v>1614</v>
      </c>
      <c r="E765" s="48" t="s">
        <v>31</v>
      </c>
      <c r="F765" s="48" t="s">
        <v>74</v>
      </c>
      <c r="G765" s="11" t="s">
        <v>64</v>
      </c>
      <c r="H765" s="11" t="s">
        <v>75</v>
      </c>
      <c r="I765" s="11">
        <v>1299</v>
      </c>
      <c r="J765" s="49" t="s">
        <v>39</v>
      </c>
      <c r="K765" s="49" t="s">
        <v>76</v>
      </c>
      <c r="L765" s="49" t="s">
        <v>95</v>
      </c>
      <c r="M765" s="49" t="s">
        <v>77</v>
      </c>
      <c r="N765" s="49" t="s">
        <v>89</v>
      </c>
      <c r="O765" s="49" t="s">
        <v>37</v>
      </c>
      <c r="P765" s="11" t="s">
        <v>80</v>
      </c>
      <c r="Q765" s="11" t="s">
        <v>96</v>
      </c>
      <c r="R765" s="49" t="s">
        <v>628</v>
      </c>
      <c r="S765" s="11" t="s">
        <v>629</v>
      </c>
      <c r="T765" s="90" t="s">
        <v>1</v>
      </c>
      <c r="U765" s="90"/>
      <c r="V765" s="51">
        <v>45936</v>
      </c>
      <c r="W765" s="49" t="s">
        <v>1584</v>
      </c>
    </row>
    <row r="766" spans="1:23" ht="13" customHeight="1" x14ac:dyDescent="0.35">
      <c r="A766" s="11">
        <v>760</v>
      </c>
      <c r="B766" s="47">
        <v>203850771</v>
      </c>
      <c r="C766" s="94" t="s">
        <v>2408</v>
      </c>
      <c r="D766" s="11" t="s">
        <v>2409</v>
      </c>
      <c r="E766" s="48" t="s">
        <v>31</v>
      </c>
      <c r="F766" s="48" t="s">
        <v>74</v>
      </c>
      <c r="G766" s="11" t="s">
        <v>64</v>
      </c>
      <c r="H766" s="11" t="s">
        <v>75</v>
      </c>
      <c r="I766" s="11">
        <v>1299</v>
      </c>
      <c r="J766" s="49" t="s">
        <v>39</v>
      </c>
      <c r="K766" s="49" t="s">
        <v>76</v>
      </c>
      <c r="L766" s="49" t="s">
        <v>84</v>
      </c>
      <c r="M766" s="49" t="s">
        <v>85</v>
      </c>
      <c r="N766" s="48" t="s">
        <v>86</v>
      </c>
      <c r="O766" s="49" t="s">
        <v>37</v>
      </c>
      <c r="P766" s="11" t="s">
        <v>80</v>
      </c>
      <c r="Q766" s="11" t="s">
        <v>90</v>
      </c>
      <c r="R766" s="49" t="s">
        <v>648</v>
      </c>
      <c r="S766" s="11" t="s">
        <v>1805</v>
      </c>
      <c r="T766" s="90" t="s">
        <v>1</v>
      </c>
      <c r="U766" s="90"/>
      <c r="V766" s="51">
        <v>45524</v>
      </c>
      <c r="W766" s="49" t="s">
        <v>1584</v>
      </c>
    </row>
    <row r="767" spans="1:23" ht="13" customHeight="1" x14ac:dyDescent="0.35">
      <c r="A767" s="11">
        <v>761</v>
      </c>
      <c r="B767" s="47">
        <v>203908324</v>
      </c>
      <c r="C767" s="94" t="s">
        <v>825</v>
      </c>
      <c r="D767" s="11" t="s">
        <v>826</v>
      </c>
      <c r="E767" s="48" t="s">
        <v>31</v>
      </c>
      <c r="F767" s="48" t="s">
        <v>74</v>
      </c>
      <c r="G767" s="11" t="s">
        <v>64</v>
      </c>
      <c r="H767" s="11" t="s">
        <v>75</v>
      </c>
      <c r="I767" s="11">
        <v>1299</v>
      </c>
      <c r="J767" s="49" t="s">
        <v>32</v>
      </c>
      <c r="K767" s="49" t="s">
        <v>76</v>
      </c>
      <c r="L767" s="49" t="s">
        <v>95</v>
      </c>
      <c r="M767" s="49" t="s">
        <v>77</v>
      </c>
      <c r="N767" s="48" t="s">
        <v>79</v>
      </c>
      <c r="O767" s="49" t="s">
        <v>37</v>
      </c>
      <c r="P767" s="11" t="s">
        <v>80</v>
      </c>
      <c r="Q767" s="11" t="s">
        <v>81</v>
      </c>
      <c r="R767" s="11" t="s">
        <v>2865</v>
      </c>
      <c r="S767" s="11" t="s">
        <v>2866</v>
      </c>
      <c r="T767" s="90" t="s">
        <v>1</v>
      </c>
      <c r="U767" s="89"/>
      <c r="V767" s="51">
        <v>45537</v>
      </c>
      <c r="W767" s="49" t="s">
        <v>1584</v>
      </c>
    </row>
    <row r="768" spans="1:23" ht="13" customHeight="1" x14ac:dyDescent="0.35">
      <c r="A768" s="11">
        <v>762</v>
      </c>
      <c r="B768" s="47">
        <v>203881658</v>
      </c>
      <c r="C768" s="94" t="s">
        <v>827</v>
      </c>
      <c r="D768" s="11" t="s">
        <v>828</v>
      </c>
      <c r="E768" s="48" t="s">
        <v>31</v>
      </c>
      <c r="F768" s="48" t="s">
        <v>74</v>
      </c>
      <c r="G768" s="11" t="s">
        <v>64</v>
      </c>
      <c r="H768" s="11" t="s">
        <v>75</v>
      </c>
      <c r="I768" s="11">
        <v>1299</v>
      </c>
      <c r="J768" s="49" t="s">
        <v>32</v>
      </c>
      <c r="K768" s="49" t="s">
        <v>76</v>
      </c>
      <c r="L768" s="49" t="s">
        <v>92</v>
      </c>
      <c r="M768" s="49" t="s">
        <v>84</v>
      </c>
      <c r="N768" s="48" t="s">
        <v>79</v>
      </c>
      <c r="O768" s="49" t="s">
        <v>37</v>
      </c>
      <c r="P768" s="11" t="s">
        <v>80</v>
      </c>
      <c r="Q768" s="11" t="s">
        <v>81</v>
      </c>
      <c r="R768" s="49" t="s">
        <v>628</v>
      </c>
      <c r="S768" s="11" t="s">
        <v>629</v>
      </c>
      <c r="T768" s="90" t="s">
        <v>1</v>
      </c>
      <c r="U768" s="91"/>
      <c r="V768" s="51">
        <v>45530</v>
      </c>
      <c r="W768" s="49" t="s">
        <v>1584</v>
      </c>
    </row>
    <row r="769" spans="1:23" ht="13" customHeight="1" x14ac:dyDescent="0.35">
      <c r="A769" s="11">
        <v>763</v>
      </c>
      <c r="B769" s="47">
        <v>205854275</v>
      </c>
      <c r="C769" s="94" t="s">
        <v>829</v>
      </c>
      <c r="D769" s="11" t="s">
        <v>830</v>
      </c>
      <c r="E769" s="48" t="s">
        <v>31</v>
      </c>
      <c r="F769" s="48" t="s">
        <v>74</v>
      </c>
      <c r="G769" s="11" t="s">
        <v>64</v>
      </c>
      <c r="H769" s="11" t="s">
        <v>75</v>
      </c>
      <c r="I769" s="11">
        <v>1299</v>
      </c>
      <c r="J769" s="49" t="s">
        <v>39</v>
      </c>
      <c r="K769" s="49" t="s">
        <v>76</v>
      </c>
      <c r="L769" s="49" t="s">
        <v>84</v>
      </c>
      <c r="M769" s="49" t="s">
        <v>85</v>
      </c>
      <c r="N769" s="49" t="s">
        <v>79</v>
      </c>
      <c r="O769" s="49" t="s">
        <v>37</v>
      </c>
      <c r="P769" s="11" t="s">
        <v>80</v>
      </c>
      <c r="Q769" s="11" t="s">
        <v>96</v>
      </c>
      <c r="R769" s="11" t="s">
        <v>632</v>
      </c>
      <c r="S769" s="11" t="s">
        <v>633</v>
      </c>
      <c r="T769" s="90" t="s">
        <v>7</v>
      </c>
      <c r="U769" s="90" t="s">
        <v>2914</v>
      </c>
      <c r="V769" s="51">
        <v>45894</v>
      </c>
      <c r="W769" s="49" t="s">
        <v>1584</v>
      </c>
    </row>
    <row r="770" spans="1:23" ht="13" customHeight="1" x14ac:dyDescent="0.35">
      <c r="A770" s="11">
        <v>764</v>
      </c>
      <c r="B770" s="47">
        <v>206192267</v>
      </c>
      <c r="C770" s="94" t="s">
        <v>1615</v>
      </c>
      <c r="D770" s="11" t="s">
        <v>1608</v>
      </c>
      <c r="E770" s="48" t="s">
        <v>31</v>
      </c>
      <c r="F770" s="48" t="s">
        <v>74</v>
      </c>
      <c r="G770" s="11" t="s">
        <v>64</v>
      </c>
      <c r="H770" s="11" t="s">
        <v>75</v>
      </c>
      <c r="I770" s="11">
        <v>1299</v>
      </c>
      <c r="J770" s="49" t="s">
        <v>39</v>
      </c>
      <c r="K770" s="49" t="s">
        <v>76</v>
      </c>
      <c r="L770" s="49" t="s">
        <v>78</v>
      </c>
      <c r="M770" s="49" t="s">
        <v>92</v>
      </c>
      <c r="N770" s="49" t="s">
        <v>79</v>
      </c>
      <c r="O770" s="49" t="s">
        <v>37</v>
      </c>
      <c r="P770" s="11" t="s">
        <v>80</v>
      </c>
      <c r="Q770" s="11" t="s">
        <v>96</v>
      </c>
      <c r="R770" s="11" t="s">
        <v>632</v>
      </c>
      <c r="S770" s="11" t="s">
        <v>633</v>
      </c>
      <c r="T770" s="90" t="s">
        <v>1</v>
      </c>
      <c r="U770" s="90"/>
      <c r="V770" s="51">
        <v>45936</v>
      </c>
      <c r="W770" s="49" t="s">
        <v>1584</v>
      </c>
    </row>
    <row r="771" spans="1:23" ht="13" customHeight="1" x14ac:dyDescent="0.35">
      <c r="A771" s="11">
        <v>765</v>
      </c>
      <c r="B771" s="47">
        <v>206192230</v>
      </c>
      <c r="C771" s="94" t="s">
        <v>1616</v>
      </c>
      <c r="D771" s="11" t="s">
        <v>1609</v>
      </c>
      <c r="E771" s="48" t="s">
        <v>31</v>
      </c>
      <c r="F771" s="48" t="s">
        <v>74</v>
      </c>
      <c r="G771" s="11" t="s">
        <v>64</v>
      </c>
      <c r="H771" s="11" t="s">
        <v>75</v>
      </c>
      <c r="I771" s="11">
        <v>1299</v>
      </c>
      <c r="J771" s="49" t="s">
        <v>39</v>
      </c>
      <c r="K771" s="49" t="s">
        <v>76</v>
      </c>
      <c r="L771" s="49" t="s">
        <v>78</v>
      </c>
      <c r="M771" s="49" t="s">
        <v>92</v>
      </c>
      <c r="N771" s="49" t="s">
        <v>79</v>
      </c>
      <c r="O771" s="49" t="s">
        <v>37</v>
      </c>
      <c r="P771" s="11" t="s">
        <v>80</v>
      </c>
      <c r="Q771" s="11" t="s">
        <v>96</v>
      </c>
      <c r="R771" s="11" t="s">
        <v>632</v>
      </c>
      <c r="S771" s="11" t="s">
        <v>633</v>
      </c>
      <c r="T771" s="90" t="s">
        <v>1</v>
      </c>
      <c r="U771" s="90"/>
      <c r="V771" s="51">
        <v>45936</v>
      </c>
      <c r="W771" s="49" t="s">
        <v>1584</v>
      </c>
    </row>
    <row r="772" spans="1:23" ht="13" customHeight="1" x14ac:dyDescent="0.35">
      <c r="A772" s="11">
        <v>766</v>
      </c>
      <c r="B772" s="47">
        <v>203908323</v>
      </c>
      <c r="C772" s="94" t="s">
        <v>831</v>
      </c>
      <c r="D772" s="11" t="s">
        <v>832</v>
      </c>
      <c r="E772" s="48" t="s">
        <v>31</v>
      </c>
      <c r="F772" s="48" t="s">
        <v>74</v>
      </c>
      <c r="G772" s="11" t="s">
        <v>64</v>
      </c>
      <c r="H772" s="11" t="s">
        <v>75</v>
      </c>
      <c r="I772" s="11">
        <v>1299</v>
      </c>
      <c r="J772" s="49" t="s">
        <v>39</v>
      </c>
      <c r="K772" s="49" t="s">
        <v>76</v>
      </c>
      <c r="L772" s="49" t="s">
        <v>88</v>
      </c>
      <c r="M772" s="49" t="s">
        <v>95</v>
      </c>
      <c r="N772" s="48" t="s">
        <v>86</v>
      </c>
      <c r="O772" s="49" t="s">
        <v>37</v>
      </c>
      <c r="P772" s="11" t="s">
        <v>80</v>
      </c>
      <c r="Q772" s="11" t="s">
        <v>90</v>
      </c>
      <c r="R772" s="49" t="s">
        <v>2735</v>
      </c>
      <c r="S772" s="11" t="s">
        <v>643</v>
      </c>
      <c r="T772" s="90" t="s">
        <v>10</v>
      </c>
      <c r="U772" s="90"/>
      <c r="V772" s="51">
        <v>45789</v>
      </c>
      <c r="W772" s="49" t="s">
        <v>1584</v>
      </c>
    </row>
    <row r="773" spans="1:23" ht="13" customHeight="1" x14ac:dyDescent="0.35">
      <c r="A773" s="11">
        <v>767</v>
      </c>
      <c r="B773" s="47">
        <v>105485458</v>
      </c>
      <c r="C773" s="94" t="s">
        <v>363</v>
      </c>
      <c r="D773" s="11" t="s">
        <v>364</v>
      </c>
      <c r="E773" s="48" t="s">
        <v>34</v>
      </c>
      <c r="F773" s="48" t="s">
        <v>74</v>
      </c>
      <c r="G773" s="11" t="s">
        <v>64</v>
      </c>
      <c r="H773" s="11" t="s">
        <v>75</v>
      </c>
      <c r="I773" s="11">
        <v>1182</v>
      </c>
      <c r="J773" s="49" t="s">
        <v>32</v>
      </c>
      <c r="K773" s="49" t="s">
        <v>76</v>
      </c>
      <c r="L773" s="49" t="s">
        <v>88</v>
      </c>
      <c r="M773" s="49" t="s">
        <v>95</v>
      </c>
      <c r="N773" s="48" t="s">
        <v>97</v>
      </c>
      <c r="O773" s="49" t="s">
        <v>37</v>
      </c>
      <c r="P773" s="11" t="s">
        <v>80</v>
      </c>
      <c r="Q773" s="11" t="s">
        <v>98</v>
      </c>
      <c r="R773" s="49" t="s">
        <v>2865</v>
      </c>
      <c r="S773" s="11" t="s">
        <v>2866</v>
      </c>
      <c r="T773" s="90" t="s">
        <v>10</v>
      </c>
      <c r="U773" s="91"/>
      <c r="V773" s="51">
        <v>44728</v>
      </c>
      <c r="W773" s="49" t="s">
        <v>1588</v>
      </c>
    </row>
    <row r="774" spans="1:23" ht="13" customHeight="1" x14ac:dyDescent="0.35">
      <c r="A774" s="11">
        <v>768</v>
      </c>
      <c r="B774" s="47">
        <v>204373722</v>
      </c>
      <c r="C774" s="94" t="s">
        <v>833</v>
      </c>
      <c r="D774" s="11" t="s">
        <v>834</v>
      </c>
      <c r="E774" s="48" t="s">
        <v>31</v>
      </c>
      <c r="F774" s="48" t="s">
        <v>74</v>
      </c>
      <c r="G774" s="11" t="s">
        <v>64</v>
      </c>
      <c r="H774" s="11" t="s">
        <v>75</v>
      </c>
      <c r="I774" s="11">
        <v>1299</v>
      </c>
      <c r="J774" s="49" t="s">
        <v>39</v>
      </c>
      <c r="K774" s="49" t="s">
        <v>76</v>
      </c>
      <c r="L774" s="49" t="s">
        <v>85</v>
      </c>
      <c r="M774" s="49" t="s">
        <v>88</v>
      </c>
      <c r="N774" s="48" t="s">
        <v>86</v>
      </c>
      <c r="O774" s="49" t="s">
        <v>37</v>
      </c>
      <c r="P774" s="11" t="s">
        <v>80</v>
      </c>
      <c r="Q774" s="11" t="s">
        <v>99</v>
      </c>
      <c r="R774" s="49" t="s">
        <v>648</v>
      </c>
      <c r="S774" s="11" t="s">
        <v>1805</v>
      </c>
      <c r="T774" s="90" t="s">
        <v>10</v>
      </c>
      <c r="U774" s="90"/>
      <c r="V774" s="51">
        <v>45593</v>
      </c>
      <c r="W774" s="49" t="s">
        <v>1584</v>
      </c>
    </row>
    <row r="775" spans="1:23" ht="13" customHeight="1" x14ac:dyDescent="0.35">
      <c r="A775" s="11">
        <v>769</v>
      </c>
      <c r="B775" s="47">
        <v>205839585</v>
      </c>
      <c r="C775" s="94" t="s">
        <v>2410</v>
      </c>
      <c r="D775" s="11" t="s">
        <v>2411</v>
      </c>
      <c r="E775" s="48" t="s">
        <v>31</v>
      </c>
      <c r="F775" s="48" t="s">
        <v>74</v>
      </c>
      <c r="G775" s="11" t="s">
        <v>64</v>
      </c>
      <c r="H775" s="11" t="s">
        <v>75</v>
      </c>
      <c r="I775" s="11">
        <v>1299</v>
      </c>
      <c r="J775" s="49" t="s">
        <v>32</v>
      </c>
      <c r="K775" s="49" t="s">
        <v>76</v>
      </c>
      <c r="L775" s="49" t="s">
        <v>95</v>
      </c>
      <c r="M775" s="49" t="s">
        <v>77</v>
      </c>
      <c r="N775" s="49" t="s">
        <v>89</v>
      </c>
      <c r="O775" s="49" t="s">
        <v>37</v>
      </c>
      <c r="P775" s="11" t="s">
        <v>80</v>
      </c>
      <c r="Q775" s="11" t="s">
        <v>90</v>
      </c>
      <c r="R775" s="49" t="s">
        <v>628</v>
      </c>
      <c r="S775" s="11" t="s">
        <v>629</v>
      </c>
      <c r="T775" s="90" t="s">
        <v>1</v>
      </c>
      <c r="U775" s="91"/>
      <c r="V775" s="51">
        <v>45894</v>
      </c>
      <c r="W775" s="49" t="s">
        <v>1583</v>
      </c>
    </row>
    <row r="776" spans="1:23" ht="13" customHeight="1" x14ac:dyDescent="0.35">
      <c r="A776" s="11">
        <v>770</v>
      </c>
      <c r="B776" s="47">
        <v>204094215</v>
      </c>
      <c r="C776" s="94" t="s">
        <v>835</v>
      </c>
      <c r="D776" s="11" t="s">
        <v>836</v>
      </c>
      <c r="E776" s="48" t="s">
        <v>31</v>
      </c>
      <c r="F776" s="48" t="s">
        <v>74</v>
      </c>
      <c r="G776" s="11" t="s">
        <v>64</v>
      </c>
      <c r="H776" s="11" t="s">
        <v>75</v>
      </c>
      <c r="I776" s="11">
        <v>1299</v>
      </c>
      <c r="J776" s="49" t="s">
        <v>39</v>
      </c>
      <c r="K776" s="49" t="s">
        <v>76</v>
      </c>
      <c r="L776" s="49" t="s">
        <v>88</v>
      </c>
      <c r="M776" s="49" t="s">
        <v>95</v>
      </c>
      <c r="N776" s="48" t="s">
        <v>86</v>
      </c>
      <c r="O776" s="49" t="s">
        <v>37</v>
      </c>
      <c r="P776" s="11" t="s">
        <v>80</v>
      </c>
      <c r="Q776" s="11" t="s">
        <v>87</v>
      </c>
      <c r="R776" s="11" t="s">
        <v>632</v>
      </c>
      <c r="S776" s="11" t="s">
        <v>633</v>
      </c>
      <c r="T776" s="90" t="s">
        <v>10</v>
      </c>
      <c r="U776" s="90"/>
      <c r="V776" s="51">
        <v>45561</v>
      </c>
      <c r="W776" s="49" t="s">
        <v>1585</v>
      </c>
    </row>
    <row r="777" spans="1:23" ht="13" customHeight="1" x14ac:dyDescent="0.35">
      <c r="A777" s="11">
        <v>771</v>
      </c>
      <c r="B777" s="47">
        <v>102582339</v>
      </c>
      <c r="C777" s="94" t="s">
        <v>837</v>
      </c>
      <c r="D777" s="11" t="s">
        <v>838</v>
      </c>
      <c r="E777" s="48" t="s">
        <v>34</v>
      </c>
      <c r="F777" s="48" t="s">
        <v>74</v>
      </c>
      <c r="G777" s="11" t="s">
        <v>64</v>
      </c>
      <c r="H777" s="11" t="s">
        <v>75</v>
      </c>
      <c r="I777" s="11">
        <v>1299</v>
      </c>
      <c r="J777" s="49" t="s">
        <v>32</v>
      </c>
      <c r="K777" s="49" t="s">
        <v>76</v>
      </c>
      <c r="L777" s="49" t="s">
        <v>84</v>
      </c>
      <c r="M777" s="49" t="s">
        <v>85</v>
      </c>
      <c r="N777" s="48" t="s">
        <v>97</v>
      </c>
      <c r="O777" s="49" t="s">
        <v>37</v>
      </c>
      <c r="P777" s="11" t="s">
        <v>80</v>
      </c>
      <c r="Q777" s="11" t="s">
        <v>98</v>
      </c>
      <c r="R777" s="11" t="s">
        <v>1069</v>
      </c>
      <c r="S777" s="11" t="s">
        <v>2733</v>
      </c>
      <c r="T777" s="90" t="s">
        <v>7</v>
      </c>
      <c r="U777" s="90"/>
      <c r="V777" s="51">
        <v>42960</v>
      </c>
      <c r="W777" s="49" t="s">
        <v>1588</v>
      </c>
    </row>
    <row r="778" spans="1:23" ht="13" customHeight="1" x14ac:dyDescent="0.35">
      <c r="A778" s="11">
        <v>772</v>
      </c>
      <c r="B778" s="47">
        <v>206886514</v>
      </c>
      <c r="C778" s="94" t="s">
        <v>1836</v>
      </c>
      <c r="D778" s="11" t="s">
        <v>1837</v>
      </c>
      <c r="E778" s="11" t="s">
        <v>31</v>
      </c>
      <c r="F778" s="48" t="s">
        <v>74</v>
      </c>
      <c r="G778" s="11" t="s">
        <v>64</v>
      </c>
      <c r="H778" s="11" t="s">
        <v>75</v>
      </c>
      <c r="I778" s="11">
        <v>1299</v>
      </c>
      <c r="J778" s="49" t="s">
        <v>32</v>
      </c>
      <c r="K778" s="49" t="s">
        <v>76</v>
      </c>
      <c r="L778" s="49" t="s">
        <v>88</v>
      </c>
      <c r="M778" s="49" t="s">
        <v>95</v>
      </c>
      <c r="N778" s="49" t="s">
        <v>89</v>
      </c>
      <c r="O778" s="49" t="s">
        <v>37</v>
      </c>
      <c r="P778" s="11" t="s">
        <v>80</v>
      </c>
      <c r="Q778" s="11" t="s">
        <v>96</v>
      </c>
      <c r="R778" s="11" t="s">
        <v>2865</v>
      </c>
      <c r="S778" s="11" t="s">
        <v>2866</v>
      </c>
      <c r="T778" s="90" t="s">
        <v>10</v>
      </c>
      <c r="U778" s="90"/>
      <c r="V778" s="51">
        <v>46027</v>
      </c>
      <c r="W778" s="49" t="s">
        <v>1584</v>
      </c>
    </row>
    <row r="779" spans="1:23" ht="13" customHeight="1" x14ac:dyDescent="0.35">
      <c r="A779" s="11">
        <v>773</v>
      </c>
      <c r="B779" s="47">
        <v>204138116</v>
      </c>
      <c r="C779" s="94" t="s">
        <v>839</v>
      </c>
      <c r="D779" s="11" t="s">
        <v>840</v>
      </c>
      <c r="E779" s="48" t="s">
        <v>31</v>
      </c>
      <c r="F779" s="48" t="s">
        <v>74</v>
      </c>
      <c r="G779" s="11" t="s">
        <v>64</v>
      </c>
      <c r="H779" s="11" t="s">
        <v>75</v>
      </c>
      <c r="I779" s="11">
        <v>1299</v>
      </c>
      <c r="J779" s="49" t="s">
        <v>32</v>
      </c>
      <c r="K779" s="49" t="s">
        <v>76</v>
      </c>
      <c r="L779" s="49" t="s">
        <v>36</v>
      </c>
      <c r="M779" s="49" t="s">
        <v>95</v>
      </c>
      <c r="N779" s="48" t="s">
        <v>86</v>
      </c>
      <c r="O779" s="49" t="s">
        <v>37</v>
      </c>
      <c r="P779" s="11" t="s">
        <v>80</v>
      </c>
      <c r="Q779" s="11" t="s">
        <v>87</v>
      </c>
      <c r="R779" s="49" t="s">
        <v>648</v>
      </c>
      <c r="S779" s="11" t="s">
        <v>1805</v>
      </c>
      <c r="T779" s="90" t="s">
        <v>1</v>
      </c>
      <c r="U779" s="90" t="s">
        <v>2919</v>
      </c>
      <c r="V779" s="51">
        <v>45565</v>
      </c>
      <c r="W779" s="49" t="s">
        <v>1584</v>
      </c>
    </row>
    <row r="780" spans="1:23" ht="13" customHeight="1" x14ac:dyDescent="0.35">
      <c r="A780" s="11">
        <v>774</v>
      </c>
      <c r="B780" s="47">
        <v>205996132</v>
      </c>
      <c r="C780" s="94" t="s">
        <v>841</v>
      </c>
      <c r="D780" s="11" t="s">
        <v>842</v>
      </c>
      <c r="E780" s="48" t="s">
        <v>31</v>
      </c>
      <c r="F780" s="48" t="s">
        <v>74</v>
      </c>
      <c r="G780" s="11" t="s">
        <v>64</v>
      </c>
      <c r="H780" s="11" t="s">
        <v>75</v>
      </c>
      <c r="I780" s="11">
        <v>1299</v>
      </c>
      <c r="J780" s="49" t="s">
        <v>39</v>
      </c>
      <c r="K780" s="49" t="s">
        <v>76</v>
      </c>
      <c r="L780" s="49" t="s">
        <v>95</v>
      </c>
      <c r="M780" s="49" t="s">
        <v>77</v>
      </c>
      <c r="N780" s="49" t="s">
        <v>89</v>
      </c>
      <c r="O780" s="49" t="s">
        <v>37</v>
      </c>
      <c r="P780" s="11" t="s">
        <v>80</v>
      </c>
      <c r="Q780" s="11" t="s">
        <v>81</v>
      </c>
      <c r="R780" s="49" t="s">
        <v>2735</v>
      </c>
      <c r="S780" s="11" t="s">
        <v>643</v>
      </c>
      <c r="T780" s="90" t="s">
        <v>1</v>
      </c>
      <c r="U780" s="90"/>
      <c r="V780" s="51">
        <v>45915</v>
      </c>
      <c r="W780" s="49" t="s">
        <v>1584</v>
      </c>
    </row>
    <row r="781" spans="1:23" ht="13" customHeight="1" x14ac:dyDescent="0.35">
      <c r="A781" s="11">
        <v>775</v>
      </c>
      <c r="B781" s="47">
        <v>206915147</v>
      </c>
      <c r="C781" s="94" t="s">
        <v>1929</v>
      </c>
      <c r="D781" s="11" t="s">
        <v>1912</v>
      </c>
      <c r="E781" s="48" t="s">
        <v>31</v>
      </c>
      <c r="F781" s="48" t="s">
        <v>74</v>
      </c>
      <c r="G781" s="11" t="s">
        <v>64</v>
      </c>
      <c r="H781" s="11" t="s">
        <v>75</v>
      </c>
      <c r="I781" s="11">
        <v>1299</v>
      </c>
      <c r="J781" s="49" t="s">
        <v>32</v>
      </c>
      <c r="K781" s="49" t="s">
        <v>76</v>
      </c>
      <c r="L781" s="49" t="s">
        <v>88</v>
      </c>
      <c r="M781" s="49" t="s">
        <v>95</v>
      </c>
      <c r="N781" s="49" t="s">
        <v>89</v>
      </c>
      <c r="O781" s="49" t="s">
        <v>37</v>
      </c>
      <c r="P781" s="11" t="s">
        <v>80</v>
      </c>
      <c r="Q781" s="11" t="s">
        <v>90</v>
      </c>
      <c r="R781" s="49" t="s">
        <v>628</v>
      </c>
      <c r="S781" s="11" t="s">
        <v>629</v>
      </c>
      <c r="T781" s="90" t="s">
        <v>10</v>
      </c>
      <c r="U781" s="90"/>
      <c r="V781" s="51">
        <v>46034</v>
      </c>
      <c r="W781" s="49" t="s">
        <v>1584</v>
      </c>
    </row>
    <row r="782" spans="1:23" ht="13" customHeight="1" x14ac:dyDescent="0.35">
      <c r="A782" s="11">
        <v>776</v>
      </c>
      <c r="B782" s="11">
        <v>206065208</v>
      </c>
      <c r="C782" s="94" t="s">
        <v>2858</v>
      </c>
      <c r="D782" s="11" t="s">
        <v>2859</v>
      </c>
      <c r="E782" s="48" t="s">
        <v>31</v>
      </c>
      <c r="F782" s="48" t="s">
        <v>74</v>
      </c>
      <c r="G782" s="11" t="s">
        <v>64</v>
      </c>
      <c r="H782" s="11" t="s">
        <v>75</v>
      </c>
      <c r="I782" s="11">
        <v>1299</v>
      </c>
      <c r="J782" s="49" t="s">
        <v>39</v>
      </c>
      <c r="K782" s="49" t="s">
        <v>76</v>
      </c>
      <c r="L782" s="49" t="s">
        <v>88</v>
      </c>
      <c r="M782" s="49" t="s">
        <v>95</v>
      </c>
      <c r="N782" s="11" t="s">
        <v>89</v>
      </c>
      <c r="O782" s="11" t="s">
        <v>37</v>
      </c>
      <c r="P782" s="11" t="s">
        <v>80</v>
      </c>
      <c r="Q782" s="11" t="s">
        <v>81</v>
      </c>
      <c r="R782" s="11" t="s">
        <v>2735</v>
      </c>
      <c r="S782" s="11" t="s">
        <v>643</v>
      </c>
      <c r="T782" s="90" t="s">
        <v>10</v>
      </c>
      <c r="U782" s="90"/>
      <c r="V782" s="51">
        <v>46226</v>
      </c>
      <c r="W782" s="11" t="s">
        <v>1584</v>
      </c>
    </row>
    <row r="783" spans="1:23" ht="13" customHeight="1" x14ac:dyDescent="0.35">
      <c r="A783" s="11">
        <v>777</v>
      </c>
      <c r="B783" s="97">
        <v>204865035</v>
      </c>
      <c r="C783" s="47" t="s">
        <v>2784</v>
      </c>
      <c r="D783" s="94" t="s">
        <v>2785</v>
      </c>
      <c r="E783" s="48" t="s">
        <v>31</v>
      </c>
      <c r="F783" s="48" t="s">
        <v>74</v>
      </c>
      <c r="G783" s="11" t="s">
        <v>64</v>
      </c>
      <c r="H783" s="11" t="s">
        <v>75</v>
      </c>
      <c r="I783" s="11">
        <v>1299</v>
      </c>
      <c r="J783" s="49" t="s">
        <v>39</v>
      </c>
      <c r="K783" s="49" t="s">
        <v>76</v>
      </c>
      <c r="L783" s="49" t="s">
        <v>85</v>
      </c>
      <c r="M783" s="49" t="s">
        <v>88</v>
      </c>
      <c r="N783" s="49" t="s">
        <v>89</v>
      </c>
      <c r="O783" s="49" t="s">
        <v>37</v>
      </c>
      <c r="P783" s="11" t="s">
        <v>80</v>
      </c>
      <c r="Q783" s="11" t="s">
        <v>90</v>
      </c>
      <c r="R783" s="11" t="s">
        <v>648</v>
      </c>
      <c r="S783" s="11" t="s">
        <v>2755</v>
      </c>
      <c r="T783" s="90" t="s">
        <v>10</v>
      </c>
      <c r="U783" s="91"/>
      <c r="V783" s="51">
        <v>45894</v>
      </c>
      <c r="W783" s="49" t="s">
        <v>1584</v>
      </c>
    </row>
    <row r="784" spans="1:23" ht="13" customHeight="1" x14ac:dyDescent="0.35">
      <c r="A784" s="11">
        <v>778</v>
      </c>
      <c r="B784" s="47">
        <v>203850767</v>
      </c>
      <c r="C784" s="94" t="s">
        <v>2341</v>
      </c>
      <c r="D784" s="11" t="s">
        <v>2342</v>
      </c>
      <c r="E784" s="48" t="s">
        <v>31</v>
      </c>
      <c r="F784" s="48" t="s">
        <v>74</v>
      </c>
      <c r="G784" s="11" t="s">
        <v>64</v>
      </c>
      <c r="H784" s="11" t="s">
        <v>75</v>
      </c>
      <c r="I784" s="11">
        <v>1299</v>
      </c>
      <c r="J784" s="49" t="s">
        <v>39</v>
      </c>
      <c r="K784" s="49" t="s">
        <v>76</v>
      </c>
      <c r="L784" s="49" t="s">
        <v>78</v>
      </c>
      <c r="M784" s="49" t="s">
        <v>92</v>
      </c>
      <c r="N784" s="49" t="s">
        <v>89</v>
      </c>
      <c r="O784" s="49" t="s">
        <v>37</v>
      </c>
      <c r="P784" s="11" t="s">
        <v>80</v>
      </c>
      <c r="Q784" s="11" t="s">
        <v>90</v>
      </c>
      <c r="R784" s="49" t="s">
        <v>628</v>
      </c>
      <c r="S784" s="11" t="s">
        <v>629</v>
      </c>
      <c r="T784" s="90" t="s">
        <v>1</v>
      </c>
      <c r="U784" s="89"/>
      <c r="V784" s="51">
        <v>45524</v>
      </c>
      <c r="W784" s="49" t="s">
        <v>1584</v>
      </c>
    </row>
    <row r="785" spans="1:23" ht="13" customHeight="1" x14ac:dyDescent="0.35">
      <c r="A785" s="11">
        <v>779</v>
      </c>
      <c r="B785" s="97">
        <v>204865037</v>
      </c>
      <c r="C785" s="47" t="s">
        <v>2786</v>
      </c>
      <c r="D785" s="94" t="s">
        <v>2787</v>
      </c>
      <c r="E785" s="48" t="s">
        <v>31</v>
      </c>
      <c r="F785" s="48" t="s">
        <v>74</v>
      </c>
      <c r="G785" s="11" t="s">
        <v>64</v>
      </c>
      <c r="H785" s="11" t="s">
        <v>75</v>
      </c>
      <c r="I785" s="11">
        <v>1299</v>
      </c>
      <c r="J785" s="49" t="s">
        <v>32</v>
      </c>
      <c r="K785" s="49" t="s">
        <v>76</v>
      </c>
      <c r="L785" s="49" t="s">
        <v>85</v>
      </c>
      <c r="M785" s="49" t="s">
        <v>88</v>
      </c>
      <c r="N785" s="48" t="s">
        <v>86</v>
      </c>
      <c r="O785" s="49" t="s">
        <v>37</v>
      </c>
      <c r="P785" s="11" t="s">
        <v>80</v>
      </c>
      <c r="Q785" s="11" t="s">
        <v>90</v>
      </c>
      <c r="R785" s="11" t="s">
        <v>648</v>
      </c>
      <c r="S785" s="11" t="s">
        <v>2755</v>
      </c>
      <c r="T785" s="90" t="s">
        <v>10</v>
      </c>
      <c r="U785" s="90"/>
      <c r="V785" s="51">
        <v>45894</v>
      </c>
      <c r="W785" s="49" t="s">
        <v>1584</v>
      </c>
    </row>
    <row r="786" spans="1:23" ht="13" customHeight="1" x14ac:dyDescent="0.35">
      <c r="A786" s="11">
        <v>780</v>
      </c>
      <c r="B786" s="47">
        <v>204137705</v>
      </c>
      <c r="C786" s="94" t="s">
        <v>843</v>
      </c>
      <c r="D786" s="11" t="s">
        <v>844</v>
      </c>
      <c r="E786" s="48" t="s">
        <v>31</v>
      </c>
      <c r="F786" s="48" t="s">
        <v>74</v>
      </c>
      <c r="G786" s="11" t="s">
        <v>64</v>
      </c>
      <c r="H786" s="11" t="s">
        <v>75</v>
      </c>
      <c r="I786" s="11">
        <v>1299</v>
      </c>
      <c r="J786" s="49" t="s">
        <v>39</v>
      </c>
      <c r="K786" s="49" t="s">
        <v>76</v>
      </c>
      <c r="L786" s="49" t="s">
        <v>92</v>
      </c>
      <c r="M786" s="49" t="s">
        <v>84</v>
      </c>
      <c r="N786" s="48" t="s">
        <v>86</v>
      </c>
      <c r="O786" s="49" t="s">
        <v>37</v>
      </c>
      <c r="P786" s="11" t="s">
        <v>80</v>
      </c>
      <c r="Q786" s="11" t="s">
        <v>87</v>
      </c>
      <c r="R786" s="11" t="s">
        <v>632</v>
      </c>
      <c r="S786" s="11" t="s">
        <v>633</v>
      </c>
      <c r="T786" s="90" t="s">
        <v>7</v>
      </c>
      <c r="U786" s="90" t="s">
        <v>2914</v>
      </c>
      <c r="V786" s="51">
        <v>45565</v>
      </c>
      <c r="W786" s="49" t="s">
        <v>1584</v>
      </c>
    </row>
    <row r="787" spans="1:23" ht="13" customHeight="1" x14ac:dyDescent="0.35">
      <c r="A787" s="11">
        <v>781</v>
      </c>
      <c r="B787" s="47">
        <v>206897644</v>
      </c>
      <c r="C787" s="94" t="s">
        <v>1892</v>
      </c>
      <c r="D787" s="11" t="s">
        <v>1893</v>
      </c>
      <c r="E787" s="48" t="s">
        <v>31</v>
      </c>
      <c r="F787" s="48" t="s">
        <v>74</v>
      </c>
      <c r="G787" s="11" t="s">
        <v>64</v>
      </c>
      <c r="H787" s="11" t="s">
        <v>75</v>
      </c>
      <c r="I787" s="11">
        <v>1290</v>
      </c>
      <c r="J787" s="49" t="s">
        <v>32</v>
      </c>
      <c r="K787" s="49" t="s">
        <v>76</v>
      </c>
      <c r="L787" s="49" t="s">
        <v>92</v>
      </c>
      <c r="M787" s="49" t="s">
        <v>84</v>
      </c>
      <c r="N787" s="49" t="s">
        <v>89</v>
      </c>
      <c r="O787" s="48" t="s">
        <v>37</v>
      </c>
      <c r="P787" s="48" t="s">
        <v>80</v>
      </c>
      <c r="Q787" s="11" t="s">
        <v>81</v>
      </c>
      <c r="R787" s="49" t="s">
        <v>648</v>
      </c>
      <c r="S787" s="11" t="s">
        <v>1805</v>
      </c>
      <c r="T787" s="90" t="s">
        <v>1</v>
      </c>
      <c r="U787" s="91"/>
      <c r="V787" s="51">
        <v>46030</v>
      </c>
      <c r="W787" s="49" t="s">
        <v>1584</v>
      </c>
    </row>
    <row r="788" spans="1:23" ht="13" customHeight="1" x14ac:dyDescent="0.35">
      <c r="A788" s="11">
        <v>782</v>
      </c>
      <c r="B788" s="47">
        <v>203737010</v>
      </c>
      <c r="C788" s="94" t="s">
        <v>845</v>
      </c>
      <c r="D788" s="11" t="s">
        <v>846</v>
      </c>
      <c r="E788" s="48" t="s">
        <v>31</v>
      </c>
      <c r="F788" s="48" t="s">
        <v>74</v>
      </c>
      <c r="G788" s="11" t="s">
        <v>64</v>
      </c>
      <c r="H788" s="11" t="s">
        <v>75</v>
      </c>
      <c r="I788" s="11">
        <v>1299</v>
      </c>
      <c r="J788" s="49" t="s">
        <v>39</v>
      </c>
      <c r="K788" s="49" t="s">
        <v>76</v>
      </c>
      <c r="L788" s="49" t="s">
        <v>84</v>
      </c>
      <c r="M788" s="49" t="s">
        <v>85</v>
      </c>
      <c r="N788" s="48" t="s">
        <v>79</v>
      </c>
      <c r="O788" s="49" t="s">
        <v>37</v>
      </c>
      <c r="P788" s="11" t="s">
        <v>80</v>
      </c>
      <c r="Q788" s="11" t="s">
        <v>81</v>
      </c>
      <c r="R788" s="11" t="s">
        <v>1069</v>
      </c>
      <c r="S788" s="11" t="s">
        <v>2733</v>
      </c>
      <c r="T788" s="90" t="s">
        <v>1</v>
      </c>
      <c r="U788" s="91"/>
      <c r="V788" s="51">
        <v>45502</v>
      </c>
      <c r="W788" s="49" t="s">
        <v>1584</v>
      </c>
    </row>
    <row r="789" spans="1:23" ht="13" customHeight="1" x14ac:dyDescent="0.35">
      <c r="A789" s="11">
        <v>783</v>
      </c>
      <c r="B789" s="47">
        <v>206906443</v>
      </c>
      <c r="C789" s="94" t="s">
        <v>1880</v>
      </c>
      <c r="D789" s="11" t="s">
        <v>1881</v>
      </c>
      <c r="E789" s="48" t="s">
        <v>31</v>
      </c>
      <c r="F789" s="48" t="s">
        <v>74</v>
      </c>
      <c r="G789" s="11" t="s">
        <v>64</v>
      </c>
      <c r="H789" s="11" t="s">
        <v>75</v>
      </c>
      <c r="I789" s="11">
        <v>1299</v>
      </c>
      <c r="J789" s="49" t="s">
        <v>39</v>
      </c>
      <c r="K789" s="49" t="s">
        <v>76</v>
      </c>
      <c r="L789" s="49" t="s">
        <v>84</v>
      </c>
      <c r="M789" s="49" t="s">
        <v>85</v>
      </c>
      <c r="N789" s="49" t="s">
        <v>89</v>
      </c>
      <c r="O789" s="48" t="s">
        <v>37</v>
      </c>
      <c r="P789" s="48" t="s">
        <v>80</v>
      </c>
      <c r="Q789" s="11" t="s">
        <v>90</v>
      </c>
      <c r="R789" s="49" t="s">
        <v>648</v>
      </c>
      <c r="S789" s="11" t="s">
        <v>1805</v>
      </c>
      <c r="T789" s="90" t="s">
        <v>1</v>
      </c>
      <c r="U789" s="91"/>
      <c r="V789" s="51">
        <v>46030</v>
      </c>
      <c r="W789" s="49" t="s">
        <v>1584</v>
      </c>
    </row>
    <row r="790" spans="1:23" ht="13" customHeight="1" x14ac:dyDescent="0.35">
      <c r="A790" s="11">
        <v>784</v>
      </c>
      <c r="B790" s="97">
        <v>203993509</v>
      </c>
      <c r="C790" s="47" t="s">
        <v>2788</v>
      </c>
      <c r="D790" s="94" t="s">
        <v>2789</v>
      </c>
      <c r="E790" s="48" t="s">
        <v>31</v>
      </c>
      <c r="F790" s="48" t="s">
        <v>74</v>
      </c>
      <c r="G790" s="11" t="s">
        <v>64</v>
      </c>
      <c r="H790" s="11" t="s">
        <v>75</v>
      </c>
      <c r="I790" s="11">
        <v>1299</v>
      </c>
      <c r="J790" s="49" t="s">
        <v>32</v>
      </c>
      <c r="K790" s="49" t="s">
        <v>76</v>
      </c>
      <c r="L790" s="49" t="s">
        <v>85</v>
      </c>
      <c r="M790" s="49" t="s">
        <v>88</v>
      </c>
      <c r="N790" s="48" t="s">
        <v>86</v>
      </c>
      <c r="O790" s="49" t="s">
        <v>37</v>
      </c>
      <c r="P790" s="11" t="s">
        <v>80</v>
      </c>
      <c r="Q790" s="11" t="s">
        <v>90</v>
      </c>
      <c r="R790" s="11" t="s">
        <v>648</v>
      </c>
      <c r="S790" s="11" t="s">
        <v>2755</v>
      </c>
      <c r="T790" s="90" t="s">
        <v>10</v>
      </c>
      <c r="U790" s="90"/>
      <c r="V790" s="51">
        <v>45894</v>
      </c>
      <c r="W790" s="49" t="s">
        <v>1584</v>
      </c>
    </row>
    <row r="791" spans="1:23" ht="13" customHeight="1" x14ac:dyDescent="0.35">
      <c r="A791" s="11">
        <v>785</v>
      </c>
      <c r="B791" s="47">
        <v>206915764</v>
      </c>
      <c r="C791" s="94" t="s">
        <v>1918</v>
      </c>
      <c r="D791" s="11" t="s">
        <v>1925</v>
      </c>
      <c r="E791" s="48" t="s">
        <v>31</v>
      </c>
      <c r="F791" s="48" t="s">
        <v>74</v>
      </c>
      <c r="G791" s="11" t="s">
        <v>64</v>
      </c>
      <c r="H791" s="11" t="s">
        <v>75</v>
      </c>
      <c r="I791" s="11">
        <v>1299</v>
      </c>
      <c r="J791" s="49" t="s">
        <v>39</v>
      </c>
      <c r="K791" s="49" t="s">
        <v>76</v>
      </c>
      <c r="L791" s="49" t="s">
        <v>92</v>
      </c>
      <c r="M791" s="49" t="s">
        <v>84</v>
      </c>
      <c r="N791" s="49" t="s">
        <v>89</v>
      </c>
      <c r="O791" s="49" t="s">
        <v>37</v>
      </c>
      <c r="P791" s="49" t="s">
        <v>80</v>
      </c>
      <c r="Q791" s="49" t="s">
        <v>90</v>
      </c>
      <c r="R791" s="49" t="s">
        <v>648</v>
      </c>
      <c r="S791" s="49" t="s">
        <v>1805</v>
      </c>
      <c r="T791" s="90" t="s">
        <v>3</v>
      </c>
      <c r="U791" s="90"/>
      <c r="V791" s="51">
        <v>46034</v>
      </c>
      <c r="W791" s="49" t="s">
        <v>1583</v>
      </c>
    </row>
    <row r="792" spans="1:23" ht="13" customHeight="1" x14ac:dyDescent="0.35">
      <c r="A792" s="11">
        <v>786</v>
      </c>
      <c r="B792" s="47">
        <v>206850959</v>
      </c>
      <c r="C792" s="94" t="s">
        <v>1810</v>
      </c>
      <c r="D792" s="47" t="s">
        <v>1811</v>
      </c>
      <c r="E792" s="47" t="s">
        <v>31</v>
      </c>
      <c r="F792" s="48" t="s">
        <v>74</v>
      </c>
      <c r="G792" s="11" t="s">
        <v>64</v>
      </c>
      <c r="H792" s="11" t="s">
        <v>75</v>
      </c>
      <c r="I792" s="47">
        <v>1299</v>
      </c>
      <c r="J792" s="49" t="s">
        <v>32</v>
      </c>
      <c r="K792" s="49" t="s">
        <v>76</v>
      </c>
      <c r="L792" s="49" t="s">
        <v>88</v>
      </c>
      <c r="M792" s="49" t="s">
        <v>95</v>
      </c>
      <c r="N792" s="49" t="s">
        <v>89</v>
      </c>
      <c r="O792" s="49" t="s">
        <v>37</v>
      </c>
      <c r="P792" s="11" t="s">
        <v>80</v>
      </c>
      <c r="Q792" s="47" t="s">
        <v>90</v>
      </c>
      <c r="R792" s="11" t="s">
        <v>1069</v>
      </c>
      <c r="S792" s="11" t="s">
        <v>2733</v>
      </c>
      <c r="T792" s="90" t="s">
        <v>10</v>
      </c>
      <c r="U792" s="90"/>
      <c r="V792" s="51">
        <v>46013</v>
      </c>
      <c r="W792" s="49" t="s">
        <v>1584</v>
      </c>
    </row>
    <row r="793" spans="1:23" ht="13" customHeight="1" x14ac:dyDescent="0.35">
      <c r="A793" s="11">
        <v>787</v>
      </c>
      <c r="B793" s="47">
        <v>206128855</v>
      </c>
      <c r="C793" s="94" t="s">
        <v>847</v>
      </c>
      <c r="D793" s="11" t="s">
        <v>848</v>
      </c>
      <c r="E793" s="48" t="s">
        <v>31</v>
      </c>
      <c r="F793" s="48" t="s">
        <v>74</v>
      </c>
      <c r="G793" s="11" t="s">
        <v>64</v>
      </c>
      <c r="H793" s="11" t="s">
        <v>75</v>
      </c>
      <c r="I793" s="11">
        <v>1299</v>
      </c>
      <c r="J793" s="49" t="s">
        <v>32</v>
      </c>
      <c r="K793" s="49" t="s">
        <v>76</v>
      </c>
      <c r="L793" s="49" t="s">
        <v>92</v>
      </c>
      <c r="M793" s="49" t="s">
        <v>84</v>
      </c>
      <c r="N793" s="48" t="s">
        <v>79</v>
      </c>
      <c r="O793" s="49" t="s">
        <v>37</v>
      </c>
      <c r="P793" s="11" t="s">
        <v>80</v>
      </c>
      <c r="Q793" s="11" t="s">
        <v>81</v>
      </c>
      <c r="R793" s="11" t="s">
        <v>2865</v>
      </c>
      <c r="S793" s="11" t="s">
        <v>2866</v>
      </c>
      <c r="T793" s="90" t="s">
        <v>1</v>
      </c>
      <c r="U793" s="90"/>
      <c r="V793" s="51">
        <v>45929</v>
      </c>
      <c r="W793" s="49" t="s">
        <v>1584</v>
      </c>
    </row>
    <row r="794" spans="1:23" ht="13" customHeight="1" x14ac:dyDescent="0.35">
      <c r="A794" s="11">
        <v>788</v>
      </c>
      <c r="B794" s="47">
        <v>203965176</v>
      </c>
      <c r="C794" s="94" t="s">
        <v>849</v>
      </c>
      <c r="D794" s="11" t="s">
        <v>850</v>
      </c>
      <c r="E794" s="48" t="s">
        <v>31</v>
      </c>
      <c r="F794" s="48" t="s">
        <v>74</v>
      </c>
      <c r="G794" s="11" t="s">
        <v>64</v>
      </c>
      <c r="H794" s="11" t="s">
        <v>75</v>
      </c>
      <c r="I794" s="11">
        <v>1299</v>
      </c>
      <c r="J794" s="49" t="s">
        <v>32</v>
      </c>
      <c r="K794" s="49" t="s">
        <v>76</v>
      </c>
      <c r="L794" s="49" t="s">
        <v>77</v>
      </c>
      <c r="M794" s="49" t="s">
        <v>78</v>
      </c>
      <c r="N794" s="48" t="s">
        <v>79</v>
      </c>
      <c r="O794" s="49" t="s">
        <v>37</v>
      </c>
      <c r="P794" s="11" t="s">
        <v>80</v>
      </c>
      <c r="Q794" s="11" t="s">
        <v>81</v>
      </c>
      <c r="R794" s="49" t="s">
        <v>648</v>
      </c>
      <c r="S794" s="11" t="s">
        <v>1805</v>
      </c>
      <c r="T794" s="90" t="s">
        <v>1</v>
      </c>
      <c r="U794" s="90"/>
      <c r="V794" s="51">
        <v>45544</v>
      </c>
      <c r="W794" s="49" t="s">
        <v>1584</v>
      </c>
    </row>
    <row r="795" spans="1:23" ht="13" customHeight="1" x14ac:dyDescent="0.35">
      <c r="A795" s="11">
        <v>789</v>
      </c>
      <c r="B795" s="47">
        <v>205852638</v>
      </c>
      <c r="C795" s="94" t="s">
        <v>851</v>
      </c>
      <c r="D795" s="11" t="s">
        <v>852</v>
      </c>
      <c r="E795" s="48" t="s">
        <v>31</v>
      </c>
      <c r="F795" s="48" t="s">
        <v>74</v>
      </c>
      <c r="G795" s="11" t="s">
        <v>64</v>
      </c>
      <c r="H795" s="11" t="s">
        <v>75</v>
      </c>
      <c r="I795" s="11">
        <v>1299</v>
      </c>
      <c r="J795" s="49" t="s">
        <v>39</v>
      </c>
      <c r="K795" s="49" t="s">
        <v>76</v>
      </c>
      <c r="L795" s="49" t="s">
        <v>92</v>
      </c>
      <c r="M795" s="49" t="s">
        <v>84</v>
      </c>
      <c r="N795" s="49" t="s">
        <v>89</v>
      </c>
      <c r="O795" s="49" t="s">
        <v>37</v>
      </c>
      <c r="P795" s="11" t="s">
        <v>80</v>
      </c>
      <c r="Q795" s="11" t="s">
        <v>96</v>
      </c>
      <c r="R795" s="11" t="s">
        <v>632</v>
      </c>
      <c r="S795" s="11" t="s">
        <v>633</v>
      </c>
      <c r="T795" s="90" t="s">
        <v>1</v>
      </c>
      <c r="U795" s="90"/>
      <c r="V795" s="51">
        <v>45894</v>
      </c>
      <c r="W795" s="49" t="s">
        <v>1584</v>
      </c>
    </row>
    <row r="796" spans="1:23" ht="13" customHeight="1" x14ac:dyDescent="0.35">
      <c r="A796" s="11">
        <v>790</v>
      </c>
      <c r="B796" s="47">
        <v>206192269</v>
      </c>
      <c r="C796" s="94" t="s">
        <v>1604</v>
      </c>
      <c r="D796" s="11" t="s">
        <v>1598</v>
      </c>
      <c r="E796" s="48" t="s">
        <v>31</v>
      </c>
      <c r="F796" s="48" t="s">
        <v>74</v>
      </c>
      <c r="G796" s="11" t="s">
        <v>64</v>
      </c>
      <c r="H796" s="11" t="s">
        <v>75</v>
      </c>
      <c r="I796" s="11">
        <v>1299</v>
      </c>
      <c r="J796" s="49" t="s">
        <v>32</v>
      </c>
      <c r="K796" s="49" t="s">
        <v>76</v>
      </c>
      <c r="L796" s="49" t="s">
        <v>95</v>
      </c>
      <c r="M796" s="49" t="s">
        <v>77</v>
      </c>
      <c r="N796" s="49" t="s">
        <v>89</v>
      </c>
      <c r="O796" s="49" t="s">
        <v>37</v>
      </c>
      <c r="P796" s="11" t="s">
        <v>80</v>
      </c>
      <c r="Q796" s="11" t="s">
        <v>96</v>
      </c>
      <c r="R796" s="11" t="s">
        <v>2865</v>
      </c>
      <c r="S796" s="11" t="s">
        <v>2866</v>
      </c>
      <c r="T796" s="90" t="s">
        <v>1</v>
      </c>
      <c r="U796" s="89"/>
      <c r="V796" s="51">
        <v>45936</v>
      </c>
      <c r="W796" s="49" t="s">
        <v>1584</v>
      </c>
    </row>
    <row r="797" spans="1:23" ht="13" customHeight="1" x14ac:dyDescent="0.35">
      <c r="A797" s="11">
        <v>791</v>
      </c>
      <c r="B797" s="47">
        <v>204070590</v>
      </c>
      <c r="C797" s="94" t="s">
        <v>2412</v>
      </c>
      <c r="D797" s="11" t="s">
        <v>2413</v>
      </c>
      <c r="E797" s="48" t="s">
        <v>31</v>
      </c>
      <c r="F797" s="48" t="s">
        <v>74</v>
      </c>
      <c r="G797" s="11" t="s">
        <v>64</v>
      </c>
      <c r="H797" s="11" t="s">
        <v>75</v>
      </c>
      <c r="I797" s="11">
        <v>1299</v>
      </c>
      <c r="J797" s="49" t="s">
        <v>32</v>
      </c>
      <c r="K797" s="49" t="s">
        <v>76</v>
      </c>
      <c r="L797" s="49" t="s">
        <v>77</v>
      </c>
      <c r="M797" s="49" t="s">
        <v>78</v>
      </c>
      <c r="N797" s="48" t="s">
        <v>86</v>
      </c>
      <c r="O797" s="49" t="s">
        <v>37</v>
      </c>
      <c r="P797" s="11" t="s">
        <v>80</v>
      </c>
      <c r="Q797" s="11" t="s">
        <v>90</v>
      </c>
      <c r="R797" s="11" t="s">
        <v>2865</v>
      </c>
      <c r="S797" s="11" t="s">
        <v>2866</v>
      </c>
      <c r="T797" s="90" t="s">
        <v>1</v>
      </c>
      <c r="U797" s="105"/>
      <c r="V797" s="51">
        <v>45558</v>
      </c>
      <c r="W797" s="49" t="s">
        <v>1584</v>
      </c>
    </row>
    <row r="798" spans="1:23" ht="13" customHeight="1" x14ac:dyDescent="0.35">
      <c r="A798" s="11">
        <v>792</v>
      </c>
      <c r="B798" s="97">
        <v>204010424</v>
      </c>
      <c r="C798" s="47" t="s">
        <v>2790</v>
      </c>
      <c r="D798" s="94" t="s">
        <v>2791</v>
      </c>
      <c r="E798" s="48" t="s">
        <v>31</v>
      </c>
      <c r="F798" s="48" t="s">
        <v>74</v>
      </c>
      <c r="G798" s="11" t="s">
        <v>64</v>
      </c>
      <c r="H798" s="11" t="s">
        <v>75</v>
      </c>
      <c r="I798" s="11">
        <v>1299</v>
      </c>
      <c r="J798" s="49" t="s">
        <v>39</v>
      </c>
      <c r="K798" s="49" t="s">
        <v>76</v>
      </c>
      <c r="L798" s="49" t="s">
        <v>84</v>
      </c>
      <c r="M798" s="49" t="s">
        <v>85</v>
      </c>
      <c r="N798" s="49" t="s">
        <v>89</v>
      </c>
      <c r="O798" s="49" t="s">
        <v>37</v>
      </c>
      <c r="P798" s="11" t="s">
        <v>80</v>
      </c>
      <c r="Q798" s="11" t="s">
        <v>90</v>
      </c>
      <c r="R798" s="11" t="s">
        <v>2865</v>
      </c>
      <c r="S798" s="11" t="s">
        <v>2866</v>
      </c>
      <c r="T798" s="90" t="s">
        <v>1</v>
      </c>
      <c r="U798" s="90"/>
      <c r="V798" s="51">
        <v>45551</v>
      </c>
      <c r="W798" s="49" t="s">
        <v>1584</v>
      </c>
    </row>
    <row r="799" spans="1:23" ht="13" customHeight="1" x14ac:dyDescent="0.35">
      <c r="A799" s="11">
        <v>793</v>
      </c>
      <c r="B799" s="47">
        <v>206897652</v>
      </c>
      <c r="C799" s="94" t="s">
        <v>1904</v>
      </c>
      <c r="D799" s="11" t="s">
        <v>1905</v>
      </c>
      <c r="E799" s="48" t="s">
        <v>31</v>
      </c>
      <c r="F799" s="48" t="s">
        <v>74</v>
      </c>
      <c r="G799" s="11" t="s">
        <v>64</v>
      </c>
      <c r="H799" s="11" t="s">
        <v>75</v>
      </c>
      <c r="I799" s="11">
        <v>1290</v>
      </c>
      <c r="J799" s="49" t="s">
        <v>39</v>
      </c>
      <c r="K799" s="49" t="s">
        <v>76</v>
      </c>
      <c r="L799" s="49" t="s">
        <v>92</v>
      </c>
      <c r="M799" s="49" t="s">
        <v>84</v>
      </c>
      <c r="N799" s="49" t="s">
        <v>89</v>
      </c>
      <c r="O799" s="48" t="s">
        <v>37</v>
      </c>
      <c r="P799" s="48" t="s">
        <v>80</v>
      </c>
      <c r="Q799" s="11" t="s">
        <v>81</v>
      </c>
      <c r="R799" s="11" t="s">
        <v>1069</v>
      </c>
      <c r="S799" s="11" t="s">
        <v>2733</v>
      </c>
      <c r="T799" s="90" t="s">
        <v>1</v>
      </c>
      <c r="U799" s="89"/>
      <c r="V799" s="51">
        <v>46030</v>
      </c>
      <c r="W799" s="49" t="s">
        <v>1585</v>
      </c>
    </row>
    <row r="800" spans="1:23" ht="13" customHeight="1" x14ac:dyDescent="0.35">
      <c r="A800" s="11">
        <v>794</v>
      </c>
      <c r="B800" s="47">
        <v>202460493</v>
      </c>
      <c r="C800" s="94" t="s">
        <v>853</v>
      </c>
      <c r="D800" s="11" t="s">
        <v>854</v>
      </c>
      <c r="E800" s="48" t="s">
        <v>31</v>
      </c>
      <c r="F800" s="48" t="s">
        <v>74</v>
      </c>
      <c r="G800" s="11" t="s">
        <v>64</v>
      </c>
      <c r="H800" s="11" t="s">
        <v>75</v>
      </c>
      <c r="I800" s="11">
        <v>1299</v>
      </c>
      <c r="J800" s="49" t="s">
        <v>32</v>
      </c>
      <c r="K800" s="49" t="s">
        <v>76</v>
      </c>
      <c r="L800" s="49" t="s">
        <v>84</v>
      </c>
      <c r="M800" s="49" t="s">
        <v>85</v>
      </c>
      <c r="N800" s="48" t="s">
        <v>86</v>
      </c>
      <c r="O800" s="49" t="s">
        <v>37</v>
      </c>
      <c r="P800" s="11" t="s">
        <v>80</v>
      </c>
      <c r="Q800" s="11" t="s">
        <v>87</v>
      </c>
      <c r="R800" s="49" t="s">
        <v>628</v>
      </c>
      <c r="S800" s="11" t="s">
        <v>629</v>
      </c>
      <c r="T800" s="90" t="s">
        <v>7</v>
      </c>
      <c r="U800" s="90"/>
      <c r="V800" s="51">
        <v>45586</v>
      </c>
      <c r="W800" s="49" t="s">
        <v>1585</v>
      </c>
    </row>
    <row r="801" spans="1:23" ht="13" customHeight="1" x14ac:dyDescent="0.35">
      <c r="A801" s="11">
        <v>795</v>
      </c>
      <c r="B801" s="47">
        <v>202351580</v>
      </c>
      <c r="C801" s="94" t="s">
        <v>855</v>
      </c>
      <c r="D801" s="11" t="s">
        <v>856</v>
      </c>
      <c r="E801" s="48" t="s">
        <v>31</v>
      </c>
      <c r="F801" s="48" t="s">
        <v>74</v>
      </c>
      <c r="G801" s="11" t="s">
        <v>64</v>
      </c>
      <c r="H801" s="11" t="s">
        <v>75</v>
      </c>
      <c r="I801" s="11">
        <v>1299</v>
      </c>
      <c r="J801" s="49" t="s">
        <v>39</v>
      </c>
      <c r="K801" s="49" t="s">
        <v>76</v>
      </c>
      <c r="L801" s="49" t="s">
        <v>77</v>
      </c>
      <c r="M801" s="49" t="s">
        <v>78</v>
      </c>
      <c r="N801" s="48" t="s">
        <v>79</v>
      </c>
      <c r="O801" s="49" t="s">
        <v>37</v>
      </c>
      <c r="P801" s="11" t="s">
        <v>80</v>
      </c>
      <c r="Q801" s="11" t="s">
        <v>81</v>
      </c>
      <c r="R801" s="11" t="s">
        <v>632</v>
      </c>
      <c r="S801" s="11" t="s">
        <v>633</v>
      </c>
      <c r="T801" s="90" t="s">
        <v>7</v>
      </c>
      <c r="U801" s="90" t="s">
        <v>2914</v>
      </c>
      <c r="V801" s="51">
        <v>45544</v>
      </c>
      <c r="W801" s="49" t="s">
        <v>1585</v>
      </c>
    </row>
    <row r="802" spans="1:23" ht="13" customHeight="1" x14ac:dyDescent="0.35">
      <c r="A802" s="11">
        <v>796</v>
      </c>
      <c r="B802" s="47">
        <v>204011443</v>
      </c>
      <c r="C802" s="94" t="s">
        <v>2343</v>
      </c>
      <c r="D802" s="11" t="s">
        <v>2344</v>
      </c>
      <c r="E802" s="48" t="s">
        <v>31</v>
      </c>
      <c r="F802" s="48" t="s">
        <v>74</v>
      </c>
      <c r="G802" s="11" t="s">
        <v>64</v>
      </c>
      <c r="H802" s="11" t="s">
        <v>75</v>
      </c>
      <c r="I802" s="11">
        <v>1299</v>
      </c>
      <c r="J802" s="49" t="s">
        <v>39</v>
      </c>
      <c r="K802" s="49" t="s">
        <v>76</v>
      </c>
      <c r="L802" s="49" t="s">
        <v>84</v>
      </c>
      <c r="M802" s="49" t="s">
        <v>85</v>
      </c>
      <c r="N802" s="48" t="s">
        <v>86</v>
      </c>
      <c r="O802" s="49" t="s">
        <v>37</v>
      </c>
      <c r="P802" s="11" t="s">
        <v>80</v>
      </c>
      <c r="Q802" s="11" t="s">
        <v>90</v>
      </c>
      <c r="R802" s="49" t="s">
        <v>628</v>
      </c>
      <c r="S802" s="11" t="s">
        <v>629</v>
      </c>
      <c r="T802" s="90" t="s">
        <v>1</v>
      </c>
      <c r="U802" s="91"/>
      <c r="V802" s="51">
        <v>45551</v>
      </c>
      <c r="W802" s="49" t="s">
        <v>1585</v>
      </c>
    </row>
    <row r="803" spans="1:23" ht="13" customHeight="1" x14ac:dyDescent="0.35">
      <c r="A803" s="11">
        <v>797</v>
      </c>
      <c r="B803" s="47">
        <v>204072301</v>
      </c>
      <c r="C803" s="94" t="s">
        <v>857</v>
      </c>
      <c r="D803" s="11" t="s">
        <v>858</v>
      </c>
      <c r="E803" s="48" t="s">
        <v>31</v>
      </c>
      <c r="F803" s="48" t="s">
        <v>74</v>
      </c>
      <c r="G803" s="11" t="s">
        <v>64</v>
      </c>
      <c r="H803" s="11" t="s">
        <v>75</v>
      </c>
      <c r="I803" s="11">
        <v>1299</v>
      </c>
      <c r="J803" s="49" t="s">
        <v>32</v>
      </c>
      <c r="K803" s="49" t="s">
        <v>76</v>
      </c>
      <c r="L803" s="49" t="s">
        <v>85</v>
      </c>
      <c r="M803" s="49" t="s">
        <v>88</v>
      </c>
      <c r="N803" s="48" t="s">
        <v>86</v>
      </c>
      <c r="O803" s="49" t="s">
        <v>37</v>
      </c>
      <c r="P803" s="11" t="s">
        <v>80</v>
      </c>
      <c r="Q803" s="11" t="s">
        <v>90</v>
      </c>
      <c r="R803" s="11" t="s">
        <v>2865</v>
      </c>
      <c r="S803" s="11" t="s">
        <v>2866</v>
      </c>
      <c r="T803" s="90" t="s">
        <v>10</v>
      </c>
      <c r="U803" s="89"/>
      <c r="V803" s="51">
        <v>45558</v>
      </c>
      <c r="W803" s="49" t="s">
        <v>1584</v>
      </c>
    </row>
    <row r="804" spans="1:23" ht="13" customHeight="1" x14ac:dyDescent="0.35">
      <c r="A804" s="11">
        <v>798</v>
      </c>
      <c r="B804" s="47">
        <v>206897647</v>
      </c>
      <c r="C804" s="94" t="s">
        <v>1900</v>
      </c>
      <c r="D804" s="11" t="s">
        <v>1901</v>
      </c>
      <c r="E804" s="48" t="s">
        <v>31</v>
      </c>
      <c r="F804" s="48" t="s">
        <v>74</v>
      </c>
      <c r="G804" s="11" t="s">
        <v>64</v>
      </c>
      <c r="H804" s="11" t="s">
        <v>75</v>
      </c>
      <c r="I804" s="11">
        <v>1290</v>
      </c>
      <c r="J804" s="49" t="s">
        <v>39</v>
      </c>
      <c r="K804" s="49" t="s">
        <v>76</v>
      </c>
      <c r="L804" s="49" t="s">
        <v>85</v>
      </c>
      <c r="M804" s="49" t="s">
        <v>88</v>
      </c>
      <c r="N804" s="49" t="s">
        <v>89</v>
      </c>
      <c r="O804" s="48" t="s">
        <v>37</v>
      </c>
      <c r="P804" s="48" t="s">
        <v>80</v>
      </c>
      <c r="Q804" s="11" t="s">
        <v>81</v>
      </c>
      <c r="R804" s="11" t="s">
        <v>1069</v>
      </c>
      <c r="S804" s="11" t="s">
        <v>2733</v>
      </c>
      <c r="T804" s="90" t="s">
        <v>10</v>
      </c>
      <c r="U804" s="90"/>
      <c r="V804" s="51">
        <v>46030</v>
      </c>
      <c r="W804" s="49" t="s">
        <v>1585</v>
      </c>
    </row>
    <row r="805" spans="1:23" ht="13" customHeight="1" x14ac:dyDescent="0.35">
      <c r="A805" s="11">
        <v>799</v>
      </c>
      <c r="B805" s="11">
        <v>206136723</v>
      </c>
      <c r="C805" s="94" t="s">
        <v>2846</v>
      </c>
      <c r="D805" s="11" t="s">
        <v>2847</v>
      </c>
      <c r="E805" s="48" t="s">
        <v>31</v>
      </c>
      <c r="F805" s="48" t="s">
        <v>74</v>
      </c>
      <c r="G805" s="11" t="s">
        <v>64</v>
      </c>
      <c r="H805" s="11" t="s">
        <v>75</v>
      </c>
      <c r="I805" s="11">
        <v>1299</v>
      </c>
      <c r="J805" s="49" t="s">
        <v>39</v>
      </c>
      <c r="K805" s="49" t="s">
        <v>76</v>
      </c>
      <c r="L805" s="49" t="s">
        <v>88</v>
      </c>
      <c r="M805" s="49" t="s">
        <v>95</v>
      </c>
      <c r="N805" s="11" t="s">
        <v>89</v>
      </c>
      <c r="O805" s="11" t="s">
        <v>37</v>
      </c>
      <c r="P805" s="11" t="s">
        <v>80</v>
      </c>
      <c r="Q805" s="11" t="s">
        <v>81</v>
      </c>
      <c r="R805" s="11" t="s">
        <v>2735</v>
      </c>
      <c r="S805" s="11" t="s">
        <v>643</v>
      </c>
      <c r="T805" s="90" t="s">
        <v>10</v>
      </c>
      <c r="U805" s="91"/>
      <c r="V805" s="51">
        <v>46226</v>
      </c>
      <c r="W805" s="11" t="s">
        <v>1584</v>
      </c>
    </row>
    <row r="806" spans="1:23" ht="13" customHeight="1" x14ac:dyDescent="0.35">
      <c r="A806" s="11">
        <v>800</v>
      </c>
      <c r="B806" s="47">
        <v>206136725</v>
      </c>
      <c r="C806" s="94" t="s">
        <v>859</v>
      </c>
      <c r="D806" s="11" t="s">
        <v>860</v>
      </c>
      <c r="E806" s="48" t="s">
        <v>31</v>
      </c>
      <c r="F806" s="48" t="s">
        <v>74</v>
      </c>
      <c r="G806" s="11" t="s">
        <v>64</v>
      </c>
      <c r="H806" s="11" t="s">
        <v>75</v>
      </c>
      <c r="I806" s="11">
        <v>1299</v>
      </c>
      <c r="J806" s="49" t="s">
        <v>39</v>
      </c>
      <c r="K806" s="49" t="s">
        <v>76</v>
      </c>
      <c r="L806" s="49" t="s">
        <v>78</v>
      </c>
      <c r="M806" s="49" t="s">
        <v>92</v>
      </c>
      <c r="N806" s="48" t="s">
        <v>79</v>
      </c>
      <c r="O806" s="49" t="s">
        <v>37</v>
      </c>
      <c r="P806" s="11" t="s">
        <v>80</v>
      </c>
      <c r="Q806" s="11" t="s">
        <v>81</v>
      </c>
      <c r="R806" s="49" t="s">
        <v>2735</v>
      </c>
      <c r="S806" s="11" t="s">
        <v>643</v>
      </c>
      <c r="T806" s="90" t="s">
        <v>1</v>
      </c>
      <c r="U806" s="90"/>
      <c r="V806" s="51">
        <v>45929</v>
      </c>
      <c r="W806" s="49" t="s">
        <v>1584</v>
      </c>
    </row>
    <row r="807" spans="1:23" ht="13" customHeight="1" x14ac:dyDescent="0.35">
      <c r="A807" s="11">
        <v>801</v>
      </c>
      <c r="B807" s="47">
        <v>206239529</v>
      </c>
      <c r="C807" s="94" t="s">
        <v>1657</v>
      </c>
      <c r="D807" s="11" t="s">
        <v>1631</v>
      </c>
      <c r="E807" s="48" t="s">
        <v>31</v>
      </c>
      <c r="F807" s="48" t="s">
        <v>74</v>
      </c>
      <c r="G807" s="11" t="s">
        <v>64</v>
      </c>
      <c r="H807" s="11" t="s">
        <v>75</v>
      </c>
      <c r="I807" s="11">
        <v>1299</v>
      </c>
      <c r="J807" s="49" t="s">
        <v>32</v>
      </c>
      <c r="K807" s="49" t="s">
        <v>76</v>
      </c>
      <c r="L807" s="49" t="s">
        <v>88</v>
      </c>
      <c r="M807" s="49" t="s">
        <v>95</v>
      </c>
      <c r="N807" s="48" t="s">
        <v>79</v>
      </c>
      <c r="O807" s="49" t="s">
        <v>37</v>
      </c>
      <c r="P807" s="11" t="s">
        <v>80</v>
      </c>
      <c r="Q807" s="11" t="s">
        <v>81</v>
      </c>
      <c r="R807" s="11" t="s">
        <v>1069</v>
      </c>
      <c r="S807" s="11" t="s">
        <v>2733</v>
      </c>
      <c r="T807" s="90" t="s">
        <v>10</v>
      </c>
      <c r="U807" s="90"/>
      <c r="V807" s="51">
        <v>45943</v>
      </c>
      <c r="W807" s="49" t="s">
        <v>1584</v>
      </c>
    </row>
    <row r="808" spans="1:23" ht="13" customHeight="1" x14ac:dyDescent="0.35">
      <c r="A808" s="11">
        <v>802</v>
      </c>
      <c r="B808" s="47">
        <v>206074973</v>
      </c>
      <c r="C808" s="94" t="s">
        <v>861</v>
      </c>
      <c r="D808" s="11" t="s">
        <v>862</v>
      </c>
      <c r="E808" s="48" t="s">
        <v>31</v>
      </c>
      <c r="F808" s="48" t="s">
        <v>74</v>
      </c>
      <c r="G808" s="11" t="s">
        <v>64</v>
      </c>
      <c r="H808" s="11" t="s">
        <v>75</v>
      </c>
      <c r="I808" s="11">
        <v>1299</v>
      </c>
      <c r="J808" s="49" t="s">
        <v>32</v>
      </c>
      <c r="K808" s="49" t="s">
        <v>76</v>
      </c>
      <c r="L808" s="49" t="s">
        <v>85</v>
      </c>
      <c r="M808" s="49" t="s">
        <v>88</v>
      </c>
      <c r="N808" s="48" t="s">
        <v>79</v>
      </c>
      <c r="O808" s="49" t="s">
        <v>37</v>
      </c>
      <c r="P808" s="11" t="s">
        <v>80</v>
      </c>
      <c r="Q808" s="11" t="s">
        <v>81</v>
      </c>
      <c r="R808" s="49" t="s">
        <v>648</v>
      </c>
      <c r="S808" s="11" t="s">
        <v>1805</v>
      </c>
      <c r="T808" s="90" t="s">
        <v>10</v>
      </c>
      <c r="U808" s="90"/>
      <c r="V808" s="51">
        <v>45922</v>
      </c>
      <c r="W808" s="49" t="s">
        <v>1584</v>
      </c>
    </row>
    <row r="809" spans="1:23" ht="13" customHeight="1" x14ac:dyDescent="0.35">
      <c r="A809" s="11">
        <v>803</v>
      </c>
      <c r="B809" s="47">
        <v>206926478</v>
      </c>
      <c r="C809" s="94" t="s">
        <v>2021</v>
      </c>
      <c r="D809" s="11" t="s">
        <v>2028</v>
      </c>
      <c r="E809" s="48" t="s">
        <v>31</v>
      </c>
      <c r="F809" s="48" t="s">
        <v>74</v>
      </c>
      <c r="G809" s="48" t="s">
        <v>64</v>
      </c>
      <c r="H809" s="48" t="s">
        <v>1339</v>
      </c>
      <c r="I809" s="11">
        <v>1299</v>
      </c>
      <c r="J809" s="49" t="s">
        <v>39</v>
      </c>
      <c r="K809" s="49" t="s">
        <v>76</v>
      </c>
      <c r="L809" s="49" t="s">
        <v>95</v>
      </c>
      <c r="M809" s="49" t="s">
        <v>77</v>
      </c>
      <c r="N809" s="49" t="s">
        <v>89</v>
      </c>
      <c r="O809" s="49" t="s">
        <v>37</v>
      </c>
      <c r="P809" s="49" t="s">
        <v>80</v>
      </c>
      <c r="Q809" s="49" t="s">
        <v>90</v>
      </c>
      <c r="R809" s="49" t="s">
        <v>628</v>
      </c>
      <c r="S809" s="11" t="s">
        <v>629</v>
      </c>
      <c r="T809" s="90" t="s">
        <v>1</v>
      </c>
      <c r="U809" s="90"/>
      <c r="V809" s="51">
        <v>46037</v>
      </c>
      <c r="W809" s="49" t="s">
        <v>2029</v>
      </c>
    </row>
    <row r="810" spans="1:23" ht="13" customHeight="1" x14ac:dyDescent="0.35">
      <c r="A810" s="11">
        <v>804</v>
      </c>
      <c r="B810" s="47">
        <v>204138503</v>
      </c>
      <c r="C810" s="94" t="s">
        <v>863</v>
      </c>
      <c r="D810" s="11" t="s">
        <v>864</v>
      </c>
      <c r="E810" s="48" t="s">
        <v>31</v>
      </c>
      <c r="F810" s="48" t="s">
        <v>74</v>
      </c>
      <c r="G810" s="11" t="s">
        <v>64</v>
      </c>
      <c r="H810" s="11" t="s">
        <v>75</v>
      </c>
      <c r="I810" s="11">
        <v>1299</v>
      </c>
      <c r="J810" s="49" t="s">
        <v>39</v>
      </c>
      <c r="K810" s="49" t="s">
        <v>76</v>
      </c>
      <c r="L810" s="49" t="s">
        <v>78</v>
      </c>
      <c r="M810" s="49" t="s">
        <v>92</v>
      </c>
      <c r="N810" s="48" t="s">
        <v>79</v>
      </c>
      <c r="O810" s="49" t="s">
        <v>37</v>
      </c>
      <c r="P810" s="11" t="s">
        <v>80</v>
      </c>
      <c r="Q810" s="11" t="s">
        <v>81</v>
      </c>
      <c r="R810" s="11" t="s">
        <v>640</v>
      </c>
      <c r="S810" s="11" t="s">
        <v>2734</v>
      </c>
      <c r="T810" s="90" t="s">
        <v>1</v>
      </c>
      <c r="U810" s="90"/>
      <c r="V810" s="51">
        <v>45565</v>
      </c>
      <c r="W810" s="49" t="s">
        <v>1584</v>
      </c>
    </row>
    <row r="811" spans="1:23" ht="13" customHeight="1" x14ac:dyDescent="0.35">
      <c r="A811" s="11">
        <v>805</v>
      </c>
      <c r="B811" s="47">
        <v>205853573</v>
      </c>
      <c r="C811" s="94" t="s">
        <v>865</v>
      </c>
      <c r="D811" s="11" t="s">
        <v>866</v>
      </c>
      <c r="E811" s="48" t="s">
        <v>31</v>
      </c>
      <c r="F811" s="48" t="s">
        <v>74</v>
      </c>
      <c r="G811" s="11" t="s">
        <v>64</v>
      </c>
      <c r="H811" s="11" t="s">
        <v>75</v>
      </c>
      <c r="I811" s="11">
        <v>1299</v>
      </c>
      <c r="J811" s="49" t="s">
        <v>39</v>
      </c>
      <c r="K811" s="49" t="s">
        <v>76</v>
      </c>
      <c r="L811" s="49" t="s">
        <v>92</v>
      </c>
      <c r="M811" s="49" t="s">
        <v>84</v>
      </c>
      <c r="N811" s="49" t="s">
        <v>89</v>
      </c>
      <c r="O811" s="49" t="s">
        <v>37</v>
      </c>
      <c r="P811" s="11" t="s">
        <v>80</v>
      </c>
      <c r="Q811" s="11" t="s">
        <v>96</v>
      </c>
      <c r="R811" s="11" t="s">
        <v>632</v>
      </c>
      <c r="S811" s="11" t="s">
        <v>633</v>
      </c>
      <c r="T811" s="90" t="s">
        <v>7</v>
      </c>
      <c r="U811" s="90" t="s">
        <v>2914</v>
      </c>
      <c r="V811" s="51">
        <v>45894</v>
      </c>
      <c r="W811" s="49" t="s">
        <v>1584</v>
      </c>
    </row>
    <row r="812" spans="1:23" ht="13" customHeight="1" x14ac:dyDescent="0.35">
      <c r="A812" s="11">
        <v>806</v>
      </c>
      <c r="B812" s="47">
        <v>206915464</v>
      </c>
      <c r="C812" s="94" t="s">
        <v>1917</v>
      </c>
      <c r="D812" s="11" t="s">
        <v>1924</v>
      </c>
      <c r="E812" s="48" t="s">
        <v>31</v>
      </c>
      <c r="F812" s="48" t="s">
        <v>74</v>
      </c>
      <c r="G812" s="11" t="s">
        <v>64</v>
      </c>
      <c r="H812" s="11" t="s">
        <v>75</v>
      </c>
      <c r="I812" s="11">
        <v>1299</v>
      </c>
      <c r="J812" s="49" t="s">
        <v>39</v>
      </c>
      <c r="K812" s="49" t="s">
        <v>76</v>
      </c>
      <c r="L812" s="49" t="s">
        <v>92</v>
      </c>
      <c r="M812" s="49" t="s">
        <v>84</v>
      </c>
      <c r="N812" s="49" t="s">
        <v>89</v>
      </c>
      <c r="O812" s="49" t="s">
        <v>37</v>
      </c>
      <c r="P812" s="49" t="s">
        <v>80</v>
      </c>
      <c r="Q812" s="49" t="s">
        <v>90</v>
      </c>
      <c r="R812" s="49" t="s">
        <v>648</v>
      </c>
      <c r="S812" s="49" t="s">
        <v>1805</v>
      </c>
      <c r="T812" s="90" t="s">
        <v>1</v>
      </c>
      <c r="U812" s="90"/>
      <c r="V812" s="51">
        <v>46034</v>
      </c>
      <c r="W812" s="49" t="s">
        <v>1583</v>
      </c>
    </row>
    <row r="813" spans="1:23" ht="13" customHeight="1" x14ac:dyDescent="0.35">
      <c r="A813" s="11">
        <v>807</v>
      </c>
      <c r="B813" s="47">
        <v>203468748</v>
      </c>
      <c r="C813" s="94" t="s">
        <v>867</v>
      </c>
      <c r="D813" s="11" t="s">
        <v>868</v>
      </c>
      <c r="E813" s="48" t="s">
        <v>31</v>
      </c>
      <c r="F813" s="48" t="s">
        <v>74</v>
      </c>
      <c r="G813" s="11" t="s">
        <v>64</v>
      </c>
      <c r="H813" s="11" t="s">
        <v>75</v>
      </c>
      <c r="I813" s="11">
        <v>1299</v>
      </c>
      <c r="J813" s="49" t="s">
        <v>39</v>
      </c>
      <c r="K813" s="49" t="s">
        <v>76</v>
      </c>
      <c r="L813" s="49" t="s">
        <v>95</v>
      </c>
      <c r="M813" s="49" t="s">
        <v>77</v>
      </c>
      <c r="N813" s="48" t="s">
        <v>79</v>
      </c>
      <c r="O813" s="49" t="s">
        <v>37</v>
      </c>
      <c r="P813" s="11" t="s">
        <v>80</v>
      </c>
      <c r="Q813" s="11" t="s">
        <v>81</v>
      </c>
      <c r="R813" s="11" t="s">
        <v>632</v>
      </c>
      <c r="S813" s="11" t="s">
        <v>633</v>
      </c>
      <c r="T813" s="90" t="s">
        <v>1</v>
      </c>
      <c r="U813" s="89"/>
      <c r="V813" s="51">
        <v>45456</v>
      </c>
      <c r="W813" s="49" t="s">
        <v>1586</v>
      </c>
    </row>
    <row r="814" spans="1:23" ht="13" customHeight="1" x14ac:dyDescent="0.35">
      <c r="A814" s="11">
        <v>808</v>
      </c>
      <c r="B814" s="47">
        <v>205199079</v>
      </c>
      <c r="C814" s="95" t="s">
        <v>2085</v>
      </c>
      <c r="D814" s="11" t="s">
        <v>2086</v>
      </c>
      <c r="E814" s="48" t="s">
        <v>31</v>
      </c>
      <c r="F814" s="48" t="s">
        <v>74</v>
      </c>
      <c r="G814" s="11" t="s">
        <v>64</v>
      </c>
      <c r="H814" s="11" t="s">
        <v>75</v>
      </c>
      <c r="I814" s="11">
        <v>1299</v>
      </c>
      <c r="J814" s="88" t="s">
        <v>39</v>
      </c>
      <c r="K814" s="49" t="s">
        <v>76</v>
      </c>
      <c r="L814" s="49" t="s">
        <v>77</v>
      </c>
      <c r="M814" s="49" t="s">
        <v>78</v>
      </c>
      <c r="N814" s="49" t="s">
        <v>79</v>
      </c>
      <c r="O814" s="49" t="s">
        <v>37</v>
      </c>
      <c r="P814" s="11" t="s">
        <v>80</v>
      </c>
      <c r="Q814" s="11" t="s">
        <v>96</v>
      </c>
      <c r="R814" s="11" t="s">
        <v>2864</v>
      </c>
      <c r="S814" s="11" t="s">
        <v>2732</v>
      </c>
      <c r="T814" s="90" t="s">
        <v>7</v>
      </c>
      <c r="U814" s="90" t="s">
        <v>2914</v>
      </c>
      <c r="V814" s="51">
        <v>46048</v>
      </c>
      <c r="W814" s="49" t="s">
        <v>1584</v>
      </c>
    </row>
    <row r="815" spans="1:23" ht="13" customHeight="1" x14ac:dyDescent="0.35">
      <c r="A815" s="11">
        <v>809</v>
      </c>
      <c r="B815" s="47">
        <v>206906444</v>
      </c>
      <c r="C815" s="94" t="s">
        <v>1882</v>
      </c>
      <c r="D815" s="11" t="s">
        <v>1883</v>
      </c>
      <c r="E815" s="48" t="s">
        <v>31</v>
      </c>
      <c r="F815" s="48" t="s">
        <v>74</v>
      </c>
      <c r="G815" s="11" t="s">
        <v>64</v>
      </c>
      <c r="H815" s="11" t="s">
        <v>75</v>
      </c>
      <c r="I815" s="11">
        <v>1299</v>
      </c>
      <c r="J815" s="49" t="s">
        <v>39</v>
      </c>
      <c r="K815" s="49" t="s">
        <v>76</v>
      </c>
      <c r="L815" s="49" t="s">
        <v>84</v>
      </c>
      <c r="M815" s="49" t="s">
        <v>85</v>
      </c>
      <c r="N815" s="49" t="s">
        <v>89</v>
      </c>
      <c r="O815" s="48" t="s">
        <v>37</v>
      </c>
      <c r="P815" s="48" t="s">
        <v>80</v>
      </c>
      <c r="Q815" s="11" t="s">
        <v>90</v>
      </c>
      <c r="R815" s="49" t="s">
        <v>648</v>
      </c>
      <c r="S815" s="11" t="s">
        <v>1805</v>
      </c>
      <c r="T815" s="90" t="s">
        <v>1</v>
      </c>
      <c r="U815" s="91"/>
      <c r="V815" s="51">
        <v>46030</v>
      </c>
      <c r="W815" s="49" t="s">
        <v>1584</v>
      </c>
    </row>
    <row r="816" spans="1:23" ht="13" customHeight="1" x14ac:dyDescent="0.35">
      <c r="A816" s="11">
        <v>810</v>
      </c>
      <c r="B816" s="47">
        <v>204138121</v>
      </c>
      <c r="C816" s="94" t="s">
        <v>869</v>
      </c>
      <c r="D816" s="11" t="s">
        <v>870</v>
      </c>
      <c r="E816" s="48" t="s">
        <v>31</v>
      </c>
      <c r="F816" s="48" t="s">
        <v>74</v>
      </c>
      <c r="G816" s="11" t="s">
        <v>64</v>
      </c>
      <c r="H816" s="11" t="s">
        <v>75</v>
      </c>
      <c r="I816" s="11">
        <v>1299</v>
      </c>
      <c r="J816" s="49" t="s">
        <v>39</v>
      </c>
      <c r="K816" s="49" t="s">
        <v>76</v>
      </c>
      <c r="L816" s="49" t="s">
        <v>77</v>
      </c>
      <c r="M816" s="49" t="s">
        <v>78</v>
      </c>
      <c r="N816" s="48" t="s">
        <v>86</v>
      </c>
      <c r="O816" s="49" t="s">
        <v>37</v>
      </c>
      <c r="P816" s="11" t="s">
        <v>80</v>
      </c>
      <c r="Q816" s="11" t="s">
        <v>87</v>
      </c>
      <c r="R816" s="11" t="s">
        <v>1069</v>
      </c>
      <c r="S816" s="11" t="s">
        <v>2733</v>
      </c>
      <c r="T816" s="90" t="s">
        <v>3</v>
      </c>
      <c r="U816" s="90"/>
      <c r="V816" s="51">
        <v>45565</v>
      </c>
      <c r="W816" s="49" t="s">
        <v>1586</v>
      </c>
    </row>
    <row r="817" spans="1:23" ht="13" customHeight="1" x14ac:dyDescent="0.35">
      <c r="A817" s="11">
        <v>811</v>
      </c>
      <c r="B817" s="47">
        <v>204299547</v>
      </c>
      <c r="C817" s="94" t="s">
        <v>871</v>
      </c>
      <c r="D817" s="11" t="s">
        <v>872</v>
      </c>
      <c r="E817" s="48" t="s">
        <v>31</v>
      </c>
      <c r="F817" s="48" t="s">
        <v>74</v>
      </c>
      <c r="G817" s="11" t="s">
        <v>64</v>
      </c>
      <c r="H817" s="11" t="s">
        <v>75</v>
      </c>
      <c r="I817" s="11">
        <v>1299</v>
      </c>
      <c r="J817" s="49" t="s">
        <v>32</v>
      </c>
      <c r="K817" s="49" t="s">
        <v>76</v>
      </c>
      <c r="L817" s="49" t="s">
        <v>84</v>
      </c>
      <c r="M817" s="49" t="s">
        <v>85</v>
      </c>
      <c r="N817" s="48" t="s">
        <v>86</v>
      </c>
      <c r="O817" s="49" t="s">
        <v>37</v>
      </c>
      <c r="P817" s="11" t="s">
        <v>80</v>
      </c>
      <c r="Q817" s="11" t="s">
        <v>87</v>
      </c>
      <c r="R817" s="11" t="s">
        <v>632</v>
      </c>
      <c r="S817" s="11" t="s">
        <v>633</v>
      </c>
      <c r="T817" s="90" t="s">
        <v>1</v>
      </c>
      <c r="U817" s="90"/>
      <c r="V817" s="51">
        <v>45586</v>
      </c>
      <c r="W817" s="49" t="s">
        <v>1583</v>
      </c>
    </row>
    <row r="818" spans="1:23" ht="13" customHeight="1" x14ac:dyDescent="0.35">
      <c r="A818" s="11">
        <v>812</v>
      </c>
      <c r="B818" s="47">
        <v>203965458</v>
      </c>
      <c r="C818" s="94" t="s">
        <v>873</v>
      </c>
      <c r="D818" s="11" t="s">
        <v>874</v>
      </c>
      <c r="E818" s="48" t="s">
        <v>31</v>
      </c>
      <c r="F818" s="48" t="s">
        <v>74</v>
      </c>
      <c r="G818" s="11" t="s">
        <v>64</v>
      </c>
      <c r="H818" s="11" t="s">
        <v>75</v>
      </c>
      <c r="I818" s="11">
        <v>1299</v>
      </c>
      <c r="J818" s="49" t="s">
        <v>39</v>
      </c>
      <c r="K818" s="49" t="s">
        <v>76</v>
      </c>
      <c r="L818" s="49" t="s">
        <v>92</v>
      </c>
      <c r="M818" s="49" t="s">
        <v>84</v>
      </c>
      <c r="N818" s="48" t="s">
        <v>79</v>
      </c>
      <c r="O818" s="49" t="s">
        <v>37</v>
      </c>
      <c r="P818" s="11" t="s">
        <v>80</v>
      </c>
      <c r="Q818" s="11" t="s">
        <v>81</v>
      </c>
      <c r="R818" s="49" t="s">
        <v>648</v>
      </c>
      <c r="S818" s="11" t="s">
        <v>1805</v>
      </c>
      <c r="T818" s="90" t="s">
        <v>1</v>
      </c>
      <c r="U818" s="90"/>
      <c r="V818" s="51">
        <v>45544</v>
      </c>
      <c r="W818" s="49" t="s">
        <v>1585</v>
      </c>
    </row>
    <row r="819" spans="1:23" ht="13" customHeight="1" x14ac:dyDescent="0.35">
      <c r="A819" s="11">
        <v>813</v>
      </c>
      <c r="B819" s="47">
        <v>203512949</v>
      </c>
      <c r="C819" s="94" t="s">
        <v>875</v>
      </c>
      <c r="D819" s="11" t="s">
        <v>876</v>
      </c>
      <c r="E819" s="48" t="s">
        <v>31</v>
      </c>
      <c r="F819" s="48" t="s">
        <v>74</v>
      </c>
      <c r="G819" s="11" t="s">
        <v>64</v>
      </c>
      <c r="H819" s="11" t="s">
        <v>75</v>
      </c>
      <c r="I819" s="11">
        <v>1299</v>
      </c>
      <c r="J819" s="49" t="s">
        <v>39</v>
      </c>
      <c r="K819" s="49" t="s">
        <v>76</v>
      </c>
      <c r="L819" s="49" t="s">
        <v>88</v>
      </c>
      <c r="M819" s="49" t="s">
        <v>95</v>
      </c>
      <c r="N819" s="48" t="s">
        <v>79</v>
      </c>
      <c r="O819" s="49" t="s">
        <v>37</v>
      </c>
      <c r="P819" s="11" t="s">
        <v>80</v>
      </c>
      <c r="Q819" s="11" t="s">
        <v>81</v>
      </c>
      <c r="R819" s="11" t="s">
        <v>632</v>
      </c>
      <c r="S819" s="11" t="s">
        <v>633</v>
      </c>
      <c r="T819" s="90" t="s">
        <v>10</v>
      </c>
      <c r="U819" s="90"/>
      <c r="V819" s="51">
        <v>45463</v>
      </c>
      <c r="W819" s="49" t="s">
        <v>1584</v>
      </c>
    </row>
    <row r="820" spans="1:23" ht="13" customHeight="1" x14ac:dyDescent="0.35">
      <c r="A820" s="11">
        <v>814</v>
      </c>
      <c r="B820" s="97">
        <v>204072302</v>
      </c>
      <c r="C820" s="47" t="s">
        <v>2792</v>
      </c>
      <c r="D820" s="94" t="s">
        <v>2793</v>
      </c>
      <c r="E820" s="48" t="s">
        <v>31</v>
      </c>
      <c r="F820" s="48" t="s">
        <v>74</v>
      </c>
      <c r="G820" s="11" t="s">
        <v>64</v>
      </c>
      <c r="H820" s="11" t="s">
        <v>75</v>
      </c>
      <c r="I820" s="11">
        <v>1299</v>
      </c>
      <c r="J820" s="49" t="s">
        <v>32</v>
      </c>
      <c r="K820" s="49" t="s">
        <v>76</v>
      </c>
      <c r="L820" s="49" t="s">
        <v>85</v>
      </c>
      <c r="M820" s="49" t="s">
        <v>88</v>
      </c>
      <c r="N820" s="48" t="s">
        <v>86</v>
      </c>
      <c r="O820" s="49" t="s">
        <v>37</v>
      </c>
      <c r="P820" s="11" t="s">
        <v>80</v>
      </c>
      <c r="Q820" s="11" t="s">
        <v>90</v>
      </c>
      <c r="R820" s="11" t="s">
        <v>648</v>
      </c>
      <c r="S820" s="11" t="s">
        <v>2755</v>
      </c>
      <c r="T820" s="90" t="s">
        <v>10</v>
      </c>
      <c r="U820" s="89"/>
      <c r="V820" s="51">
        <v>45684</v>
      </c>
      <c r="W820" s="49" t="s">
        <v>1584</v>
      </c>
    </row>
    <row r="821" spans="1:23" ht="13" customHeight="1" x14ac:dyDescent="0.35">
      <c r="A821" s="11">
        <v>815</v>
      </c>
      <c r="B821" s="47">
        <v>202249751</v>
      </c>
      <c r="C821" s="94" t="s">
        <v>877</v>
      </c>
      <c r="D821" s="11" t="s">
        <v>878</v>
      </c>
      <c r="E821" s="48" t="s">
        <v>31</v>
      </c>
      <c r="F821" s="48" t="s">
        <v>74</v>
      </c>
      <c r="G821" s="11" t="s">
        <v>64</v>
      </c>
      <c r="H821" s="11" t="s">
        <v>75</v>
      </c>
      <c r="I821" s="11">
        <v>1299</v>
      </c>
      <c r="J821" s="49" t="s">
        <v>39</v>
      </c>
      <c r="K821" s="49" t="s">
        <v>76</v>
      </c>
      <c r="L821" s="49" t="s">
        <v>85</v>
      </c>
      <c r="M821" s="49" t="s">
        <v>88</v>
      </c>
      <c r="N821" s="48" t="s">
        <v>79</v>
      </c>
      <c r="O821" s="49" t="s">
        <v>37</v>
      </c>
      <c r="P821" s="11" t="s">
        <v>80</v>
      </c>
      <c r="Q821" s="11" t="s">
        <v>81</v>
      </c>
      <c r="R821" s="11" t="s">
        <v>632</v>
      </c>
      <c r="S821" s="11" t="s">
        <v>633</v>
      </c>
      <c r="T821" s="90" t="s">
        <v>10</v>
      </c>
      <c r="U821" s="91"/>
      <c r="V821" s="51">
        <v>45561</v>
      </c>
      <c r="W821" s="49" t="s">
        <v>1583</v>
      </c>
    </row>
    <row r="822" spans="1:23" ht="13" customHeight="1" x14ac:dyDescent="0.35">
      <c r="A822" s="11">
        <v>816</v>
      </c>
      <c r="B822" s="47">
        <v>204966775</v>
      </c>
      <c r="C822" s="94" t="s">
        <v>879</v>
      </c>
      <c r="D822" s="11" t="s">
        <v>880</v>
      </c>
      <c r="E822" s="48" t="s">
        <v>31</v>
      </c>
      <c r="F822" s="48" t="s">
        <v>74</v>
      </c>
      <c r="G822" s="11" t="s">
        <v>64</v>
      </c>
      <c r="H822" s="11" t="s">
        <v>75</v>
      </c>
      <c r="I822" s="11">
        <v>1299</v>
      </c>
      <c r="J822" s="49" t="s">
        <v>39</v>
      </c>
      <c r="K822" s="49" t="s">
        <v>76</v>
      </c>
      <c r="L822" s="49" t="s">
        <v>84</v>
      </c>
      <c r="M822" s="49" t="s">
        <v>85</v>
      </c>
      <c r="N822" s="48" t="s">
        <v>86</v>
      </c>
      <c r="O822" s="49" t="s">
        <v>37</v>
      </c>
      <c r="P822" s="11" t="s">
        <v>80</v>
      </c>
      <c r="Q822" s="11" t="s">
        <v>90</v>
      </c>
      <c r="R822" s="49" t="s">
        <v>648</v>
      </c>
      <c r="S822" s="11" t="s">
        <v>1805</v>
      </c>
      <c r="T822" s="90" t="s">
        <v>1</v>
      </c>
      <c r="U822" s="89"/>
      <c r="V822" s="51">
        <v>45719</v>
      </c>
      <c r="W822" s="49" t="s">
        <v>1584</v>
      </c>
    </row>
    <row r="823" spans="1:23" ht="13" customHeight="1" x14ac:dyDescent="0.35">
      <c r="A823" s="11">
        <v>817</v>
      </c>
      <c r="B823" s="47">
        <v>206915469</v>
      </c>
      <c r="C823" s="94" t="s">
        <v>1921</v>
      </c>
      <c r="D823" s="11" t="s">
        <v>1914</v>
      </c>
      <c r="E823" s="48" t="s">
        <v>31</v>
      </c>
      <c r="F823" s="48" t="s">
        <v>74</v>
      </c>
      <c r="G823" s="11" t="s">
        <v>64</v>
      </c>
      <c r="H823" s="11" t="s">
        <v>75</v>
      </c>
      <c r="I823" s="11">
        <v>1299</v>
      </c>
      <c r="J823" s="49" t="s">
        <v>39</v>
      </c>
      <c r="K823" s="49" t="s">
        <v>76</v>
      </c>
      <c r="L823" s="49" t="s">
        <v>92</v>
      </c>
      <c r="M823" s="49" t="s">
        <v>84</v>
      </c>
      <c r="N823" s="49" t="s">
        <v>89</v>
      </c>
      <c r="O823" s="49" t="s">
        <v>37</v>
      </c>
      <c r="P823" s="11" t="s">
        <v>80</v>
      </c>
      <c r="Q823" s="11" t="s">
        <v>90</v>
      </c>
      <c r="R823" s="11" t="s">
        <v>2864</v>
      </c>
      <c r="S823" s="11" t="s">
        <v>2732</v>
      </c>
      <c r="T823" s="90" t="s">
        <v>1</v>
      </c>
      <c r="U823" s="91"/>
      <c r="V823" s="51">
        <v>46034</v>
      </c>
      <c r="W823" s="49" t="s">
        <v>1584</v>
      </c>
    </row>
    <row r="824" spans="1:23" ht="13" customHeight="1" x14ac:dyDescent="0.35">
      <c r="A824" s="11">
        <v>818</v>
      </c>
      <c r="B824" s="47">
        <v>204116868</v>
      </c>
      <c r="C824" s="94" t="s">
        <v>881</v>
      </c>
      <c r="D824" s="11" t="s">
        <v>882</v>
      </c>
      <c r="E824" s="48" t="s">
        <v>31</v>
      </c>
      <c r="F824" s="48" t="s">
        <v>74</v>
      </c>
      <c r="G824" s="11" t="s">
        <v>64</v>
      </c>
      <c r="H824" s="11" t="s">
        <v>75</v>
      </c>
      <c r="I824" s="11">
        <v>1299</v>
      </c>
      <c r="J824" s="49" t="s">
        <v>39</v>
      </c>
      <c r="K824" s="49" t="s">
        <v>76</v>
      </c>
      <c r="L824" s="49" t="s">
        <v>85</v>
      </c>
      <c r="M824" s="49" t="s">
        <v>88</v>
      </c>
      <c r="N824" s="48" t="s">
        <v>86</v>
      </c>
      <c r="O824" s="49" t="s">
        <v>37</v>
      </c>
      <c r="P824" s="11" t="s">
        <v>80</v>
      </c>
      <c r="Q824" s="11" t="s">
        <v>87</v>
      </c>
      <c r="R824" s="49" t="s">
        <v>628</v>
      </c>
      <c r="S824" s="11" t="s">
        <v>629</v>
      </c>
      <c r="T824" s="90" t="s">
        <v>10</v>
      </c>
      <c r="U824" s="90"/>
      <c r="V824" s="51">
        <v>45561</v>
      </c>
      <c r="W824" s="49" t="s">
        <v>1584</v>
      </c>
    </row>
    <row r="825" spans="1:23" ht="13" customHeight="1" x14ac:dyDescent="0.35">
      <c r="A825" s="11">
        <v>819</v>
      </c>
      <c r="B825" s="47">
        <v>203512668</v>
      </c>
      <c r="C825" s="94" t="s">
        <v>883</v>
      </c>
      <c r="D825" s="11" t="s">
        <v>884</v>
      </c>
      <c r="E825" s="48" t="s">
        <v>31</v>
      </c>
      <c r="F825" s="48" t="s">
        <v>74</v>
      </c>
      <c r="G825" s="11" t="s">
        <v>64</v>
      </c>
      <c r="H825" s="11" t="s">
        <v>75</v>
      </c>
      <c r="I825" s="11">
        <v>1299</v>
      </c>
      <c r="J825" s="49" t="s">
        <v>32</v>
      </c>
      <c r="K825" s="49" t="s">
        <v>76</v>
      </c>
      <c r="L825" s="49" t="s">
        <v>84</v>
      </c>
      <c r="M825" s="49" t="s">
        <v>85</v>
      </c>
      <c r="N825" s="48" t="s">
        <v>79</v>
      </c>
      <c r="O825" s="49" t="s">
        <v>37</v>
      </c>
      <c r="P825" s="11" t="s">
        <v>80</v>
      </c>
      <c r="Q825" s="11" t="s">
        <v>81</v>
      </c>
      <c r="R825" s="11" t="s">
        <v>1069</v>
      </c>
      <c r="S825" s="11" t="s">
        <v>2733</v>
      </c>
      <c r="T825" s="90" t="s">
        <v>1</v>
      </c>
      <c r="U825" s="90"/>
      <c r="V825" s="51">
        <v>45463</v>
      </c>
      <c r="W825" s="49" t="s">
        <v>1585</v>
      </c>
    </row>
    <row r="826" spans="1:23" ht="13" customHeight="1" x14ac:dyDescent="0.35">
      <c r="A826" s="11">
        <v>820</v>
      </c>
      <c r="B826" s="47">
        <v>204013684</v>
      </c>
      <c r="C826" s="94" t="s">
        <v>885</v>
      </c>
      <c r="D826" s="11" t="s">
        <v>886</v>
      </c>
      <c r="E826" s="48" t="s">
        <v>31</v>
      </c>
      <c r="F826" s="48" t="s">
        <v>74</v>
      </c>
      <c r="G826" s="11" t="s">
        <v>64</v>
      </c>
      <c r="H826" s="11" t="s">
        <v>75</v>
      </c>
      <c r="I826" s="11">
        <v>1299</v>
      </c>
      <c r="J826" s="49" t="s">
        <v>39</v>
      </c>
      <c r="K826" s="49" t="s">
        <v>76</v>
      </c>
      <c r="L826" s="49" t="s">
        <v>95</v>
      </c>
      <c r="M826" s="49" t="s">
        <v>77</v>
      </c>
      <c r="N826" s="48" t="s">
        <v>79</v>
      </c>
      <c r="O826" s="49" t="s">
        <v>37</v>
      </c>
      <c r="P826" s="11" t="s">
        <v>80</v>
      </c>
      <c r="Q826" s="11" t="s">
        <v>81</v>
      </c>
      <c r="R826" s="11" t="s">
        <v>1069</v>
      </c>
      <c r="S826" s="11" t="s">
        <v>2733</v>
      </c>
      <c r="T826" s="90" t="s">
        <v>7</v>
      </c>
      <c r="U826" s="90" t="s">
        <v>2914</v>
      </c>
      <c r="V826" s="51">
        <v>45551</v>
      </c>
      <c r="W826" s="49" t="s">
        <v>1583</v>
      </c>
    </row>
    <row r="827" spans="1:23" ht="13" customHeight="1" x14ac:dyDescent="0.35">
      <c r="A827" s="11">
        <v>821</v>
      </c>
      <c r="B827" s="47">
        <v>206926479</v>
      </c>
      <c r="C827" s="94" t="s">
        <v>2019</v>
      </c>
      <c r="D827" s="11" t="s">
        <v>2026</v>
      </c>
      <c r="E827" s="48" t="s">
        <v>31</v>
      </c>
      <c r="F827" s="48" t="s">
        <v>74</v>
      </c>
      <c r="G827" s="48" t="s">
        <v>64</v>
      </c>
      <c r="H827" s="48" t="s">
        <v>1339</v>
      </c>
      <c r="I827" s="11">
        <v>1299</v>
      </c>
      <c r="J827" s="49" t="s">
        <v>32</v>
      </c>
      <c r="K827" s="49" t="s">
        <v>76</v>
      </c>
      <c r="L827" s="49" t="s">
        <v>84</v>
      </c>
      <c r="M827" s="49" t="s">
        <v>85</v>
      </c>
      <c r="N827" s="49" t="s">
        <v>89</v>
      </c>
      <c r="O827" s="49" t="s">
        <v>37</v>
      </c>
      <c r="P827" s="49" t="s">
        <v>80</v>
      </c>
      <c r="Q827" s="49" t="s">
        <v>90</v>
      </c>
      <c r="R827" s="49" t="s">
        <v>648</v>
      </c>
      <c r="S827" s="49" t="s">
        <v>1805</v>
      </c>
      <c r="T827" s="90" t="s">
        <v>1</v>
      </c>
      <c r="U827" s="91"/>
      <c r="V827" s="51">
        <v>46037</v>
      </c>
      <c r="W827" s="49" t="s">
        <v>2029</v>
      </c>
    </row>
    <row r="828" spans="1:23" ht="13" customHeight="1" x14ac:dyDescent="0.35">
      <c r="A828" s="11">
        <v>822</v>
      </c>
      <c r="B828" s="47">
        <v>108019714</v>
      </c>
      <c r="C828" s="94" t="s">
        <v>887</v>
      </c>
      <c r="D828" s="11" t="s">
        <v>888</v>
      </c>
      <c r="E828" s="48" t="s">
        <v>34</v>
      </c>
      <c r="F828" s="48" t="s">
        <v>74</v>
      </c>
      <c r="G828" s="11" t="s">
        <v>64</v>
      </c>
      <c r="H828" s="11" t="s">
        <v>75</v>
      </c>
      <c r="I828" s="11">
        <v>1299</v>
      </c>
      <c r="J828" s="49" t="s">
        <v>32</v>
      </c>
      <c r="K828" s="49" t="s">
        <v>76</v>
      </c>
      <c r="L828" s="49" t="s">
        <v>95</v>
      </c>
      <c r="M828" s="49" t="s">
        <v>77</v>
      </c>
      <c r="N828" s="48" t="s">
        <v>97</v>
      </c>
      <c r="O828" s="49" t="s">
        <v>37</v>
      </c>
      <c r="P828" s="11" t="s">
        <v>80</v>
      </c>
      <c r="Q828" s="11" t="s">
        <v>98</v>
      </c>
      <c r="R828" s="49" t="s">
        <v>628</v>
      </c>
      <c r="S828" s="11" t="s">
        <v>629</v>
      </c>
      <c r="T828" s="90" t="s">
        <v>1</v>
      </c>
      <c r="U828" s="89"/>
      <c r="V828" s="51">
        <v>44757</v>
      </c>
      <c r="W828" s="49" t="s">
        <v>1588</v>
      </c>
    </row>
    <row r="829" spans="1:23" ht="13" customHeight="1" x14ac:dyDescent="0.35">
      <c r="A829" s="11">
        <v>823</v>
      </c>
      <c r="B829" s="47">
        <v>203965181</v>
      </c>
      <c r="C829" s="94" t="s">
        <v>889</v>
      </c>
      <c r="D829" s="11" t="s">
        <v>890</v>
      </c>
      <c r="E829" s="48" t="s">
        <v>31</v>
      </c>
      <c r="F829" s="48" t="s">
        <v>74</v>
      </c>
      <c r="G829" s="11" t="s">
        <v>64</v>
      </c>
      <c r="H829" s="11" t="s">
        <v>75</v>
      </c>
      <c r="I829" s="11">
        <v>1299</v>
      </c>
      <c r="J829" s="49" t="s">
        <v>39</v>
      </c>
      <c r="K829" s="49" t="s">
        <v>76</v>
      </c>
      <c r="L829" s="49" t="s">
        <v>84</v>
      </c>
      <c r="M829" s="49" t="s">
        <v>85</v>
      </c>
      <c r="N829" s="48" t="s">
        <v>79</v>
      </c>
      <c r="O829" s="49" t="s">
        <v>37</v>
      </c>
      <c r="P829" s="11" t="s">
        <v>80</v>
      </c>
      <c r="Q829" s="11" t="s">
        <v>81</v>
      </c>
      <c r="R829" s="49" t="s">
        <v>628</v>
      </c>
      <c r="S829" s="11" t="s">
        <v>629</v>
      </c>
      <c r="T829" s="90" t="s">
        <v>1</v>
      </c>
      <c r="U829" s="89"/>
      <c r="V829" s="51">
        <v>45544</v>
      </c>
      <c r="W829" s="49" t="s">
        <v>1584</v>
      </c>
    </row>
    <row r="830" spans="1:23" ht="13" customHeight="1" x14ac:dyDescent="0.35">
      <c r="A830" s="11">
        <v>824</v>
      </c>
      <c r="B830" s="47">
        <v>203468745</v>
      </c>
      <c r="C830" s="94" t="s">
        <v>891</v>
      </c>
      <c r="D830" s="11" t="s">
        <v>892</v>
      </c>
      <c r="E830" s="48" t="s">
        <v>31</v>
      </c>
      <c r="F830" s="48" t="s">
        <v>74</v>
      </c>
      <c r="G830" s="11" t="s">
        <v>64</v>
      </c>
      <c r="H830" s="11" t="s">
        <v>75</v>
      </c>
      <c r="I830" s="11">
        <v>1299</v>
      </c>
      <c r="J830" s="49" t="s">
        <v>32</v>
      </c>
      <c r="K830" s="49" t="s">
        <v>76</v>
      </c>
      <c r="L830" s="49" t="s">
        <v>85</v>
      </c>
      <c r="M830" s="49" t="s">
        <v>88</v>
      </c>
      <c r="N830" s="48" t="s">
        <v>79</v>
      </c>
      <c r="O830" s="49" t="s">
        <v>37</v>
      </c>
      <c r="P830" s="11" t="s">
        <v>80</v>
      </c>
      <c r="Q830" s="11" t="s">
        <v>81</v>
      </c>
      <c r="R830" s="11" t="s">
        <v>632</v>
      </c>
      <c r="S830" s="11" t="s">
        <v>633</v>
      </c>
      <c r="T830" s="90" t="s">
        <v>10</v>
      </c>
      <c r="U830" s="89"/>
      <c r="V830" s="51">
        <v>45456</v>
      </c>
      <c r="W830" s="49" t="s">
        <v>1586</v>
      </c>
    </row>
    <row r="831" spans="1:23" ht="13" customHeight="1" x14ac:dyDescent="0.35">
      <c r="A831" s="11">
        <v>825</v>
      </c>
      <c r="B831" s="47">
        <v>203993450</v>
      </c>
      <c r="C831" s="94" t="s">
        <v>893</v>
      </c>
      <c r="D831" s="11" t="s">
        <v>894</v>
      </c>
      <c r="E831" s="48" t="s">
        <v>31</v>
      </c>
      <c r="F831" s="48" t="s">
        <v>74</v>
      </c>
      <c r="G831" s="11" t="s">
        <v>64</v>
      </c>
      <c r="H831" s="11" t="s">
        <v>75</v>
      </c>
      <c r="I831" s="11">
        <v>1299</v>
      </c>
      <c r="J831" s="49" t="s">
        <v>39</v>
      </c>
      <c r="K831" s="49" t="s">
        <v>76</v>
      </c>
      <c r="L831" s="49" t="s">
        <v>77</v>
      </c>
      <c r="M831" s="49" t="s">
        <v>78</v>
      </c>
      <c r="N831" s="48" t="s">
        <v>86</v>
      </c>
      <c r="O831" s="49" t="s">
        <v>37</v>
      </c>
      <c r="P831" s="11" t="s">
        <v>80</v>
      </c>
      <c r="Q831" s="11" t="s">
        <v>90</v>
      </c>
      <c r="R831" s="49" t="s">
        <v>628</v>
      </c>
      <c r="S831" s="11" t="s">
        <v>629</v>
      </c>
      <c r="T831" s="90" t="s">
        <v>1</v>
      </c>
      <c r="U831" s="89"/>
      <c r="V831" s="51">
        <v>45547</v>
      </c>
      <c r="W831" s="49" t="s">
        <v>1583</v>
      </c>
    </row>
    <row r="832" spans="1:23" ht="13" customHeight="1" x14ac:dyDescent="0.35">
      <c r="A832" s="11">
        <v>826</v>
      </c>
      <c r="B832" s="47">
        <v>203881657</v>
      </c>
      <c r="C832" s="94" t="s">
        <v>895</v>
      </c>
      <c r="D832" s="11" t="s">
        <v>896</v>
      </c>
      <c r="E832" s="48" t="s">
        <v>31</v>
      </c>
      <c r="F832" s="48" t="s">
        <v>74</v>
      </c>
      <c r="G832" s="11" t="s">
        <v>64</v>
      </c>
      <c r="H832" s="11" t="s">
        <v>75</v>
      </c>
      <c r="I832" s="11">
        <v>1299</v>
      </c>
      <c r="J832" s="49" t="s">
        <v>39</v>
      </c>
      <c r="K832" s="49" t="s">
        <v>76</v>
      </c>
      <c r="L832" s="49" t="s">
        <v>95</v>
      </c>
      <c r="M832" s="49" t="s">
        <v>77</v>
      </c>
      <c r="N832" s="48" t="s">
        <v>79</v>
      </c>
      <c r="O832" s="49" t="s">
        <v>37</v>
      </c>
      <c r="P832" s="11" t="s">
        <v>80</v>
      </c>
      <c r="Q832" s="11" t="s">
        <v>81</v>
      </c>
      <c r="R832" s="49" t="s">
        <v>628</v>
      </c>
      <c r="S832" s="11" t="s">
        <v>629</v>
      </c>
      <c r="T832" s="90" t="s">
        <v>1</v>
      </c>
      <c r="U832" s="89"/>
      <c r="V832" s="51">
        <v>45530</v>
      </c>
      <c r="W832" s="49" t="s">
        <v>1584</v>
      </c>
    </row>
    <row r="833" spans="1:23" ht="13" customHeight="1" x14ac:dyDescent="0.35">
      <c r="A833" s="11">
        <v>827</v>
      </c>
      <c r="B833" s="47">
        <v>204976025</v>
      </c>
      <c r="C833" s="95" t="s">
        <v>2089</v>
      </c>
      <c r="D833" s="11" t="s">
        <v>2090</v>
      </c>
      <c r="E833" s="48" t="s">
        <v>31</v>
      </c>
      <c r="F833" s="48" t="s">
        <v>74</v>
      </c>
      <c r="G833" s="11" t="s">
        <v>64</v>
      </c>
      <c r="H833" s="11" t="s">
        <v>75</v>
      </c>
      <c r="I833" s="11">
        <v>1299</v>
      </c>
      <c r="J833" s="88" t="s">
        <v>39</v>
      </c>
      <c r="K833" s="49" t="s">
        <v>76</v>
      </c>
      <c r="L833" s="49" t="s">
        <v>77</v>
      </c>
      <c r="M833" s="49" t="s">
        <v>78</v>
      </c>
      <c r="N833" s="49" t="s">
        <v>89</v>
      </c>
      <c r="O833" s="49" t="s">
        <v>37</v>
      </c>
      <c r="P833" s="11" t="s">
        <v>80</v>
      </c>
      <c r="Q833" s="11" t="s">
        <v>96</v>
      </c>
      <c r="R833" s="11" t="s">
        <v>2864</v>
      </c>
      <c r="S833" s="11" t="s">
        <v>2732</v>
      </c>
      <c r="T833" s="90" t="s">
        <v>1</v>
      </c>
      <c r="U833" s="89"/>
      <c r="V833" s="51">
        <v>46048</v>
      </c>
      <c r="W833" s="49" t="s">
        <v>1584</v>
      </c>
    </row>
    <row r="834" spans="1:23" ht="13" customHeight="1" x14ac:dyDescent="0.35">
      <c r="A834" s="11">
        <v>828</v>
      </c>
      <c r="B834" s="47">
        <v>206850964</v>
      </c>
      <c r="C834" s="94" t="s">
        <v>1808</v>
      </c>
      <c r="D834" s="47" t="s">
        <v>1809</v>
      </c>
      <c r="E834" s="47" t="s">
        <v>31</v>
      </c>
      <c r="F834" s="48" t="s">
        <v>74</v>
      </c>
      <c r="G834" s="11" t="s">
        <v>64</v>
      </c>
      <c r="H834" s="11" t="s">
        <v>75</v>
      </c>
      <c r="I834" s="47">
        <v>1299</v>
      </c>
      <c r="J834" s="49" t="s">
        <v>39</v>
      </c>
      <c r="K834" s="49" t="s">
        <v>76</v>
      </c>
      <c r="L834" s="49" t="s">
        <v>36</v>
      </c>
      <c r="M834" s="49" t="s">
        <v>95</v>
      </c>
      <c r="N834" s="49" t="s">
        <v>89</v>
      </c>
      <c r="O834" s="49" t="s">
        <v>37</v>
      </c>
      <c r="P834" s="11" t="s">
        <v>80</v>
      </c>
      <c r="Q834" s="47" t="s">
        <v>90</v>
      </c>
      <c r="R834" s="11" t="s">
        <v>1069</v>
      </c>
      <c r="S834" s="11" t="s">
        <v>2733</v>
      </c>
      <c r="T834" s="90" t="s">
        <v>1</v>
      </c>
      <c r="U834" s="125" t="s">
        <v>2919</v>
      </c>
      <c r="V834" s="51">
        <v>46013</v>
      </c>
      <c r="W834" s="49" t="s">
        <v>1584</v>
      </c>
    </row>
    <row r="835" spans="1:23" ht="13" customHeight="1" x14ac:dyDescent="0.35">
      <c r="A835" s="11">
        <v>829</v>
      </c>
      <c r="B835" s="97">
        <v>204072304</v>
      </c>
      <c r="C835" s="47" t="s">
        <v>2794</v>
      </c>
      <c r="D835" s="94" t="s">
        <v>2795</v>
      </c>
      <c r="E835" s="48" t="s">
        <v>31</v>
      </c>
      <c r="F835" s="48" t="s">
        <v>74</v>
      </c>
      <c r="G835" s="11" t="s">
        <v>64</v>
      </c>
      <c r="H835" s="11" t="s">
        <v>75</v>
      </c>
      <c r="I835" s="11">
        <v>1299</v>
      </c>
      <c r="J835" s="49" t="s">
        <v>39</v>
      </c>
      <c r="K835" s="49" t="s">
        <v>76</v>
      </c>
      <c r="L835" s="49" t="s">
        <v>92</v>
      </c>
      <c r="M835" s="49" t="s">
        <v>84</v>
      </c>
      <c r="N835" s="49" t="s">
        <v>89</v>
      </c>
      <c r="O835" s="49" t="s">
        <v>37</v>
      </c>
      <c r="P835" s="11" t="s">
        <v>80</v>
      </c>
      <c r="Q835" s="11" t="s">
        <v>90</v>
      </c>
      <c r="R835" s="11" t="s">
        <v>2865</v>
      </c>
      <c r="S835" s="11" t="s">
        <v>2866</v>
      </c>
      <c r="T835" s="90" t="s">
        <v>1</v>
      </c>
      <c r="U835" s="89"/>
      <c r="V835" s="51">
        <v>45558</v>
      </c>
      <c r="W835" s="49" t="s">
        <v>1584</v>
      </c>
    </row>
    <row r="836" spans="1:23" ht="13" customHeight="1" x14ac:dyDescent="0.35">
      <c r="A836" s="11">
        <v>830</v>
      </c>
      <c r="B836" s="97">
        <v>203850785</v>
      </c>
      <c r="C836" s="47" t="s">
        <v>2796</v>
      </c>
      <c r="D836" s="94" t="s">
        <v>2797</v>
      </c>
      <c r="E836" s="48" t="s">
        <v>31</v>
      </c>
      <c r="F836" s="48" t="s">
        <v>74</v>
      </c>
      <c r="G836" s="11" t="s">
        <v>64</v>
      </c>
      <c r="H836" s="11" t="s">
        <v>75</v>
      </c>
      <c r="I836" s="11">
        <v>1299</v>
      </c>
      <c r="J836" s="49" t="s">
        <v>39</v>
      </c>
      <c r="K836" s="49" t="s">
        <v>76</v>
      </c>
      <c r="L836" s="49" t="s">
        <v>78</v>
      </c>
      <c r="M836" s="49" t="s">
        <v>92</v>
      </c>
      <c r="N836" s="49" t="s">
        <v>89</v>
      </c>
      <c r="O836" s="49" t="s">
        <v>37</v>
      </c>
      <c r="P836" s="11" t="s">
        <v>80</v>
      </c>
      <c r="Q836" s="11" t="s">
        <v>90</v>
      </c>
      <c r="R836" s="11" t="s">
        <v>648</v>
      </c>
      <c r="S836" s="11" t="s">
        <v>2755</v>
      </c>
      <c r="T836" s="90" t="s">
        <v>1</v>
      </c>
      <c r="U836" s="90"/>
      <c r="V836" s="51">
        <v>45524</v>
      </c>
      <c r="W836" s="49" t="s">
        <v>1584</v>
      </c>
    </row>
    <row r="837" spans="1:23" ht="13" customHeight="1" x14ac:dyDescent="0.35">
      <c r="A837" s="11">
        <v>831</v>
      </c>
      <c r="B837" s="47">
        <v>105444856</v>
      </c>
      <c r="C837" s="94" t="s">
        <v>2109</v>
      </c>
      <c r="D837" s="11" t="s">
        <v>2110</v>
      </c>
      <c r="E837" s="48" t="s">
        <v>34</v>
      </c>
      <c r="F837" s="48" t="s">
        <v>74</v>
      </c>
      <c r="G837" s="11" t="s">
        <v>64</v>
      </c>
      <c r="H837" s="11" t="s">
        <v>75</v>
      </c>
      <c r="I837" s="11">
        <v>1299</v>
      </c>
      <c r="J837" s="49" t="s">
        <v>39</v>
      </c>
      <c r="K837" s="49" t="s">
        <v>76</v>
      </c>
      <c r="L837" s="49" t="s">
        <v>36</v>
      </c>
      <c r="M837" s="49" t="s">
        <v>95</v>
      </c>
      <c r="N837" s="48" t="s">
        <v>97</v>
      </c>
      <c r="O837" s="49" t="s">
        <v>37</v>
      </c>
      <c r="P837" s="11" t="s">
        <v>80</v>
      </c>
      <c r="Q837" s="11" t="s">
        <v>98</v>
      </c>
      <c r="R837" s="11" t="s">
        <v>2865</v>
      </c>
      <c r="S837" s="11" t="s">
        <v>2866</v>
      </c>
      <c r="T837" s="90" t="s">
        <v>1</v>
      </c>
      <c r="U837" s="125" t="s">
        <v>2919</v>
      </c>
      <c r="V837" s="51">
        <v>46048</v>
      </c>
      <c r="W837" s="49" t="s">
        <v>1588</v>
      </c>
    </row>
    <row r="838" spans="1:23" ht="13" customHeight="1" x14ac:dyDescent="0.35">
      <c r="A838" s="11">
        <v>832</v>
      </c>
      <c r="B838" s="47">
        <v>206138254</v>
      </c>
      <c r="C838" s="94" t="s">
        <v>897</v>
      </c>
      <c r="D838" s="11" t="s">
        <v>898</v>
      </c>
      <c r="E838" s="48" t="s">
        <v>31</v>
      </c>
      <c r="F838" s="48" t="s">
        <v>74</v>
      </c>
      <c r="G838" s="11" t="s">
        <v>64</v>
      </c>
      <c r="H838" s="11" t="s">
        <v>75</v>
      </c>
      <c r="I838" s="11">
        <v>1299</v>
      </c>
      <c r="J838" s="49" t="s">
        <v>39</v>
      </c>
      <c r="K838" s="49" t="s">
        <v>76</v>
      </c>
      <c r="L838" s="49" t="s">
        <v>77</v>
      </c>
      <c r="M838" s="49" t="s">
        <v>78</v>
      </c>
      <c r="N838" s="49" t="s">
        <v>89</v>
      </c>
      <c r="O838" s="49" t="s">
        <v>37</v>
      </c>
      <c r="P838" s="11" t="s">
        <v>80</v>
      </c>
      <c r="Q838" s="11" t="s">
        <v>81</v>
      </c>
      <c r="R838" s="11" t="s">
        <v>632</v>
      </c>
      <c r="S838" s="11" t="s">
        <v>633</v>
      </c>
      <c r="T838" s="90" t="s">
        <v>1</v>
      </c>
      <c r="U838" s="89"/>
      <c r="V838" s="51">
        <v>45929</v>
      </c>
      <c r="W838" s="49" t="s">
        <v>1584</v>
      </c>
    </row>
    <row r="839" spans="1:23" ht="13" customHeight="1" x14ac:dyDescent="0.35">
      <c r="A839" s="11">
        <v>833</v>
      </c>
      <c r="B839" s="47">
        <v>204951503</v>
      </c>
      <c r="C839" s="94" t="s">
        <v>2414</v>
      </c>
      <c r="D839" s="11" t="s">
        <v>2415</v>
      </c>
      <c r="E839" s="48" t="s">
        <v>31</v>
      </c>
      <c r="F839" s="48" t="s">
        <v>74</v>
      </c>
      <c r="G839" s="11" t="s">
        <v>64</v>
      </c>
      <c r="H839" s="11" t="s">
        <v>75</v>
      </c>
      <c r="I839" s="11">
        <v>1299</v>
      </c>
      <c r="J839" s="49" t="s">
        <v>32</v>
      </c>
      <c r="K839" s="49" t="s">
        <v>76</v>
      </c>
      <c r="L839" s="49" t="s">
        <v>85</v>
      </c>
      <c r="M839" s="49" t="s">
        <v>88</v>
      </c>
      <c r="N839" s="48" t="s">
        <v>86</v>
      </c>
      <c r="O839" s="49" t="s">
        <v>37</v>
      </c>
      <c r="P839" s="11" t="s">
        <v>80</v>
      </c>
      <c r="Q839" s="11" t="s">
        <v>90</v>
      </c>
      <c r="R839" s="49" t="s">
        <v>648</v>
      </c>
      <c r="S839" s="11" t="s">
        <v>1805</v>
      </c>
      <c r="T839" s="90" t="s">
        <v>10</v>
      </c>
      <c r="U839" s="90"/>
      <c r="V839" s="51">
        <v>45719</v>
      </c>
      <c r="W839" s="49" t="s">
        <v>1584</v>
      </c>
    </row>
    <row r="840" spans="1:23" ht="13" customHeight="1" x14ac:dyDescent="0.35">
      <c r="A840" s="11">
        <v>834</v>
      </c>
      <c r="B840" s="110">
        <v>203850807</v>
      </c>
      <c r="C840" s="78" t="s">
        <v>2798</v>
      </c>
      <c r="D840" s="94" t="s">
        <v>2799</v>
      </c>
      <c r="E840" s="81" t="s">
        <v>31</v>
      </c>
      <c r="F840" s="48" t="s">
        <v>74</v>
      </c>
      <c r="G840" s="11" t="s">
        <v>64</v>
      </c>
      <c r="H840" s="11" t="s">
        <v>75</v>
      </c>
      <c r="I840" s="74">
        <v>1299</v>
      </c>
      <c r="J840" s="49" t="s">
        <v>39</v>
      </c>
      <c r="K840" s="49" t="s">
        <v>76</v>
      </c>
      <c r="L840" s="49" t="s">
        <v>78</v>
      </c>
      <c r="M840" s="49" t="s">
        <v>92</v>
      </c>
      <c r="N840" s="49" t="s">
        <v>89</v>
      </c>
      <c r="O840" s="49" t="s">
        <v>37</v>
      </c>
      <c r="P840" s="11" t="s">
        <v>80</v>
      </c>
      <c r="Q840" s="74" t="s">
        <v>90</v>
      </c>
      <c r="R840" s="11" t="s">
        <v>648</v>
      </c>
      <c r="S840" s="74" t="s">
        <v>2755</v>
      </c>
      <c r="T840" s="90" t="s">
        <v>1</v>
      </c>
      <c r="U840" s="91"/>
      <c r="V840" s="51">
        <v>45524</v>
      </c>
      <c r="W840" s="49" t="s">
        <v>1584</v>
      </c>
    </row>
    <row r="841" spans="1:23" ht="13" customHeight="1" x14ac:dyDescent="0.35">
      <c r="A841" s="11">
        <v>835</v>
      </c>
      <c r="B841" s="47">
        <v>112181816</v>
      </c>
      <c r="C841" s="94" t="s">
        <v>899</v>
      </c>
      <c r="D841" s="11" t="s">
        <v>900</v>
      </c>
      <c r="E841" s="48" t="s">
        <v>31</v>
      </c>
      <c r="F841" s="48" t="s">
        <v>74</v>
      </c>
      <c r="G841" s="11" t="s">
        <v>64</v>
      </c>
      <c r="H841" s="11" t="s">
        <v>75</v>
      </c>
      <c r="I841" s="11">
        <v>1299</v>
      </c>
      <c r="J841" s="49" t="s">
        <v>39</v>
      </c>
      <c r="K841" s="49" t="s">
        <v>76</v>
      </c>
      <c r="L841" s="49" t="s">
        <v>85</v>
      </c>
      <c r="M841" s="49" t="s">
        <v>88</v>
      </c>
      <c r="N841" s="48" t="s">
        <v>79</v>
      </c>
      <c r="O841" s="49" t="s">
        <v>37</v>
      </c>
      <c r="P841" s="11" t="s">
        <v>80</v>
      </c>
      <c r="Q841" s="11" t="s">
        <v>81</v>
      </c>
      <c r="R841" s="49" t="s">
        <v>648</v>
      </c>
      <c r="S841" s="11" t="s">
        <v>1805</v>
      </c>
      <c r="T841" s="90" t="s">
        <v>10</v>
      </c>
      <c r="U841" s="90"/>
      <c r="V841" s="51">
        <v>45502</v>
      </c>
      <c r="W841" s="49" t="s">
        <v>1584</v>
      </c>
    </row>
    <row r="842" spans="1:23" ht="13" customHeight="1" x14ac:dyDescent="0.35">
      <c r="A842" s="11">
        <v>836</v>
      </c>
      <c r="B842" s="47">
        <v>206850962</v>
      </c>
      <c r="C842" s="94" t="s">
        <v>1818</v>
      </c>
      <c r="D842" s="47" t="s">
        <v>1819</v>
      </c>
      <c r="E842" s="47" t="s">
        <v>31</v>
      </c>
      <c r="F842" s="48" t="s">
        <v>74</v>
      </c>
      <c r="G842" s="11" t="s">
        <v>64</v>
      </c>
      <c r="H842" s="11" t="s">
        <v>75</v>
      </c>
      <c r="I842" s="47">
        <v>1299</v>
      </c>
      <c r="J842" s="49" t="s">
        <v>32</v>
      </c>
      <c r="K842" s="49" t="s">
        <v>76</v>
      </c>
      <c r="L842" s="49" t="s">
        <v>77</v>
      </c>
      <c r="M842" s="49" t="s">
        <v>78</v>
      </c>
      <c r="N842" s="49" t="s">
        <v>89</v>
      </c>
      <c r="O842" s="49" t="s">
        <v>37</v>
      </c>
      <c r="P842" s="11" t="s">
        <v>80</v>
      </c>
      <c r="Q842" s="47" t="s">
        <v>90</v>
      </c>
      <c r="R842" s="11" t="s">
        <v>2865</v>
      </c>
      <c r="S842" s="11" t="s">
        <v>2866</v>
      </c>
      <c r="T842" s="90" t="s">
        <v>1</v>
      </c>
      <c r="U842" s="89"/>
      <c r="V842" s="51">
        <v>46013</v>
      </c>
      <c r="W842" s="49" t="s">
        <v>1584</v>
      </c>
    </row>
    <row r="843" spans="1:23" ht="13" customHeight="1" x14ac:dyDescent="0.35">
      <c r="A843" s="11">
        <v>837</v>
      </c>
      <c r="B843" s="47">
        <v>203993281</v>
      </c>
      <c r="C843" s="94" t="s">
        <v>901</v>
      </c>
      <c r="D843" s="11" t="s">
        <v>902</v>
      </c>
      <c r="E843" s="48" t="s">
        <v>31</v>
      </c>
      <c r="F843" s="48" t="s">
        <v>74</v>
      </c>
      <c r="G843" s="11" t="s">
        <v>64</v>
      </c>
      <c r="H843" s="11" t="s">
        <v>75</v>
      </c>
      <c r="I843" s="11">
        <v>1299</v>
      </c>
      <c r="J843" s="49" t="s">
        <v>32</v>
      </c>
      <c r="K843" s="49" t="s">
        <v>76</v>
      </c>
      <c r="L843" s="49" t="s">
        <v>95</v>
      </c>
      <c r="M843" s="49" t="s">
        <v>77</v>
      </c>
      <c r="N843" s="48" t="s">
        <v>79</v>
      </c>
      <c r="O843" s="49" t="s">
        <v>37</v>
      </c>
      <c r="P843" s="11" t="s">
        <v>80</v>
      </c>
      <c r="Q843" s="11" t="s">
        <v>81</v>
      </c>
      <c r="R843" s="49" t="s">
        <v>648</v>
      </c>
      <c r="S843" s="11" t="s">
        <v>1805</v>
      </c>
      <c r="T843" s="90" t="s">
        <v>1</v>
      </c>
      <c r="U843" s="89"/>
      <c r="V843" s="51">
        <v>45547</v>
      </c>
      <c r="W843" s="49" t="s">
        <v>1584</v>
      </c>
    </row>
    <row r="844" spans="1:23" ht="13" customHeight="1" x14ac:dyDescent="0.35">
      <c r="A844" s="11">
        <v>838</v>
      </c>
      <c r="B844" s="47">
        <v>206846308</v>
      </c>
      <c r="C844" s="94" t="s">
        <v>1820</v>
      </c>
      <c r="D844" s="47" t="s">
        <v>1821</v>
      </c>
      <c r="E844" s="47" t="s">
        <v>31</v>
      </c>
      <c r="F844" s="48" t="s">
        <v>74</v>
      </c>
      <c r="G844" s="11" t="s">
        <v>64</v>
      </c>
      <c r="H844" s="11" t="s">
        <v>75</v>
      </c>
      <c r="I844" s="47">
        <v>1299</v>
      </c>
      <c r="J844" s="49" t="s">
        <v>39</v>
      </c>
      <c r="K844" s="49" t="s">
        <v>76</v>
      </c>
      <c r="L844" s="49" t="s">
        <v>78</v>
      </c>
      <c r="M844" s="49" t="s">
        <v>92</v>
      </c>
      <c r="N844" s="49" t="s">
        <v>89</v>
      </c>
      <c r="O844" s="49" t="s">
        <v>37</v>
      </c>
      <c r="P844" s="11" t="s">
        <v>80</v>
      </c>
      <c r="Q844" s="47" t="s">
        <v>90</v>
      </c>
      <c r="R844" s="11" t="s">
        <v>2864</v>
      </c>
      <c r="S844" s="47" t="s">
        <v>2732</v>
      </c>
      <c r="T844" s="90" t="s">
        <v>1</v>
      </c>
      <c r="U844" s="91"/>
      <c r="V844" s="51">
        <v>46013</v>
      </c>
      <c r="W844" s="49" t="s">
        <v>1584</v>
      </c>
    </row>
    <row r="845" spans="1:23" ht="13" customHeight="1" x14ac:dyDescent="0.35">
      <c r="A845" s="11">
        <v>839</v>
      </c>
      <c r="B845" s="47">
        <v>203736752</v>
      </c>
      <c r="C845" s="94" t="s">
        <v>903</v>
      </c>
      <c r="D845" s="11" t="s">
        <v>904</v>
      </c>
      <c r="E845" s="48" t="s">
        <v>31</v>
      </c>
      <c r="F845" s="48" t="s">
        <v>74</v>
      </c>
      <c r="G845" s="11" t="s">
        <v>64</v>
      </c>
      <c r="H845" s="11" t="s">
        <v>75</v>
      </c>
      <c r="I845" s="11">
        <v>1299</v>
      </c>
      <c r="J845" s="49" t="s">
        <v>32</v>
      </c>
      <c r="K845" s="49" t="s">
        <v>76</v>
      </c>
      <c r="L845" s="49" t="s">
        <v>95</v>
      </c>
      <c r="M845" s="49" t="s">
        <v>77</v>
      </c>
      <c r="N845" s="48" t="s">
        <v>86</v>
      </c>
      <c r="O845" s="49" t="s">
        <v>37</v>
      </c>
      <c r="P845" s="11" t="s">
        <v>80</v>
      </c>
      <c r="Q845" s="11" t="s">
        <v>99</v>
      </c>
      <c r="R845" s="11" t="s">
        <v>640</v>
      </c>
      <c r="S845" s="11" t="s">
        <v>2734</v>
      </c>
      <c r="T845" s="90" t="s">
        <v>3</v>
      </c>
      <c r="U845" s="90"/>
      <c r="V845" s="51">
        <v>45502</v>
      </c>
      <c r="W845" s="49" t="s">
        <v>1584</v>
      </c>
    </row>
    <row r="846" spans="1:23" ht="13" customHeight="1" x14ac:dyDescent="0.35">
      <c r="A846" s="11">
        <v>840</v>
      </c>
      <c r="B846" s="47">
        <v>204886570</v>
      </c>
      <c r="C846" s="94" t="s">
        <v>905</v>
      </c>
      <c r="D846" s="11" t="s">
        <v>906</v>
      </c>
      <c r="E846" s="48" t="s">
        <v>31</v>
      </c>
      <c r="F846" s="48" t="s">
        <v>74</v>
      </c>
      <c r="G846" s="11" t="s">
        <v>64</v>
      </c>
      <c r="H846" s="11" t="s">
        <v>75</v>
      </c>
      <c r="I846" s="11">
        <v>1299</v>
      </c>
      <c r="J846" s="49" t="s">
        <v>39</v>
      </c>
      <c r="K846" s="49" t="s">
        <v>76</v>
      </c>
      <c r="L846" s="49" t="s">
        <v>85</v>
      </c>
      <c r="M846" s="49" t="s">
        <v>88</v>
      </c>
      <c r="N846" s="48" t="s">
        <v>86</v>
      </c>
      <c r="O846" s="49" t="s">
        <v>37</v>
      </c>
      <c r="P846" s="11" t="s">
        <v>80</v>
      </c>
      <c r="Q846" s="11" t="s">
        <v>90</v>
      </c>
      <c r="R846" s="49" t="s">
        <v>648</v>
      </c>
      <c r="S846" s="11" t="s">
        <v>1805</v>
      </c>
      <c r="T846" s="90" t="s">
        <v>10</v>
      </c>
      <c r="U846" s="89"/>
      <c r="V846" s="51">
        <v>45719</v>
      </c>
      <c r="W846" s="49" t="s">
        <v>1584</v>
      </c>
    </row>
    <row r="847" spans="1:23" ht="13" customHeight="1" x14ac:dyDescent="0.35">
      <c r="A847" s="11">
        <v>841</v>
      </c>
      <c r="B847" s="47">
        <v>204060922</v>
      </c>
      <c r="C847" s="94" t="s">
        <v>907</v>
      </c>
      <c r="D847" s="11" t="s">
        <v>908</v>
      </c>
      <c r="E847" s="48" t="s">
        <v>31</v>
      </c>
      <c r="F847" s="48" t="s">
        <v>74</v>
      </c>
      <c r="G847" s="11" t="s">
        <v>64</v>
      </c>
      <c r="H847" s="11" t="s">
        <v>75</v>
      </c>
      <c r="I847" s="11">
        <v>1299</v>
      </c>
      <c r="J847" s="49" t="s">
        <v>32</v>
      </c>
      <c r="K847" s="49" t="s">
        <v>76</v>
      </c>
      <c r="L847" s="49" t="s">
        <v>84</v>
      </c>
      <c r="M847" s="49" t="s">
        <v>85</v>
      </c>
      <c r="N847" s="48" t="s">
        <v>86</v>
      </c>
      <c r="O847" s="49" t="s">
        <v>37</v>
      </c>
      <c r="P847" s="11" t="s">
        <v>80</v>
      </c>
      <c r="Q847" s="11" t="s">
        <v>90</v>
      </c>
      <c r="R847" s="11" t="s">
        <v>2865</v>
      </c>
      <c r="S847" s="11" t="s">
        <v>2866</v>
      </c>
      <c r="T847" s="90" t="s">
        <v>1</v>
      </c>
      <c r="U847" s="89"/>
      <c r="V847" s="51">
        <v>45558</v>
      </c>
      <c r="W847" s="49" t="s">
        <v>1584</v>
      </c>
    </row>
    <row r="848" spans="1:23" ht="13" customHeight="1" x14ac:dyDescent="0.35">
      <c r="A848" s="11">
        <v>842</v>
      </c>
      <c r="B848" s="47">
        <v>206846309</v>
      </c>
      <c r="C848" s="94" t="s">
        <v>1834</v>
      </c>
      <c r="D848" s="47" t="s">
        <v>1835</v>
      </c>
      <c r="E848" s="47" t="s">
        <v>31</v>
      </c>
      <c r="F848" s="48" t="s">
        <v>74</v>
      </c>
      <c r="G848" s="11" t="s">
        <v>64</v>
      </c>
      <c r="H848" s="11" t="s">
        <v>75</v>
      </c>
      <c r="I848" s="47">
        <v>1299</v>
      </c>
      <c r="J848" s="49" t="s">
        <v>39</v>
      </c>
      <c r="K848" s="49" t="s">
        <v>76</v>
      </c>
      <c r="L848" s="49" t="s">
        <v>84</v>
      </c>
      <c r="M848" s="49" t="s">
        <v>85</v>
      </c>
      <c r="N848" s="49" t="s">
        <v>89</v>
      </c>
      <c r="O848" s="49" t="s">
        <v>37</v>
      </c>
      <c r="P848" s="11" t="s">
        <v>80</v>
      </c>
      <c r="Q848" s="47" t="s">
        <v>90</v>
      </c>
      <c r="R848" s="49" t="s">
        <v>2735</v>
      </c>
      <c r="S848" s="47" t="s">
        <v>643</v>
      </c>
      <c r="T848" s="90" t="s">
        <v>1</v>
      </c>
      <c r="U848" s="90"/>
      <c r="V848" s="51">
        <v>46013</v>
      </c>
      <c r="W848" s="49" t="s">
        <v>1584</v>
      </c>
    </row>
    <row r="849" spans="1:23" ht="13" customHeight="1" x14ac:dyDescent="0.35">
      <c r="A849" s="11">
        <v>843</v>
      </c>
      <c r="B849" s="47">
        <v>203993118</v>
      </c>
      <c r="C849" s="94" t="s">
        <v>909</v>
      </c>
      <c r="D849" s="11" t="s">
        <v>910</v>
      </c>
      <c r="E849" s="48" t="s">
        <v>31</v>
      </c>
      <c r="F849" s="48" t="s">
        <v>74</v>
      </c>
      <c r="G849" s="11" t="s">
        <v>64</v>
      </c>
      <c r="H849" s="11" t="s">
        <v>75</v>
      </c>
      <c r="I849" s="11">
        <v>1299</v>
      </c>
      <c r="J849" s="49" t="s">
        <v>39</v>
      </c>
      <c r="K849" s="49" t="s">
        <v>76</v>
      </c>
      <c r="L849" s="49" t="s">
        <v>78</v>
      </c>
      <c r="M849" s="49" t="s">
        <v>92</v>
      </c>
      <c r="N849" s="49" t="s">
        <v>89</v>
      </c>
      <c r="O849" s="49" t="s">
        <v>37</v>
      </c>
      <c r="P849" s="11" t="s">
        <v>80</v>
      </c>
      <c r="Q849" s="11" t="s">
        <v>90</v>
      </c>
      <c r="R849" s="11" t="s">
        <v>632</v>
      </c>
      <c r="S849" s="11" t="s">
        <v>633</v>
      </c>
      <c r="T849" s="90" t="s">
        <v>1</v>
      </c>
      <c r="U849" s="90"/>
      <c r="V849" s="51">
        <v>45547</v>
      </c>
      <c r="W849" s="49" t="s">
        <v>1584</v>
      </c>
    </row>
    <row r="850" spans="1:23" ht="13" customHeight="1" x14ac:dyDescent="0.35">
      <c r="A850" s="11">
        <v>844</v>
      </c>
      <c r="B850" s="47">
        <v>205199352</v>
      </c>
      <c r="C850" s="95" t="s">
        <v>2073</v>
      </c>
      <c r="D850" s="11" t="s">
        <v>2074</v>
      </c>
      <c r="E850" s="48" t="s">
        <v>31</v>
      </c>
      <c r="F850" s="48" t="s">
        <v>74</v>
      </c>
      <c r="G850" s="11" t="s">
        <v>64</v>
      </c>
      <c r="H850" s="11" t="s">
        <v>75</v>
      </c>
      <c r="I850" s="11">
        <v>1299</v>
      </c>
      <c r="J850" s="88" t="s">
        <v>39</v>
      </c>
      <c r="K850" s="49" t="s">
        <v>76</v>
      </c>
      <c r="L850" s="49" t="s">
        <v>95</v>
      </c>
      <c r="M850" s="49" t="s">
        <v>77</v>
      </c>
      <c r="N850" s="49" t="s">
        <v>79</v>
      </c>
      <c r="O850" s="49" t="s">
        <v>37</v>
      </c>
      <c r="P850" s="11" t="s">
        <v>80</v>
      </c>
      <c r="Q850" s="11" t="s">
        <v>96</v>
      </c>
      <c r="R850" s="11" t="s">
        <v>2865</v>
      </c>
      <c r="S850" s="11" t="s">
        <v>2866</v>
      </c>
      <c r="T850" s="90" t="s">
        <v>1</v>
      </c>
      <c r="U850" s="90"/>
      <c r="V850" s="51">
        <v>46048</v>
      </c>
      <c r="W850" s="49" t="s">
        <v>1584</v>
      </c>
    </row>
    <row r="851" spans="1:23" ht="13" customHeight="1" x14ac:dyDescent="0.35">
      <c r="A851" s="11">
        <v>845</v>
      </c>
      <c r="B851" s="47">
        <v>204010090</v>
      </c>
      <c r="C851" s="94" t="s">
        <v>2345</v>
      </c>
      <c r="D851" s="11" t="s">
        <v>2346</v>
      </c>
      <c r="E851" s="48" t="s">
        <v>31</v>
      </c>
      <c r="F851" s="48" t="s">
        <v>74</v>
      </c>
      <c r="G851" s="11" t="s">
        <v>64</v>
      </c>
      <c r="H851" s="11" t="s">
        <v>75</v>
      </c>
      <c r="I851" s="11">
        <v>1299</v>
      </c>
      <c r="J851" s="49" t="s">
        <v>32</v>
      </c>
      <c r="K851" s="49" t="s">
        <v>76</v>
      </c>
      <c r="L851" s="49" t="s">
        <v>78</v>
      </c>
      <c r="M851" s="49" t="s">
        <v>92</v>
      </c>
      <c r="N851" s="48" t="s">
        <v>86</v>
      </c>
      <c r="O851" s="49" t="s">
        <v>37</v>
      </c>
      <c r="P851" s="11" t="s">
        <v>80</v>
      </c>
      <c r="Q851" s="11" t="s">
        <v>90</v>
      </c>
      <c r="R851" s="11" t="s">
        <v>640</v>
      </c>
      <c r="S851" s="11" t="s">
        <v>2734</v>
      </c>
      <c r="T851" s="90" t="s">
        <v>1</v>
      </c>
      <c r="U851" s="90"/>
      <c r="V851" s="51">
        <v>45551</v>
      </c>
      <c r="W851" s="49" t="s">
        <v>1585</v>
      </c>
    </row>
    <row r="852" spans="1:23" ht="13" customHeight="1" x14ac:dyDescent="0.35">
      <c r="A852" s="11">
        <v>846</v>
      </c>
      <c r="B852" s="47">
        <v>206850966</v>
      </c>
      <c r="C852" s="94" t="s">
        <v>1868</v>
      </c>
      <c r="D852" s="11" t="s">
        <v>1869</v>
      </c>
      <c r="E852" s="48" t="s">
        <v>31</v>
      </c>
      <c r="F852" s="48" t="s">
        <v>74</v>
      </c>
      <c r="G852" s="11" t="s">
        <v>64</v>
      </c>
      <c r="H852" s="11" t="s">
        <v>75</v>
      </c>
      <c r="I852" s="11">
        <v>1299</v>
      </c>
      <c r="J852" s="49" t="s">
        <v>39</v>
      </c>
      <c r="K852" s="49" t="s">
        <v>76</v>
      </c>
      <c r="L852" s="49" t="s">
        <v>88</v>
      </c>
      <c r="M852" s="49" t="s">
        <v>95</v>
      </c>
      <c r="N852" s="49" t="s">
        <v>89</v>
      </c>
      <c r="O852" s="48" t="s">
        <v>37</v>
      </c>
      <c r="P852" s="48" t="s">
        <v>80</v>
      </c>
      <c r="Q852" s="11" t="s">
        <v>90</v>
      </c>
      <c r="R852" s="49" t="s">
        <v>648</v>
      </c>
      <c r="S852" s="11" t="s">
        <v>1805</v>
      </c>
      <c r="T852" s="90" t="s">
        <v>10</v>
      </c>
      <c r="U852" s="89"/>
      <c r="V852" s="51">
        <v>46030</v>
      </c>
      <c r="W852" s="49" t="s">
        <v>1584</v>
      </c>
    </row>
    <row r="853" spans="1:23" ht="13" customHeight="1" x14ac:dyDescent="0.35">
      <c r="A853" s="11">
        <v>847</v>
      </c>
      <c r="B853" s="47">
        <v>203850808</v>
      </c>
      <c r="C853" s="94" t="s">
        <v>2416</v>
      </c>
      <c r="D853" s="11" t="s">
        <v>2417</v>
      </c>
      <c r="E853" s="48" t="s">
        <v>31</v>
      </c>
      <c r="F853" s="48" t="s">
        <v>74</v>
      </c>
      <c r="G853" s="11" t="s">
        <v>64</v>
      </c>
      <c r="H853" s="11" t="s">
        <v>75</v>
      </c>
      <c r="I853" s="11">
        <v>1299</v>
      </c>
      <c r="J853" s="49" t="s">
        <v>39</v>
      </c>
      <c r="K853" s="49" t="s">
        <v>76</v>
      </c>
      <c r="L853" s="49" t="s">
        <v>36</v>
      </c>
      <c r="M853" s="49" t="s">
        <v>95</v>
      </c>
      <c r="N853" s="48" t="s">
        <v>86</v>
      </c>
      <c r="O853" s="49" t="s">
        <v>37</v>
      </c>
      <c r="P853" s="11" t="s">
        <v>80</v>
      </c>
      <c r="Q853" s="11" t="s">
        <v>90</v>
      </c>
      <c r="R853" s="49" t="s">
        <v>648</v>
      </c>
      <c r="S853" s="11" t="s">
        <v>1805</v>
      </c>
      <c r="T853" s="90" t="s">
        <v>1</v>
      </c>
      <c r="U853" s="125" t="s">
        <v>2919</v>
      </c>
      <c r="V853" s="51">
        <v>45524</v>
      </c>
      <c r="W853" s="49" t="s">
        <v>1584</v>
      </c>
    </row>
    <row r="854" spans="1:23" ht="13" customHeight="1" x14ac:dyDescent="0.35">
      <c r="A854" s="11">
        <v>848</v>
      </c>
      <c r="B854" s="47">
        <v>206890217</v>
      </c>
      <c r="C854" s="94" t="s">
        <v>1838</v>
      </c>
      <c r="D854" s="11" t="s">
        <v>1839</v>
      </c>
      <c r="E854" s="11" t="s">
        <v>31</v>
      </c>
      <c r="F854" s="48" t="s">
        <v>74</v>
      </c>
      <c r="G854" s="11" t="s">
        <v>64</v>
      </c>
      <c r="H854" s="11" t="s">
        <v>75</v>
      </c>
      <c r="I854" s="11">
        <v>1299</v>
      </c>
      <c r="J854" s="49" t="s">
        <v>32</v>
      </c>
      <c r="K854" s="49" t="s">
        <v>76</v>
      </c>
      <c r="L854" s="49" t="s">
        <v>88</v>
      </c>
      <c r="M854" s="49" t="s">
        <v>95</v>
      </c>
      <c r="N854" s="49" t="s">
        <v>89</v>
      </c>
      <c r="O854" s="49" t="s">
        <v>37</v>
      </c>
      <c r="P854" s="11" t="s">
        <v>80</v>
      </c>
      <c r="Q854" s="11" t="s">
        <v>96</v>
      </c>
      <c r="R854" s="11" t="s">
        <v>2865</v>
      </c>
      <c r="S854" s="11" t="s">
        <v>2866</v>
      </c>
      <c r="T854" s="90" t="s">
        <v>10</v>
      </c>
      <c r="U854" s="91"/>
      <c r="V854" s="51">
        <v>46027</v>
      </c>
      <c r="W854" s="49" t="s">
        <v>1584</v>
      </c>
    </row>
    <row r="855" spans="1:23" ht="13" customHeight="1" x14ac:dyDescent="0.35">
      <c r="A855" s="11">
        <v>849</v>
      </c>
      <c r="B855" s="47">
        <v>203355686</v>
      </c>
      <c r="C855" s="94" t="s">
        <v>911</v>
      </c>
      <c r="D855" s="11" t="s">
        <v>912</v>
      </c>
      <c r="E855" s="48" t="s">
        <v>31</v>
      </c>
      <c r="F855" s="48" t="s">
        <v>74</v>
      </c>
      <c r="G855" s="11" t="s">
        <v>64</v>
      </c>
      <c r="H855" s="11" t="s">
        <v>75</v>
      </c>
      <c r="I855" s="11">
        <v>1299</v>
      </c>
      <c r="J855" s="49" t="s">
        <v>39</v>
      </c>
      <c r="K855" s="49" t="s">
        <v>76</v>
      </c>
      <c r="L855" s="49" t="s">
        <v>95</v>
      </c>
      <c r="M855" s="49" t="s">
        <v>77</v>
      </c>
      <c r="N855" s="48" t="s">
        <v>86</v>
      </c>
      <c r="O855" s="49" t="s">
        <v>37</v>
      </c>
      <c r="P855" s="11" t="s">
        <v>80</v>
      </c>
      <c r="Q855" s="11" t="s">
        <v>99</v>
      </c>
      <c r="R855" s="11" t="s">
        <v>1069</v>
      </c>
      <c r="S855" s="11" t="s">
        <v>2733</v>
      </c>
      <c r="T855" s="90" t="s">
        <v>1</v>
      </c>
      <c r="U855" s="91"/>
      <c r="V855" s="51">
        <v>45432</v>
      </c>
      <c r="W855" s="49" t="s">
        <v>1584</v>
      </c>
    </row>
    <row r="856" spans="1:23" ht="13" customHeight="1" x14ac:dyDescent="0.35">
      <c r="A856" s="11">
        <v>850</v>
      </c>
      <c r="B856" s="47">
        <v>203911255</v>
      </c>
      <c r="C856" s="94" t="s">
        <v>913</v>
      </c>
      <c r="D856" s="11" t="s">
        <v>914</v>
      </c>
      <c r="E856" s="48" t="s">
        <v>31</v>
      </c>
      <c r="F856" s="48" t="s">
        <v>74</v>
      </c>
      <c r="G856" s="11" t="s">
        <v>64</v>
      </c>
      <c r="H856" s="11" t="s">
        <v>75</v>
      </c>
      <c r="I856" s="11">
        <v>1299</v>
      </c>
      <c r="J856" s="49" t="s">
        <v>39</v>
      </c>
      <c r="K856" s="49" t="s">
        <v>76</v>
      </c>
      <c r="L856" s="49" t="s">
        <v>77</v>
      </c>
      <c r="M856" s="49" t="s">
        <v>78</v>
      </c>
      <c r="N856" s="48" t="s">
        <v>86</v>
      </c>
      <c r="O856" s="49" t="s">
        <v>37</v>
      </c>
      <c r="P856" s="11" t="s">
        <v>80</v>
      </c>
      <c r="Q856" s="11" t="s">
        <v>99</v>
      </c>
      <c r="R856" s="49" t="s">
        <v>628</v>
      </c>
      <c r="S856" s="11" t="s">
        <v>629</v>
      </c>
      <c r="T856" s="90" t="s">
        <v>1</v>
      </c>
      <c r="U856" s="91"/>
      <c r="V856" s="51">
        <v>45537</v>
      </c>
      <c r="W856" s="49" t="s">
        <v>1584</v>
      </c>
    </row>
    <row r="857" spans="1:23" ht="13" customHeight="1" x14ac:dyDescent="0.35">
      <c r="A857" s="11">
        <v>851</v>
      </c>
      <c r="B857" s="47">
        <v>206136731</v>
      </c>
      <c r="C857" s="94" t="s">
        <v>915</v>
      </c>
      <c r="D857" s="11" t="s">
        <v>916</v>
      </c>
      <c r="E857" s="48" t="s">
        <v>31</v>
      </c>
      <c r="F857" s="48" t="s">
        <v>74</v>
      </c>
      <c r="G857" s="11" t="s">
        <v>64</v>
      </c>
      <c r="H857" s="11" t="s">
        <v>75</v>
      </c>
      <c r="I857" s="11">
        <v>1299</v>
      </c>
      <c r="J857" s="49" t="s">
        <v>39</v>
      </c>
      <c r="K857" s="49" t="s">
        <v>76</v>
      </c>
      <c r="L857" s="49" t="s">
        <v>95</v>
      </c>
      <c r="M857" s="49" t="s">
        <v>77</v>
      </c>
      <c r="N857" s="48" t="s">
        <v>79</v>
      </c>
      <c r="O857" s="49" t="s">
        <v>37</v>
      </c>
      <c r="P857" s="11" t="s">
        <v>80</v>
      </c>
      <c r="Q857" s="11" t="s">
        <v>81</v>
      </c>
      <c r="R857" s="49" t="s">
        <v>2735</v>
      </c>
      <c r="S857" s="11" t="s">
        <v>643</v>
      </c>
      <c r="T857" s="90" t="s">
        <v>1</v>
      </c>
      <c r="U857" s="89"/>
      <c r="V857" s="51">
        <v>45929</v>
      </c>
      <c r="W857" s="49" t="s">
        <v>1584</v>
      </c>
    </row>
    <row r="858" spans="1:23" ht="13" customHeight="1" x14ac:dyDescent="0.35">
      <c r="A858" s="11">
        <v>852</v>
      </c>
      <c r="B858" s="47">
        <v>203521137</v>
      </c>
      <c r="C858" s="94" t="s">
        <v>917</v>
      </c>
      <c r="D858" s="11" t="s">
        <v>918</v>
      </c>
      <c r="E858" s="48" t="s">
        <v>31</v>
      </c>
      <c r="F858" s="48" t="s">
        <v>74</v>
      </c>
      <c r="G858" s="11" t="s">
        <v>64</v>
      </c>
      <c r="H858" s="11" t="s">
        <v>75</v>
      </c>
      <c r="I858" s="11">
        <v>1299</v>
      </c>
      <c r="J858" s="49" t="s">
        <v>32</v>
      </c>
      <c r="K858" s="49" t="s">
        <v>76</v>
      </c>
      <c r="L858" s="49" t="s">
        <v>85</v>
      </c>
      <c r="M858" s="49" t="s">
        <v>88</v>
      </c>
      <c r="N858" s="48" t="s">
        <v>79</v>
      </c>
      <c r="O858" s="49" t="s">
        <v>37</v>
      </c>
      <c r="P858" s="11" t="s">
        <v>80</v>
      </c>
      <c r="Q858" s="11" t="s">
        <v>81</v>
      </c>
      <c r="R858" s="11" t="s">
        <v>1069</v>
      </c>
      <c r="S858" s="11" t="s">
        <v>2733</v>
      </c>
      <c r="T858" s="90" t="s">
        <v>10</v>
      </c>
      <c r="U858" s="91"/>
      <c r="V858" s="51">
        <v>45463</v>
      </c>
      <c r="W858" s="49" t="s">
        <v>1584</v>
      </c>
    </row>
    <row r="859" spans="1:23" ht="13" customHeight="1" x14ac:dyDescent="0.35">
      <c r="A859" s="11">
        <v>853</v>
      </c>
      <c r="B859" s="47">
        <v>104277448</v>
      </c>
      <c r="C859" s="94" t="s">
        <v>919</v>
      </c>
      <c r="D859" s="11" t="s">
        <v>920</v>
      </c>
      <c r="E859" s="48" t="s">
        <v>34</v>
      </c>
      <c r="F859" s="48" t="s">
        <v>74</v>
      </c>
      <c r="G859" s="11" t="s">
        <v>64</v>
      </c>
      <c r="H859" s="11" t="s">
        <v>75</v>
      </c>
      <c r="I859" s="11">
        <v>1299</v>
      </c>
      <c r="J859" s="49" t="s">
        <v>32</v>
      </c>
      <c r="K859" s="49" t="s">
        <v>76</v>
      </c>
      <c r="L859" s="49" t="s">
        <v>78</v>
      </c>
      <c r="M859" s="49" t="s">
        <v>92</v>
      </c>
      <c r="N859" s="48" t="s">
        <v>97</v>
      </c>
      <c r="O859" s="49" t="s">
        <v>37</v>
      </c>
      <c r="P859" s="11" t="s">
        <v>80</v>
      </c>
      <c r="Q859" s="11" t="s">
        <v>98</v>
      </c>
      <c r="R859" s="49" t="s">
        <v>628</v>
      </c>
      <c r="S859" s="47" t="s">
        <v>629</v>
      </c>
      <c r="T859" s="90" t="s">
        <v>1</v>
      </c>
      <c r="U859" s="91"/>
      <c r="V859" s="51">
        <v>44067</v>
      </c>
      <c r="W859" s="49" t="s">
        <v>1588</v>
      </c>
    </row>
    <row r="860" spans="1:23" ht="13" customHeight="1" x14ac:dyDescent="0.35">
      <c r="A860" s="11">
        <v>854</v>
      </c>
      <c r="B860" s="47">
        <v>206886730</v>
      </c>
      <c r="C860" s="94" t="s">
        <v>1840</v>
      </c>
      <c r="D860" s="11" t="s">
        <v>1841</v>
      </c>
      <c r="E860" s="11" t="s">
        <v>31</v>
      </c>
      <c r="F860" s="48" t="s">
        <v>74</v>
      </c>
      <c r="G860" s="11" t="s">
        <v>64</v>
      </c>
      <c r="H860" s="11" t="s">
        <v>75</v>
      </c>
      <c r="I860" s="11">
        <v>1299</v>
      </c>
      <c r="J860" s="49" t="s">
        <v>32</v>
      </c>
      <c r="K860" s="49" t="s">
        <v>76</v>
      </c>
      <c r="L860" s="49" t="s">
        <v>88</v>
      </c>
      <c r="M860" s="49" t="s">
        <v>95</v>
      </c>
      <c r="N860" s="49" t="s">
        <v>89</v>
      </c>
      <c r="O860" s="49" t="s">
        <v>37</v>
      </c>
      <c r="P860" s="11" t="s">
        <v>80</v>
      </c>
      <c r="Q860" s="11" t="s">
        <v>96</v>
      </c>
      <c r="R860" s="11" t="s">
        <v>2865</v>
      </c>
      <c r="S860" s="11" t="s">
        <v>2866</v>
      </c>
      <c r="T860" s="90" t="s">
        <v>10</v>
      </c>
      <c r="U860" s="91"/>
      <c r="V860" s="51">
        <v>46027</v>
      </c>
      <c r="W860" s="49" t="s">
        <v>1584</v>
      </c>
    </row>
    <row r="861" spans="1:23" ht="13" customHeight="1" x14ac:dyDescent="0.35">
      <c r="A861" s="11">
        <v>855</v>
      </c>
      <c r="B861" s="47">
        <v>203965183</v>
      </c>
      <c r="C861" s="94" t="s">
        <v>921</v>
      </c>
      <c r="D861" s="11" t="s">
        <v>922</v>
      </c>
      <c r="E861" s="48" t="s">
        <v>31</v>
      </c>
      <c r="F861" s="48" t="s">
        <v>74</v>
      </c>
      <c r="G861" s="11" t="s">
        <v>64</v>
      </c>
      <c r="H861" s="11" t="s">
        <v>75</v>
      </c>
      <c r="I861" s="11">
        <v>1299</v>
      </c>
      <c r="J861" s="49" t="s">
        <v>39</v>
      </c>
      <c r="K861" s="49" t="s">
        <v>76</v>
      </c>
      <c r="L861" s="49" t="s">
        <v>78</v>
      </c>
      <c r="M861" s="49" t="s">
        <v>92</v>
      </c>
      <c r="N861" s="48" t="s">
        <v>79</v>
      </c>
      <c r="O861" s="49" t="s">
        <v>37</v>
      </c>
      <c r="P861" s="11" t="s">
        <v>80</v>
      </c>
      <c r="Q861" s="11" t="s">
        <v>81</v>
      </c>
      <c r="R861" s="49" t="s">
        <v>628</v>
      </c>
      <c r="S861" s="11" t="s">
        <v>629</v>
      </c>
      <c r="T861" s="90" t="s">
        <v>1</v>
      </c>
      <c r="U861" s="91"/>
      <c r="V861" s="51">
        <v>45544</v>
      </c>
      <c r="W861" s="49" t="s">
        <v>1584</v>
      </c>
    </row>
    <row r="862" spans="1:23" ht="13" customHeight="1" x14ac:dyDescent="0.35">
      <c r="A862" s="11">
        <v>856</v>
      </c>
      <c r="B862" s="47">
        <v>206138682</v>
      </c>
      <c r="C862" s="94" t="s">
        <v>923</v>
      </c>
      <c r="D862" s="11" t="s">
        <v>924</v>
      </c>
      <c r="E862" s="48" t="s">
        <v>31</v>
      </c>
      <c r="F862" s="48" t="s">
        <v>74</v>
      </c>
      <c r="G862" s="11" t="s">
        <v>64</v>
      </c>
      <c r="H862" s="11" t="s">
        <v>75</v>
      </c>
      <c r="I862" s="11">
        <v>1299</v>
      </c>
      <c r="J862" s="88" t="s">
        <v>39</v>
      </c>
      <c r="K862" s="49" t="s">
        <v>76</v>
      </c>
      <c r="L862" s="49" t="s">
        <v>84</v>
      </c>
      <c r="M862" s="49" t="s">
        <v>85</v>
      </c>
      <c r="N862" s="49" t="s">
        <v>89</v>
      </c>
      <c r="O862" s="49" t="s">
        <v>37</v>
      </c>
      <c r="P862" s="11" t="s">
        <v>80</v>
      </c>
      <c r="Q862" s="11" t="s">
        <v>96</v>
      </c>
      <c r="R862" s="11" t="s">
        <v>2865</v>
      </c>
      <c r="S862" s="11" t="s">
        <v>2866</v>
      </c>
      <c r="T862" s="90" t="s">
        <v>1</v>
      </c>
      <c r="U862" s="90"/>
      <c r="V862" s="51">
        <v>45929</v>
      </c>
      <c r="W862" s="49" t="s">
        <v>1584</v>
      </c>
    </row>
    <row r="863" spans="1:23" ht="13" customHeight="1" x14ac:dyDescent="0.35">
      <c r="A863" s="11">
        <v>857</v>
      </c>
      <c r="B863" s="47">
        <v>206930336</v>
      </c>
      <c r="C863" s="94" t="s">
        <v>2017</v>
      </c>
      <c r="D863" s="11" t="s">
        <v>2204</v>
      </c>
      <c r="E863" s="48" t="s">
        <v>31</v>
      </c>
      <c r="F863" s="48" t="s">
        <v>74</v>
      </c>
      <c r="G863" s="48" t="s">
        <v>64</v>
      </c>
      <c r="H863" s="48" t="s">
        <v>1339</v>
      </c>
      <c r="I863" s="11">
        <v>1299</v>
      </c>
      <c r="J863" s="49" t="s">
        <v>32</v>
      </c>
      <c r="K863" s="49" t="s">
        <v>76</v>
      </c>
      <c r="L863" s="49" t="s">
        <v>84</v>
      </c>
      <c r="M863" s="49" t="s">
        <v>85</v>
      </c>
      <c r="N863" s="49" t="s">
        <v>89</v>
      </c>
      <c r="O863" s="49" t="s">
        <v>37</v>
      </c>
      <c r="P863" s="49" t="s">
        <v>80</v>
      </c>
      <c r="Q863" s="49" t="s">
        <v>96</v>
      </c>
      <c r="R863" s="49" t="s">
        <v>628</v>
      </c>
      <c r="S863" s="49" t="s">
        <v>629</v>
      </c>
      <c r="T863" s="90" t="s">
        <v>1</v>
      </c>
      <c r="U863" s="89"/>
      <c r="V863" s="51">
        <v>46037</v>
      </c>
      <c r="W863" s="49" t="s">
        <v>2029</v>
      </c>
    </row>
    <row r="864" spans="1:23" ht="13" customHeight="1" x14ac:dyDescent="0.35">
      <c r="A864" s="11">
        <v>858</v>
      </c>
      <c r="B864" s="47">
        <v>206517353</v>
      </c>
      <c r="C864" s="94" t="s">
        <v>2159</v>
      </c>
      <c r="D864" s="11" t="s">
        <v>2160</v>
      </c>
      <c r="E864" s="112" t="s">
        <v>31</v>
      </c>
      <c r="F864" s="48" t="s">
        <v>74</v>
      </c>
      <c r="G864" s="11" t="s">
        <v>64</v>
      </c>
      <c r="H864" s="11" t="s">
        <v>75</v>
      </c>
      <c r="I864" s="11">
        <v>1299</v>
      </c>
      <c r="J864" s="88" t="s">
        <v>39</v>
      </c>
      <c r="K864" s="49" t="s">
        <v>76</v>
      </c>
      <c r="L864" s="49" t="s">
        <v>88</v>
      </c>
      <c r="M864" s="49" t="s">
        <v>95</v>
      </c>
      <c r="N864" s="49" t="s">
        <v>89</v>
      </c>
      <c r="O864" s="49" t="s">
        <v>37</v>
      </c>
      <c r="P864" s="49" t="s">
        <v>80</v>
      </c>
      <c r="Q864" s="49" t="s">
        <v>96</v>
      </c>
      <c r="R864" s="11" t="s">
        <v>1069</v>
      </c>
      <c r="S864" s="49" t="s">
        <v>2733</v>
      </c>
      <c r="T864" s="90" t="s">
        <v>10</v>
      </c>
      <c r="U864" s="89"/>
      <c r="V864" s="51">
        <v>46048</v>
      </c>
      <c r="W864" s="49" t="s">
        <v>1584</v>
      </c>
    </row>
    <row r="865" spans="1:23" ht="13" customHeight="1" x14ac:dyDescent="0.35">
      <c r="A865" s="11">
        <v>859</v>
      </c>
      <c r="B865" s="47">
        <v>204009951</v>
      </c>
      <c r="C865" s="94" t="s">
        <v>925</v>
      </c>
      <c r="D865" s="11" t="s">
        <v>926</v>
      </c>
      <c r="E865" s="48" t="s">
        <v>31</v>
      </c>
      <c r="F865" s="48" t="s">
        <v>74</v>
      </c>
      <c r="G865" s="11" t="s">
        <v>64</v>
      </c>
      <c r="H865" s="11" t="s">
        <v>75</v>
      </c>
      <c r="I865" s="11">
        <v>1299</v>
      </c>
      <c r="J865" s="49" t="s">
        <v>39</v>
      </c>
      <c r="K865" s="49" t="s">
        <v>76</v>
      </c>
      <c r="L865" s="49" t="s">
        <v>77</v>
      </c>
      <c r="M865" s="49" t="s">
        <v>78</v>
      </c>
      <c r="N865" s="48" t="s">
        <v>86</v>
      </c>
      <c r="O865" s="49" t="s">
        <v>37</v>
      </c>
      <c r="P865" s="11" t="s">
        <v>80</v>
      </c>
      <c r="Q865" s="11" t="s">
        <v>90</v>
      </c>
      <c r="R865" s="49" t="s">
        <v>648</v>
      </c>
      <c r="S865" s="11" t="s">
        <v>1805</v>
      </c>
      <c r="T865" s="90" t="s">
        <v>7</v>
      </c>
      <c r="U865" s="90" t="s">
        <v>2914</v>
      </c>
      <c r="V865" s="51">
        <v>45551</v>
      </c>
      <c r="W865" s="49" t="s">
        <v>1584</v>
      </c>
    </row>
    <row r="866" spans="1:23" ht="13" customHeight="1" x14ac:dyDescent="0.35">
      <c r="A866" s="11">
        <v>860</v>
      </c>
      <c r="B866" s="47">
        <v>203850806</v>
      </c>
      <c r="C866" s="94" t="s">
        <v>927</v>
      </c>
      <c r="D866" s="11" t="s">
        <v>928</v>
      </c>
      <c r="E866" s="48" t="s">
        <v>31</v>
      </c>
      <c r="F866" s="48" t="s">
        <v>74</v>
      </c>
      <c r="G866" s="11" t="s">
        <v>64</v>
      </c>
      <c r="H866" s="11" t="s">
        <v>75</v>
      </c>
      <c r="I866" s="11">
        <v>1299</v>
      </c>
      <c r="J866" s="49" t="s">
        <v>39</v>
      </c>
      <c r="K866" s="49" t="s">
        <v>76</v>
      </c>
      <c r="L866" s="49" t="s">
        <v>92</v>
      </c>
      <c r="M866" s="49" t="s">
        <v>84</v>
      </c>
      <c r="N866" s="48" t="s">
        <v>86</v>
      </c>
      <c r="O866" s="49" t="s">
        <v>37</v>
      </c>
      <c r="P866" s="11" t="s">
        <v>80</v>
      </c>
      <c r="Q866" s="11" t="s">
        <v>90</v>
      </c>
      <c r="R866" s="49" t="s">
        <v>648</v>
      </c>
      <c r="S866" s="11" t="s">
        <v>1805</v>
      </c>
      <c r="T866" s="90" t="s">
        <v>1</v>
      </c>
      <c r="U866" s="91"/>
      <c r="V866" s="51">
        <v>45524</v>
      </c>
      <c r="W866" s="49" t="s">
        <v>1584</v>
      </c>
    </row>
    <row r="867" spans="1:23" ht="13" customHeight="1" x14ac:dyDescent="0.35">
      <c r="A867" s="11">
        <v>861</v>
      </c>
      <c r="B867" s="47">
        <v>203908885</v>
      </c>
      <c r="C867" s="94" t="s">
        <v>2418</v>
      </c>
      <c r="D867" s="11" t="s">
        <v>2419</v>
      </c>
      <c r="E867" s="48" t="s">
        <v>31</v>
      </c>
      <c r="F867" s="48" t="s">
        <v>74</v>
      </c>
      <c r="G867" s="11" t="s">
        <v>64</v>
      </c>
      <c r="H867" s="11" t="s">
        <v>75</v>
      </c>
      <c r="I867" s="11">
        <v>1299</v>
      </c>
      <c r="J867" s="49" t="s">
        <v>39</v>
      </c>
      <c r="K867" s="49" t="s">
        <v>76</v>
      </c>
      <c r="L867" s="49" t="s">
        <v>88</v>
      </c>
      <c r="M867" s="49" t="s">
        <v>95</v>
      </c>
      <c r="N867" s="49" t="s">
        <v>89</v>
      </c>
      <c r="O867" s="49" t="s">
        <v>37</v>
      </c>
      <c r="P867" s="11" t="s">
        <v>80</v>
      </c>
      <c r="Q867" s="11" t="s">
        <v>90</v>
      </c>
      <c r="R867" s="49" t="s">
        <v>628</v>
      </c>
      <c r="S867" s="11" t="s">
        <v>629</v>
      </c>
      <c r="T867" s="90" t="s">
        <v>10</v>
      </c>
      <c r="U867" s="91"/>
      <c r="V867" s="51">
        <v>45537</v>
      </c>
      <c r="W867" s="49" t="s">
        <v>1584</v>
      </c>
    </row>
    <row r="868" spans="1:23" ht="13" customHeight="1" x14ac:dyDescent="0.35">
      <c r="A868" s="11">
        <v>862</v>
      </c>
      <c r="B868" s="47">
        <v>203965411</v>
      </c>
      <c r="C868" s="94" t="s">
        <v>929</v>
      </c>
      <c r="D868" s="11" t="s">
        <v>930</v>
      </c>
      <c r="E868" s="48" t="s">
        <v>31</v>
      </c>
      <c r="F868" s="48" t="s">
        <v>74</v>
      </c>
      <c r="G868" s="11" t="s">
        <v>64</v>
      </c>
      <c r="H868" s="11" t="s">
        <v>75</v>
      </c>
      <c r="I868" s="11">
        <v>1299</v>
      </c>
      <c r="J868" s="49" t="s">
        <v>39</v>
      </c>
      <c r="K868" s="49" t="s">
        <v>76</v>
      </c>
      <c r="L868" s="49" t="s">
        <v>92</v>
      </c>
      <c r="M868" s="49" t="s">
        <v>84</v>
      </c>
      <c r="N868" s="48" t="s">
        <v>79</v>
      </c>
      <c r="O868" s="49" t="s">
        <v>37</v>
      </c>
      <c r="P868" s="11" t="s">
        <v>80</v>
      </c>
      <c r="Q868" s="11" t="s">
        <v>81</v>
      </c>
      <c r="R868" s="49" t="s">
        <v>648</v>
      </c>
      <c r="S868" s="11" t="s">
        <v>1805</v>
      </c>
      <c r="T868" s="90" t="s">
        <v>1</v>
      </c>
      <c r="U868" s="90"/>
      <c r="V868" s="51">
        <v>45544</v>
      </c>
      <c r="W868" s="49" t="s">
        <v>1584</v>
      </c>
    </row>
    <row r="869" spans="1:23" ht="13" customHeight="1" x14ac:dyDescent="0.35">
      <c r="A869" s="11">
        <v>863</v>
      </c>
      <c r="B869" s="11">
        <v>205923172</v>
      </c>
      <c r="C869" s="94" t="s">
        <v>2205</v>
      </c>
      <c r="D869" s="11" t="s">
        <v>2206</v>
      </c>
      <c r="E869" s="48" t="s">
        <v>31</v>
      </c>
      <c r="F869" s="48" t="s">
        <v>74</v>
      </c>
      <c r="G869" s="11" t="s">
        <v>64</v>
      </c>
      <c r="H869" s="11" t="s">
        <v>75</v>
      </c>
      <c r="I869" s="11">
        <v>1299</v>
      </c>
      <c r="J869" s="88" t="s">
        <v>39</v>
      </c>
      <c r="K869" s="49" t="s">
        <v>76</v>
      </c>
      <c r="L869" s="49" t="s">
        <v>78</v>
      </c>
      <c r="M869" s="49" t="s">
        <v>92</v>
      </c>
      <c r="N869" s="49" t="s">
        <v>79</v>
      </c>
      <c r="O869" s="49" t="s">
        <v>37</v>
      </c>
      <c r="P869" s="11" t="s">
        <v>80</v>
      </c>
      <c r="Q869" s="2" t="s">
        <v>96</v>
      </c>
      <c r="R869" s="11" t="s">
        <v>1069</v>
      </c>
      <c r="S869" s="54" t="s">
        <v>2733</v>
      </c>
      <c r="T869" s="90" t="s">
        <v>1</v>
      </c>
      <c r="U869" s="90"/>
      <c r="V869" s="51">
        <v>46051</v>
      </c>
      <c r="W869" s="49" t="s">
        <v>1584</v>
      </c>
    </row>
    <row r="870" spans="1:23" ht="13" customHeight="1" x14ac:dyDescent="0.35">
      <c r="A870" s="11">
        <v>864</v>
      </c>
      <c r="B870" s="97">
        <v>203850804</v>
      </c>
      <c r="C870" s="47" t="s">
        <v>2800</v>
      </c>
      <c r="D870" s="94" t="s">
        <v>2801</v>
      </c>
      <c r="E870" s="48" t="s">
        <v>31</v>
      </c>
      <c r="F870" s="48" t="s">
        <v>74</v>
      </c>
      <c r="G870" s="11" t="s">
        <v>64</v>
      </c>
      <c r="H870" s="11" t="s">
        <v>75</v>
      </c>
      <c r="I870" s="11">
        <v>1299</v>
      </c>
      <c r="J870" s="49" t="s">
        <v>32</v>
      </c>
      <c r="K870" s="49" t="s">
        <v>76</v>
      </c>
      <c r="L870" s="49" t="s">
        <v>88</v>
      </c>
      <c r="M870" s="49" t="s">
        <v>95</v>
      </c>
      <c r="N870" s="48" t="s">
        <v>86</v>
      </c>
      <c r="O870" s="49" t="s">
        <v>37</v>
      </c>
      <c r="P870" s="11" t="s">
        <v>80</v>
      </c>
      <c r="Q870" s="11" t="s">
        <v>90</v>
      </c>
      <c r="R870" s="11" t="s">
        <v>2865</v>
      </c>
      <c r="S870" s="11" t="s">
        <v>2866</v>
      </c>
      <c r="T870" s="90" t="s">
        <v>10</v>
      </c>
      <c r="U870" s="89"/>
      <c r="V870" s="51">
        <v>45524</v>
      </c>
      <c r="W870" s="49" t="s">
        <v>1584</v>
      </c>
    </row>
    <row r="871" spans="1:23" ht="13" customHeight="1" x14ac:dyDescent="0.35">
      <c r="A871" s="11">
        <v>865</v>
      </c>
      <c r="B871" s="47">
        <v>204072306</v>
      </c>
      <c r="C871" s="94" t="s">
        <v>931</v>
      </c>
      <c r="D871" s="11" t="s">
        <v>932</v>
      </c>
      <c r="E871" s="48" t="s">
        <v>31</v>
      </c>
      <c r="F871" s="48" t="s">
        <v>74</v>
      </c>
      <c r="G871" s="11" t="s">
        <v>64</v>
      </c>
      <c r="H871" s="11" t="s">
        <v>75</v>
      </c>
      <c r="I871" s="11">
        <v>1299</v>
      </c>
      <c r="J871" s="49" t="s">
        <v>32</v>
      </c>
      <c r="K871" s="49" t="s">
        <v>76</v>
      </c>
      <c r="L871" s="49" t="s">
        <v>85</v>
      </c>
      <c r="M871" s="49" t="s">
        <v>88</v>
      </c>
      <c r="N871" s="48" t="s">
        <v>86</v>
      </c>
      <c r="O871" s="49" t="s">
        <v>37</v>
      </c>
      <c r="P871" s="11" t="s">
        <v>80</v>
      </c>
      <c r="Q871" s="11" t="s">
        <v>90</v>
      </c>
      <c r="R871" s="11" t="s">
        <v>2865</v>
      </c>
      <c r="S871" s="11" t="s">
        <v>2866</v>
      </c>
      <c r="T871" s="90" t="s">
        <v>10</v>
      </c>
      <c r="U871" s="89"/>
      <c r="V871" s="51">
        <v>45558</v>
      </c>
      <c r="W871" s="49" t="s">
        <v>1584</v>
      </c>
    </row>
    <row r="872" spans="1:23" ht="13" customHeight="1" x14ac:dyDescent="0.35">
      <c r="A872" s="11">
        <v>866</v>
      </c>
      <c r="B872" s="97">
        <v>203850884</v>
      </c>
      <c r="C872" s="47" t="s">
        <v>2802</v>
      </c>
      <c r="D872" s="94" t="s">
        <v>2803</v>
      </c>
      <c r="E872" s="48" t="s">
        <v>31</v>
      </c>
      <c r="F872" s="48" t="s">
        <v>74</v>
      </c>
      <c r="G872" s="11" t="s">
        <v>64</v>
      </c>
      <c r="H872" s="11" t="s">
        <v>75</v>
      </c>
      <c r="I872" s="11">
        <v>1299</v>
      </c>
      <c r="J872" s="49" t="s">
        <v>32</v>
      </c>
      <c r="K872" s="49" t="s">
        <v>76</v>
      </c>
      <c r="L872" s="49" t="s">
        <v>85</v>
      </c>
      <c r="M872" s="49" t="s">
        <v>88</v>
      </c>
      <c r="N872" s="48" t="s">
        <v>86</v>
      </c>
      <c r="O872" s="49" t="s">
        <v>37</v>
      </c>
      <c r="P872" s="11" t="s">
        <v>80</v>
      </c>
      <c r="Q872" s="11" t="s">
        <v>90</v>
      </c>
      <c r="R872" s="11" t="s">
        <v>628</v>
      </c>
      <c r="S872" s="11" t="s">
        <v>629</v>
      </c>
      <c r="T872" s="90" t="s">
        <v>10</v>
      </c>
      <c r="U872" s="89"/>
      <c r="V872" s="51">
        <v>45524</v>
      </c>
      <c r="W872" s="49" t="s">
        <v>1584</v>
      </c>
    </row>
    <row r="873" spans="1:23" ht="13" customHeight="1" x14ac:dyDescent="0.35">
      <c r="A873" s="11">
        <v>867</v>
      </c>
      <c r="B873" s="47">
        <v>203813081</v>
      </c>
      <c r="C873" s="94" t="s">
        <v>933</v>
      </c>
      <c r="D873" s="11" t="s">
        <v>934</v>
      </c>
      <c r="E873" s="48" t="s">
        <v>31</v>
      </c>
      <c r="F873" s="48" t="s">
        <v>74</v>
      </c>
      <c r="G873" s="11" t="s">
        <v>64</v>
      </c>
      <c r="H873" s="11" t="s">
        <v>75</v>
      </c>
      <c r="I873" s="11">
        <v>1299</v>
      </c>
      <c r="J873" s="49" t="s">
        <v>39</v>
      </c>
      <c r="K873" s="49" t="s">
        <v>76</v>
      </c>
      <c r="L873" s="49" t="s">
        <v>78</v>
      </c>
      <c r="M873" s="49" t="s">
        <v>92</v>
      </c>
      <c r="N873" s="48" t="s">
        <v>86</v>
      </c>
      <c r="O873" s="49" t="s">
        <v>37</v>
      </c>
      <c r="P873" s="11" t="s">
        <v>80</v>
      </c>
      <c r="Q873" s="11" t="s">
        <v>99</v>
      </c>
      <c r="R873" s="11" t="s">
        <v>640</v>
      </c>
      <c r="S873" s="11" t="s">
        <v>2734</v>
      </c>
      <c r="T873" s="90" t="s">
        <v>1</v>
      </c>
      <c r="U873" s="89"/>
      <c r="V873" s="51">
        <v>45517</v>
      </c>
      <c r="W873" s="49" t="s">
        <v>1584</v>
      </c>
    </row>
    <row r="874" spans="1:23" ht="13" customHeight="1" x14ac:dyDescent="0.35">
      <c r="A874" s="11">
        <v>868</v>
      </c>
      <c r="B874" s="47">
        <v>206015628</v>
      </c>
      <c r="C874" s="94" t="s">
        <v>935</v>
      </c>
      <c r="D874" s="11" t="s">
        <v>936</v>
      </c>
      <c r="E874" s="48" t="s">
        <v>31</v>
      </c>
      <c r="F874" s="48" t="s">
        <v>74</v>
      </c>
      <c r="G874" s="11" t="s">
        <v>64</v>
      </c>
      <c r="H874" s="11" t="s">
        <v>75</v>
      </c>
      <c r="I874" s="11">
        <v>1299</v>
      </c>
      <c r="J874" s="49" t="s">
        <v>32</v>
      </c>
      <c r="K874" s="49" t="s">
        <v>76</v>
      </c>
      <c r="L874" s="49" t="s">
        <v>95</v>
      </c>
      <c r="M874" s="49" t="s">
        <v>77</v>
      </c>
      <c r="N874" s="48" t="s">
        <v>79</v>
      </c>
      <c r="O874" s="49" t="s">
        <v>37</v>
      </c>
      <c r="P874" s="11" t="s">
        <v>80</v>
      </c>
      <c r="Q874" s="11" t="s">
        <v>81</v>
      </c>
      <c r="R874" s="49" t="s">
        <v>648</v>
      </c>
      <c r="S874" s="11" t="s">
        <v>1805</v>
      </c>
      <c r="T874" s="90" t="s">
        <v>1</v>
      </c>
      <c r="U874" s="89"/>
      <c r="V874" s="51">
        <v>45922</v>
      </c>
      <c r="W874" s="49" t="s">
        <v>1584</v>
      </c>
    </row>
    <row r="875" spans="1:23" ht="13" customHeight="1" x14ac:dyDescent="0.35">
      <c r="A875" s="11">
        <v>869</v>
      </c>
      <c r="B875" s="97">
        <v>204011579</v>
      </c>
      <c r="C875" s="47" t="s">
        <v>2804</v>
      </c>
      <c r="D875" s="94" t="s">
        <v>2805</v>
      </c>
      <c r="E875" s="48" t="s">
        <v>31</v>
      </c>
      <c r="F875" s="48" t="s">
        <v>74</v>
      </c>
      <c r="G875" s="11" t="s">
        <v>64</v>
      </c>
      <c r="H875" s="11" t="s">
        <v>75</v>
      </c>
      <c r="I875" s="11">
        <v>1299</v>
      </c>
      <c r="J875" s="49" t="s">
        <v>39</v>
      </c>
      <c r="K875" s="49" t="s">
        <v>76</v>
      </c>
      <c r="L875" s="49" t="s">
        <v>85</v>
      </c>
      <c r="M875" s="49" t="s">
        <v>88</v>
      </c>
      <c r="N875" s="48" t="s">
        <v>86</v>
      </c>
      <c r="O875" s="49" t="s">
        <v>37</v>
      </c>
      <c r="P875" s="11" t="s">
        <v>80</v>
      </c>
      <c r="Q875" s="11" t="s">
        <v>90</v>
      </c>
      <c r="R875" s="11" t="s">
        <v>1069</v>
      </c>
      <c r="S875" s="11" t="s">
        <v>2765</v>
      </c>
      <c r="T875" s="90" t="s">
        <v>10</v>
      </c>
      <c r="U875" s="90"/>
      <c r="V875" s="51">
        <v>45551</v>
      </c>
      <c r="W875" s="49" t="s">
        <v>1584</v>
      </c>
    </row>
    <row r="876" spans="1:23" ht="13" customHeight="1" x14ac:dyDescent="0.35">
      <c r="A876" s="11">
        <v>870</v>
      </c>
      <c r="B876" s="47">
        <v>206607036</v>
      </c>
      <c r="C876" s="94" t="s">
        <v>2101</v>
      </c>
      <c r="D876" s="11" t="s">
        <v>2102</v>
      </c>
      <c r="E876" s="48" t="s">
        <v>31</v>
      </c>
      <c r="F876" s="48" t="s">
        <v>74</v>
      </c>
      <c r="G876" s="11" t="s">
        <v>64</v>
      </c>
      <c r="H876" s="11" t="s">
        <v>75</v>
      </c>
      <c r="I876" s="11">
        <v>1299</v>
      </c>
      <c r="J876" s="88" t="s">
        <v>39</v>
      </c>
      <c r="K876" s="49" t="s">
        <v>76</v>
      </c>
      <c r="L876" s="49" t="s">
        <v>84</v>
      </c>
      <c r="M876" s="49" t="s">
        <v>85</v>
      </c>
      <c r="N876" s="49" t="s">
        <v>89</v>
      </c>
      <c r="O876" s="49" t="s">
        <v>37</v>
      </c>
      <c r="P876" s="11" t="s">
        <v>80</v>
      </c>
      <c r="Q876" s="11" t="s">
        <v>96</v>
      </c>
      <c r="R876" s="49" t="s">
        <v>628</v>
      </c>
      <c r="S876" s="11" t="s">
        <v>629</v>
      </c>
      <c r="T876" s="90" t="s">
        <v>1</v>
      </c>
      <c r="U876" s="91"/>
      <c r="V876" s="51">
        <v>46048</v>
      </c>
      <c r="W876" s="49" t="s">
        <v>1584</v>
      </c>
    </row>
    <row r="877" spans="1:23" ht="13" customHeight="1" x14ac:dyDescent="0.35">
      <c r="A877" s="11">
        <v>871</v>
      </c>
      <c r="B877" s="47">
        <v>205853575</v>
      </c>
      <c r="C877" s="94" t="s">
        <v>937</v>
      </c>
      <c r="D877" s="11" t="s">
        <v>938</v>
      </c>
      <c r="E877" s="48" t="s">
        <v>31</v>
      </c>
      <c r="F877" s="48" t="s">
        <v>74</v>
      </c>
      <c r="G877" s="11" t="s">
        <v>64</v>
      </c>
      <c r="H877" s="11" t="s">
        <v>75</v>
      </c>
      <c r="I877" s="11">
        <v>1299</v>
      </c>
      <c r="J877" s="49" t="s">
        <v>39</v>
      </c>
      <c r="K877" s="49" t="s">
        <v>76</v>
      </c>
      <c r="L877" s="49" t="s">
        <v>92</v>
      </c>
      <c r="M877" s="49" t="s">
        <v>84</v>
      </c>
      <c r="N877" s="49" t="s">
        <v>89</v>
      </c>
      <c r="O877" s="49" t="s">
        <v>37</v>
      </c>
      <c r="P877" s="11" t="s">
        <v>80</v>
      </c>
      <c r="Q877" s="11" t="s">
        <v>96</v>
      </c>
      <c r="R877" s="11" t="s">
        <v>632</v>
      </c>
      <c r="S877" s="11" t="s">
        <v>633</v>
      </c>
      <c r="T877" s="90" t="s">
        <v>1</v>
      </c>
      <c r="U877" s="91"/>
      <c r="V877" s="51">
        <v>45894</v>
      </c>
      <c r="W877" s="49" t="s">
        <v>1584</v>
      </c>
    </row>
    <row r="878" spans="1:23" ht="13" customHeight="1" x14ac:dyDescent="0.35">
      <c r="A878" s="11">
        <v>872</v>
      </c>
      <c r="B878" s="47">
        <v>203285820</v>
      </c>
      <c r="C878" s="94" t="s">
        <v>939</v>
      </c>
      <c r="D878" s="11" t="s">
        <v>940</v>
      </c>
      <c r="E878" s="48" t="s">
        <v>31</v>
      </c>
      <c r="F878" s="48" t="s">
        <v>74</v>
      </c>
      <c r="G878" s="11" t="s">
        <v>64</v>
      </c>
      <c r="H878" s="11" t="s">
        <v>75</v>
      </c>
      <c r="I878" s="11">
        <v>1299</v>
      </c>
      <c r="J878" s="49" t="s">
        <v>39</v>
      </c>
      <c r="K878" s="49" t="s">
        <v>76</v>
      </c>
      <c r="L878" s="49" t="s">
        <v>84</v>
      </c>
      <c r="M878" s="49" t="s">
        <v>85</v>
      </c>
      <c r="N878" s="48" t="s">
        <v>79</v>
      </c>
      <c r="O878" s="49" t="s">
        <v>37</v>
      </c>
      <c r="P878" s="11" t="s">
        <v>80</v>
      </c>
      <c r="Q878" s="11" t="s">
        <v>81</v>
      </c>
      <c r="R878" s="11" t="s">
        <v>632</v>
      </c>
      <c r="S878" s="11" t="s">
        <v>633</v>
      </c>
      <c r="T878" s="90" t="s">
        <v>1</v>
      </c>
      <c r="U878" s="89"/>
      <c r="V878" s="51">
        <v>45561</v>
      </c>
      <c r="W878" s="49" t="s">
        <v>1583</v>
      </c>
    </row>
    <row r="879" spans="1:23" ht="13" customHeight="1" x14ac:dyDescent="0.35">
      <c r="A879" s="11">
        <v>873</v>
      </c>
      <c r="B879" s="47">
        <v>205853580</v>
      </c>
      <c r="C879" s="94" t="s">
        <v>941</v>
      </c>
      <c r="D879" s="11" t="s">
        <v>942</v>
      </c>
      <c r="E879" s="48" t="s">
        <v>31</v>
      </c>
      <c r="F879" s="48" t="s">
        <v>74</v>
      </c>
      <c r="G879" s="11" t="s">
        <v>64</v>
      </c>
      <c r="H879" s="11" t="s">
        <v>75</v>
      </c>
      <c r="I879" s="11">
        <v>1299</v>
      </c>
      <c r="J879" s="49" t="s">
        <v>39</v>
      </c>
      <c r="K879" s="49" t="s">
        <v>76</v>
      </c>
      <c r="L879" s="49" t="s">
        <v>78</v>
      </c>
      <c r="M879" s="49" t="s">
        <v>92</v>
      </c>
      <c r="N879" s="49" t="s">
        <v>79</v>
      </c>
      <c r="O879" s="49" t="s">
        <v>37</v>
      </c>
      <c r="P879" s="11" t="s">
        <v>80</v>
      </c>
      <c r="Q879" s="11" t="s">
        <v>96</v>
      </c>
      <c r="R879" s="11" t="s">
        <v>1069</v>
      </c>
      <c r="S879" s="11" t="s">
        <v>2733</v>
      </c>
      <c r="T879" s="90" t="s">
        <v>1</v>
      </c>
      <c r="U879" s="90"/>
      <c r="V879" s="51">
        <v>45894</v>
      </c>
      <c r="W879" s="49" t="s">
        <v>1584</v>
      </c>
    </row>
    <row r="880" spans="1:23" ht="13" customHeight="1" x14ac:dyDescent="0.35">
      <c r="A880" s="11">
        <v>874</v>
      </c>
      <c r="B880" s="47">
        <v>206902845</v>
      </c>
      <c r="C880" s="94" t="s">
        <v>1886</v>
      </c>
      <c r="D880" s="11" t="s">
        <v>1887</v>
      </c>
      <c r="E880" s="48" t="s">
        <v>31</v>
      </c>
      <c r="F880" s="48" t="s">
        <v>74</v>
      </c>
      <c r="G880" s="11" t="s">
        <v>64</v>
      </c>
      <c r="H880" s="11" t="s">
        <v>75</v>
      </c>
      <c r="I880" s="11">
        <v>1290</v>
      </c>
      <c r="J880" s="49" t="s">
        <v>39</v>
      </c>
      <c r="K880" s="49" t="s">
        <v>76</v>
      </c>
      <c r="L880" s="49" t="s">
        <v>92</v>
      </c>
      <c r="M880" s="49" t="s">
        <v>84</v>
      </c>
      <c r="N880" s="49" t="s">
        <v>89</v>
      </c>
      <c r="O880" s="48" t="s">
        <v>37</v>
      </c>
      <c r="P880" s="48" t="s">
        <v>80</v>
      </c>
      <c r="Q880" s="11" t="s">
        <v>90</v>
      </c>
      <c r="R880" s="49" t="s">
        <v>648</v>
      </c>
      <c r="S880" s="11" t="s">
        <v>1805</v>
      </c>
      <c r="T880" s="90" t="s">
        <v>1</v>
      </c>
      <c r="U880" s="91"/>
      <c r="V880" s="51">
        <v>46030</v>
      </c>
      <c r="W880" s="49" t="s">
        <v>1584</v>
      </c>
    </row>
    <row r="881" spans="1:23" ht="13" customHeight="1" x14ac:dyDescent="0.35">
      <c r="A881" s="11">
        <v>875</v>
      </c>
      <c r="B881" s="47">
        <v>204967041</v>
      </c>
      <c r="C881" s="94" t="s">
        <v>943</v>
      </c>
      <c r="D881" s="11" t="s">
        <v>944</v>
      </c>
      <c r="E881" s="48" t="s">
        <v>31</v>
      </c>
      <c r="F881" s="48" t="s">
        <v>74</v>
      </c>
      <c r="G881" s="11" t="s">
        <v>64</v>
      </c>
      <c r="H881" s="11" t="s">
        <v>75</v>
      </c>
      <c r="I881" s="11">
        <v>1299</v>
      </c>
      <c r="J881" s="49" t="s">
        <v>32</v>
      </c>
      <c r="K881" s="49" t="s">
        <v>76</v>
      </c>
      <c r="L881" s="49" t="s">
        <v>77</v>
      </c>
      <c r="M881" s="49" t="s">
        <v>78</v>
      </c>
      <c r="N881" s="48" t="s">
        <v>86</v>
      </c>
      <c r="O881" s="49" t="s">
        <v>37</v>
      </c>
      <c r="P881" s="11" t="s">
        <v>80</v>
      </c>
      <c r="Q881" s="11" t="s">
        <v>90</v>
      </c>
      <c r="R881" s="49" t="s">
        <v>648</v>
      </c>
      <c r="S881" s="11" t="s">
        <v>1805</v>
      </c>
      <c r="T881" s="90" t="s">
        <v>1</v>
      </c>
      <c r="U881" s="91"/>
      <c r="V881" s="51">
        <v>45719</v>
      </c>
      <c r="W881" s="49" t="s">
        <v>1584</v>
      </c>
    </row>
    <row r="882" spans="1:23" ht="13" customHeight="1" x14ac:dyDescent="0.35">
      <c r="A882" s="11">
        <v>876</v>
      </c>
      <c r="B882" s="47">
        <v>203512666</v>
      </c>
      <c r="C882" s="94" t="s">
        <v>945</v>
      </c>
      <c r="D882" s="11" t="s">
        <v>946</v>
      </c>
      <c r="E882" s="48" t="s">
        <v>31</v>
      </c>
      <c r="F882" s="48" t="s">
        <v>74</v>
      </c>
      <c r="G882" s="11" t="s">
        <v>64</v>
      </c>
      <c r="H882" s="11" t="s">
        <v>75</v>
      </c>
      <c r="I882" s="11">
        <v>1299</v>
      </c>
      <c r="J882" s="49" t="s">
        <v>32</v>
      </c>
      <c r="K882" s="49" t="s">
        <v>76</v>
      </c>
      <c r="L882" s="49" t="s">
        <v>88</v>
      </c>
      <c r="M882" s="49" t="s">
        <v>95</v>
      </c>
      <c r="N882" s="48" t="s">
        <v>79</v>
      </c>
      <c r="O882" s="49" t="s">
        <v>37</v>
      </c>
      <c r="P882" s="11" t="s">
        <v>80</v>
      </c>
      <c r="Q882" s="11" t="s">
        <v>81</v>
      </c>
      <c r="R882" s="49" t="s">
        <v>648</v>
      </c>
      <c r="S882" s="11" t="s">
        <v>1805</v>
      </c>
      <c r="T882" s="90" t="s">
        <v>10</v>
      </c>
      <c r="U882" s="91"/>
      <c r="V882" s="51">
        <v>45463</v>
      </c>
      <c r="W882" s="49" t="s">
        <v>1586</v>
      </c>
    </row>
    <row r="883" spans="1:23" ht="13" customHeight="1" x14ac:dyDescent="0.35">
      <c r="A883" s="11">
        <v>877</v>
      </c>
      <c r="B883" s="97">
        <v>204009978</v>
      </c>
      <c r="C883" s="47" t="s">
        <v>2806</v>
      </c>
      <c r="D883" s="94" t="s">
        <v>2807</v>
      </c>
      <c r="E883" s="48" t="s">
        <v>31</v>
      </c>
      <c r="F883" s="48" t="s">
        <v>74</v>
      </c>
      <c r="G883" s="11" t="s">
        <v>64</v>
      </c>
      <c r="H883" s="11" t="s">
        <v>75</v>
      </c>
      <c r="I883" s="11">
        <v>1299</v>
      </c>
      <c r="J883" s="49" t="s">
        <v>39</v>
      </c>
      <c r="K883" s="49" t="s">
        <v>76</v>
      </c>
      <c r="L883" s="49" t="s">
        <v>95</v>
      </c>
      <c r="M883" s="49" t="s">
        <v>77</v>
      </c>
      <c r="N883" s="48" t="s">
        <v>86</v>
      </c>
      <c r="O883" s="49" t="s">
        <v>37</v>
      </c>
      <c r="P883" s="11" t="s">
        <v>80</v>
      </c>
      <c r="Q883" s="11" t="s">
        <v>90</v>
      </c>
      <c r="R883" s="11" t="s">
        <v>648</v>
      </c>
      <c r="S883" s="11" t="s">
        <v>2755</v>
      </c>
      <c r="T883" s="90" t="s">
        <v>1</v>
      </c>
      <c r="U883" s="89"/>
      <c r="V883" s="51">
        <v>45551</v>
      </c>
      <c r="W883" s="49" t="s">
        <v>1584</v>
      </c>
    </row>
    <row r="884" spans="1:23" ht="13" customHeight="1" x14ac:dyDescent="0.35">
      <c r="A884" s="11">
        <v>878</v>
      </c>
      <c r="B884" s="47">
        <v>203850879</v>
      </c>
      <c r="C884" s="94" t="s">
        <v>2361</v>
      </c>
      <c r="D884" s="11" t="s">
        <v>2362</v>
      </c>
      <c r="E884" s="48" t="s">
        <v>31</v>
      </c>
      <c r="F884" s="48" t="s">
        <v>74</v>
      </c>
      <c r="G884" s="11" t="s">
        <v>64</v>
      </c>
      <c r="H884" s="11" t="s">
        <v>75</v>
      </c>
      <c r="I884" s="11">
        <v>1299</v>
      </c>
      <c r="J884" s="49" t="s">
        <v>32</v>
      </c>
      <c r="K884" s="49" t="s">
        <v>76</v>
      </c>
      <c r="L884" s="49" t="s">
        <v>95</v>
      </c>
      <c r="M884" s="49" t="s">
        <v>77</v>
      </c>
      <c r="N884" s="48" t="s">
        <v>86</v>
      </c>
      <c r="O884" s="49" t="s">
        <v>37</v>
      </c>
      <c r="P884" s="11" t="s">
        <v>80</v>
      </c>
      <c r="Q884" s="11" t="s">
        <v>90</v>
      </c>
      <c r="R884" s="11" t="s">
        <v>2865</v>
      </c>
      <c r="S884" s="11" t="s">
        <v>2866</v>
      </c>
      <c r="T884" s="90" t="s">
        <v>1</v>
      </c>
      <c r="U884" s="91"/>
      <c r="V884" s="51">
        <v>45524</v>
      </c>
      <c r="W884" s="49" t="s">
        <v>1584</v>
      </c>
    </row>
    <row r="885" spans="1:23" ht="13" customHeight="1" x14ac:dyDescent="0.35">
      <c r="A885" s="11">
        <v>879</v>
      </c>
      <c r="B885" s="97">
        <v>203993431</v>
      </c>
      <c r="C885" s="47" t="s">
        <v>2808</v>
      </c>
      <c r="D885" s="94" t="s">
        <v>2809</v>
      </c>
      <c r="E885" s="48" t="s">
        <v>31</v>
      </c>
      <c r="F885" s="48" t="s">
        <v>74</v>
      </c>
      <c r="G885" s="11" t="s">
        <v>64</v>
      </c>
      <c r="H885" s="11" t="s">
        <v>75</v>
      </c>
      <c r="I885" s="11">
        <v>1299</v>
      </c>
      <c r="J885" s="49" t="s">
        <v>39</v>
      </c>
      <c r="K885" s="49" t="s">
        <v>76</v>
      </c>
      <c r="L885" s="49" t="s">
        <v>77</v>
      </c>
      <c r="M885" s="49" t="s">
        <v>78</v>
      </c>
      <c r="N885" s="49" t="s">
        <v>89</v>
      </c>
      <c r="O885" s="49" t="s">
        <v>37</v>
      </c>
      <c r="P885" s="11" t="s">
        <v>80</v>
      </c>
      <c r="Q885" s="11" t="s">
        <v>90</v>
      </c>
      <c r="R885" s="11" t="s">
        <v>2865</v>
      </c>
      <c r="S885" s="11" t="s">
        <v>2866</v>
      </c>
      <c r="T885" s="90" t="s">
        <v>1</v>
      </c>
      <c r="U885" s="90"/>
      <c r="V885" s="51">
        <v>45547</v>
      </c>
      <c r="W885" s="49" t="s">
        <v>1584</v>
      </c>
    </row>
    <row r="886" spans="1:23" ht="13" customHeight="1" x14ac:dyDescent="0.35">
      <c r="A886" s="11">
        <v>880</v>
      </c>
      <c r="B886" s="47">
        <v>205854083</v>
      </c>
      <c r="C886" s="94" t="s">
        <v>947</v>
      </c>
      <c r="D886" s="11" t="s">
        <v>948</v>
      </c>
      <c r="E886" s="48" t="s">
        <v>31</v>
      </c>
      <c r="F886" s="48" t="s">
        <v>74</v>
      </c>
      <c r="G886" s="11" t="s">
        <v>64</v>
      </c>
      <c r="H886" s="11" t="s">
        <v>75</v>
      </c>
      <c r="I886" s="11">
        <v>1299</v>
      </c>
      <c r="J886" s="49" t="s">
        <v>32</v>
      </c>
      <c r="K886" s="49" t="s">
        <v>76</v>
      </c>
      <c r="L886" s="49" t="s">
        <v>92</v>
      </c>
      <c r="M886" s="49" t="s">
        <v>84</v>
      </c>
      <c r="N886" s="49" t="s">
        <v>89</v>
      </c>
      <c r="O886" s="49" t="s">
        <v>37</v>
      </c>
      <c r="P886" s="11" t="s">
        <v>80</v>
      </c>
      <c r="Q886" s="11" t="s">
        <v>96</v>
      </c>
      <c r="R886" s="49" t="s">
        <v>628</v>
      </c>
      <c r="S886" s="11" t="s">
        <v>629</v>
      </c>
      <c r="T886" s="90" t="s">
        <v>1</v>
      </c>
      <c r="U886" s="90"/>
      <c r="V886" s="51">
        <v>45894</v>
      </c>
      <c r="W886" s="49" t="s">
        <v>1584</v>
      </c>
    </row>
    <row r="887" spans="1:23" ht="13" customHeight="1" x14ac:dyDescent="0.35">
      <c r="A887" s="11">
        <v>881</v>
      </c>
      <c r="B887" s="47">
        <v>206250876</v>
      </c>
      <c r="C887" s="94" t="s">
        <v>1658</v>
      </c>
      <c r="D887" s="11" t="s">
        <v>1634</v>
      </c>
      <c r="E887" s="48" t="s">
        <v>31</v>
      </c>
      <c r="F887" s="48" t="s">
        <v>74</v>
      </c>
      <c r="G887" s="11" t="s">
        <v>64</v>
      </c>
      <c r="H887" s="11" t="s">
        <v>75</v>
      </c>
      <c r="I887" s="11">
        <v>1299</v>
      </c>
      <c r="J887" s="49" t="s">
        <v>39</v>
      </c>
      <c r="K887" s="49" t="s">
        <v>76</v>
      </c>
      <c r="L887" s="49" t="s">
        <v>84</v>
      </c>
      <c r="M887" s="49" t="s">
        <v>85</v>
      </c>
      <c r="N887" s="48" t="s">
        <v>79</v>
      </c>
      <c r="O887" s="49" t="s">
        <v>37</v>
      </c>
      <c r="P887" s="11" t="s">
        <v>80</v>
      </c>
      <c r="Q887" s="11" t="s">
        <v>81</v>
      </c>
      <c r="R887" s="11" t="s">
        <v>1069</v>
      </c>
      <c r="S887" s="11" t="s">
        <v>2733</v>
      </c>
      <c r="T887" s="90" t="s">
        <v>1</v>
      </c>
      <c r="U887" s="91"/>
      <c r="V887" s="51">
        <v>45943</v>
      </c>
      <c r="W887" s="49" t="s">
        <v>1584</v>
      </c>
    </row>
    <row r="888" spans="1:23" ht="13" customHeight="1" x14ac:dyDescent="0.35">
      <c r="A888" s="11">
        <v>882</v>
      </c>
      <c r="B888" s="47">
        <v>202198840</v>
      </c>
      <c r="C888" s="94" t="s">
        <v>949</v>
      </c>
      <c r="D888" s="11" t="s">
        <v>950</v>
      </c>
      <c r="E888" s="48" t="s">
        <v>31</v>
      </c>
      <c r="F888" s="48" t="s">
        <v>74</v>
      </c>
      <c r="G888" s="11" t="s">
        <v>64</v>
      </c>
      <c r="H888" s="11" t="s">
        <v>75</v>
      </c>
      <c r="I888" s="11">
        <v>1299</v>
      </c>
      <c r="J888" s="49" t="s">
        <v>39</v>
      </c>
      <c r="K888" s="49" t="s">
        <v>76</v>
      </c>
      <c r="L888" s="49" t="s">
        <v>84</v>
      </c>
      <c r="M888" s="49" t="s">
        <v>85</v>
      </c>
      <c r="N888" s="48" t="s">
        <v>86</v>
      </c>
      <c r="O888" s="49" t="s">
        <v>37</v>
      </c>
      <c r="P888" s="11" t="s">
        <v>80</v>
      </c>
      <c r="Q888" s="11" t="s">
        <v>87</v>
      </c>
      <c r="R888" s="49" t="s">
        <v>628</v>
      </c>
      <c r="S888" s="11" t="s">
        <v>629</v>
      </c>
      <c r="T888" s="90" t="s">
        <v>1</v>
      </c>
      <c r="U888" s="90"/>
      <c r="V888" s="51">
        <v>45586</v>
      </c>
      <c r="W888" s="49" t="s">
        <v>1583</v>
      </c>
    </row>
    <row r="889" spans="1:23" ht="13" customHeight="1" x14ac:dyDescent="0.35">
      <c r="A889" s="11">
        <v>883</v>
      </c>
      <c r="B889" s="47">
        <v>206850963</v>
      </c>
      <c r="C889" s="94" t="s">
        <v>1814</v>
      </c>
      <c r="D889" s="47" t="s">
        <v>1815</v>
      </c>
      <c r="E889" s="47" t="s">
        <v>31</v>
      </c>
      <c r="F889" s="48" t="s">
        <v>74</v>
      </c>
      <c r="G889" s="11" t="s">
        <v>64</v>
      </c>
      <c r="H889" s="11" t="s">
        <v>75</v>
      </c>
      <c r="I889" s="47">
        <v>1299</v>
      </c>
      <c r="J889" s="49" t="s">
        <v>32</v>
      </c>
      <c r="K889" s="49" t="s">
        <v>76</v>
      </c>
      <c r="L889" s="49" t="s">
        <v>77</v>
      </c>
      <c r="M889" s="49" t="s">
        <v>78</v>
      </c>
      <c r="N889" s="49" t="s">
        <v>89</v>
      </c>
      <c r="O889" s="49" t="s">
        <v>37</v>
      </c>
      <c r="P889" s="11" t="s">
        <v>80</v>
      </c>
      <c r="Q889" s="47" t="s">
        <v>90</v>
      </c>
      <c r="R889" s="11" t="s">
        <v>2865</v>
      </c>
      <c r="S889" s="11" t="s">
        <v>2866</v>
      </c>
      <c r="T889" s="90" t="s">
        <v>1</v>
      </c>
      <c r="U889" s="90"/>
      <c r="V889" s="51">
        <v>46013</v>
      </c>
      <c r="W889" s="49" t="s">
        <v>1584</v>
      </c>
    </row>
    <row r="890" spans="1:23" ht="13" customHeight="1" x14ac:dyDescent="0.35">
      <c r="A890" s="11">
        <v>884</v>
      </c>
      <c r="B890" s="47">
        <v>203512669</v>
      </c>
      <c r="C890" s="94" t="s">
        <v>951</v>
      </c>
      <c r="D890" s="11" t="s">
        <v>952</v>
      </c>
      <c r="E890" s="48" t="s">
        <v>31</v>
      </c>
      <c r="F890" s="48" t="s">
        <v>74</v>
      </c>
      <c r="G890" s="11" t="s">
        <v>64</v>
      </c>
      <c r="H890" s="11" t="s">
        <v>75</v>
      </c>
      <c r="I890" s="11">
        <v>1299</v>
      </c>
      <c r="J890" s="49" t="s">
        <v>32</v>
      </c>
      <c r="K890" s="49" t="s">
        <v>76</v>
      </c>
      <c r="L890" s="49" t="s">
        <v>84</v>
      </c>
      <c r="M890" s="49" t="s">
        <v>85</v>
      </c>
      <c r="N890" s="48" t="s">
        <v>79</v>
      </c>
      <c r="O890" s="49" t="s">
        <v>37</v>
      </c>
      <c r="P890" s="11" t="s">
        <v>80</v>
      </c>
      <c r="Q890" s="11" t="s">
        <v>81</v>
      </c>
      <c r="R890" s="11" t="s">
        <v>1069</v>
      </c>
      <c r="S890" s="11" t="s">
        <v>2733</v>
      </c>
      <c r="T890" s="90" t="s">
        <v>1</v>
      </c>
      <c r="U890" s="90"/>
      <c r="V890" s="51">
        <v>45463</v>
      </c>
      <c r="W890" s="49" t="s">
        <v>1586</v>
      </c>
    </row>
    <row r="891" spans="1:23" ht="13" customHeight="1" x14ac:dyDescent="0.35">
      <c r="A891" s="11">
        <v>885</v>
      </c>
      <c r="B891" s="47">
        <v>204319796</v>
      </c>
      <c r="C891" s="94" t="s">
        <v>953</v>
      </c>
      <c r="D891" s="11" t="s">
        <v>954</v>
      </c>
      <c r="E891" s="48" t="s">
        <v>31</v>
      </c>
      <c r="F891" s="48" t="s">
        <v>74</v>
      </c>
      <c r="G891" s="11" t="s">
        <v>64</v>
      </c>
      <c r="H891" s="11" t="s">
        <v>75</v>
      </c>
      <c r="I891" s="11">
        <v>1299</v>
      </c>
      <c r="J891" s="49" t="s">
        <v>39</v>
      </c>
      <c r="K891" s="49" t="s">
        <v>76</v>
      </c>
      <c r="L891" s="49" t="s">
        <v>85</v>
      </c>
      <c r="M891" s="49" t="s">
        <v>88</v>
      </c>
      <c r="N891" s="48" t="s">
        <v>86</v>
      </c>
      <c r="O891" s="49" t="s">
        <v>37</v>
      </c>
      <c r="P891" s="11" t="s">
        <v>80</v>
      </c>
      <c r="Q891" s="11" t="s">
        <v>87</v>
      </c>
      <c r="R891" s="11" t="s">
        <v>1069</v>
      </c>
      <c r="S891" s="11" t="s">
        <v>2733</v>
      </c>
      <c r="T891" s="90" t="s">
        <v>10</v>
      </c>
      <c r="U891" s="89"/>
      <c r="V891" s="51">
        <v>45589</v>
      </c>
      <c r="W891" s="49" t="s">
        <v>1586</v>
      </c>
    </row>
    <row r="892" spans="1:23" ht="13" customHeight="1" x14ac:dyDescent="0.35">
      <c r="A892" s="11">
        <v>886</v>
      </c>
      <c r="B892" s="97">
        <v>204011576</v>
      </c>
      <c r="C892" s="47" t="s">
        <v>2810</v>
      </c>
      <c r="D892" s="94" t="s">
        <v>2811</v>
      </c>
      <c r="E892" s="48" t="s">
        <v>31</v>
      </c>
      <c r="F892" s="48" t="s">
        <v>74</v>
      </c>
      <c r="G892" s="11" t="s">
        <v>64</v>
      </c>
      <c r="H892" s="11" t="s">
        <v>75</v>
      </c>
      <c r="I892" s="11">
        <v>1299</v>
      </c>
      <c r="J892" s="49" t="s">
        <v>39</v>
      </c>
      <c r="K892" s="49" t="s">
        <v>76</v>
      </c>
      <c r="L892" s="49" t="s">
        <v>84</v>
      </c>
      <c r="M892" s="49" t="s">
        <v>85</v>
      </c>
      <c r="N892" s="48" t="s">
        <v>2758</v>
      </c>
      <c r="O892" s="49" t="s">
        <v>37</v>
      </c>
      <c r="P892" s="11" t="s">
        <v>80</v>
      </c>
      <c r="Q892" s="11" t="s">
        <v>90</v>
      </c>
      <c r="R892" s="11" t="s">
        <v>1069</v>
      </c>
      <c r="S892" s="11" t="s">
        <v>2765</v>
      </c>
      <c r="T892" s="90" t="s">
        <v>1</v>
      </c>
      <c r="U892" s="90"/>
      <c r="V892" s="51">
        <v>45789</v>
      </c>
      <c r="W892" s="49" t="s">
        <v>1584</v>
      </c>
    </row>
    <row r="893" spans="1:23" ht="13" customHeight="1" x14ac:dyDescent="0.35">
      <c r="A893" s="11">
        <v>887</v>
      </c>
      <c r="B893" s="97">
        <v>204882473</v>
      </c>
      <c r="C893" s="47" t="s">
        <v>2812</v>
      </c>
      <c r="D893" s="94" t="s">
        <v>2813</v>
      </c>
      <c r="E893" s="48" t="s">
        <v>31</v>
      </c>
      <c r="F893" s="48" t="s">
        <v>74</v>
      </c>
      <c r="G893" s="11" t="s">
        <v>64</v>
      </c>
      <c r="H893" s="11" t="s">
        <v>75</v>
      </c>
      <c r="I893" s="11">
        <v>1299</v>
      </c>
      <c r="J893" s="49" t="s">
        <v>32</v>
      </c>
      <c r="K893" s="49" t="s">
        <v>76</v>
      </c>
      <c r="L893" s="49" t="s">
        <v>85</v>
      </c>
      <c r="M893" s="49" t="s">
        <v>88</v>
      </c>
      <c r="N893" s="48" t="s">
        <v>86</v>
      </c>
      <c r="O893" s="49" t="s">
        <v>37</v>
      </c>
      <c r="P893" s="11" t="s">
        <v>80</v>
      </c>
      <c r="Q893" s="11" t="s">
        <v>90</v>
      </c>
      <c r="R893" s="11" t="s">
        <v>648</v>
      </c>
      <c r="S893" s="11" t="s">
        <v>2755</v>
      </c>
      <c r="T893" s="90" t="s">
        <v>10</v>
      </c>
      <c r="U893" s="91"/>
      <c r="V893" s="51">
        <v>45789</v>
      </c>
      <c r="W893" s="49" t="s">
        <v>1584</v>
      </c>
    </row>
    <row r="894" spans="1:23" ht="13" customHeight="1" x14ac:dyDescent="0.35">
      <c r="A894" s="11">
        <v>888</v>
      </c>
      <c r="B894" s="47">
        <v>106268190</v>
      </c>
      <c r="C894" s="94" t="s">
        <v>955</v>
      </c>
      <c r="D894" s="11" t="s">
        <v>956</v>
      </c>
      <c r="E894" s="48" t="s">
        <v>34</v>
      </c>
      <c r="F894" s="48" t="s">
        <v>74</v>
      </c>
      <c r="G894" s="11" t="s">
        <v>64</v>
      </c>
      <c r="H894" s="11" t="s">
        <v>75</v>
      </c>
      <c r="I894" s="11">
        <v>1299</v>
      </c>
      <c r="J894" s="49" t="s">
        <v>32</v>
      </c>
      <c r="K894" s="49" t="s">
        <v>76</v>
      </c>
      <c r="L894" s="49" t="s">
        <v>78</v>
      </c>
      <c r="M894" s="49" t="s">
        <v>92</v>
      </c>
      <c r="N894" s="48" t="s">
        <v>108</v>
      </c>
      <c r="O894" s="49" t="s">
        <v>37</v>
      </c>
      <c r="P894" s="11" t="s">
        <v>80</v>
      </c>
      <c r="Q894" s="11" t="s">
        <v>98</v>
      </c>
      <c r="R894" s="49" t="s">
        <v>628</v>
      </c>
      <c r="S894" s="11" t="s">
        <v>629</v>
      </c>
      <c r="T894" s="90" t="s">
        <v>1</v>
      </c>
      <c r="U894" s="91"/>
      <c r="V894" s="51">
        <v>44757</v>
      </c>
      <c r="W894" s="49" t="s">
        <v>1586</v>
      </c>
    </row>
    <row r="895" spans="1:23" ht="13" customHeight="1" x14ac:dyDescent="0.35">
      <c r="A895" s="11">
        <v>889</v>
      </c>
      <c r="B895" s="47">
        <v>203908351</v>
      </c>
      <c r="C895" s="94" t="s">
        <v>957</v>
      </c>
      <c r="D895" s="11" t="s">
        <v>958</v>
      </c>
      <c r="E895" s="48" t="s">
        <v>31</v>
      </c>
      <c r="F895" s="48" t="s">
        <v>74</v>
      </c>
      <c r="G895" s="11" t="s">
        <v>64</v>
      </c>
      <c r="H895" s="11" t="s">
        <v>75</v>
      </c>
      <c r="I895" s="11">
        <v>1299</v>
      </c>
      <c r="J895" s="49" t="s">
        <v>32</v>
      </c>
      <c r="K895" s="49" t="s">
        <v>76</v>
      </c>
      <c r="L895" s="49" t="s">
        <v>95</v>
      </c>
      <c r="M895" s="49" t="s">
        <v>77</v>
      </c>
      <c r="N895" s="48" t="s">
        <v>79</v>
      </c>
      <c r="O895" s="49" t="s">
        <v>37</v>
      </c>
      <c r="P895" s="11" t="s">
        <v>80</v>
      </c>
      <c r="Q895" s="11" t="s">
        <v>81</v>
      </c>
      <c r="R895" s="49" t="s">
        <v>2735</v>
      </c>
      <c r="S895" s="11" t="s">
        <v>643</v>
      </c>
      <c r="T895" s="90" t="s">
        <v>7</v>
      </c>
      <c r="U895" s="90" t="s">
        <v>2914</v>
      </c>
      <c r="V895" s="51">
        <v>45537</v>
      </c>
      <c r="W895" s="49" t="s">
        <v>1584</v>
      </c>
    </row>
    <row r="896" spans="1:23" ht="13" customHeight="1" x14ac:dyDescent="0.35">
      <c r="A896" s="11">
        <v>890</v>
      </c>
      <c r="B896" s="97">
        <v>205236898</v>
      </c>
      <c r="C896" s="47" t="s">
        <v>2814</v>
      </c>
      <c r="D896" s="94" t="s">
        <v>2815</v>
      </c>
      <c r="E896" s="48" t="s">
        <v>31</v>
      </c>
      <c r="F896" s="48" t="s">
        <v>74</v>
      </c>
      <c r="G896" s="11" t="s">
        <v>64</v>
      </c>
      <c r="H896" s="11" t="s">
        <v>75</v>
      </c>
      <c r="I896" s="11">
        <v>1299</v>
      </c>
      <c r="J896" s="49" t="s">
        <v>32</v>
      </c>
      <c r="K896" s="49" t="s">
        <v>76</v>
      </c>
      <c r="L896" s="49" t="s">
        <v>95</v>
      </c>
      <c r="M896" s="49" t="s">
        <v>77</v>
      </c>
      <c r="N896" s="48" t="s">
        <v>86</v>
      </c>
      <c r="O896" s="49" t="s">
        <v>37</v>
      </c>
      <c r="P896" s="11" t="s">
        <v>80</v>
      </c>
      <c r="Q896" s="11" t="s">
        <v>90</v>
      </c>
      <c r="R896" s="11" t="s">
        <v>1069</v>
      </c>
      <c r="S896" s="11" t="s">
        <v>2765</v>
      </c>
      <c r="T896" s="90" t="s">
        <v>1</v>
      </c>
      <c r="U896" s="89"/>
      <c r="V896" s="51">
        <v>45789</v>
      </c>
      <c r="W896" s="49" t="s">
        <v>1584</v>
      </c>
    </row>
    <row r="897" spans="1:23" ht="13" customHeight="1" x14ac:dyDescent="0.35">
      <c r="A897" s="11">
        <v>891</v>
      </c>
      <c r="B897" s="47">
        <v>203850878</v>
      </c>
      <c r="C897" s="94" t="s">
        <v>959</v>
      </c>
      <c r="D897" s="11" t="s">
        <v>960</v>
      </c>
      <c r="E897" s="48" t="s">
        <v>31</v>
      </c>
      <c r="F897" s="48" t="s">
        <v>74</v>
      </c>
      <c r="G897" s="11" t="s">
        <v>64</v>
      </c>
      <c r="H897" s="11" t="s">
        <v>75</v>
      </c>
      <c r="I897" s="11">
        <v>1299</v>
      </c>
      <c r="J897" s="49" t="s">
        <v>39</v>
      </c>
      <c r="K897" s="49" t="s">
        <v>76</v>
      </c>
      <c r="L897" s="49" t="s">
        <v>88</v>
      </c>
      <c r="M897" s="49" t="s">
        <v>95</v>
      </c>
      <c r="N897" s="48" t="s">
        <v>86</v>
      </c>
      <c r="O897" s="49" t="s">
        <v>37</v>
      </c>
      <c r="P897" s="11" t="s">
        <v>80</v>
      </c>
      <c r="Q897" s="11" t="s">
        <v>90</v>
      </c>
      <c r="R897" s="49" t="s">
        <v>648</v>
      </c>
      <c r="S897" s="11" t="s">
        <v>1805</v>
      </c>
      <c r="T897" s="90" t="s">
        <v>10</v>
      </c>
      <c r="U897" s="91"/>
      <c r="V897" s="51">
        <v>45524</v>
      </c>
      <c r="W897" s="49" t="s">
        <v>1584</v>
      </c>
    </row>
    <row r="898" spans="1:23" ht="13" customHeight="1" x14ac:dyDescent="0.35">
      <c r="A898" s="11">
        <v>892</v>
      </c>
      <c r="B898" s="47">
        <v>203850881</v>
      </c>
      <c r="C898" s="94" t="s">
        <v>961</v>
      </c>
      <c r="D898" s="11" t="s">
        <v>962</v>
      </c>
      <c r="E898" s="48" t="s">
        <v>31</v>
      </c>
      <c r="F898" s="48" t="s">
        <v>74</v>
      </c>
      <c r="G898" s="11" t="s">
        <v>64</v>
      </c>
      <c r="H898" s="11" t="s">
        <v>75</v>
      </c>
      <c r="I898" s="11">
        <v>1299</v>
      </c>
      <c r="J898" s="49" t="s">
        <v>39</v>
      </c>
      <c r="K898" s="49" t="s">
        <v>76</v>
      </c>
      <c r="L898" s="49" t="s">
        <v>95</v>
      </c>
      <c r="M898" s="49" t="s">
        <v>77</v>
      </c>
      <c r="N898" s="49" t="s">
        <v>89</v>
      </c>
      <c r="O898" s="49" t="s">
        <v>37</v>
      </c>
      <c r="P898" s="11" t="s">
        <v>80</v>
      </c>
      <c r="Q898" s="11" t="s">
        <v>90</v>
      </c>
      <c r="R898" s="49" t="s">
        <v>648</v>
      </c>
      <c r="S898" s="11" t="s">
        <v>1805</v>
      </c>
      <c r="T898" s="90" t="s">
        <v>3</v>
      </c>
      <c r="U898" s="90"/>
      <c r="V898" s="51">
        <v>45524</v>
      </c>
      <c r="W898" s="49" t="s">
        <v>1584</v>
      </c>
    </row>
    <row r="899" spans="1:23" ht="13" customHeight="1" x14ac:dyDescent="0.35">
      <c r="A899" s="11">
        <v>893</v>
      </c>
      <c r="B899" s="47">
        <v>203331877</v>
      </c>
      <c r="C899" s="94" t="s">
        <v>963</v>
      </c>
      <c r="D899" s="11" t="s">
        <v>964</v>
      </c>
      <c r="E899" s="48" t="s">
        <v>31</v>
      </c>
      <c r="F899" s="48" t="s">
        <v>74</v>
      </c>
      <c r="G899" s="11" t="s">
        <v>64</v>
      </c>
      <c r="H899" s="11" t="s">
        <v>75</v>
      </c>
      <c r="I899" s="11">
        <v>1299</v>
      </c>
      <c r="J899" s="49" t="s">
        <v>39</v>
      </c>
      <c r="K899" s="49" t="s">
        <v>76</v>
      </c>
      <c r="L899" s="49" t="s">
        <v>78</v>
      </c>
      <c r="M899" s="49" t="s">
        <v>92</v>
      </c>
      <c r="N899" s="48" t="s">
        <v>79</v>
      </c>
      <c r="O899" s="49" t="s">
        <v>37</v>
      </c>
      <c r="P899" s="11" t="s">
        <v>80</v>
      </c>
      <c r="Q899" s="11" t="s">
        <v>81</v>
      </c>
      <c r="R899" s="11" t="s">
        <v>632</v>
      </c>
      <c r="S899" s="11" t="s">
        <v>633</v>
      </c>
      <c r="T899" s="90" t="s">
        <v>1</v>
      </c>
      <c r="U899" s="91"/>
      <c r="V899" s="51">
        <v>45537</v>
      </c>
      <c r="W899" s="49" t="s">
        <v>1585</v>
      </c>
    </row>
    <row r="900" spans="1:23" ht="13" customHeight="1" x14ac:dyDescent="0.35">
      <c r="A900" s="11">
        <v>894</v>
      </c>
      <c r="B900" s="47">
        <v>206607038</v>
      </c>
      <c r="C900" s="94" t="s">
        <v>2103</v>
      </c>
      <c r="D900" s="11" t="s">
        <v>2104</v>
      </c>
      <c r="E900" s="48" t="s">
        <v>31</v>
      </c>
      <c r="F900" s="48" t="s">
        <v>74</v>
      </c>
      <c r="G900" s="11" t="s">
        <v>64</v>
      </c>
      <c r="H900" s="11" t="s">
        <v>75</v>
      </c>
      <c r="I900" s="11">
        <v>1299</v>
      </c>
      <c r="J900" s="88" t="s">
        <v>39</v>
      </c>
      <c r="K900" s="49" t="s">
        <v>76</v>
      </c>
      <c r="L900" s="49" t="s">
        <v>84</v>
      </c>
      <c r="M900" s="49" t="s">
        <v>85</v>
      </c>
      <c r="N900" s="49" t="s">
        <v>89</v>
      </c>
      <c r="O900" s="49" t="s">
        <v>37</v>
      </c>
      <c r="P900" s="11" t="s">
        <v>80</v>
      </c>
      <c r="Q900" s="11" t="s">
        <v>96</v>
      </c>
      <c r="R900" s="49" t="s">
        <v>628</v>
      </c>
      <c r="S900" s="11" t="s">
        <v>629</v>
      </c>
      <c r="T900" s="90" t="s">
        <v>7</v>
      </c>
      <c r="U900" s="90" t="s">
        <v>2914</v>
      </c>
      <c r="V900" s="51">
        <v>46048</v>
      </c>
      <c r="W900" s="49" t="s">
        <v>1584</v>
      </c>
    </row>
    <row r="901" spans="1:23" ht="13" customHeight="1" x14ac:dyDescent="0.35">
      <c r="A901" s="11">
        <v>895</v>
      </c>
      <c r="B901" s="47">
        <v>205257125</v>
      </c>
      <c r="C901" s="94" t="s">
        <v>2093</v>
      </c>
      <c r="D901" s="11" t="s">
        <v>2094</v>
      </c>
      <c r="E901" s="48" t="s">
        <v>31</v>
      </c>
      <c r="F901" s="48" t="s">
        <v>74</v>
      </c>
      <c r="G901" s="11" t="s">
        <v>64</v>
      </c>
      <c r="H901" s="11" t="s">
        <v>75</v>
      </c>
      <c r="I901" s="11">
        <v>1299</v>
      </c>
      <c r="J901" s="88" t="s">
        <v>39</v>
      </c>
      <c r="K901" s="49" t="s">
        <v>76</v>
      </c>
      <c r="L901" s="49" t="s">
        <v>78</v>
      </c>
      <c r="M901" s="49" t="s">
        <v>92</v>
      </c>
      <c r="N901" s="49" t="s">
        <v>89</v>
      </c>
      <c r="O901" s="49" t="s">
        <v>37</v>
      </c>
      <c r="P901" s="11" t="s">
        <v>80</v>
      </c>
      <c r="Q901" s="11" t="s">
        <v>96</v>
      </c>
      <c r="R901" s="11" t="s">
        <v>632</v>
      </c>
      <c r="S901" s="11" t="s">
        <v>633</v>
      </c>
      <c r="T901" s="90" t="s">
        <v>1</v>
      </c>
      <c r="U901" s="90"/>
      <c r="V901" s="51">
        <v>46048</v>
      </c>
      <c r="W901" s="49" t="s">
        <v>1584</v>
      </c>
    </row>
    <row r="902" spans="1:23" ht="13" customHeight="1" x14ac:dyDescent="0.35">
      <c r="A902" s="11">
        <v>896</v>
      </c>
      <c r="B902" s="47">
        <v>204228019</v>
      </c>
      <c r="C902" s="94" t="s">
        <v>965</v>
      </c>
      <c r="D902" s="11" t="s">
        <v>966</v>
      </c>
      <c r="E902" s="48" t="s">
        <v>31</v>
      </c>
      <c r="F902" s="48" t="s">
        <v>74</v>
      </c>
      <c r="G902" s="11" t="s">
        <v>64</v>
      </c>
      <c r="H902" s="11" t="s">
        <v>75</v>
      </c>
      <c r="I902" s="11">
        <v>1299</v>
      </c>
      <c r="J902" s="49" t="s">
        <v>39</v>
      </c>
      <c r="K902" s="49" t="s">
        <v>76</v>
      </c>
      <c r="L902" s="49" t="s">
        <v>36</v>
      </c>
      <c r="M902" s="49" t="s">
        <v>95</v>
      </c>
      <c r="N902" s="48" t="s">
        <v>86</v>
      </c>
      <c r="O902" s="49" t="s">
        <v>37</v>
      </c>
      <c r="P902" s="11" t="s">
        <v>80</v>
      </c>
      <c r="Q902" s="11" t="s">
        <v>90</v>
      </c>
      <c r="R902" s="49" t="s">
        <v>648</v>
      </c>
      <c r="S902" s="11" t="s">
        <v>1805</v>
      </c>
      <c r="T902" s="90" t="s">
        <v>1</v>
      </c>
      <c r="U902" s="125" t="s">
        <v>2919</v>
      </c>
      <c r="V902" s="51">
        <v>45684</v>
      </c>
      <c r="W902" s="49" t="s">
        <v>1584</v>
      </c>
    </row>
    <row r="903" spans="1:23" ht="13" customHeight="1" x14ac:dyDescent="0.35">
      <c r="A903" s="11">
        <v>897</v>
      </c>
      <c r="B903" s="47">
        <v>204117681</v>
      </c>
      <c r="C903" s="94" t="s">
        <v>967</v>
      </c>
      <c r="D903" s="11" t="s">
        <v>968</v>
      </c>
      <c r="E903" s="48" t="s">
        <v>31</v>
      </c>
      <c r="F903" s="48" t="s">
        <v>74</v>
      </c>
      <c r="G903" s="11" t="s">
        <v>64</v>
      </c>
      <c r="H903" s="11" t="s">
        <v>75</v>
      </c>
      <c r="I903" s="11">
        <v>1299</v>
      </c>
      <c r="J903" s="49" t="s">
        <v>39</v>
      </c>
      <c r="K903" s="49" t="s">
        <v>76</v>
      </c>
      <c r="L903" s="49" t="s">
        <v>77</v>
      </c>
      <c r="M903" s="49" t="s">
        <v>78</v>
      </c>
      <c r="N903" s="48" t="s">
        <v>86</v>
      </c>
      <c r="O903" s="49" t="s">
        <v>37</v>
      </c>
      <c r="P903" s="11" t="s">
        <v>80</v>
      </c>
      <c r="Q903" s="11" t="s">
        <v>87</v>
      </c>
      <c r="R903" s="49" t="s">
        <v>628</v>
      </c>
      <c r="S903" s="11" t="s">
        <v>629</v>
      </c>
      <c r="T903" s="90" t="s">
        <v>7</v>
      </c>
      <c r="U903" s="90" t="s">
        <v>2914</v>
      </c>
      <c r="V903" s="51">
        <v>45561</v>
      </c>
      <c r="W903" s="49" t="s">
        <v>1584</v>
      </c>
    </row>
    <row r="904" spans="1:23" ht="13" customHeight="1" x14ac:dyDescent="0.35">
      <c r="A904" s="11">
        <v>898</v>
      </c>
      <c r="B904" s="47">
        <v>205257122</v>
      </c>
      <c r="C904" s="95" t="s">
        <v>2081</v>
      </c>
      <c r="D904" s="11" t="s">
        <v>2082</v>
      </c>
      <c r="E904" s="48" t="s">
        <v>31</v>
      </c>
      <c r="F904" s="48" t="s">
        <v>74</v>
      </c>
      <c r="G904" s="11" t="s">
        <v>64</v>
      </c>
      <c r="H904" s="11" t="s">
        <v>75</v>
      </c>
      <c r="I904" s="11">
        <v>1299</v>
      </c>
      <c r="J904" s="49" t="s">
        <v>32</v>
      </c>
      <c r="K904" s="49" t="s">
        <v>76</v>
      </c>
      <c r="L904" s="49" t="s">
        <v>77</v>
      </c>
      <c r="M904" s="49" t="s">
        <v>78</v>
      </c>
      <c r="N904" s="49" t="s">
        <v>89</v>
      </c>
      <c r="O904" s="49" t="s">
        <v>37</v>
      </c>
      <c r="P904" s="11" t="s">
        <v>80</v>
      </c>
      <c r="Q904" s="11" t="s">
        <v>96</v>
      </c>
      <c r="R904" s="11" t="s">
        <v>2864</v>
      </c>
      <c r="S904" s="11" t="s">
        <v>2732</v>
      </c>
      <c r="T904" s="90" t="s">
        <v>1</v>
      </c>
      <c r="U904" s="89"/>
      <c r="V904" s="51">
        <v>46048</v>
      </c>
      <c r="W904" s="49" t="s">
        <v>1584</v>
      </c>
    </row>
    <row r="905" spans="1:23" ht="13" customHeight="1" x14ac:dyDescent="0.35">
      <c r="A905" s="11">
        <v>899</v>
      </c>
      <c r="B905" s="97">
        <v>203850880</v>
      </c>
      <c r="C905" s="47" t="s">
        <v>2816</v>
      </c>
      <c r="D905" s="94" t="s">
        <v>2817</v>
      </c>
      <c r="E905" s="48" t="s">
        <v>31</v>
      </c>
      <c r="F905" s="48" t="s">
        <v>74</v>
      </c>
      <c r="G905" s="11" t="s">
        <v>64</v>
      </c>
      <c r="H905" s="11" t="s">
        <v>75</v>
      </c>
      <c r="I905" s="11">
        <v>1299</v>
      </c>
      <c r="J905" s="49" t="s">
        <v>32</v>
      </c>
      <c r="K905" s="49" t="s">
        <v>76</v>
      </c>
      <c r="L905" s="49" t="s">
        <v>92</v>
      </c>
      <c r="M905" s="49" t="s">
        <v>84</v>
      </c>
      <c r="N905" s="48" t="s">
        <v>86</v>
      </c>
      <c r="O905" s="49" t="s">
        <v>37</v>
      </c>
      <c r="P905" s="11" t="s">
        <v>80</v>
      </c>
      <c r="Q905" s="11" t="s">
        <v>90</v>
      </c>
      <c r="R905" s="11" t="s">
        <v>1069</v>
      </c>
      <c r="S905" s="11" t="s">
        <v>2765</v>
      </c>
      <c r="T905" s="90" t="s">
        <v>1</v>
      </c>
      <c r="U905" s="89"/>
      <c r="V905" s="51">
        <v>45524</v>
      </c>
      <c r="W905" s="49" t="s">
        <v>1584</v>
      </c>
    </row>
    <row r="906" spans="1:23" ht="13" customHeight="1" x14ac:dyDescent="0.35">
      <c r="A906" s="11">
        <v>900</v>
      </c>
      <c r="B906" s="97">
        <v>204072308</v>
      </c>
      <c r="C906" s="47" t="s">
        <v>2818</v>
      </c>
      <c r="D906" s="94" t="s">
        <v>2819</v>
      </c>
      <c r="E906" s="48" t="s">
        <v>31</v>
      </c>
      <c r="F906" s="48" t="s">
        <v>74</v>
      </c>
      <c r="G906" s="11" t="s">
        <v>64</v>
      </c>
      <c r="H906" s="11" t="s">
        <v>75</v>
      </c>
      <c r="I906" s="11">
        <v>1299</v>
      </c>
      <c r="J906" s="49" t="s">
        <v>39</v>
      </c>
      <c r="K906" s="49" t="s">
        <v>76</v>
      </c>
      <c r="L906" s="49" t="s">
        <v>95</v>
      </c>
      <c r="M906" s="49" t="s">
        <v>77</v>
      </c>
      <c r="N906" s="48" t="s">
        <v>86</v>
      </c>
      <c r="O906" s="49" t="s">
        <v>37</v>
      </c>
      <c r="P906" s="11" t="s">
        <v>80</v>
      </c>
      <c r="Q906" s="11" t="s">
        <v>90</v>
      </c>
      <c r="R906" s="11" t="s">
        <v>2865</v>
      </c>
      <c r="S906" s="11" t="s">
        <v>2866</v>
      </c>
      <c r="T906" s="90" t="s">
        <v>1</v>
      </c>
      <c r="U906" s="91"/>
      <c r="V906" s="51">
        <v>45558</v>
      </c>
      <c r="W906" s="49" t="s">
        <v>1584</v>
      </c>
    </row>
    <row r="907" spans="1:23" ht="13" customHeight="1" x14ac:dyDescent="0.35">
      <c r="A907" s="11">
        <v>901</v>
      </c>
      <c r="B907" s="47">
        <v>204095806</v>
      </c>
      <c r="C907" s="94" t="s">
        <v>969</v>
      </c>
      <c r="D907" s="11" t="s">
        <v>970</v>
      </c>
      <c r="E907" s="48" t="s">
        <v>31</v>
      </c>
      <c r="F907" s="48" t="s">
        <v>74</v>
      </c>
      <c r="G907" s="11" t="s">
        <v>64</v>
      </c>
      <c r="H907" s="11" t="s">
        <v>75</v>
      </c>
      <c r="I907" s="11">
        <v>1299</v>
      </c>
      <c r="J907" s="49" t="s">
        <v>39</v>
      </c>
      <c r="K907" s="49" t="s">
        <v>76</v>
      </c>
      <c r="L907" s="49" t="s">
        <v>95</v>
      </c>
      <c r="M907" s="49" t="s">
        <v>77</v>
      </c>
      <c r="N907" s="48" t="s">
        <v>86</v>
      </c>
      <c r="O907" s="49" t="s">
        <v>37</v>
      </c>
      <c r="P907" s="11" t="s">
        <v>80</v>
      </c>
      <c r="Q907" s="11" t="s">
        <v>87</v>
      </c>
      <c r="R907" s="49" t="s">
        <v>648</v>
      </c>
      <c r="S907" s="11" t="s">
        <v>1805</v>
      </c>
      <c r="T907" s="90" t="s">
        <v>7</v>
      </c>
      <c r="U907" s="90" t="s">
        <v>2914</v>
      </c>
      <c r="V907" s="51">
        <v>45561</v>
      </c>
      <c r="W907" s="49" t="s">
        <v>1584</v>
      </c>
    </row>
    <row r="908" spans="1:23" ht="13" customHeight="1" x14ac:dyDescent="0.35">
      <c r="A908" s="11">
        <v>902</v>
      </c>
      <c r="B908" s="47">
        <v>206137340</v>
      </c>
      <c r="C908" s="94" t="s">
        <v>971</v>
      </c>
      <c r="D908" s="11" t="s">
        <v>972</v>
      </c>
      <c r="E908" s="48" t="s">
        <v>31</v>
      </c>
      <c r="F908" s="48" t="s">
        <v>74</v>
      </c>
      <c r="G908" s="11" t="s">
        <v>64</v>
      </c>
      <c r="H908" s="11" t="s">
        <v>75</v>
      </c>
      <c r="I908" s="11">
        <v>1299</v>
      </c>
      <c r="J908" s="49" t="s">
        <v>39</v>
      </c>
      <c r="K908" s="49" t="s">
        <v>76</v>
      </c>
      <c r="L908" s="49" t="s">
        <v>92</v>
      </c>
      <c r="M908" s="49" t="s">
        <v>84</v>
      </c>
      <c r="N908" s="48" t="s">
        <v>79</v>
      </c>
      <c r="O908" s="49" t="s">
        <v>37</v>
      </c>
      <c r="P908" s="11" t="s">
        <v>80</v>
      </c>
      <c r="Q908" s="11" t="s">
        <v>81</v>
      </c>
      <c r="R908" s="49" t="s">
        <v>628</v>
      </c>
      <c r="S908" s="11" t="s">
        <v>629</v>
      </c>
      <c r="T908" s="90" t="s">
        <v>1</v>
      </c>
      <c r="U908" s="90"/>
      <c r="V908" s="51">
        <v>45929</v>
      </c>
      <c r="W908" s="49" t="s">
        <v>1584</v>
      </c>
    </row>
    <row r="909" spans="1:23" ht="13" customHeight="1" x14ac:dyDescent="0.35">
      <c r="A909" s="11">
        <v>903</v>
      </c>
      <c r="B909" s="47">
        <v>204010440</v>
      </c>
      <c r="C909" s="94" t="s">
        <v>973</v>
      </c>
      <c r="D909" s="11" t="s">
        <v>974</v>
      </c>
      <c r="E909" s="48" t="s">
        <v>31</v>
      </c>
      <c r="F909" s="48" t="s">
        <v>74</v>
      </c>
      <c r="G909" s="11" t="s">
        <v>64</v>
      </c>
      <c r="H909" s="11" t="s">
        <v>75</v>
      </c>
      <c r="I909" s="11">
        <v>1299</v>
      </c>
      <c r="J909" s="49" t="s">
        <v>39</v>
      </c>
      <c r="K909" s="49" t="s">
        <v>76</v>
      </c>
      <c r="L909" s="49" t="s">
        <v>95</v>
      </c>
      <c r="M909" s="49" t="s">
        <v>77</v>
      </c>
      <c r="N909" s="49" t="s">
        <v>89</v>
      </c>
      <c r="O909" s="49" t="s">
        <v>37</v>
      </c>
      <c r="P909" s="11" t="s">
        <v>80</v>
      </c>
      <c r="Q909" s="11" t="s">
        <v>90</v>
      </c>
      <c r="R909" s="49" t="s">
        <v>648</v>
      </c>
      <c r="S909" s="11" t="s">
        <v>1805</v>
      </c>
      <c r="T909" s="90" t="s">
        <v>1</v>
      </c>
      <c r="U909" s="89"/>
      <c r="V909" s="51">
        <v>45894</v>
      </c>
      <c r="W909" s="49" t="s">
        <v>1584</v>
      </c>
    </row>
    <row r="910" spans="1:23" ht="13" customHeight="1" x14ac:dyDescent="0.35">
      <c r="A910" s="11">
        <v>904</v>
      </c>
      <c r="B910" s="47">
        <v>206846698</v>
      </c>
      <c r="C910" s="94" t="s">
        <v>1832</v>
      </c>
      <c r="D910" s="47" t="s">
        <v>1833</v>
      </c>
      <c r="E910" s="47" t="s">
        <v>31</v>
      </c>
      <c r="F910" s="48" t="s">
        <v>74</v>
      </c>
      <c r="G910" s="11" t="s">
        <v>64</v>
      </c>
      <c r="H910" s="11" t="s">
        <v>75</v>
      </c>
      <c r="I910" s="47">
        <v>1299</v>
      </c>
      <c r="J910" s="49" t="s">
        <v>39</v>
      </c>
      <c r="K910" s="49" t="s">
        <v>76</v>
      </c>
      <c r="L910" s="49" t="s">
        <v>36</v>
      </c>
      <c r="M910" s="49" t="s">
        <v>95</v>
      </c>
      <c r="N910" s="49" t="s">
        <v>89</v>
      </c>
      <c r="O910" s="49" t="s">
        <v>37</v>
      </c>
      <c r="P910" s="11" t="s">
        <v>80</v>
      </c>
      <c r="Q910" s="47" t="s">
        <v>90</v>
      </c>
      <c r="R910" s="49" t="s">
        <v>2735</v>
      </c>
      <c r="S910" s="47" t="s">
        <v>643</v>
      </c>
      <c r="T910" s="90" t="s">
        <v>1</v>
      </c>
      <c r="U910" s="125" t="s">
        <v>2919</v>
      </c>
      <c r="V910" s="51">
        <v>46013</v>
      </c>
      <c r="W910" s="49" t="s">
        <v>1584</v>
      </c>
    </row>
    <row r="911" spans="1:23" ht="13" customHeight="1" x14ac:dyDescent="0.35">
      <c r="A911" s="11">
        <v>905</v>
      </c>
      <c r="B911" s="47">
        <v>202436104</v>
      </c>
      <c r="C911" s="94" t="s">
        <v>975</v>
      </c>
      <c r="D911" s="11" t="s">
        <v>976</v>
      </c>
      <c r="E911" s="48" t="s">
        <v>31</v>
      </c>
      <c r="F911" s="48" t="s">
        <v>74</v>
      </c>
      <c r="G911" s="11" t="s">
        <v>64</v>
      </c>
      <c r="H911" s="11" t="s">
        <v>75</v>
      </c>
      <c r="I911" s="11">
        <v>1299</v>
      </c>
      <c r="J911" s="49" t="s">
        <v>39</v>
      </c>
      <c r="K911" s="49" t="s">
        <v>76</v>
      </c>
      <c r="L911" s="49" t="s">
        <v>92</v>
      </c>
      <c r="M911" s="49" t="s">
        <v>84</v>
      </c>
      <c r="N911" s="48" t="s">
        <v>86</v>
      </c>
      <c r="O911" s="49" t="s">
        <v>37</v>
      </c>
      <c r="P911" s="11" t="s">
        <v>80</v>
      </c>
      <c r="Q911" s="11" t="s">
        <v>87</v>
      </c>
      <c r="R911" s="49" t="s">
        <v>628</v>
      </c>
      <c r="S911" s="11" t="s">
        <v>629</v>
      </c>
      <c r="T911" s="90" t="s">
        <v>1</v>
      </c>
      <c r="U911" s="91"/>
      <c r="V911" s="51">
        <v>45586</v>
      </c>
      <c r="W911" s="49" t="s">
        <v>1585</v>
      </c>
    </row>
    <row r="912" spans="1:23" ht="13" customHeight="1" x14ac:dyDescent="0.35">
      <c r="A912" s="11">
        <v>906</v>
      </c>
      <c r="B912" s="47">
        <v>203965179</v>
      </c>
      <c r="C912" s="94" t="s">
        <v>977</v>
      </c>
      <c r="D912" s="11" t="s">
        <v>978</v>
      </c>
      <c r="E912" s="48" t="s">
        <v>31</v>
      </c>
      <c r="F912" s="48" t="s">
        <v>74</v>
      </c>
      <c r="G912" s="11" t="s">
        <v>64</v>
      </c>
      <c r="H912" s="11" t="s">
        <v>75</v>
      </c>
      <c r="I912" s="11">
        <v>1299</v>
      </c>
      <c r="J912" s="49" t="s">
        <v>39</v>
      </c>
      <c r="K912" s="49" t="s">
        <v>76</v>
      </c>
      <c r="L912" s="49" t="s">
        <v>95</v>
      </c>
      <c r="M912" s="49" t="s">
        <v>77</v>
      </c>
      <c r="N912" s="48" t="s">
        <v>79</v>
      </c>
      <c r="O912" s="49" t="s">
        <v>37</v>
      </c>
      <c r="P912" s="11" t="s">
        <v>80</v>
      </c>
      <c r="Q912" s="11" t="s">
        <v>96</v>
      </c>
      <c r="R912" s="49" t="s">
        <v>648</v>
      </c>
      <c r="S912" s="11" t="s">
        <v>1805</v>
      </c>
      <c r="T912" s="90" t="s">
        <v>1</v>
      </c>
      <c r="U912" s="90"/>
      <c r="V912" s="51">
        <v>45544</v>
      </c>
      <c r="W912" s="49" t="s">
        <v>1584</v>
      </c>
    </row>
    <row r="913" spans="1:23" ht="13" customHeight="1" x14ac:dyDescent="0.35">
      <c r="A913" s="11">
        <v>907</v>
      </c>
      <c r="B913" s="11">
        <v>206200811</v>
      </c>
      <c r="C913" s="94" t="s">
        <v>2860</v>
      </c>
      <c r="D913" s="11" t="s">
        <v>2861</v>
      </c>
      <c r="E913" s="48" t="s">
        <v>31</v>
      </c>
      <c r="F913" s="48" t="s">
        <v>74</v>
      </c>
      <c r="G913" s="11" t="s">
        <v>64</v>
      </c>
      <c r="H913" s="11" t="s">
        <v>75</v>
      </c>
      <c r="I913" s="11">
        <v>1299</v>
      </c>
      <c r="J913" s="49" t="s">
        <v>39</v>
      </c>
      <c r="K913" s="49" t="s">
        <v>76</v>
      </c>
      <c r="L913" s="49" t="s">
        <v>77</v>
      </c>
      <c r="M913" s="49" t="s">
        <v>78</v>
      </c>
      <c r="N913" s="11" t="s">
        <v>89</v>
      </c>
      <c r="O913" s="11" t="s">
        <v>37</v>
      </c>
      <c r="P913" s="11" t="s">
        <v>80</v>
      </c>
      <c r="Q913" s="11" t="s">
        <v>81</v>
      </c>
      <c r="R913" s="11" t="s">
        <v>2735</v>
      </c>
      <c r="S913" s="11" t="s">
        <v>643</v>
      </c>
      <c r="T913" s="90" t="s">
        <v>1</v>
      </c>
      <c r="U913" s="90"/>
      <c r="V913" s="51">
        <v>46226</v>
      </c>
      <c r="W913" s="11" t="s">
        <v>1584</v>
      </c>
    </row>
    <row r="914" spans="1:23" ht="13" customHeight="1" x14ac:dyDescent="0.35">
      <c r="A914" s="11">
        <v>908</v>
      </c>
      <c r="B914" s="47">
        <v>204890369</v>
      </c>
      <c r="C914" s="94" t="s">
        <v>979</v>
      </c>
      <c r="D914" s="11" t="s">
        <v>980</v>
      </c>
      <c r="E914" s="48" t="s">
        <v>31</v>
      </c>
      <c r="F914" s="48" t="s">
        <v>74</v>
      </c>
      <c r="G914" s="11" t="s">
        <v>64</v>
      </c>
      <c r="H914" s="11" t="s">
        <v>75</v>
      </c>
      <c r="I914" s="11">
        <v>1290</v>
      </c>
      <c r="J914" s="49" t="s">
        <v>39</v>
      </c>
      <c r="K914" s="49" t="s">
        <v>76</v>
      </c>
      <c r="L914" s="49" t="s">
        <v>78</v>
      </c>
      <c r="M914" s="49" t="s">
        <v>92</v>
      </c>
      <c r="N914" s="48" t="s">
        <v>86</v>
      </c>
      <c r="O914" s="49" t="s">
        <v>37</v>
      </c>
      <c r="P914" s="11" t="s">
        <v>80</v>
      </c>
      <c r="Q914" s="11" t="s">
        <v>90</v>
      </c>
      <c r="R914" s="49" t="s">
        <v>648</v>
      </c>
      <c r="S914" s="11" t="s">
        <v>1805</v>
      </c>
      <c r="T914" s="90" t="s">
        <v>1</v>
      </c>
      <c r="U914" s="90"/>
      <c r="V914" s="51">
        <v>45691</v>
      </c>
      <c r="W914" s="49" t="s">
        <v>1584</v>
      </c>
    </row>
    <row r="915" spans="1:23" ht="13" customHeight="1" x14ac:dyDescent="0.35">
      <c r="A915" s="11">
        <v>909</v>
      </c>
      <c r="B915" s="47">
        <v>203522217</v>
      </c>
      <c r="C915" s="94" t="s">
        <v>981</v>
      </c>
      <c r="D915" s="11" t="s">
        <v>982</v>
      </c>
      <c r="E915" s="48" t="s">
        <v>31</v>
      </c>
      <c r="F915" s="48" t="s">
        <v>74</v>
      </c>
      <c r="G915" s="11" t="s">
        <v>64</v>
      </c>
      <c r="H915" s="11" t="s">
        <v>75</v>
      </c>
      <c r="I915" s="11">
        <v>1299</v>
      </c>
      <c r="J915" s="49" t="s">
        <v>39</v>
      </c>
      <c r="K915" s="49" t="s">
        <v>76</v>
      </c>
      <c r="L915" s="49" t="s">
        <v>92</v>
      </c>
      <c r="M915" s="49" t="s">
        <v>84</v>
      </c>
      <c r="N915" s="48" t="s">
        <v>86</v>
      </c>
      <c r="O915" s="49" t="s">
        <v>37</v>
      </c>
      <c r="P915" s="11" t="s">
        <v>80</v>
      </c>
      <c r="Q915" s="11" t="s">
        <v>99</v>
      </c>
      <c r="R915" s="49" t="s">
        <v>628</v>
      </c>
      <c r="S915" s="11" t="s">
        <v>629</v>
      </c>
      <c r="T915" s="90" t="s">
        <v>7</v>
      </c>
      <c r="U915" s="90" t="s">
        <v>2914</v>
      </c>
      <c r="V915" s="51">
        <v>45463</v>
      </c>
      <c r="W915" s="49" t="s">
        <v>1586</v>
      </c>
    </row>
    <row r="916" spans="1:23" ht="13" customHeight="1" x14ac:dyDescent="0.35">
      <c r="A916" s="11">
        <v>910</v>
      </c>
      <c r="B916" s="47">
        <v>104033275</v>
      </c>
      <c r="C916" s="94" t="s">
        <v>983</v>
      </c>
      <c r="D916" s="11" t="s">
        <v>984</v>
      </c>
      <c r="E916" s="48" t="s">
        <v>34</v>
      </c>
      <c r="F916" s="48" t="s">
        <v>74</v>
      </c>
      <c r="G916" s="11" t="s">
        <v>64</v>
      </c>
      <c r="H916" s="11" t="s">
        <v>75</v>
      </c>
      <c r="I916" s="11">
        <v>1299</v>
      </c>
      <c r="J916" s="49" t="s">
        <v>32</v>
      </c>
      <c r="K916" s="49" t="s">
        <v>76</v>
      </c>
      <c r="L916" s="49" t="s">
        <v>78</v>
      </c>
      <c r="M916" s="49" t="s">
        <v>92</v>
      </c>
      <c r="N916" s="48" t="s">
        <v>108</v>
      </c>
      <c r="O916" s="49" t="s">
        <v>37</v>
      </c>
      <c r="P916" s="11" t="s">
        <v>80</v>
      </c>
      <c r="Q916" s="11" t="s">
        <v>98</v>
      </c>
      <c r="R916" s="49" t="s">
        <v>648</v>
      </c>
      <c r="S916" s="11" t="s">
        <v>1805</v>
      </c>
      <c r="T916" s="90" t="s">
        <v>1</v>
      </c>
      <c r="U916" s="90"/>
      <c r="V916" s="51">
        <v>44067</v>
      </c>
      <c r="W916" s="49" t="s">
        <v>1586</v>
      </c>
    </row>
    <row r="917" spans="1:23" ht="13" customHeight="1" x14ac:dyDescent="0.35">
      <c r="A917" s="11">
        <v>911</v>
      </c>
      <c r="B917" s="47">
        <v>204864410</v>
      </c>
      <c r="C917" s="94" t="s">
        <v>2420</v>
      </c>
      <c r="D917" s="11" t="s">
        <v>2421</v>
      </c>
      <c r="E917" s="48" t="s">
        <v>31</v>
      </c>
      <c r="F917" s="48" t="s">
        <v>74</v>
      </c>
      <c r="G917" s="11" t="s">
        <v>64</v>
      </c>
      <c r="H917" s="11" t="s">
        <v>75</v>
      </c>
      <c r="I917" s="11">
        <v>1299</v>
      </c>
      <c r="J917" s="49" t="s">
        <v>32</v>
      </c>
      <c r="K917" s="49" t="s">
        <v>76</v>
      </c>
      <c r="L917" s="49" t="s">
        <v>78</v>
      </c>
      <c r="M917" s="49" t="s">
        <v>92</v>
      </c>
      <c r="N917" s="48" t="s">
        <v>86</v>
      </c>
      <c r="O917" s="49" t="s">
        <v>37</v>
      </c>
      <c r="P917" s="11" t="s">
        <v>80</v>
      </c>
      <c r="Q917" s="11" t="s">
        <v>90</v>
      </c>
      <c r="R917" s="49" t="s">
        <v>648</v>
      </c>
      <c r="S917" s="11" t="s">
        <v>1805</v>
      </c>
      <c r="T917" s="90" t="s">
        <v>1</v>
      </c>
      <c r="U917" s="89"/>
      <c r="V917" s="51">
        <v>45685</v>
      </c>
      <c r="W917" s="49" t="s">
        <v>1584</v>
      </c>
    </row>
    <row r="918" spans="1:23" ht="13" customHeight="1" x14ac:dyDescent="0.35">
      <c r="A918" s="11">
        <v>912</v>
      </c>
      <c r="B918" s="97">
        <v>203908896</v>
      </c>
      <c r="C918" s="47" t="s">
        <v>2820</v>
      </c>
      <c r="D918" s="94" t="s">
        <v>2821</v>
      </c>
      <c r="E918" s="48" t="s">
        <v>31</v>
      </c>
      <c r="F918" s="48" t="s">
        <v>74</v>
      </c>
      <c r="G918" s="11" t="s">
        <v>64</v>
      </c>
      <c r="H918" s="11" t="s">
        <v>75</v>
      </c>
      <c r="I918" s="11">
        <v>1299</v>
      </c>
      <c r="J918" s="49" t="s">
        <v>39</v>
      </c>
      <c r="K918" s="49" t="s">
        <v>76</v>
      </c>
      <c r="L918" s="49" t="s">
        <v>95</v>
      </c>
      <c r="M918" s="49" t="s">
        <v>77</v>
      </c>
      <c r="N918" s="48" t="s">
        <v>86</v>
      </c>
      <c r="O918" s="49" t="s">
        <v>37</v>
      </c>
      <c r="P918" s="11" t="s">
        <v>80</v>
      </c>
      <c r="Q918" s="11" t="s">
        <v>90</v>
      </c>
      <c r="R918" s="11" t="s">
        <v>1069</v>
      </c>
      <c r="S918" s="11" t="s">
        <v>2765</v>
      </c>
      <c r="T918" s="90" t="s">
        <v>1</v>
      </c>
      <c r="U918" s="90"/>
      <c r="V918" s="51">
        <v>45789</v>
      </c>
      <c r="W918" s="49" t="s">
        <v>1584</v>
      </c>
    </row>
    <row r="919" spans="1:23" ht="13" customHeight="1" x14ac:dyDescent="0.35">
      <c r="A919" s="11">
        <v>913</v>
      </c>
      <c r="B919" s="47">
        <v>103900839</v>
      </c>
      <c r="C919" s="94" t="s">
        <v>985</v>
      </c>
      <c r="D919" s="11" t="s">
        <v>986</v>
      </c>
      <c r="E919" s="48" t="s">
        <v>34</v>
      </c>
      <c r="F919" s="48" t="s">
        <v>74</v>
      </c>
      <c r="G919" s="11" t="s">
        <v>64</v>
      </c>
      <c r="H919" s="11" t="s">
        <v>75</v>
      </c>
      <c r="I919" s="11">
        <v>1299</v>
      </c>
      <c r="J919" s="49" t="s">
        <v>39</v>
      </c>
      <c r="K919" s="49" t="s">
        <v>76</v>
      </c>
      <c r="L919" s="49" t="s">
        <v>84</v>
      </c>
      <c r="M919" s="49" t="s">
        <v>85</v>
      </c>
      <c r="N919" s="48" t="s">
        <v>108</v>
      </c>
      <c r="O919" s="49" t="s">
        <v>37</v>
      </c>
      <c r="P919" s="11" t="s">
        <v>80</v>
      </c>
      <c r="Q919" s="11" t="s">
        <v>98</v>
      </c>
      <c r="R919" s="49" t="s">
        <v>2735</v>
      </c>
      <c r="S919" s="11" t="s">
        <v>643</v>
      </c>
      <c r="T919" s="90" t="s">
        <v>1</v>
      </c>
      <c r="U919" s="90"/>
      <c r="V919" s="51">
        <v>44831</v>
      </c>
      <c r="W919" s="49" t="s">
        <v>1584</v>
      </c>
    </row>
    <row r="920" spans="1:23" ht="13" customHeight="1" x14ac:dyDescent="0.35">
      <c r="A920" s="11">
        <v>914</v>
      </c>
      <c r="B920" s="47">
        <v>204882814</v>
      </c>
      <c r="C920" s="94" t="s">
        <v>2422</v>
      </c>
      <c r="D920" s="11" t="s">
        <v>2423</v>
      </c>
      <c r="E920" s="48" t="s">
        <v>31</v>
      </c>
      <c r="F920" s="48" t="s">
        <v>74</v>
      </c>
      <c r="G920" s="11" t="s">
        <v>64</v>
      </c>
      <c r="H920" s="11" t="s">
        <v>75</v>
      </c>
      <c r="I920" s="11">
        <v>1299</v>
      </c>
      <c r="J920" s="49" t="s">
        <v>39</v>
      </c>
      <c r="K920" s="49" t="s">
        <v>76</v>
      </c>
      <c r="L920" s="49" t="s">
        <v>84</v>
      </c>
      <c r="M920" s="49" t="s">
        <v>85</v>
      </c>
      <c r="N920" s="48" t="s">
        <v>86</v>
      </c>
      <c r="O920" s="49" t="s">
        <v>37</v>
      </c>
      <c r="P920" s="11" t="s">
        <v>80</v>
      </c>
      <c r="Q920" s="11" t="s">
        <v>90</v>
      </c>
      <c r="R920" s="49" t="s">
        <v>628</v>
      </c>
      <c r="S920" s="11" t="s">
        <v>629</v>
      </c>
      <c r="T920" s="90" t="s">
        <v>1</v>
      </c>
      <c r="U920" s="89"/>
      <c r="V920" s="51">
        <v>45691</v>
      </c>
      <c r="W920" s="49" t="s">
        <v>1584</v>
      </c>
    </row>
    <row r="921" spans="1:23" ht="13" customHeight="1" x14ac:dyDescent="0.35">
      <c r="A921" s="11">
        <v>915</v>
      </c>
      <c r="B921" s="47">
        <v>203737012</v>
      </c>
      <c r="C921" s="94" t="s">
        <v>987</v>
      </c>
      <c r="D921" s="11" t="s">
        <v>988</v>
      </c>
      <c r="E921" s="48" t="s">
        <v>31</v>
      </c>
      <c r="F921" s="48" t="s">
        <v>74</v>
      </c>
      <c r="G921" s="11" t="s">
        <v>64</v>
      </c>
      <c r="H921" s="11" t="s">
        <v>75</v>
      </c>
      <c r="I921" s="11">
        <v>1299</v>
      </c>
      <c r="J921" s="49" t="s">
        <v>32</v>
      </c>
      <c r="K921" s="49" t="s">
        <v>76</v>
      </c>
      <c r="L921" s="49" t="s">
        <v>84</v>
      </c>
      <c r="M921" s="49" t="s">
        <v>85</v>
      </c>
      <c r="N921" s="48" t="s">
        <v>79</v>
      </c>
      <c r="O921" s="49" t="s">
        <v>37</v>
      </c>
      <c r="P921" s="11" t="s">
        <v>80</v>
      </c>
      <c r="Q921" s="11" t="s">
        <v>81</v>
      </c>
      <c r="R921" s="49" t="s">
        <v>648</v>
      </c>
      <c r="S921" s="11" t="s">
        <v>1805</v>
      </c>
      <c r="T921" s="90" t="s">
        <v>1</v>
      </c>
      <c r="U921" s="91"/>
      <c r="V921" s="51">
        <v>45502</v>
      </c>
      <c r="W921" s="49" t="s">
        <v>1584</v>
      </c>
    </row>
    <row r="922" spans="1:23" ht="13" customHeight="1" x14ac:dyDescent="0.35">
      <c r="A922" s="11">
        <v>916</v>
      </c>
      <c r="B922" s="47">
        <v>106301305</v>
      </c>
      <c r="C922" s="94" t="s">
        <v>989</v>
      </c>
      <c r="D922" s="11" t="s">
        <v>990</v>
      </c>
      <c r="E922" s="48" t="s">
        <v>34</v>
      </c>
      <c r="F922" s="48" t="s">
        <v>74</v>
      </c>
      <c r="G922" s="11" t="s">
        <v>64</v>
      </c>
      <c r="H922" s="11" t="s">
        <v>75</v>
      </c>
      <c r="I922" s="11">
        <v>1299</v>
      </c>
      <c r="J922" s="49" t="s">
        <v>39</v>
      </c>
      <c r="K922" s="49" t="s">
        <v>76</v>
      </c>
      <c r="L922" s="49" t="s">
        <v>95</v>
      </c>
      <c r="M922" s="49" t="s">
        <v>77</v>
      </c>
      <c r="N922" s="48" t="s">
        <v>108</v>
      </c>
      <c r="O922" s="49" t="s">
        <v>37</v>
      </c>
      <c r="P922" s="11" t="s">
        <v>80</v>
      </c>
      <c r="Q922" s="11" t="s">
        <v>98</v>
      </c>
      <c r="R922" s="49" t="s">
        <v>648</v>
      </c>
      <c r="S922" s="11" t="s">
        <v>1805</v>
      </c>
      <c r="T922" s="90" t="s">
        <v>1</v>
      </c>
      <c r="U922" s="90"/>
      <c r="V922" s="51">
        <v>44839</v>
      </c>
      <c r="W922" s="49" t="s">
        <v>1584</v>
      </c>
    </row>
    <row r="923" spans="1:23" ht="13" customHeight="1" x14ac:dyDescent="0.35">
      <c r="A923" s="11">
        <v>917</v>
      </c>
      <c r="B923" s="47">
        <v>203993521</v>
      </c>
      <c r="C923" s="94" t="s">
        <v>2424</v>
      </c>
      <c r="D923" s="11" t="s">
        <v>2425</v>
      </c>
      <c r="E923" s="48" t="s">
        <v>31</v>
      </c>
      <c r="F923" s="48" t="s">
        <v>74</v>
      </c>
      <c r="G923" s="11" t="s">
        <v>64</v>
      </c>
      <c r="H923" s="11" t="s">
        <v>75</v>
      </c>
      <c r="I923" s="11">
        <v>1299</v>
      </c>
      <c r="J923" s="49" t="s">
        <v>39</v>
      </c>
      <c r="K923" s="49" t="s">
        <v>76</v>
      </c>
      <c r="L923" s="49" t="s">
        <v>77</v>
      </c>
      <c r="M923" s="49" t="s">
        <v>78</v>
      </c>
      <c r="N923" s="48" t="s">
        <v>86</v>
      </c>
      <c r="O923" s="49" t="s">
        <v>37</v>
      </c>
      <c r="P923" s="11" t="s">
        <v>80</v>
      </c>
      <c r="Q923" s="11" t="s">
        <v>90</v>
      </c>
      <c r="R923" s="49" t="s">
        <v>628</v>
      </c>
      <c r="S923" s="11" t="s">
        <v>629</v>
      </c>
      <c r="T923" s="90" t="s">
        <v>1</v>
      </c>
      <c r="U923" s="90"/>
      <c r="V923" s="51">
        <v>45547</v>
      </c>
      <c r="W923" s="49" t="s">
        <v>1584</v>
      </c>
    </row>
    <row r="924" spans="1:23" ht="13" customHeight="1" x14ac:dyDescent="0.35">
      <c r="A924" s="11">
        <v>918</v>
      </c>
      <c r="B924" s="47">
        <v>206239216</v>
      </c>
      <c r="C924" s="94" t="s">
        <v>1659</v>
      </c>
      <c r="D924" s="11" t="s">
        <v>1627</v>
      </c>
      <c r="E924" s="48" t="s">
        <v>31</v>
      </c>
      <c r="F924" s="48" t="s">
        <v>74</v>
      </c>
      <c r="G924" s="11" t="s">
        <v>64</v>
      </c>
      <c r="H924" s="11" t="s">
        <v>75</v>
      </c>
      <c r="I924" s="11">
        <v>1299</v>
      </c>
      <c r="J924" s="49" t="s">
        <v>32</v>
      </c>
      <c r="K924" s="49" t="s">
        <v>76</v>
      </c>
      <c r="L924" s="49" t="s">
        <v>36</v>
      </c>
      <c r="M924" s="49" t="s">
        <v>95</v>
      </c>
      <c r="N924" s="48" t="s">
        <v>79</v>
      </c>
      <c r="O924" s="49" t="s">
        <v>37</v>
      </c>
      <c r="P924" s="11" t="s">
        <v>80</v>
      </c>
      <c r="Q924" s="11" t="s">
        <v>81</v>
      </c>
      <c r="R924" s="49" t="s">
        <v>2735</v>
      </c>
      <c r="S924" s="11" t="s">
        <v>643</v>
      </c>
      <c r="T924" s="90" t="s">
        <v>1</v>
      </c>
      <c r="U924" s="90" t="s">
        <v>2919</v>
      </c>
      <c r="V924" s="51">
        <v>45943</v>
      </c>
      <c r="W924" s="49" t="s">
        <v>1583</v>
      </c>
    </row>
    <row r="925" spans="1:23" ht="13" customHeight="1" x14ac:dyDescent="0.35">
      <c r="A925" s="11">
        <v>919</v>
      </c>
      <c r="B925" s="47">
        <v>206074988</v>
      </c>
      <c r="C925" s="94" t="s">
        <v>991</v>
      </c>
      <c r="D925" s="11" t="s">
        <v>992</v>
      </c>
      <c r="E925" s="48" t="s">
        <v>31</v>
      </c>
      <c r="F925" s="48" t="s">
        <v>74</v>
      </c>
      <c r="G925" s="11" t="s">
        <v>64</v>
      </c>
      <c r="H925" s="11" t="s">
        <v>75</v>
      </c>
      <c r="I925" s="11">
        <v>1299</v>
      </c>
      <c r="J925" s="49" t="s">
        <v>39</v>
      </c>
      <c r="K925" s="49" t="s">
        <v>76</v>
      </c>
      <c r="L925" s="49" t="s">
        <v>77</v>
      </c>
      <c r="M925" s="49" t="s">
        <v>78</v>
      </c>
      <c r="N925" s="48" t="s">
        <v>79</v>
      </c>
      <c r="O925" s="49" t="s">
        <v>37</v>
      </c>
      <c r="P925" s="11" t="s">
        <v>80</v>
      </c>
      <c r="Q925" s="11" t="s">
        <v>81</v>
      </c>
      <c r="R925" s="11" t="s">
        <v>632</v>
      </c>
      <c r="S925" s="11" t="s">
        <v>633</v>
      </c>
      <c r="T925" s="90" t="s">
        <v>1</v>
      </c>
      <c r="U925" s="91"/>
      <c r="V925" s="51">
        <v>45922</v>
      </c>
      <c r="W925" s="49" t="s">
        <v>1584</v>
      </c>
    </row>
    <row r="926" spans="1:23" ht="13" customHeight="1" x14ac:dyDescent="0.35">
      <c r="A926" s="11">
        <v>920</v>
      </c>
      <c r="B926" s="47">
        <v>205275634</v>
      </c>
      <c r="C926" s="95" t="s">
        <v>2071</v>
      </c>
      <c r="D926" s="11" t="s">
        <v>2072</v>
      </c>
      <c r="E926" s="48" t="s">
        <v>31</v>
      </c>
      <c r="F926" s="48" t="s">
        <v>74</v>
      </c>
      <c r="G926" s="11" t="s">
        <v>64</v>
      </c>
      <c r="H926" s="11" t="s">
        <v>75</v>
      </c>
      <c r="I926" s="11">
        <v>1299</v>
      </c>
      <c r="J926" s="49" t="s">
        <v>32</v>
      </c>
      <c r="K926" s="49" t="s">
        <v>76</v>
      </c>
      <c r="L926" s="49" t="s">
        <v>95</v>
      </c>
      <c r="M926" s="49" t="s">
        <v>77</v>
      </c>
      <c r="N926" s="49" t="s">
        <v>89</v>
      </c>
      <c r="O926" s="49" t="s">
        <v>37</v>
      </c>
      <c r="P926" s="11" t="s">
        <v>80</v>
      </c>
      <c r="Q926" s="11" t="s">
        <v>96</v>
      </c>
      <c r="R926" s="11" t="s">
        <v>2865</v>
      </c>
      <c r="S926" s="11" t="s">
        <v>2866</v>
      </c>
      <c r="T926" s="90" t="s">
        <v>1</v>
      </c>
      <c r="U926" s="91"/>
      <c r="V926" s="51">
        <v>46048</v>
      </c>
      <c r="W926" s="49" t="s">
        <v>1584</v>
      </c>
    </row>
    <row r="927" spans="1:23" ht="13" customHeight="1" x14ac:dyDescent="0.35">
      <c r="A927" s="11">
        <v>921</v>
      </c>
      <c r="B927" s="47">
        <v>203342033</v>
      </c>
      <c r="C927" s="94" t="s">
        <v>993</v>
      </c>
      <c r="D927" s="11" t="s">
        <v>994</v>
      </c>
      <c r="E927" s="48" t="s">
        <v>31</v>
      </c>
      <c r="F927" s="48" t="s">
        <v>74</v>
      </c>
      <c r="G927" s="11" t="s">
        <v>64</v>
      </c>
      <c r="H927" s="11" t="s">
        <v>75</v>
      </c>
      <c r="I927" s="11">
        <v>1299</v>
      </c>
      <c r="J927" s="49" t="s">
        <v>32</v>
      </c>
      <c r="K927" s="49" t="s">
        <v>76</v>
      </c>
      <c r="L927" s="49" t="s">
        <v>78</v>
      </c>
      <c r="M927" s="49" t="s">
        <v>92</v>
      </c>
      <c r="N927" s="48" t="s">
        <v>86</v>
      </c>
      <c r="O927" s="49" t="s">
        <v>37</v>
      </c>
      <c r="P927" s="11" t="s">
        <v>80</v>
      </c>
      <c r="Q927" s="11" t="s">
        <v>99</v>
      </c>
      <c r="R927" s="49" t="s">
        <v>648</v>
      </c>
      <c r="S927" s="11" t="s">
        <v>1805</v>
      </c>
      <c r="T927" s="90" t="s">
        <v>1</v>
      </c>
      <c r="U927" s="91"/>
      <c r="V927" s="51">
        <v>45432</v>
      </c>
      <c r="W927" s="49" t="s">
        <v>1586</v>
      </c>
    </row>
    <row r="928" spans="1:23" ht="13" customHeight="1" x14ac:dyDescent="0.35">
      <c r="A928" s="11">
        <v>922</v>
      </c>
      <c r="B928" s="47">
        <v>206897646</v>
      </c>
      <c r="C928" s="94" t="s">
        <v>1894</v>
      </c>
      <c r="D928" s="11" t="s">
        <v>1895</v>
      </c>
      <c r="E928" s="48" t="s">
        <v>31</v>
      </c>
      <c r="F928" s="48" t="s">
        <v>74</v>
      </c>
      <c r="G928" s="11" t="s">
        <v>64</v>
      </c>
      <c r="H928" s="11" t="s">
        <v>75</v>
      </c>
      <c r="I928" s="11">
        <v>1290</v>
      </c>
      <c r="J928" s="49" t="s">
        <v>39</v>
      </c>
      <c r="K928" s="49" t="s">
        <v>76</v>
      </c>
      <c r="L928" s="49" t="s">
        <v>77</v>
      </c>
      <c r="M928" s="49" t="s">
        <v>78</v>
      </c>
      <c r="N928" s="49" t="s">
        <v>89</v>
      </c>
      <c r="O928" s="48" t="s">
        <v>37</v>
      </c>
      <c r="P928" s="48" t="s">
        <v>80</v>
      </c>
      <c r="Q928" s="11" t="s">
        <v>81</v>
      </c>
      <c r="R928" s="11" t="s">
        <v>1069</v>
      </c>
      <c r="S928" s="11" t="s">
        <v>2733</v>
      </c>
      <c r="T928" s="90" t="s">
        <v>1</v>
      </c>
      <c r="U928" s="90"/>
      <c r="V928" s="51">
        <v>46030</v>
      </c>
      <c r="W928" s="49" t="s">
        <v>1584</v>
      </c>
    </row>
    <row r="929" spans="1:23" ht="13" customHeight="1" x14ac:dyDescent="0.35">
      <c r="A929" s="11">
        <v>923</v>
      </c>
      <c r="B929" s="47">
        <v>203468750</v>
      </c>
      <c r="C929" s="94" t="s">
        <v>995</v>
      </c>
      <c r="D929" s="11" t="s">
        <v>996</v>
      </c>
      <c r="E929" s="48" t="s">
        <v>31</v>
      </c>
      <c r="F929" s="48" t="s">
        <v>74</v>
      </c>
      <c r="G929" s="11" t="s">
        <v>64</v>
      </c>
      <c r="H929" s="11" t="s">
        <v>75</v>
      </c>
      <c r="I929" s="11">
        <v>1299</v>
      </c>
      <c r="J929" s="49" t="s">
        <v>32</v>
      </c>
      <c r="K929" s="49" t="s">
        <v>76</v>
      </c>
      <c r="L929" s="49" t="s">
        <v>85</v>
      </c>
      <c r="M929" s="49" t="s">
        <v>88</v>
      </c>
      <c r="N929" s="48" t="s">
        <v>79</v>
      </c>
      <c r="O929" s="49" t="s">
        <v>37</v>
      </c>
      <c r="P929" s="11" t="s">
        <v>80</v>
      </c>
      <c r="Q929" s="11" t="s">
        <v>81</v>
      </c>
      <c r="R929" s="49" t="s">
        <v>648</v>
      </c>
      <c r="S929" s="11" t="s">
        <v>1805</v>
      </c>
      <c r="T929" s="90" t="s">
        <v>10</v>
      </c>
      <c r="U929" s="89"/>
      <c r="V929" s="51">
        <v>45456</v>
      </c>
      <c r="W929" s="49" t="s">
        <v>1586</v>
      </c>
    </row>
    <row r="930" spans="1:23" ht="13" customHeight="1" x14ac:dyDescent="0.35">
      <c r="A930" s="11">
        <v>924</v>
      </c>
      <c r="B930" s="47">
        <v>204138118</v>
      </c>
      <c r="C930" s="94" t="s">
        <v>997</v>
      </c>
      <c r="D930" s="11" t="s">
        <v>998</v>
      </c>
      <c r="E930" s="48" t="s">
        <v>31</v>
      </c>
      <c r="F930" s="48" t="s">
        <v>74</v>
      </c>
      <c r="G930" s="11" t="s">
        <v>64</v>
      </c>
      <c r="H930" s="11" t="s">
        <v>75</v>
      </c>
      <c r="I930" s="11">
        <v>1299</v>
      </c>
      <c r="J930" s="49" t="s">
        <v>32</v>
      </c>
      <c r="K930" s="49" t="s">
        <v>76</v>
      </c>
      <c r="L930" s="49" t="s">
        <v>85</v>
      </c>
      <c r="M930" s="49" t="s">
        <v>88</v>
      </c>
      <c r="N930" s="48" t="s">
        <v>86</v>
      </c>
      <c r="O930" s="49" t="s">
        <v>37</v>
      </c>
      <c r="P930" s="11" t="s">
        <v>80</v>
      </c>
      <c r="Q930" s="11" t="s">
        <v>87</v>
      </c>
      <c r="R930" s="49" t="s">
        <v>648</v>
      </c>
      <c r="S930" s="11" t="s">
        <v>1805</v>
      </c>
      <c r="T930" s="90" t="s">
        <v>10</v>
      </c>
      <c r="U930" s="91"/>
      <c r="V930" s="51">
        <v>45565</v>
      </c>
      <c r="W930" s="49" t="s">
        <v>1586</v>
      </c>
    </row>
    <row r="931" spans="1:23" ht="13" customHeight="1" x14ac:dyDescent="0.35">
      <c r="A931" s="11">
        <v>925</v>
      </c>
      <c r="B931" s="47">
        <v>205861620</v>
      </c>
      <c r="C931" s="94" t="s">
        <v>2099</v>
      </c>
      <c r="D931" s="11" t="s">
        <v>2100</v>
      </c>
      <c r="E931" s="48" t="s">
        <v>31</v>
      </c>
      <c r="F931" s="48" t="s">
        <v>74</v>
      </c>
      <c r="G931" s="11" t="s">
        <v>64</v>
      </c>
      <c r="H931" s="11" t="s">
        <v>75</v>
      </c>
      <c r="I931" s="11">
        <v>1299</v>
      </c>
      <c r="J931" s="49" t="s">
        <v>32</v>
      </c>
      <c r="K931" s="49" t="s">
        <v>76</v>
      </c>
      <c r="L931" s="49" t="s">
        <v>88</v>
      </c>
      <c r="M931" s="49" t="s">
        <v>95</v>
      </c>
      <c r="N931" s="49" t="s">
        <v>89</v>
      </c>
      <c r="O931" s="49" t="s">
        <v>37</v>
      </c>
      <c r="P931" s="11" t="s">
        <v>80</v>
      </c>
      <c r="Q931" s="11" t="s">
        <v>96</v>
      </c>
      <c r="R931" s="49" t="s">
        <v>628</v>
      </c>
      <c r="S931" s="11" t="s">
        <v>629</v>
      </c>
      <c r="T931" s="90" t="s">
        <v>10</v>
      </c>
      <c r="U931" s="89"/>
      <c r="V931" s="51">
        <v>46048</v>
      </c>
      <c r="W931" s="49" t="s">
        <v>1584</v>
      </c>
    </row>
    <row r="932" spans="1:23" ht="13" customHeight="1" x14ac:dyDescent="0.35">
      <c r="A932" s="11">
        <v>926</v>
      </c>
      <c r="B932" s="47">
        <v>203468753</v>
      </c>
      <c r="C932" s="94" t="s">
        <v>999</v>
      </c>
      <c r="D932" s="11" t="s">
        <v>1000</v>
      </c>
      <c r="E932" s="48" t="s">
        <v>31</v>
      </c>
      <c r="F932" s="48" t="s">
        <v>74</v>
      </c>
      <c r="G932" s="11" t="s">
        <v>64</v>
      </c>
      <c r="H932" s="11" t="s">
        <v>75</v>
      </c>
      <c r="I932" s="11">
        <v>1299</v>
      </c>
      <c r="J932" s="49" t="s">
        <v>39</v>
      </c>
      <c r="K932" s="49" t="s">
        <v>76</v>
      </c>
      <c r="L932" s="49" t="s">
        <v>92</v>
      </c>
      <c r="M932" s="49" t="s">
        <v>84</v>
      </c>
      <c r="N932" s="48" t="s">
        <v>79</v>
      </c>
      <c r="O932" s="49" t="s">
        <v>37</v>
      </c>
      <c r="P932" s="11" t="s">
        <v>80</v>
      </c>
      <c r="Q932" s="11" t="s">
        <v>81</v>
      </c>
      <c r="R932" s="11" t="s">
        <v>1069</v>
      </c>
      <c r="S932" s="11" t="s">
        <v>2733</v>
      </c>
      <c r="T932" s="90" t="s">
        <v>7</v>
      </c>
      <c r="U932" s="90" t="s">
        <v>2914</v>
      </c>
      <c r="V932" s="51">
        <v>45456</v>
      </c>
      <c r="W932" s="49" t="s">
        <v>1586</v>
      </c>
    </row>
    <row r="933" spans="1:23" ht="13" customHeight="1" x14ac:dyDescent="0.35">
      <c r="A933" s="11">
        <v>927</v>
      </c>
      <c r="B933" s="47">
        <v>203851105</v>
      </c>
      <c r="C933" s="94" t="s">
        <v>1001</v>
      </c>
      <c r="D933" s="11" t="s">
        <v>1002</v>
      </c>
      <c r="E933" s="48" t="s">
        <v>31</v>
      </c>
      <c r="F933" s="48" t="s">
        <v>74</v>
      </c>
      <c r="G933" s="11" t="s">
        <v>64</v>
      </c>
      <c r="H933" s="11" t="s">
        <v>75</v>
      </c>
      <c r="I933" s="11">
        <v>1299</v>
      </c>
      <c r="J933" s="49" t="s">
        <v>39</v>
      </c>
      <c r="K933" s="49" t="s">
        <v>76</v>
      </c>
      <c r="L933" s="49" t="s">
        <v>95</v>
      </c>
      <c r="M933" s="49" t="s">
        <v>77</v>
      </c>
      <c r="N933" s="48" t="s">
        <v>79</v>
      </c>
      <c r="O933" s="49" t="s">
        <v>37</v>
      </c>
      <c r="P933" s="11" t="s">
        <v>80</v>
      </c>
      <c r="Q933" s="11" t="s">
        <v>81</v>
      </c>
      <c r="R933" s="11" t="s">
        <v>632</v>
      </c>
      <c r="S933" s="11" t="s">
        <v>633</v>
      </c>
      <c r="T933" s="90" t="s">
        <v>1</v>
      </c>
      <c r="U933" s="91"/>
      <c r="V933" s="51">
        <v>45524</v>
      </c>
      <c r="W933" s="49" t="s">
        <v>1586</v>
      </c>
    </row>
    <row r="934" spans="1:23" ht="13" customHeight="1" x14ac:dyDescent="0.35">
      <c r="A934" s="11">
        <v>928</v>
      </c>
      <c r="B934" s="47">
        <v>204072311</v>
      </c>
      <c r="C934" s="94" t="s">
        <v>1003</v>
      </c>
      <c r="D934" s="11" t="s">
        <v>1004</v>
      </c>
      <c r="E934" s="48" t="s">
        <v>31</v>
      </c>
      <c r="F934" s="48" t="s">
        <v>74</v>
      </c>
      <c r="G934" s="11" t="s">
        <v>64</v>
      </c>
      <c r="H934" s="11" t="s">
        <v>75</v>
      </c>
      <c r="I934" s="11">
        <v>1299</v>
      </c>
      <c r="J934" s="49" t="s">
        <v>39</v>
      </c>
      <c r="K934" s="49" t="s">
        <v>76</v>
      </c>
      <c r="L934" s="49" t="s">
        <v>92</v>
      </c>
      <c r="M934" s="49" t="s">
        <v>84</v>
      </c>
      <c r="N934" s="48" t="s">
        <v>86</v>
      </c>
      <c r="O934" s="49" t="s">
        <v>37</v>
      </c>
      <c r="P934" s="11" t="s">
        <v>80</v>
      </c>
      <c r="Q934" s="11" t="s">
        <v>90</v>
      </c>
      <c r="R934" s="11" t="s">
        <v>632</v>
      </c>
      <c r="S934" s="11" t="s">
        <v>633</v>
      </c>
      <c r="T934" s="90" t="s">
        <v>1</v>
      </c>
      <c r="U934" s="89"/>
      <c r="V934" s="51">
        <v>45558</v>
      </c>
      <c r="W934" s="49" t="s">
        <v>1584</v>
      </c>
    </row>
    <row r="935" spans="1:23" ht="13" customHeight="1" x14ac:dyDescent="0.35">
      <c r="A935" s="11">
        <v>929</v>
      </c>
      <c r="B935" s="47">
        <v>205853578</v>
      </c>
      <c r="C935" s="94" t="s">
        <v>1005</v>
      </c>
      <c r="D935" s="11" t="s">
        <v>1006</v>
      </c>
      <c r="E935" s="48" t="s">
        <v>31</v>
      </c>
      <c r="F935" s="48" t="s">
        <v>74</v>
      </c>
      <c r="G935" s="11" t="s">
        <v>64</v>
      </c>
      <c r="H935" s="11" t="s">
        <v>75</v>
      </c>
      <c r="I935" s="11">
        <v>1299</v>
      </c>
      <c r="J935" s="49" t="s">
        <v>39</v>
      </c>
      <c r="K935" s="49" t="s">
        <v>76</v>
      </c>
      <c r="L935" s="49" t="s">
        <v>85</v>
      </c>
      <c r="M935" s="49" t="s">
        <v>88</v>
      </c>
      <c r="N935" s="49" t="s">
        <v>89</v>
      </c>
      <c r="O935" s="49" t="s">
        <v>37</v>
      </c>
      <c r="P935" s="11" t="s">
        <v>80</v>
      </c>
      <c r="Q935" s="11" t="s">
        <v>96</v>
      </c>
      <c r="R935" s="11" t="s">
        <v>1069</v>
      </c>
      <c r="S935" s="11" t="s">
        <v>2733</v>
      </c>
      <c r="T935" s="90" t="s">
        <v>10</v>
      </c>
      <c r="U935" s="90"/>
      <c r="V935" s="51">
        <v>45894</v>
      </c>
      <c r="W935" s="49" t="s">
        <v>1584</v>
      </c>
    </row>
    <row r="936" spans="1:23" ht="13" customHeight="1" x14ac:dyDescent="0.35">
      <c r="A936" s="11">
        <v>930</v>
      </c>
      <c r="B936" s="47">
        <v>204117684</v>
      </c>
      <c r="C936" s="94" t="s">
        <v>1007</v>
      </c>
      <c r="D936" s="11" t="s">
        <v>1008</v>
      </c>
      <c r="E936" s="48" t="s">
        <v>31</v>
      </c>
      <c r="F936" s="48" t="s">
        <v>74</v>
      </c>
      <c r="G936" s="11" t="s">
        <v>64</v>
      </c>
      <c r="H936" s="11" t="s">
        <v>75</v>
      </c>
      <c r="I936" s="11">
        <v>1299</v>
      </c>
      <c r="J936" s="49" t="s">
        <v>32</v>
      </c>
      <c r="K936" s="49" t="s">
        <v>76</v>
      </c>
      <c r="L936" s="49" t="s">
        <v>84</v>
      </c>
      <c r="M936" s="49" t="s">
        <v>85</v>
      </c>
      <c r="N936" s="48" t="s">
        <v>86</v>
      </c>
      <c r="O936" s="49" t="s">
        <v>37</v>
      </c>
      <c r="P936" s="11" t="s">
        <v>80</v>
      </c>
      <c r="Q936" s="11" t="s">
        <v>87</v>
      </c>
      <c r="R936" s="49" t="s">
        <v>628</v>
      </c>
      <c r="S936" s="11" t="s">
        <v>629</v>
      </c>
      <c r="T936" s="90" t="s">
        <v>1</v>
      </c>
      <c r="U936" s="89"/>
      <c r="V936" s="51">
        <v>45561</v>
      </c>
      <c r="W936" s="49" t="s">
        <v>1584</v>
      </c>
    </row>
    <row r="937" spans="1:23" ht="13" customHeight="1" x14ac:dyDescent="0.35">
      <c r="A937" s="11">
        <v>931</v>
      </c>
      <c r="B937" s="47">
        <v>203881696</v>
      </c>
      <c r="C937" s="94" t="s">
        <v>1009</v>
      </c>
      <c r="D937" s="11" t="s">
        <v>1010</v>
      </c>
      <c r="E937" s="48" t="s">
        <v>31</v>
      </c>
      <c r="F937" s="48" t="s">
        <v>74</v>
      </c>
      <c r="G937" s="11" t="s">
        <v>64</v>
      </c>
      <c r="H937" s="11" t="s">
        <v>75</v>
      </c>
      <c r="I937" s="11">
        <v>1299</v>
      </c>
      <c r="J937" s="49" t="s">
        <v>39</v>
      </c>
      <c r="K937" s="49" t="s">
        <v>76</v>
      </c>
      <c r="L937" s="49" t="s">
        <v>92</v>
      </c>
      <c r="M937" s="49" t="s">
        <v>84</v>
      </c>
      <c r="N937" s="48" t="s">
        <v>79</v>
      </c>
      <c r="O937" s="49" t="s">
        <v>37</v>
      </c>
      <c r="P937" s="11" t="s">
        <v>80</v>
      </c>
      <c r="Q937" s="11" t="s">
        <v>81</v>
      </c>
      <c r="R937" s="49" t="s">
        <v>648</v>
      </c>
      <c r="S937" s="11" t="s">
        <v>1805</v>
      </c>
      <c r="T937" s="90" t="s">
        <v>1</v>
      </c>
      <c r="U937" s="90"/>
      <c r="V937" s="51">
        <v>45530</v>
      </c>
      <c r="W937" s="49" t="s">
        <v>1586</v>
      </c>
    </row>
    <row r="938" spans="1:23" ht="13" customHeight="1" x14ac:dyDescent="0.35">
      <c r="A938" s="11">
        <v>932</v>
      </c>
      <c r="B938" s="47">
        <v>206200000</v>
      </c>
      <c r="C938" s="94" t="s">
        <v>1601</v>
      </c>
      <c r="D938" s="11" t="s">
        <v>1595</v>
      </c>
      <c r="E938" s="48" t="s">
        <v>31</v>
      </c>
      <c r="F938" s="48" t="s">
        <v>74</v>
      </c>
      <c r="G938" s="11" t="s">
        <v>64</v>
      </c>
      <c r="H938" s="11" t="s">
        <v>75</v>
      </c>
      <c r="I938" s="11">
        <v>1299</v>
      </c>
      <c r="J938" s="49" t="s">
        <v>32</v>
      </c>
      <c r="K938" s="49" t="s">
        <v>76</v>
      </c>
      <c r="L938" s="49" t="s">
        <v>85</v>
      </c>
      <c r="M938" s="49" t="s">
        <v>88</v>
      </c>
      <c r="N938" s="49" t="s">
        <v>89</v>
      </c>
      <c r="O938" s="49" t="s">
        <v>37</v>
      </c>
      <c r="P938" s="11" t="s">
        <v>80</v>
      </c>
      <c r="Q938" s="11" t="s">
        <v>81</v>
      </c>
      <c r="R938" s="49" t="s">
        <v>2735</v>
      </c>
      <c r="S938" s="11" t="s">
        <v>643</v>
      </c>
      <c r="T938" s="90" t="s">
        <v>10</v>
      </c>
      <c r="U938" s="91"/>
      <c r="V938" s="51">
        <v>45936</v>
      </c>
      <c r="W938" s="49" t="s">
        <v>1584</v>
      </c>
    </row>
    <row r="939" spans="1:23" ht="13" customHeight="1" x14ac:dyDescent="0.35">
      <c r="A939" s="11">
        <v>933</v>
      </c>
      <c r="B939" s="47">
        <v>204138115</v>
      </c>
      <c r="C939" s="94" t="s">
        <v>1011</v>
      </c>
      <c r="D939" s="11" t="s">
        <v>1012</v>
      </c>
      <c r="E939" s="48" t="s">
        <v>31</v>
      </c>
      <c r="F939" s="48" t="s">
        <v>74</v>
      </c>
      <c r="G939" s="11" t="s">
        <v>64</v>
      </c>
      <c r="H939" s="11" t="s">
        <v>75</v>
      </c>
      <c r="I939" s="11">
        <v>1299</v>
      </c>
      <c r="J939" s="49" t="s">
        <v>32</v>
      </c>
      <c r="K939" s="49" t="s">
        <v>76</v>
      </c>
      <c r="L939" s="49" t="s">
        <v>78</v>
      </c>
      <c r="M939" s="49" t="s">
        <v>92</v>
      </c>
      <c r="N939" s="48" t="s">
        <v>86</v>
      </c>
      <c r="O939" s="49" t="s">
        <v>37</v>
      </c>
      <c r="P939" s="11" t="s">
        <v>80</v>
      </c>
      <c r="Q939" s="11" t="s">
        <v>87</v>
      </c>
      <c r="R939" s="11" t="s">
        <v>2865</v>
      </c>
      <c r="S939" s="11" t="s">
        <v>2866</v>
      </c>
      <c r="T939" s="90" t="s">
        <v>1</v>
      </c>
      <c r="U939" s="91"/>
      <c r="V939" s="51">
        <v>45565</v>
      </c>
      <c r="W939" s="49" t="s">
        <v>1584</v>
      </c>
    </row>
    <row r="940" spans="1:23" ht="13" customHeight="1" x14ac:dyDescent="0.35">
      <c r="A940" s="11">
        <v>934</v>
      </c>
      <c r="B940" s="47">
        <v>204967052</v>
      </c>
      <c r="C940" s="94" t="s">
        <v>1013</v>
      </c>
      <c r="D940" s="11" t="s">
        <v>1014</v>
      </c>
      <c r="E940" s="48" t="s">
        <v>31</v>
      </c>
      <c r="F940" s="48" t="s">
        <v>74</v>
      </c>
      <c r="G940" s="11" t="s">
        <v>64</v>
      </c>
      <c r="H940" s="11" t="s">
        <v>75</v>
      </c>
      <c r="I940" s="11">
        <v>1299</v>
      </c>
      <c r="J940" s="49" t="s">
        <v>39</v>
      </c>
      <c r="K940" s="49" t="s">
        <v>76</v>
      </c>
      <c r="L940" s="49" t="s">
        <v>84</v>
      </c>
      <c r="M940" s="49" t="s">
        <v>85</v>
      </c>
      <c r="N940" s="48" t="s">
        <v>86</v>
      </c>
      <c r="O940" s="49" t="s">
        <v>37</v>
      </c>
      <c r="P940" s="11" t="s">
        <v>80</v>
      </c>
      <c r="Q940" s="11" t="s">
        <v>90</v>
      </c>
      <c r="R940" s="49" t="s">
        <v>648</v>
      </c>
      <c r="S940" s="11" t="s">
        <v>1805</v>
      </c>
      <c r="T940" s="90" t="s">
        <v>1</v>
      </c>
      <c r="U940" s="89"/>
      <c r="V940" s="51">
        <v>45719</v>
      </c>
      <c r="W940" s="49" t="s">
        <v>1584</v>
      </c>
    </row>
    <row r="941" spans="1:23" ht="13" customHeight="1" x14ac:dyDescent="0.35">
      <c r="A941" s="11">
        <v>935</v>
      </c>
      <c r="B941" s="77">
        <v>103020246</v>
      </c>
      <c r="C941" s="96" t="s">
        <v>1015</v>
      </c>
      <c r="D941" s="75" t="s">
        <v>1016</v>
      </c>
      <c r="E941" s="76" t="s">
        <v>34</v>
      </c>
      <c r="F941" s="76" t="s">
        <v>74</v>
      </c>
      <c r="G941" s="75" t="s">
        <v>64</v>
      </c>
      <c r="H941" s="11" t="s">
        <v>75</v>
      </c>
      <c r="I941" s="75">
        <v>1299</v>
      </c>
      <c r="J941" s="49" t="s">
        <v>32</v>
      </c>
      <c r="K941" s="49" t="s">
        <v>76</v>
      </c>
      <c r="L941" s="49" t="s">
        <v>78</v>
      </c>
      <c r="M941" s="49" t="s">
        <v>92</v>
      </c>
      <c r="N941" s="48" t="s">
        <v>108</v>
      </c>
      <c r="O941" s="73" t="s">
        <v>37</v>
      </c>
      <c r="P941" s="75" t="s">
        <v>80</v>
      </c>
      <c r="Q941" s="75" t="s">
        <v>98</v>
      </c>
      <c r="R941" s="11" t="s">
        <v>632</v>
      </c>
      <c r="S941" s="75" t="s">
        <v>633</v>
      </c>
      <c r="T941" s="90" t="s">
        <v>1</v>
      </c>
      <c r="U941" s="90"/>
      <c r="V941" s="51">
        <v>43058</v>
      </c>
      <c r="W941" s="49" t="s">
        <v>1586</v>
      </c>
    </row>
    <row r="942" spans="1:23" ht="13" customHeight="1" x14ac:dyDescent="0.35">
      <c r="A942" s="11">
        <v>936</v>
      </c>
      <c r="B942" s="47">
        <v>110492547</v>
      </c>
      <c r="C942" s="94" t="s">
        <v>1017</v>
      </c>
      <c r="D942" s="11" t="s">
        <v>1018</v>
      </c>
      <c r="E942" s="48" t="s">
        <v>34</v>
      </c>
      <c r="F942" s="48" t="s">
        <v>74</v>
      </c>
      <c r="G942" s="11" t="s">
        <v>64</v>
      </c>
      <c r="H942" s="11" t="s">
        <v>75</v>
      </c>
      <c r="I942" s="11">
        <v>1299</v>
      </c>
      <c r="J942" s="49" t="s">
        <v>32</v>
      </c>
      <c r="K942" s="49" t="s">
        <v>76</v>
      </c>
      <c r="L942" s="49" t="s">
        <v>92</v>
      </c>
      <c r="M942" s="49" t="s">
        <v>84</v>
      </c>
      <c r="N942" s="48" t="s">
        <v>108</v>
      </c>
      <c r="O942" s="49" t="s">
        <v>37</v>
      </c>
      <c r="P942" s="11" t="s">
        <v>80</v>
      </c>
      <c r="Q942" s="11" t="s">
        <v>98</v>
      </c>
      <c r="R942" s="49" t="s">
        <v>648</v>
      </c>
      <c r="S942" s="11" t="s">
        <v>1805</v>
      </c>
      <c r="T942" s="90" t="s">
        <v>1</v>
      </c>
      <c r="U942" s="89"/>
      <c r="V942" s="51">
        <v>44757</v>
      </c>
      <c r="W942" s="49" t="s">
        <v>1584</v>
      </c>
    </row>
    <row r="943" spans="1:23" ht="13" customHeight="1" x14ac:dyDescent="0.35">
      <c r="A943" s="11">
        <v>937</v>
      </c>
      <c r="B943" s="47">
        <v>203512951</v>
      </c>
      <c r="C943" s="94" t="s">
        <v>1019</v>
      </c>
      <c r="D943" s="11" t="s">
        <v>1020</v>
      </c>
      <c r="E943" s="48" t="s">
        <v>31</v>
      </c>
      <c r="F943" s="48" t="s">
        <v>74</v>
      </c>
      <c r="G943" s="11" t="s">
        <v>64</v>
      </c>
      <c r="H943" s="11" t="s">
        <v>75</v>
      </c>
      <c r="I943" s="11">
        <v>1299</v>
      </c>
      <c r="J943" s="49" t="s">
        <v>32</v>
      </c>
      <c r="K943" s="49" t="s">
        <v>76</v>
      </c>
      <c r="L943" s="49" t="s">
        <v>77</v>
      </c>
      <c r="M943" s="49" t="s">
        <v>78</v>
      </c>
      <c r="N943" s="48" t="s">
        <v>79</v>
      </c>
      <c r="O943" s="49" t="s">
        <v>37</v>
      </c>
      <c r="P943" s="11" t="s">
        <v>80</v>
      </c>
      <c r="Q943" s="11" t="s">
        <v>81</v>
      </c>
      <c r="R943" s="11" t="s">
        <v>2865</v>
      </c>
      <c r="S943" s="11" t="s">
        <v>2866</v>
      </c>
      <c r="T943" s="90" t="s">
        <v>1</v>
      </c>
      <c r="U943" s="90"/>
      <c r="V943" s="51">
        <v>45463</v>
      </c>
      <c r="W943" s="49" t="s">
        <v>1584</v>
      </c>
    </row>
    <row r="944" spans="1:23" ht="13" customHeight="1" x14ac:dyDescent="0.35">
      <c r="A944" s="11">
        <v>938</v>
      </c>
      <c r="B944" s="47">
        <v>113167122</v>
      </c>
      <c r="C944" s="94" t="s">
        <v>1021</v>
      </c>
      <c r="D944" s="11" t="s">
        <v>1022</v>
      </c>
      <c r="E944" s="48" t="s">
        <v>31</v>
      </c>
      <c r="F944" s="48" t="s">
        <v>74</v>
      </c>
      <c r="G944" s="11" t="s">
        <v>64</v>
      </c>
      <c r="H944" s="11" t="s">
        <v>75</v>
      </c>
      <c r="I944" s="11">
        <v>1299</v>
      </c>
      <c r="J944" s="49" t="s">
        <v>39</v>
      </c>
      <c r="K944" s="49" t="s">
        <v>76</v>
      </c>
      <c r="L944" s="49" t="s">
        <v>84</v>
      </c>
      <c r="M944" s="49" t="s">
        <v>85</v>
      </c>
      <c r="N944" s="48" t="s">
        <v>86</v>
      </c>
      <c r="O944" s="49" t="s">
        <v>37</v>
      </c>
      <c r="P944" s="11" t="s">
        <v>80</v>
      </c>
      <c r="Q944" s="11" t="s">
        <v>87</v>
      </c>
      <c r="R944" s="11" t="s">
        <v>1069</v>
      </c>
      <c r="S944" s="11" t="s">
        <v>2733</v>
      </c>
      <c r="T944" s="90" t="s">
        <v>1</v>
      </c>
      <c r="U944" s="90"/>
      <c r="V944" s="51">
        <v>45586</v>
      </c>
      <c r="W944" s="49" t="s">
        <v>1583</v>
      </c>
    </row>
    <row r="945" spans="1:23" ht="13" customHeight="1" x14ac:dyDescent="0.35">
      <c r="A945" s="11">
        <v>939</v>
      </c>
      <c r="B945" s="47">
        <v>203908895</v>
      </c>
      <c r="C945" s="94" t="s">
        <v>1023</v>
      </c>
      <c r="D945" s="11" t="s">
        <v>1024</v>
      </c>
      <c r="E945" s="48" t="s">
        <v>31</v>
      </c>
      <c r="F945" s="48" t="s">
        <v>74</v>
      </c>
      <c r="G945" s="11" t="s">
        <v>64</v>
      </c>
      <c r="H945" s="11" t="s">
        <v>75</v>
      </c>
      <c r="I945" s="11">
        <v>1299</v>
      </c>
      <c r="J945" s="49" t="s">
        <v>39</v>
      </c>
      <c r="K945" s="49" t="s">
        <v>76</v>
      </c>
      <c r="L945" s="49" t="s">
        <v>85</v>
      </c>
      <c r="M945" s="49" t="s">
        <v>88</v>
      </c>
      <c r="N945" s="49" t="s">
        <v>89</v>
      </c>
      <c r="O945" s="49" t="s">
        <v>37</v>
      </c>
      <c r="P945" s="11" t="s">
        <v>80</v>
      </c>
      <c r="Q945" s="11" t="s">
        <v>90</v>
      </c>
      <c r="R945" s="11" t="s">
        <v>632</v>
      </c>
      <c r="S945" s="11" t="s">
        <v>633</v>
      </c>
      <c r="T945" s="90" t="s">
        <v>10</v>
      </c>
      <c r="U945" s="91"/>
      <c r="V945" s="51">
        <v>45537</v>
      </c>
      <c r="W945" s="49" t="s">
        <v>1584</v>
      </c>
    </row>
    <row r="946" spans="1:23" ht="13" customHeight="1" x14ac:dyDescent="0.35">
      <c r="A946" s="11">
        <v>940</v>
      </c>
      <c r="B946" s="47">
        <v>206250609</v>
      </c>
      <c r="C946" s="94" t="s">
        <v>1660</v>
      </c>
      <c r="D946" s="11" t="s">
        <v>1628</v>
      </c>
      <c r="E946" s="48" t="s">
        <v>31</v>
      </c>
      <c r="F946" s="48" t="s">
        <v>74</v>
      </c>
      <c r="G946" s="11" t="s">
        <v>64</v>
      </c>
      <c r="H946" s="11" t="s">
        <v>75</v>
      </c>
      <c r="I946" s="11">
        <v>1299</v>
      </c>
      <c r="J946" s="49" t="s">
        <v>32</v>
      </c>
      <c r="K946" s="49" t="s">
        <v>76</v>
      </c>
      <c r="L946" s="49" t="s">
        <v>77</v>
      </c>
      <c r="M946" s="49" t="s">
        <v>78</v>
      </c>
      <c r="N946" s="48" t="s">
        <v>79</v>
      </c>
      <c r="O946" s="49" t="s">
        <v>37</v>
      </c>
      <c r="P946" s="11" t="s">
        <v>80</v>
      </c>
      <c r="Q946" s="11" t="s">
        <v>81</v>
      </c>
      <c r="R946" s="49" t="s">
        <v>2735</v>
      </c>
      <c r="S946" s="11" t="s">
        <v>643</v>
      </c>
      <c r="T946" s="90" t="s">
        <v>1</v>
      </c>
      <c r="U946" s="108"/>
      <c r="V946" s="51">
        <v>45943</v>
      </c>
      <c r="W946" s="49" t="s">
        <v>1583</v>
      </c>
    </row>
    <row r="947" spans="1:23" ht="13" customHeight="1" x14ac:dyDescent="0.35">
      <c r="A947" s="11">
        <v>941</v>
      </c>
      <c r="B947" s="47">
        <v>203851001</v>
      </c>
      <c r="C947" s="94" t="s">
        <v>1025</v>
      </c>
      <c r="D947" s="11" t="s">
        <v>1026</v>
      </c>
      <c r="E947" s="48" t="s">
        <v>31</v>
      </c>
      <c r="F947" s="48" t="s">
        <v>74</v>
      </c>
      <c r="G947" s="11" t="s">
        <v>64</v>
      </c>
      <c r="H947" s="11" t="s">
        <v>75</v>
      </c>
      <c r="I947" s="11">
        <v>1299</v>
      </c>
      <c r="J947" s="49" t="s">
        <v>32</v>
      </c>
      <c r="K947" s="49" t="s">
        <v>76</v>
      </c>
      <c r="L947" s="49" t="s">
        <v>77</v>
      </c>
      <c r="M947" s="49" t="s">
        <v>78</v>
      </c>
      <c r="N947" s="48" t="s">
        <v>79</v>
      </c>
      <c r="O947" s="49" t="s">
        <v>37</v>
      </c>
      <c r="P947" s="11" t="s">
        <v>80</v>
      </c>
      <c r="Q947" s="11" t="s">
        <v>81</v>
      </c>
      <c r="R947" s="11" t="s">
        <v>2865</v>
      </c>
      <c r="S947" s="11" t="s">
        <v>2866</v>
      </c>
      <c r="T947" s="90" t="s">
        <v>1</v>
      </c>
      <c r="U947" s="109"/>
      <c r="V947" s="51">
        <v>45544</v>
      </c>
      <c r="W947" s="49" t="s">
        <v>1584</v>
      </c>
    </row>
    <row r="948" spans="1:23" ht="13" customHeight="1" x14ac:dyDescent="0.35">
      <c r="A948" s="11">
        <v>942</v>
      </c>
      <c r="B948" s="47">
        <v>206604501</v>
      </c>
      <c r="C948" s="94" t="s">
        <v>2079</v>
      </c>
      <c r="D948" s="11" t="s">
        <v>2080</v>
      </c>
      <c r="E948" s="48" t="s">
        <v>31</v>
      </c>
      <c r="F948" s="48" t="s">
        <v>74</v>
      </c>
      <c r="G948" s="11" t="s">
        <v>64</v>
      </c>
      <c r="H948" s="11" t="s">
        <v>75</v>
      </c>
      <c r="I948" s="11">
        <v>1299</v>
      </c>
      <c r="J948" s="49" t="s">
        <v>39</v>
      </c>
      <c r="K948" s="49" t="s">
        <v>76</v>
      </c>
      <c r="L948" s="49" t="s">
        <v>92</v>
      </c>
      <c r="M948" s="49" t="s">
        <v>84</v>
      </c>
      <c r="N948" s="49" t="s">
        <v>89</v>
      </c>
      <c r="O948" s="49" t="s">
        <v>37</v>
      </c>
      <c r="P948" s="11" t="s">
        <v>80</v>
      </c>
      <c r="Q948" s="11" t="s">
        <v>96</v>
      </c>
      <c r="R948" s="49" t="s">
        <v>2735</v>
      </c>
      <c r="S948" s="49" t="s">
        <v>643</v>
      </c>
      <c r="T948" s="90" t="s">
        <v>1</v>
      </c>
      <c r="U948" s="91"/>
      <c r="V948" s="51">
        <v>46048</v>
      </c>
      <c r="W948" s="49" t="s">
        <v>1584</v>
      </c>
    </row>
    <row r="949" spans="1:23" ht="13" customHeight="1" x14ac:dyDescent="0.35">
      <c r="A949" s="11">
        <v>943</v>
      </c>
      <c r="B949" s="47">
        <v>205853581</v>
      </c>
      <c r="C949" s="94" t="s">
        <v>1027</v>
      </c>
      <c r="D949" s="11" t="s">
        <v>1028</v>
      </c>
      <c r="E949" s="48" t="s">
        <v>31</v>
      </c>
      <c r="F949" s="48" t="s">
        <v>74</v>
      </c>
      <c r="G949" s="11" t="s">
        <v>64</v>
      </c>
      <c r="H949" s="11" t="s">
        <v>75</v>
      </c>
      <c r="I949" s="11">
        <v>1299</v>
      </c>
      <c r="J949" s="49" t="s">
        <v>39</v>
      </c>
      <c r="K949" s="49" t="s">
        <v>76</v>
      </c>
      <c r="L949" s="49" t="s">
        <v>85</v>
      </c>
      <c r="M949" s="49" t="s">
        <v>88</v>
      </c>
      <c r="N949" s="49" t="s">
        <v>79</v>
      </c>
      <c r="O949" s="49" t="s">
        <v>37</v>
      </c>
      <c r="P949" s="11" t="s">
        <v>80</v>
      </c>
      <c r="Q949" s="11" t="s">
        <v>96</v>
      </c>
      <c r="R949" s="11" t="s">
        <v>1069</v>
      </c>
      <c r="S949" s="11" t="s">
        <v>2733</v>
      </c>
      <c r="T949" s="90" t="s">
        <v>10</v>
      </c>
      <c r="U949" s="90"/>
      <c r="V949" s="51">
        <v>45894</v>
      </c>
      <c r="W949" s="49" t="s">
        <v>1584</v>
      </c>
    </row>
    <row r="950" spans="1:23" ht="13" customHeight="1" x14ac:dyDescent="0.35">
      <c r="A950" s="11">
        <v>944</v>
      </c>
      <c r="B950" s="47">
        <v>206889907</v>
      </c>
      <c r="C950" s="94" t="s">
        <v>1844</v>
      </c>
      <c r="D950" s="11" t="s">
        <v>1845</v>
      </c>
      <c r="E950" s="11" t="s">
        <v>31</v>
      </c>
      <c r="F950" s="48" t="s">
        <v>74</v>
      </c>
      <c r="G950" s="11" t="s">
        <v>64</v>
      </c>
      <c r="H950" s="11" t="s">
        <v>75</v>
      </c>
      <c r="I950" s="11">
        <v>1299</v>
      </c>
      <c r="J950" s="49" t="s">
        <v>39</v>
      </c>
      <c r="K950" s="49" t="s">
        <v>76</v>
      </c>
      <c r="L950" s="49" t="s">
        <v>77</v>
      </c>
      <c r="M950" s="49" t="s">
        <v>78</v>
      </c>
      <c r="N950" s="49" t="s">
        <v>89</v>
      </c>
      <c r="O950" s="49" t="s">
        <v>37</v>
      </c>
      <c r="P950" s="11" t="s">
        <v>80</v>
      </c>
      <c r="Q950" s="11" t="s">
        <v>96</v>
      </c>
      <c r="R950" s="49" t="s">
        <v>628</v>
      </c>
      <c r="S950" s="11" t="s">
        <v>629</v>
      </c>
      <c r="T950" s="90" t="s">
        <v>1</v>
      </c>
      <c r="U950" s="89"/>
      <c r="V950" s="51">
        <v>46027</v>
      </c>
      <c r="W950" s="49" t="s">
        <v>1584</v>
      </c>
    </row>
    <row r="951" spans="1:23" ht="13" customHeight="1" x14ac:dyDescent="0.35">
      <c r="A951" s="11">
        <v>945</v>
      </c>
      <c r="B951" s="47">
        <v>204138496</v>
      </c>
      <c r="C951" s="94" t="s">
        <v>1029</v>
      </c>
      <c r="D951" s="11" t="s">
        <v>1030</v>
      </c>
      <c r="E951" s="48" t="s">
        <v>31</v>
      </c>
      <c r="F951" s="48" t="s">
        <v>74</v>
      </c>
      <c r="G951" s="11" t="s">
        <v>64</v>
      </c>
      <c r="H951" s="11" t="s">
        <v>75</v>
      </c>
      <c r="I951" s="11">
        <v>1299</v>
      </c>
      <c r="J951" s="49" t="s">
        <v>39</v>
      </c>
      <c r="K951" s="49" t="s">
        <v>76</v>
      </c>
      <c r="L951" s="49" t="s">
        <v>95</v>
      </c>
      <c r="M951" s="49" t="s">
        <v>77</v>
      </c>
      <c r="N951" s="48" t="s">
        <v>79</v>
      </c>
      <c r="O951" s="49" t="s">
        <v>37</v>
      </c>
      <c r="P951" s="11" t="s">
        <v>80</v>
      </c>
      <c r="Q951" s="11" t="s">
        <v>81</v>
      </c>
      <c r="R951" s="49" t="s">
        <v>628</v>
      </c>
      <c r="S951" s="11" t="s">
        <v>629</v>
      </c>
      <c r="T951" s="90" t="s">
        <v>7</v>
      </c>
      <c r="U951" s="91" t="s">
        <v>2921</v>
      </c>
      <c r="V951" s="51">
        <v>45565</v>
      </c>
      <c r="W951" s="49" t="s">
        <v>1584</v>
      </c>
    </row>
    <row r="952" spans="1:23" ht="13" customHeight="1" x14ac:dyDescent="0.35">
      <c r="A952" s="11">
        <v>946</v>
      </c>
      <c r="B952" s="47">
        <v>205133783</v>
      </c>
      <c r="C952" s="94" t="s">
        <v>2107</v>
      </c>
      <c r="D952" s="11" t="s">
        <v>2108</v>
      </c>
      <c r="E952" s="48" t="s">
        <v>31</v>
      </c>
      <c r="F952" s="48" t="s">
        <v>74</v>
      </c>
      <c r="G952" s="11" t="s">
        <v>64</v>
      </c>
      <c r="H952" s="11" t="s">
        <v>75</v>
      </c>
      <c r="I952" s="11">
        <v>1299</v>
      </c>
      <c r="J952" s="49" t="s">
        <v>32</v>
      </c>
      <c r="K952" s="49" t="s">
        <v>76</v>
      </c>
      <c r="L952" s="49" t="s">
        <v>92</v>
      </c>
      <c r="M952" s="49" t="s">
        <v>84</v>
      </c>
      <c r="N952" s="49" t="s">
        <v>89</v>
      </c>
      <c r="O952" s="49" t="s">
        <v>37</v>
      </c>
      <c r="P952" s="11" t="s">
        <v>80</v>
      </c>
      <c r="Q952" s="11" t="s">
        <v>96</v>
      </c>
      <c r="R952" s="49" t="s">
        <v>2735</v>
      </c>
      <c r="S952" s="49" t="s">
        <v>643</v>
      </c>
      <c r="T952" s="90" t="s">
        <v>1</v>
      </c>
      <c r="U952" s="91"/>
      <c r="V952" s="51">
        <v>46048</v>
      </c>
      <c r="W952" s="49" t="s">
        <v>1584</v>
      </c>
    </row>
    <row r="953" spans="1:23" ht="13" customHeight="1" x14ac:dyDescent="0.35">
      <c r="A953" s="11">
        <v>947</v>
      </c>
      <c r="B953" s="47">
        <v>203879776</v>
      </c>
      <c r="C953" s="94" t="s">
        <v>1031</v>
      </c>
      <c r="D953" s="11" t="s">
        <v>1032</v>
      </c>
      <c r="E953" s="48" t="s">
        <v>31</v>
      </c>
      <c r="F953" s="48" t="s">
        <v>74</v>
      </c>
      <c r="G953" s="11" t="s">
        <v>64</v>
      </c>
      <c r="H953" s="11" t="s">
        <v>75</v>
      </c>
      <c r="I953" s="11">
        <v>1299</v>
      </c>
      <c r="J953" s="49" t="s">
        <v>32</v>
      </c>
      <c r="K953" s="49" t="s">
        <v>76</v>
      </c>
      <c r="L953" s="49" t="s">
        <v>77</v>
      </c>
      <c r="M953" s="49" t="s">
        <v>78</v>
      </c>
      <c r="N953" s="48" t="s">
        <v>86</v>
      </c>
      <c r="O953" s="49" t="s">
        <v>37</v>
      </c>
      <c r="P953" s="11" t="s">
        <v>80</v>
      </c>
      <c r="Q953" s="11" t="s">
        <v>99</v>
      </c>
      <c r="R953" s="49" t="s">
        <v>648</v>
      </c>
      <c r="S953" s="11" t="s">
        <v>1805</v>
      </c>
      <c r="T953" s="90" t="s">
        <v>1</v>
      </c>
      <c r="U953" s="89"/>
      <c r="V953" s="51">
        <v>45558</v>
      </c>
      <c r="W953" s="49" t="s">
        <v>1583</v>
      </c>
    </row>
    <row r="954" spans="1:23" ht="13" customHeight="1" x14ac:dyDescent="0.35">
      <c r="A954" s="11">
        <v>948</v>
      </c>
      <c r="B954" s="47">
        <v>204975662</v>
      </c>
      <c r="C954" s="95" t="s">
        <v>2087</v>
      </c>
      <c r="D954" s="11" t="s">
        <v>2088</v>
      </c>
      <c r="E954" s="48" t="s">
        <v>31</v>
      </c>
      <c r="F954" s="48" t="s">
        <v>74</v>
      </c>
      <c r="G954" s="11" t="s">
        <v>64</v>
      </c>
      <c r="H954" s="11" t="s">
        <v>75</v>
      </c>
      <c r="I954" s="11">
        <v>1299</v>
      </c>
      <c r="J954" s="49" t="s">
        <v>32</v>
      </c>
      <c r="K954" s="49" t="s">
        <v>76</v>
      </c>
      <c r="L954" s="49" t="s">
        <v>95</v>
      </c>
      <c r="M954" s="49" t="s">
        <v>77</v>
      </c>
      <c r="N954" s="49" t="s">
        <v>89</v>
      </c>
      <c r="O954" s="49" t="s">
        <v>37</v>
      </c>
      <c r="P954" s="11" t="s">
        <v>80</v>
      </c>
      <c r="Q954" s="11" t="s">
        <v>96</v>
      </c>
      <c r="R954" s="11" t="s">
        <v>2864</v>
      </c>
      <c r="S954" s="11" t="s">
        <v>2732</v>
      </c>
      <c r="T954" s="90" t="s">
        <v>1</v>
      </c>
      <c r="U954" s="90"/>
      <c r="V954" s="51">
        <v>46048</v>
      </c>
      <c r="W954" s="49" t="s">
        <v>1584</v>
      </c>
    </row>
    <row r="955" spans="1:23" ht="13" customHeight="1" x14ac:dyDescent="0.35">
      <c r="A955" s="11">
        <v>949</v>
      </c>
      <c r="B955" s="47">
        <v>206886515</v>
      </c>
      <c r="C955" s="94" t="s">
        <v>1846</v>
      </c>
      <c r="D955" s="11" t="s">
        <v>1847</v>
      </c>
      <c r="E955" s="11" t="s">
        <v>31</v>
      </c>
      <c r="F955" s="48" t="s">
        <v>74</v>
      </c>
      <c r="G955" s="11" t="s">
        <v>64</v>
      </c>
      <c r="H955" s="11" t="s">
        <v>75</v>
      </c>
      <c r="I955" s="11">
        <v>1299</v>
      </c>
      <c r="J955" s="49" t="s">
        <v>39</v>
      </c>
      <c r="K955" s="49" t="s">
        <v>76</v>
      </c>
      <c r="L955" s="49" t="s">
        <v>77</v>
      </c>
      <c r="M955" s="49" t="s">
        <v>78</v>
      </c>
      <c r="N955" s="49" t="s">
        <v>89</v>
      </c>
      <c r="O955" s="49" t="s">
        <v>37</v>
      </c>
      <c r="P955" s="11" t="s">
        <v>80</v>
      </c>
      <c r="Q955" s="11" t="s">
        <v>96</v>
      </c>
      <c r="R955" s="49" t="s">
        <v>628</v>
      </c>
      <c r="S955" s="11" t="s">
        <v>629</v>
      </c>
      <c r="T955" s="90" t="s">
        <v>1</v>
      </c>
      <c r="U955" s="89"/>
      <c r="V955" s="51">
        <v>46027</v>
      </c>
      <c r="W955" s="49" t="s">
        <v>1584</v>
      </c>
    </row>
    <row r="956" spans="1:23" ht="13" customHeight="1" x14ac:dyDescent="0.35">
      <c r="A956" s="11">
        <v>950</v>
      </c>
      <c r="B956" s="47">
        <v>206192541</v>
      </c>
      <c r="C956" s="94" t="s">
        <v>1620</v>
      </c>
      <c r="D956" s="11" t="s">
        <v>1613</v>
      </c>
      <c r="E956" s="48" t="s">
        <v>31</v>
      </c>
      <c r="F956" s="48" t="s">
        <v>74</v>
      </c>
      <c r="G956" s="11" t="s">
        <v>64</v>
      </c>
      <c r="H956" s="11" t="s">
        <v>75</v>
      </c>
      <c r="I956" s="11">
        <v>1299</v>
      </c>
      <c r="J956" s="49" t="s">
        <v>39</v>
      </c>
      <c r="K956" s="49" t="s">
        <v>76</v>
      </c>
      <c r="L956" s="49" t="s">
        <v>95</v>
      </c>
      <c r="M956" s="49" t="s">
        <v>77</v>
      </c>
      <c r="N956" s="49" t="s">
        <v>89</v>
      </c>
      <c r="O956" s="49" t="s">
        <v>37</v>
      </c>
      <c r="P956" s="11" t="s">
        <v>80</v>
      </c>
      <c r="Q956" s="11" t="s">
        <v>96</v>
      </c>
      <c r="R956" s="49" t="s">
        <v>628</v>
      </c>
      <c r="S956" s="11" t="s">
        <v>629</v>
      </c>
      <c r="T956" s="90" t="s">
        <v>1</v>
      </c>
      <c r="U956" s="90"/>
      <c r="V956" s="51">
        <v>45936</v>
      </c>
      <c r="W956" s="49" t="s">
        <v>1584</v>
      </c>
    </row>
    <row r="957" spans="1:23" ht="13" customHeight="1" x14ac:dyDescent="0.35">
      <c r="A957" s="11">
        <v>951</v>
      </c>
      <c r="B957" s="47">
        <v>206192271</v>
      </c>
      <c r="C957" s="94" t="s">
        <v>1619</v>
      </c>
      <c r="D957" s="11" t="s">
        <v>1612</v>
      </c>
      <c r="E957" s="48" t="s">
        <v>31</v>
      </c>
      <c r="F957" s="48" t="s">
        <v>74</v>
      </c>
      <c r="G957" s="11" t="s">
        <v>64</v>
      </c>
      <c r="H957" s="11" t="s">
        <v>75</v>
      </c>
      <c r="I957" s="11">
        <v>1299</v>
      </c>
      <c r="J957" s="49" t="s">
        <v>39</v>
      </c>
      <c r="K957" s="49" t="s">
        <v>76</v>
      </c>
      <c r="L957" s="49" t="s">
        <v>95</v>
      </c>
      <c r="M957" s="49" t="s">
        <v>77</v>
      </c>
      <c r="N957" s="49" t="s">
        <v>89</v>
      </c>
      <c r="O957" s="49" t="s">
        <v>37</v>
      </c>
      <c r="P957" s="11" t="s">
        <v>80</v>
      </c>
      <c r="Q957" s="11" t="s">
        <v>96</v>
      </c>
      <c r="R957" s="49" t="s">
        <v>628</v>
      </c>
      <c r="S957" s="11" t="s">
        <v>629</v>
      </c>
      <c r="T957" s="90" t="s">
        <v>1</v>
      </c>
      <c r="U957" s="90"/>
      <c r="V957" s="51">
        <v>45936</v>
      </c>
      <c r="W957" s="49" t="s">
        <v>1584</v>
      </c>
    </row>
    <row r="958" spans="1:23" ht="13" customHeight="1" x14ac:dyDescent="0.35">
      <c r="A958" s="11">
        <v>952</v>
      </c>
      <c r="B958" s="47">
        <v>206886636</v>
      </c>
      <c r="C958" s="94" t="s">
        <v>1848</v>
      </c>
      <c r="D958" s="11" t="s">
        <v>1849</v>
      </c>
      <c r="E958" s="11" t="s">
        <v>31</v>
      </c>
      <c r="F958" s="48" t="s">
        <v>74</v>
      </c>
      <c r="G958" s="11" t="s">
        <v>64</v>
      </c>
      <c r="H958" s="11" t="s">
        <v>75</v>
      </c>
      <c r="I958" s="11">
        <v>1299</v>
      </c>
      <c r="J958" s="49" t="s">
        <v>39</v>
      </c>
      <c r="K958" s="49" t="s">
        <v>76</v>
      </c>
      <c r="L958" s="49" t="s">
        <v>78</v>
      </c>
      <c r="M958" s="49" t="s">
        <v>92</v>
      </c>
      <c r="N958" s="49" t="s">
        <v>89</v>
      </c>
      <c r="O958" s="49" t="s">
        <v>37</v>
      </c>
      <c r="P958" s="11" t="s">
        <v>80</v>
      </c>
      <c r="Q958" s="11" t="s">
        <v>96</v>
      </c>
      <c r="R958" s="11" t="s">
        <v>1069</v>
      </c>
      <c r="S958" s="11" t="s">
        <v>2733</v>
      </c>
      <c r="T958" s="90" t="s">
        <v>1</v>
      </c>
      <c r="U958" s="91"/>
      <c r="V958" s="51">
        <v>46027</v>
      </c>
      <c r="W958" s="49" t="s">
        <v>1584</v>
      </c>
    </row>
    <row r="959" spans="1:23" ht="13" customHeight="1" x14ac:dyDescent="0.35">
      <c r="A959" s="11">
        <v>953</v>
      </c>
      <c r="B959" s="47">
        <v>201857481</v>
      </c>
      <c r="C959" s="94" t="s">
        <v>1033</v>
      </c>
      <c r="D959" s="11" t="s">
        <v>1034</v>
      </c>
      <c r="E959" s="48" t="s">
        <v>31</v>
      </c>
      <c r="F959" s="48" t="s">
        <v>74</v>
      </c>
      <c r="G959" s="11" t="s">
        <v>64</v>
      </c>
      <c r="H959" s="11" t="s">
        <v>75</v>
      </c>
      <c r="I959" s="11">
        <v>1299</v>
      </c>
      <c r="J959" s="49" t="s">
        <v>39</v>
      </c>
      <c r="K959" s="49" t="s">
        <v>76</v>
      </c>
      <c r="L959" s="49" t="s">
        <v>85</v>
      </c>
      <c r="M959" s="49" t="s">
        <v>88</v>
      </c>
      <c r="N959" s="48" t="s">
        <v>86</v>
      </c>
      <c r="O959" s="49" t="s">
        <v>37</v>
      </c>
      <c r="P959" s="11" t="s">
        <v>80</v>
      </c>
      <c r="Q959" s="11" t="s">
        <v>87</v>
      </c>
      <c r="R959" s="49" t="s">
        <v>628</v>
      </c>
      <c r="S959" s="11" t="s">
        <v>629</v>
      </c>
      <c r="T959" s="90" t="s">
        <v>10</v>
      </c>
      <c r="U959" s="90"/>
      <c r="V959" s="51">
        <v>45586</v>
      </c>
      <c r="W959" s="49" t="s">
        <v>1583</v>
      </c>
    </row>
    <row r="960" spans="1:23" ht="13" customHeight="1" x14ac:dyDescent="0.35">
      <c r="A960" s="11">
        <v>954</v>
      </c>
      <c r="B960" s="47">
        <v>204011575</v>
      </c>
      <c r="C960" s="94" t="s">
        <v>2426</v>
      </c>
      <c r="D960" s="11" t="s">
        <v>2427</v>
      </c>
      <c r="E960" s="48" t="s">
        <v>31</v>
      </c>
      <c r="F960" s="48" t="s">
        <v>74</v>
      </c>
      <c r="G960" s="11" t="s">
        <v>64</v>
      </c>
      <c r="H960" s="11" t="s">
        <v>75</v>
      </c>
      <c r="I960" s="11">
        <v>1299</v>
      </c>
      <c r="J960" s="49" t="s">
        <v>32</v>
      </c>
      <c r="K960" s="49" t="s">
        <v>76</v>
      </c>
      <c r="L960" s="49" t="s">
        <v>92</v>
      </c>
      <c r="M960" s="49" t="s">
        <v>84</v>
      </c>
      <c r="N960" s="49" t="s">
        <v>89</v>
      </c>
      <c r="O960" s="49" t="s">
        <v>37</v>
      </c>
      <c r="P960" s="11" t="s">
        <v>80</v>
      </c>
      <c r="Q960" s="11" t="s">
        <v>90</v>
      </c>
      <c r="R960" s="11" t="s">
        <v>640</v>
      </c>
      <c r="S960" s="11" t="s">
        <v>2734</v>
      </c>
      <c r="T960" s="90" t="s">
        <v>1</v>
      </c>
      <c r="U960" s="89"/>
      <c r="V960" s="51">
        <v>45551</v>
      </c>
      <c r="W960" s="49" t="s">
        <v>1585</v>
      </c>
    </row>
    <row r="961" spans="1:23" ht="13" customHeight="1" x14ac:dyDescent="0.35">
      <c r="A961" s="11">
        <v>955</v>
      </c>
      <c r="B961" s="47">
        <v>112851838</v>
      </c>
      <c r="C961" s="94" t="s">
        <v>2223</v>
      </c>
      <c r="D961" s="11" t="s">
        <v>2224</v>
      </c>
      <c r="E961" s="48" t="s">
        <v>31</v>
      </c>
      <c r="F961" s="48" t="s">
        <v>74</v>
      </c>
      <c r="G961" s="11" t="s">
        <v>64</v>
      </c>
      <c r="H961" s="11" t="s">
        <v>75</v>
      </c>
      <c r="I961" s="11">
        <v>1299</v>
      </c>
      <c r="J961" s="49" t="s">
        <v>39</v>
      </c>
      <c r="K961" s="49" t="s">
        <v>76</v>
      </c>
      <c r="L961" s="49" t="s">
        <v>95</v>
      </c>
      <c r="M961" s="49" t="s">
        <v>77</v>
      </c>
      <c r="N961" s="48" t="s">
        <v>86</v>
      </c>
      <c r="O961" s="49" t="s">
        <v>37</v>
      </c>
      <c r="P961" s="11" t="s">
        <v>80</v>
      </c>
      <c r="Q961" s="11" t="s">
        <v>87</v>
      </c>
      <c r="R961" s="49" t="s">
        <v>628</v>
      </c>
      <c r="S961" s="11" t="s">
        <v>629</v>
      </c>
      <c r="T961" s="90" t="s">
        <v>1</v>
      </c>
      <c r="U961" s="89"/>
      <c r="V961" s="51">
        <v>45586</v>
      </c>
      <c r="W961" s="49" t="s">
        <v>1583</v>
      </c>
    </row>
    <row r="962" spans="1:23" ht="13" customHeight="1" x14ac:dyDescent="0.35">
      <c r="A962" s="11">
        <v>956</v>
      </c>
      <c r="B962" s="47">
        <v>204116441</v>
      </c>
      <c r="C962" s="94" t="s">
        <v>1035</v>
      </c>
      <c r="D962" s="11" t="s">
        <v>1036</v>
      </c>
      <c r="E962" s="48" t="s">
        <v>31</v>
      </c>
      <c r="F962" s="48" t="s">
        <v>74</v>
      </c>
      <c r="G962" s="11" t="s">
        <v>64</v>
      </c>
      <c r="H962" s="11" t="s">
        <v>75</v>
      </c>
      <c r="I962" s="11">
        <v>1299</v>
      </c>
      <c r="J962" s="49" t="s">
        <v>39</v>
      </c>
      <c r="K962" s="49" t="s">
        <v>76</v>
      </c>
      <c r="L962" s="49" t="s">
        <v>85</v>
      </c>
      <c r="M962" s="49" t="s">
        <v>88</v>
      </c>
      <c r="N962" s="48" t="s">
        <v>86</v>
      </c>
      <c r="O962" s="49" t="s">
        <v>37</v>
      </c>
      <c r="P962" s="11" t="s">
        <v>80</v>
      </c>
      <c r="Q962" s="11" t="s">
        <v>87</v>
      </c>
      <c r="R962" s="11" t="s">
        <v>1069</v>
      </c>
      <c r="S962" s="11" t="s">
        <v>2733</v>
      </c>
      <c r="T962" s="90" t="s">
        <v>10</v>
      </c>
      <c r="U962" s="90"/>
      <c r="V962" s="51">
        <v>45561</v>
      </c>
      <c r="W962" s="49" t="s">
        <v>1583</v>
      </c>
    </row>
    <row r="963" spans="1:23" ht="13" customHeight="1" x14ac:dyDescent="0.35">
      <c r="A963" s="11">
        <v>957</v>
      </c>
      <c r="B963" s="47">
        <v>206136721</v>
      </c>
      <c r="C963" s="94" t="s">
        <v>1037</v>
      </c>
      <c r="D963" s="11" t="s">
        <v>1038</v>
      </c>
      <c r="E963" s="48" t="s">
        <v>31</v>
      </c>
      <c r="F963" s="48" t="s">
        <v>74</v>
      </c>
      <c r="G963" s="11" t="s">
        <v>64</v>
      </c>
      <c r="H963" s="11" t="s">
        <v>75</v>
      </c>
      <c r="I963" s="11">
        <v>1299</v>
      </c>
      <c r="J963" s="49" t="s">
        <v>39</v>
      </c>
      <c r="K963" s="49" t="s">
        <v>76</v>
      </c>
      <c r="L963" s="49" t="s">
        <v>77</v>
      </c>
      <c r="M963" s="49" t="s">
        <v>78</v>
      </c>
      <c r="N963" s="49" t="s">
        <v>89</v>
      </c>
      <c r="O963" s="49" t="s">
        <v>37</v>
      </c>
      <c r="P963" s="11" t="s">
        <v>80</v>
      </c>
      <c r="Q963" s="11" t="s">
        <v>81</v>
      </c>
      <c r="R963" s="11" t="s">
        <v>632</v>
      </c>
      <c r="S963" s="11" t="s">
        <v>633</v>
      </c>
      <c r="T963" s="90" t="s">
        <v>1</v>
      </c>
      <c r="U963" s="90"/>
      <c r="V963" s="51">
        <v>45929</v>
      </c>
      <c r="W963" s="49" t="s">
        <v>1584</v>
      </c>
    </row>
    <row r="964" spans="1:23" ht="13" customHeight="1" x14ac:dyDescent="0.35">
      <c r="A964" s="11">
        <v>958</v>
      </c>
      <c r="B964" s="97">
        <v>204072300</v>
      </c>
      <c r="C964" s="47" t="s">
        <v>2822</v>
      </c>
      <c r="D964" s="94" t="s">
        <v>2823</v>
      </c>
      <c r="E964" s="48" t="s">
        <v>31</v>
      </c>
      <c r="F964" s="48" t="s">
        <v>74</v>
      </c>
      <c r="G964" s="11" t="s">
        <v>64</v>
      </c>
      <c r="H964" s="11" t="s">
        <v>75</v>
      </c>
      <c r="I964" s="11">
        <v>1299</v>
      </c>
      <c r="J964" s="49" t="s">
        <v>39</v>
      </c>
      <c r="K964" s="49" t="s">
        <v>76</v>
      </c>
      <c r="L964" s="49" t="s">
        <v>84</v>
      </c>
      <c r="M964" s="49" t="s">
        <v>85</v>
      </c>
      <c r="N964" s="48" t="s">
        <v>86</v>
      </c>
      <c r="O964" s="49" t="s">
        <v>37</v>
      </c>
      <c r="P964" s="11" t="s">
        <v>80</v>
      </c>
      <c r="Q964" s="11" t="s">
        <v>90</v>
      </c>
      <c r="R964" s="11" t="s">
        <v>2865</v>
      </c>
      <c r="S964" s="11" t="s">
        <v>2866</v>
      </c>
      <c r="T964" s="90" t="s">
        <v>1</v>
      </c>
      <c r="U964" s="91"/>
      <c r="V964" s="51">
        <v>45558</v>
      </c>
      <c r="W964" s="49" t="s">
        <v>1584</v>
      </c>
    </row>
    <row r="965" spans="1:23" ht="13" customHeight="1" x14ac:dyDescent="0.35">
      <c r="A965" s="11">
        <v>959</v>
      </c>
      <c r="B965" s="47">
        <v>206886737</v>
      </c>
      <c r="C965" s="94" t="s">
        <v>1850</v>
      </c>
      <c r="D965" s="11" t="s">
        <v>1851</v>
      </c>
      <c r="E965" s="11" t="s">
        <v>31</v>
      </c>
      <c r="F965" s="48" t="s">
        <v>74</v>
      </c>
      <c r="G965" s="11" t="s">
        <v>64</v>
      </c>
      <c r="H965" s="11" t="s">
        <v>75</v>
      </c>
      <c r="I965" s="11">
        <v>1299</v>
      </c>
      <c r="J965" s="49" t="s">
        <v>39</v>
      </c>
      <c r="K965" s="49" t="s">
        <v>76</v>
      </c>
      <c r="L965" s="49" t="s">
        <v>78</v>
      </c>
      <c r="M965" s="49" t="s">
        <v>92</v>
      </c>
      <c r="N965" s="49" t="s">
        <v>89</v>
      </c>
      <c r="O965" s="49" t="s">
        <v>37</v>
      </c>
      <c r="P965" s="11" t="s">
        <v>80</v>
      </c>
      <c r="Q965" s="11" t="s">
        <v>96</v>
      </c>
      <c r="R965" s="11" t="s">
        <v>1069</v>
      </c>
      <c r="S965" s="11" t="s">
        <v>2733</v>
      </c>
      <c r="T965" s="90" t="s">
        <v>1</v>
      </c>
      <c r="U965" s="91"/>
      <c r="V965" s="51">
        <v>46027</v>
      </c>
      <c r="W965" s="49" t="s">
        <v>1584</v>
      </c>
    </row>
    <row r="966" spans="1:23" ht="13" customHeight="1" x14ac:dyDescent="0.35">
      <c r="A966" s="11">
        <v>960</v>
      </c>
      <c r="B966" s="47">
        <v>203965605</v>
      </c>
      <c r="C966" s="94" t="s">
        <v>1039</v>
      </c>
      <c r="D966" s="11" t="s">
        <v>1040</v>
      </c>
      <c r="E966" s="48" t="s">
        <v>31</v>
      </c>
      <c r="F966" s="48" t="s">
        <v>74</v>
      </c>
      <c r="G966" s="11" t="s">
        <v>64</v>
      </c>
      <c r="H966" s="11" t="s">
        <v>75</v>
      </c>
      <c r="I966" s="11">
        <v>1299</v>
      </c>
      <c r="J966" s="49" t="s">
        <v>32</v>
      </c>
      <c r="K966" s="49" t="s">
        <v>76</v>
      </c>
      <c r="L966" s="49" t="s">
        <v>78</v>
      </c>
      <c r="M966" s="49" t="s">
        <v>92</v>
      </c>
      <c r="N966" s="48" t="s">
        <v>86</v>
      </c>
      <c r="O966" s="49" t="s">
        <v>37</v>
      </c>
      <c r="P966" s="11" t="s">
        <v>80</v>
      </c>
      <c r="Q966" s="11" t="s">
        <v>99</v>
      </c>
      <c r="R966" s="11" t="s">
        <v>640</v>
      </c>
      <c r="S966" s="11" t="s">
        <v>2734</v>
      </c>
      <c r="T966" s="90" t="s">
        <v>1</v>
      </c>
      <c r="U966" s="90"/>
      <c r="V966" s="51">
        <v>45544</v>
      </c>
      <c r="W966" s="49" t="s">
        <v>1584</v>
      </c>
    </row>
    <row r="967" spans="1:23" ht="13" customHeight="1" x14ac:dyDescent="0.35">
      <c r="A967" s="11">
        <v>961</v>
      </c>
      <c r="B967" s="47">
        <v>203965410</v>
      </c>
      <c r="C967" s="94" t="s">
        <v>1041</v>
      </c>
      <c r="D967" s="11" t="s">
        <v>1042</v>
      </c>
      <c r="E967" s="48" t="s">
        <v>31</v>
      </c>
      <c r="F967" s="48" t="s">
        <v>74</v>
      </c>
      <c r="G967" s="11" t="s">
        <v>64</v>
      </c>
      <c r="H967" s="11" t="s">
        <v>75</v>
      </c>
      <c r="I967" s="11">
        <v>1299</v>
      </c>
      <c r="J967" s="49" t="s">
        <v>39</v>
      </c>
      <c r="K967" s="49" t="s">
        <v>76</v>
      </c>
      <c r="L967" s="49" t="s">
        <v>95</v>
      </c>
      <c r="M967" s="49" t="s">
        <v>77</v>
      </c>
      <c r="N967" s="48" t="s">
        <v>79</v>
      </c>
      <c r="O967" s="49" t="s">
        <v>37</v>
      </c>
      <c r="P967" s="11" t="s">
        <v>80</v>
      </c>
      <c r="Q967" s="11" t="s">
        <v>81</v>
      </c>
      <c r="R967" s="49" t="s">
        <v>648</v>
      </c>
      <c r="S967" s="11" t="s">
        <v>1805</v>
      </c>
      <c r="T967" s="90" t="s">
        <v>1</v>
      </c>
      <c r="U967" s="89"/>
      <c r="V967" s="51">
        <v>45544</v>
      </c>
      <c r="W967" s="49" t="s">
        <v>1584</v>
      </c>
    </row>
    <row r="968" spans="1:23" ht="13" customHeight="1" x14ac:dyDescent="0.35">
      <c r="A968" s="11">
        <v>962</v>
      </c>
      <c r="B968" s="47">
        <v>202419640</v>
      </c>
      <c r="C968" s="94" t="s">
        <v>1043</v>
      </c>
      <c r="D968" s="11" t="s">
        <v>1044</v>
      </c>
      <c r="E968" s="48" t="s">
        <v>31</v>
      </c>
      <c r="F968" s="48" t="s">
        <v>74</v>
      </c>
      <c r="G968" s="11" t="s">
        <v>64</v>
      </c>
      <c r="H968" s="11" t="s">
        <v>75</v>
      </c>
      <c r="I968" s="11">
        <v>1299</v>
      </c>
      <c r="J968" s="49" t="s">
        <v>39</v>
      </c>
      <c r="K968" s="49" t="s">
        <v>76</v>
      </c>
      <c r="L968" s="49" t="s">
        <v>78</v>
      </c>
      <c r="M968" s="49" t="s">
        <v>92</v>
      </c>
      <c r="N968" s="48" t="s">
        <v>86</v>
      </c>
      <c r="O968" s="49" t="s">
        <v>37</v>
      </c>
      <c r="P968" s="11" t="s">
        <v>80</v>
      </c>
      <c r="Q968" s="11" t="s">
        <v>87</v>
      </c>
      <c r="R968" s="11" t="s">
        <v>632</v>
      </c>
      <c r="S968" s="11" t="s">
        <v>633</v>
      </c>
      <c r="T968" s="90" t="s">
        <v>1</v>
      </c>
      <c r="U968" s="89"/>
      <c r="V968" s="51">
        <v>45561</v>
      </c>
      <c r="W968" s="49" t="s">
        <v>1585</v>
      </c>
    </row>
    <row r="969" spans="1:23" ht="13" customHeight="1" x14ac:dyDescent="0.35">
      <c r="A969" s="11">
        <v>963</v>
      </c>
      <c r="B969" s="47">
        <v>204138114</v>
      </c>
      <c r="C969" s="94" t="s">
        <v>1045</v>
      </c>
      <c r="D969" s="11" t="s">
        <v>1046</v>
      </c>
      <c r="E969" s="48" t="s">
        <v>31</v>
      </c>
      <c r="F969" s="48" t="s">
        <v>74</v>
      </c>
      <c r="G969" s="11" t="s">
        <v>64</v>
      </c>
      <c r="H969" s="11" t="s">
        <v>75</v>
      </c>
      <c r="I969" s="11">
        <v>1299</v>
      </c>
      <c r="J969" s="49" t="s">
        <v>32</v>
      </c>
      <c r="K969" s="49" t="s">
        <v>76</v>
      </c>
      <c r="L969" s="49" t="s">
        <v>95</v>
      </c>
      <c r="M969" s="49" t="s">
        <v>77</v>
      </c>
      <c r="N969" s="48" t="s">
        <v>86</v>
      </c>
      <c r="O969" s="49" t="s">
        <v>37</v>
      </c>
      <c r="P969" s="11" t="s">
        <v>80</v>
      </c>
      <c r="Q969" s="11" t="s">
        <v>87</v>
      </c>
      <c r="R969" s="11" t="s">
        <v>632</v>
      </c>
      <c r="S969" s="11" t="s">
        <v>633</v>
      </c>
      <c r="T969" s="90" t="s">
        <v>1</v>
      </c>
      <c r="U969" s="89"/>
      <c r="V969" s="51">
        <v>45565</v>
      </c>
      <c r="W969" s="49" t="s">
        <v>1584</v>
      </c>
    </row>
    <row r="970" spans="1:23" ht="13" customHeight="1" x14ac:dyDescent="0.35">
      <c r="A970" s="11">
        <v>964</v>
      </c>
      <c r="B970" s="47">
        <v>203965009</v>
      </c>
      <c r="C970" s="94" t="s">
        <v>1047</v>
      </c>
      <c r="D970" s="11" t="s">
        <v>1048</v>
      </c>
      <c r="E970" s="48" t="s">
        <v>31</v>
      </c>
      <c r="F970" s="48" t="s">
        <v>74</v>
      </c>
      <c r="G970" s="11" t="s">
        <v>64</v>
      </c>
      <c r="H970" s="11" t="s">
        <v>75</v>
      </c>
      <c r="I970" s="11">
        <v>1299</v>
      </c>
      <c r="J970" s="49" t="s">
        <v>39</v>
      </c>
      <c r="K970" s="49" t="s">
        <v>76</v>
      </c>
      <c r="L970" s="49" t="s">
        <v>77</v>
      </c>
      <c r="M970" s="49" t="s">
        <v>78</v>
      </c>
      <c r="N970" s="48" t="s">
        <v>86</v>
      </c>
      <c r="O970" s="49" t="s">
        <v>37</v>
      </c>
      <c r="P970" s="11" t="s">
        <v>80</v>
      </c>
      <c r="Q970" s="11" t="s">
        <v>99</v>
      </c>
      <c r="R970" s="49" t="s">
        <v>628</v>
      </c>
      <c r="S970" s="11" t="s">
        <v>629</v>
      </c>
      <c r="T970" s="90" t="s">
        <v>1</v>
      </c>
      <c r="U970" s="89"/>
      <c r="V970" s="51">
        <v>45544</v>
      </c>
      <c r="W970" s="49" t="s">
        <v>1584</v>
      </c>
    </row>
    <row r="971" spans="1:23" ht="13" customHeight="1" x14ac:dyDescent="0.35">
      <c r="A971" s="11">
        <v>965</v>
      </c>
      <c r="B971" s="97">
        <v>205280538</v>
      </c>
      <c r="C971" s="47" t="s">
        <v>2824</v>
      </c>
      <c r="D971" s="94" t="s">
        <v>2825</v>
      </c>
      <c r="E971" s="48" t="s">
        <v>31</v>
      </c>
      <c r="F971" s="48" t="s">
        <v>74</v>
      </c>
      <c r="G971" s="11" t="s">
        <v>64</v>
      </c>
      <c r="H971" s="11" t="s">
        <v>75</v>
      </c>
      <c r="I971" s="11">
        <v>1299</v>
      </c>
      <c r="J971" s="49" t="s">
        <v>39</v>
      </c>
      <c r="K971" s="49" t="s">
        <v>76</v>
      </c>
      <c r="L971" s="49" t="s">
        <v>77</v>
      </c>
      <c r="M971" s="49" t="s">
        <v>78</v>
      </c>
      <c r="N971" s="49" t="s">
        <v>89</v>
      </c>
      <c r="O971" s="49" t="s">
        <v>37</v>
      </c>
      <c r="P971" s="11" t="s">
        <v>80</v>
      </c>
      <c r="Q971" s="11" t="s">
        <v>96</v>
      </c>
      <c r="R971" s="11" t="s">
        <v>628</v>
      </c>
      <c r="S971" s="11" t="s">
        <v>629</v>
      </c>
      <c r="T971" s="90" t="s">
        <v>1</v>
      </c>
      <c r="U971" s="89"/>
      <c r="V971" s="51">
        <v>46048</v>
      </c>
      <c r="W971" s="49" t="s">
        <v>1583</v>
      </c>
    </row>
    <row r="972" spans="1:23" ht="13" customHeight="1" x14ac:dyDescent="0.35">
      <c r="A972" s="11">
        <v>966</v>
      </c>
      <c r="B972" s="47">
        <v>204053439</v>
      </c>
      <c r="C972" s="94" t="s">
        <v>1049</v>
      </c>
      <c r="D972" s="11" t="s">
        <v>1050</v>
      </c>
      <c r="E972" s="48" t="s">
        <v>31</v>
      </c>
      <c r="F972" s="48" t="s">
        <v>74</v>
      </c>
      <c r="G972" s="11" t="s">
        <v>64</v>
      </c>
      <c r="H972" s="11" t="s">
        <v>75</v>
      </c>
      <c r="I972" s="11">
        <v>1299</v>
      </c>
      <c r="J972" s="49" t="s">
        <v>32</v>
      </c>
      <c r="K972" s="49" t="s">
        <v>76</v>
      </c>
      <c r="L972" s="49" t="s">
        <v>95</v>
      </c>
      <c r="M972" s="49" t="s">
        <v>77</v>
      </c>
      <c r="N972" s="48" t="s">
        <v>86</v>
      </c>
      <c r="O972" s="49" t="s">
        <v>37</v>
      </c>
      <c r="P972" s="11" t="s">
        <v>80</v>
      </c>
      <c r="Q972" s="11" t="s">
        <v>99</v>
      </c>
      <c r="R972" s="49" t="s">
        <v>648</v>
      </c>
      <c r="S972" s="11" t="s">
        <v>1805</v>
      </c>
      <c r="T972" s="90" t="s">
        <v>1</v>
      </c>
      <c r="U972" s="89"/>
      <c r="V972" s="51">
        <v>45558</v>
      </c>
      <c r="W972" s="49" t="s">
        <v>1583</v>
      </c>
    </row>
    <row r="973" spans="1:23" ht="13" customHeight="1" x14ac:dyDescent="0.35">
      <c r="A973" s="11">
        <v>967</v>
      </c>
      <c r="B973" s="47">
        <v>203800778</v>
      </c>
      <c r="C973" s="94" t="s">
        <v>1051</v>
      </c>
      <c r="D973" s="11" t="s">
        <v>1052</v>
      </c>
      <c r="E973" s="48" t="s">
        <v>31</v>
      </c>
      <c r="F973" s="48" t="s">
        <v>74</v>
      </c>
      <c r="G973" s="11" t="s">
        <v>64</v>
      </c>
      <c r="H973" s="11" t="s">
        <v>75</v>
      </c>
      <c r="I973" s="11">
        <v>1299</v>
      </c>
      <c r="J973" s="49" t="s">
        <v>39</v>
      </c>
      <c r="K973" s="49" t="s">
        <v>76</v>
      </c>
      <c r="L973" s="49" t="s">
        <v>78</v>
      </c>
      <c r="M973" s="49" t="s">
        <v>92</v>
      </c>
      <c r="N973" s="48" t="s">
        <v>86</v>
      </c>
      <c r="O973" s="49" t="s">
        <v>37</v>
      </c>
      <c r="P973" s="11" t="s">
        <v>80</v>
      </c>
      <c r="Q973" s="11" t="s">
        <v>90</v>
      </c>
      <c r="R973" s="49" t="s">
        <v>628</v>
      </c>
      <c r="S973" s="11" t="s">
        <v>629</v>
      </c>
      <c r="T973" s="90" t="s">
        <v>1</v>
      </c>
      <c r="U973" s="89"/>
      <c r="V973" s="51">
        <v>45684</v>
      </c>
      <c r="W973" s="49" t="s">
        <v>1583</v>
      </c>
    </row>
    <row r="974" spans="1:23" ht="13" customHeight="1" x14ac:dyDescent="0.35">
      <c r="A974" s="11">
        <v>968</v>
      </c>
      <c r="B974" s="47">
        <v>203965008</v>
      </c>
      <c r="C974" s="94" t="s">
        <v>1053</v>
      </c>
      <c r="D974" s="11" t="s">
        <v>1054</v>
      </c>
      <c r="E974" s="48" t="s">
        <v>31</v>
      </c>
      <c r="F974" s="48" t="s">
        <v>74</v>
      </c>
      <c r="G974" s="11" t="s">
        <v>64</v>
      </c>
      <c r="H974" s="11" t="s">
        <v>75</v>
      </c>
      <c r="I974" s="11">
        <v>1299</v>
      </c>
      <c r="J974" s="49" t="s">
        <v>39</v>
      </c>
      <c r="K974" s="49" t="s">
        <v>76</v>
      </c>
      <c r="L974" s="49" t="s">
        <v>95</v>
      </c>
      <c r="M974" s="49" t="s">
        <v>77</v>
      </c>
      <c r="N974" s="48" t="s">
        <v>86</v>
      </c>
      <c r="O974" s="49" t="s">
        <v>37</v>
      </c>
      <c r="P974" s="11" t="s">
        <v>80</v>
      </c>
      <c r="Q974" s="11" t="s">
        <v>99</v>
      </c>
      <c r="R974" s="49" t="s">
        <v>648</v>
      </c>
      <c r="S974" s="11" t="s">
        <v>1805</v>
      </c>
      <c r="T974" s="90" t="s">
        <v>1</v>
      </c>
      <c r="U974" s="89"/>
      <c r="V974" s="51">
        <v>45544</v>
      </c>
      <c r="W974" s="49" t="s">
        <v>1584</v>
      </c>
    </row>
    <row r="975" spans="1:23" ht="13" customHeight="1" x14ac:dyDescent="0.35">
      <c r="A975" s="11">
        <v>969</v>
      </c>
      <c r="B975" s="47">
        <v>203880400</v>
      </c>
      <c r="C975" s="94" t="s">
        <v>1055</v>
      </c>
      <c r="D975" s="11" t="s">
        <v>1056</v>
      </c>
      <c r="E975" s="48" t="s">
        <v>31</v>
      </c>
      <c r="F975" s="48" t="s">
        <v>74</v>
      </c>
      <c r="G975" s="11" t="s">
        <v>64</v>
      </c>
      <c r="H975" s="11" t="s">
        <v>75</v>
      </c>
      <c r="I975" s="11">
        <v>1299</v>
      </c>
      <c r="J975" s="49" t="s">
        <v>39</v>
      </c>
      <c r="K975" s="49" t="s">
        <v>76</v>
      </c>
      <c r="L975" s="49" t="s">
        <v>92</v>
      </c>
      <c r="M975" s="49" t="s">
        <v>84</v>
      </c>
      <c r="N975" s="48" t="s">
        <v>79</v>
      </c>
      <c r="O975" s="49" t="s">
        <v>37</v>
      </c>
      <c r="P975" s="11" t="s">
        <v>80</v>
      </c>
      <c r="Q975" s="11" t="s">
        <v>81</v>
      </c>
      <c r="R975" s="49" t="s">
        <v>648</v>
      </c>
      <c r="S975" s="11" t="s">
        <v>1805</v>
      </c>
      <c r="T975" s="90" t="s">
        <v>1</v>
      </c>
      <c r="U975" s="90"/>
      <c r="V975" s="51">
        <v>45530</v>
      </c>
      <c r="W975" s="49" t="s">
        <v>1584</v>
      </c>
    </row>
    <row r="976" spans="1:23" ht="13" customHeight="1" x14ac:dyDescent="0.35">
      <c r="A976" s="11">
        <v>970</v>
      </c>
      <c r="B976" s="47">
        <v>206886735</v>
      </c>
      <c r="C976" s="94" t="s">
        <v>1852</v>
      </c>
      <c r="D976" s="11" t="s">
        <v>1853</v>
      </c>
      <c r="E976" s="11" t="s">
        <v>31</v>
      </c>
      <c r="F976" s="48" t="s">
        <v>74</v>
      </c>
      <c r="G976" s="11" t="s">
        <v>64</v>
      </c>
      <c r="H976" s="11" t="s">
        <v>75</v>
      </c>
      <c r="I976" s="11">
        <v>1299</v>
      </c>
      <c r="J976" s="49" t="s">
        <v>32</v>
      </c>
      <c r="K976" s="49" t="s">
        <v>76</v>
      </c>
      <c r="L976" s="49" t="s">
        <v>85</v>
      </c>
      <c r="M976" s="49" t="s">
        <v>88</v>
      </c>
      <c r="N976" s="49" t="s">
        <v>89</v>
      </c>
      <c r="O976" s="49" t="s">
        <v>37</v>
      </c>
      <c r="P976" s="11" t="s">
        <v>80</v>
      </c>
      <c r="Q976" s="11" t="s">
        <v>96</v>
      </c>
      <c r="R976" s="11" t="s">
        <v>1069</v>
      </c>
      <c r="S976" s="11" t="s">
        <v>2733</v>
      </c>
      <c r="T976" s="90" t="s">
        <v>10</v>
      </c>
      <c r="U976" s="91"/>
      <c r="V976" s="51">
        <v>46027</v>
      </c>
      <c r="W976" s="49" t="s">
        <v>1584</v>
      </c>
    </row>
    <row r="977" spans="1:23" ht="13" customHeight="1" x14ac:dyDescent="0.35">
      <c r="A977" s="11">
        <v>971</v>
      </c>
      <c r="B977" s="47">
        <v>205997633</v>
      </c>
      <c r="C977" s="94" t="s">
        <v>1057</v>
      </c>
      <c r="D977" s="11" t="s">
        <v>1058</v>
      </c>
      <c r="E977" s="48" t="s">
        <v>31</v>
      </c>
      <c r="F977" s="48" t="s">
        <v>74</v>
      </c>
      <c r="G977" s="11" t="s">
        <v>64</v>
      </c>
      <c r="H977" s="11" t="s">
        <v>75</v>
      </c>
      <c r="I977" s="11">
        <v>1299</v>
      </c>
      <c r="J977" s="49" t="s">
        <v>39</v>
      </c>
      <c r="K977" s="49" t="s">
        <v>76</v>
      </c>
      <c r="L977" s="49" t="s">
        <v>88</v>
      </c>
      <c r="M977" s="49" t="s">
        <v>95</v>
      </c>
      <c r="N977" s="48" t="s">
        <v>79</v>
      </c>
      <c r="O977" s="49" t="s">
        <v>37</v>
      </c>
      <c r="P977" s="11" t="s">
        <v>80</v>
      </c>
      <c r="Q977" s="11" t="s">
        <v>81</v>
      </c>
      <c r="R977" s="49" t="s">
        <v>648</v>
      </c>
      <c r="S977" s="11" t="s">
        <v>1805</v>
      </c>
      <c r="T977" s="90" t="s">
        <v>10</v>
      </c>
      <c r="U977" s="91"/>
      <c r="V977" s="51">
        <v>45915</v>
      </c>
      <c r="W977" s="49" t="s">
        <v>1584</v>
      </c>
    </row>
    <row r="978" spans="1:23" ht="13" customHeight="1" x14ac:dyDescent="0.35">
      <c r="A978" s="11">
        <v>972</v>
      </c>
      <c r="B978" s="47">
        <v>113433097</v>
      </c>
      <c r="C978" s="94" t="s">
        <v>1059</v>
      </c>
      <c r="D978" s="11" t="s">
        <v>1060</v>
      </c>
      <c r="E978" s="48" t="s">
        <v>31</v>
      </c>
      <c r="F978" s="48" t="s">
        <v>74</v>
      </c>
      <c r="G978" s="11" t="s">
        <v>64</v>
      </c>
      <c r="H978" s="11" t="s">
        <v>75</v>
      </c>
      <c r="I978" s="11">
        <v>1299</v>
      </c>
      <c r="J978" s="49" t="s">
        <v>32</v>
      </c>
      <c r="K978" s="49" t="s">
        <v>76</v>
      </c>
      <c r="L978" s="49" t="s">
        <v>84</v>
      </c>
      <c r="M978" s="49" t="s">
        <v>85</v>
      </c>
      <c r="N978" s="48" t="s">
        <v>86</v>
      </c>
      <c r="O978" s="49" t="s">
        <v>37</v>
      </c>
      <c r="P978" s="11" t="s">
        <v>80</v>
      </c>
      <c r="Q978" s="11" t="s">
        <v>99</v>
      </c>
      <c r="R978" s="11" t="s">
        <v>1069</v>
      </c>
      <c r="S978" s="11" t="s">
        <v>2733</v>
      </c>
      <c r="T978" s="90" t="s">
        <v>1</v>
      </c>
      <c r="U978" s="90"/>
      <c r="V978" s="51">
        <v>45537</v>
      </c>
      <c r="W978" s="49" t="s">
        <v>1584</v>
      </c>
    </row>
    <row r="979" spans="1:23" ht="13" customHeight="1" x14ac:dyDescent="0.35">
      <c r="A979" s="11">
        <v>973</v>
      </c>
      <c r="B979" s="47">
        <v>205845295</v>
      </c>
      <c r="C979" s="94" t="s">
        <v>1061</v>
      </c>
      <c r="D979" s="11" t="s">
        <v>1062</v>
      </c>
      <c r="E979" s="48" t="s">
        <v>31</v>
      </c>
      <c r="F979" s="48" t="s">
        <v>74</v>
      </c>
      <c r="G979" s="11" t="s">
        <v>64</v>
      </c>
      <c r="H979" s="11" t="s">
        <v>75</v>
      </c>
      <c r="I979" s="11">
        <v>1299</v>
      </c>
      <c r="J979" s="49" t="s">
        <v>39</v>
      </c>
      <c r="K979" s="49" t="s">
        <v>76</v>
      </c>
      <c r="L979" s="49" t="s">
        <v>84</v>
      </c>
      <c r="M979" s="49" t="s">
        <v>85</v>
      </c>
      <c r="N979" s="49" t="s">
        <v>89</v>
      </c>
      <c r="O979" s="49" t="s">
        <v>37</v>
      </c>
      <c r="P979" s="11" t="s">
        <v>80</v>
      </c>
      <c r="Q979" s="11" t="s">
        <v>90</v>
      </c>
      <c r="R979" s="49" t="s">
        <v>628</v>
      </c>
      <c r="S979" s="11" t="s">
        <v>629</v>
      </c>
      <c r="T979" s="90" t="s">
        <v>1</v>
      </c>
      <c r="U979" s="89"/>
      <c r="V979" s="51">
        <v>45894</v>
      </c>
      <c r="W979" s="49" t="s">
        <v>1583</v>
      </c>
    </row>
    <row r="980" spans="1:23" ht="13" customHeight="1" x14ac:dyDescent="0.35">
      <c r="A980" s="11">
        <v>974</v>
      </c>
      <c r="B980" s="47">
        <v>203850876</v>
      </c>
      <c r="C980" s="94" t="s">
        <v>2363</v>
      </c>
      <c r="D980" s="11" t="s">
        <v>2364</v>
      </c>
      <c r="E980" s="48" t="s">
        <v>31</v>
      </c>
      <c r="F980" s="48" t="s">
        <v>74</v>
      </c>
      <c r="G980" s="11" t="s">
        <v>64</v>
      </c>
      <c r="H980" s="11" t="s">
        <v>75</v>
      </c>
      <c r="I980" s="11">
        <v>1299</v>
      </c>
      <c r="J980" s="49" t="s">
        <v>32</v>
      </c>
      <c r="K980" s="49" t="s">
        <v>76</v>
      </c>
      <c r="L980" s="49" t="s">
        <v>95</v>
      </c>
      <c r="M980" s="49" t="s">
        <v>77</v>
      </c>
      <c r="N980" s="48" t="s">
        <v>86</v>
      </c>
      <c r="O980" s="49" t="s">
        <v>37</v>
      </c>
      <c r="P980" s="11" t="s">
        <v>80</v>
      </c>
      <c r="Q980" s="11" t="s">
        <v>90</v>
      </c>
      <c r="R980" s="11" t="s">
        <v>1069</v>
      </c>
      <c r="S980" s="11" t="s">
        <v>2733</v>
      </c>
      <c r="T980" s="90" t="s">
        <v>1</v>
      </c>
      <c r="U980" s="89"/>
      <c r="V980" s="51">
        <v>45524</v>
      </c>
      <c r="W980" s="49" t="s">
        <v>1584</v>
      </c>
    </row>
    <row r="981" spans="1:23" ht="13" customHeight="1" x14ac:dyDescent="0.35">
      <c r="A981" s="11">
        <v>975</v>
      </c>
      <c r="B981" s="47">
        <v>206851159</v>
      </c>
      <c r="C981" s="94" t="s">
        <v>1806</v>
      </c>
      <c r="D981" s="47" t="s">
        <v>1807</v>
      </c>
      <c r="E981" s="47" t="s">
        <v>31</v>
      </c>
      <c r="F981" s="48" t="s">
        <v>74</v>
      </c>
      <c r="G981" s="11" t="s">
        <v>64</v>
      </c>
      <c r="H981" s="11" t="s">
        <v>75</v>
      </c>
      <c r="I981" s="47">
        <v>1299</v>
      </c>
      <c r="J981" s="49" t="s">
        <v>32</v>
      </c>
      <c r="K981" s="49" t="s">
        <v>76</v>
      </c>
      <c r="L981" s="49" t="s">
        <v>88</v>
      </c>
      <c r="M981" s="49" t="s">
        <v>95</v>
      </c>
      <c r="N981" s="49" t="s">
        <v>89</v>
      </c>
      <c r="O981" s="49" t="s">
        <v>37</v>
      </c>
      <c r="P981" s="11" t="s">
        <v>80</v>
      </c>
      <c r="Q981" s="47" t="s">
        <v>90</v>
      </c>
      <c r="R981" s="11" t="s">
        <v>1069</v>
      </c>
      <c r="S981" s="11" t="s">
        <v>2733</v>
      </c>
      <c r="T981" s="90" t="s">
        <v>10</v>
      </c>
      <c r="U981" s="90" t="s">
        <v>2914</v>
      </c>
      <c r="V981" s="51">
        <v>46013</v>
      </c>
      <c r="W981" s="49" t="s">
        <v>1584</v>
      </c>
    </row>
    <row r="982" spans="1:23" ht="13" customHeight="1" x14ac:dyDescent="0.35">
      <c r="A982" s="11">
        <v>976</v>
      </c>
      <c r="B982" s="47">
        <v>204013683</v>
      </c>
      <c r="C982" s="94" t="s">
        <v>1063</v>
      </c>
      <c r="D982" s="79" t="s">
        <v>1064</v>
      </c>
      <c r="E982" s="48" t="s">
        <v>31</v>
      </c>
      <c r="F982" s="48" t="s">
        <v>74</v>
      </c>
      <c r="G982" s="11" t="s">
        <v>64</v>
      </c>
      <c r="H982" s="11" t="s">
        <v>75</v>
      </c>
      <c r="I982" s="11">
        <v>1299</v>
      </c>
      <c r="J982" s="49" t="s">
        <v>39</v>
      </c>
      <c r="K982" s="49" t="s">
        <v>76</v>
      </c>
      <c r="L982" s="49" t="s">
        <v>88</v>
      </c>
      <c r="M982" s="49" t="s">
        <v>95</v>
      </c>
      <c r="N982" s="48" t="s">
        <v>79</v>
      </c>
      <c r="O982" s="49" t="s">
        <v>37</v>
      </c>
      <c r="P982" s="11" t="s">
        <v>80</v>
      </c>
      <c r="Q982" s="74" t="s">
        <v>81</v>
      </c>
      <c r="R982" s="11" t="s">
        <v>1069</v>
      </c>
      <c r="S982" s="11" t="s">
        <v>2733</v>
      </c>
      <c r="T982" s="90" t="s">
        <v>10</v>
      </c>
      <c r="U982" s="89"/>
      <c r="V982" s="51">
        <v>45551</v>
      </c>
      <c r="W982" s="49" t="s">
        <v>1583</v>
      </c>
    </row>
    <row r="983" spans="1:23" ht="13" customHeight="1" x14ac:dyDescent="0.35">
      <c r="A983" s="11">
        <v>977</v>
      </c>
      <c r="B983" s="47">
        <v>205872523</v>
      </c>
      <c r="C983" s="94" t="s">
        <v>1065</v>
      </c>
      <c r="D983" s="79" t="s">
        <v>1066</v>
      </c>
      <c r="E983" s="48" t="s">
        <v>31</v>
      </c>
      <c r="F983" s="48" t="s">
        <v>74</v>
      </c>
      <c r="G983" s="11" t="s">
        <v>64</v>
      </c>
      <c r="H983" s="11" t="s">
        <v>75</v>
      </c>
      <c r="I983" s="11">
        <v>1299</v>
      </c>
      <c r="J983" s="49" t="s">
        <v>39</v>
      </c>
      <c r="K983" s="49" t="s">
        <v>76</v>
      </c>
      <c r="L983" s="49" t="s">
        <v>84</v>
      </c>
      <c r="M983" s="49" t="s">
        <v>85</v>
      </c>
      <c r="N983" s="49" t="s">
        <v>89</v>
      </c>
      <c r="O983" s="49" t="s">
        <v>37</v>
      </c>
      <c r="P983" s="11" t="s">
        <v>80</v>
      </c>
      <c r="Q983" s="11" t="s">
        <v>90</v>
      </c>
      <c r="R983" s="11" t="s">
        <v>632</v>
      </c>
      <c r="S983" s="11" t="s">
        <v>633</v>
      </c>
      <c r="T983" s="90" t="s">
        <v>1</v>
      </c>
      <c r="U983" s="89"/>
      <c r="V983" s="51">
        <v>45894</v>
      </c>
      <c r="W983" s="49" t="s">
        <v>1584</v>
      </c>
    </row>
    <row r="984" spans="1:23" ht="13" customHeight="1" x14ac:dyDescent="0.35">
      <c r="A984" s="11">
        <v>978</v>
      </c>
      <c r="B984" s="47">
        <v>113090848</v>
      </c>
      <c r="C984" s="94" t="s">
        <v>1067</v>
      </c>
      <c r="D984" s="79" t="s">
        <v>1068</v>
      </c>
      <c r="E984" s="48" t="s">
        <v>31</v>
      </c>
      <c r="F984" s="48" t="s">
        <v>74</v>
      </c>
      <c r="G984" s="11" t="s">
        <v>64</v>
      </c>
      <c r="H984" s="11" t="s">
        <v>75</v>
      </c>
      <c r="I984" s="11">
        <v>1299</v>
      </c>
      <c r="J984" s="49" t="s">
        <v>39</v>
      </c>
      <c r="K984" s="49" t="s">
        <v>76</v>
      </c>
      <c r="L984" s="49" t="s">
        <v>78</v>
      </c>
      <c r="M984" s="49" t="s">
        <v>92</v>
      </c>
      <c r="N984" s="48" t="s">
        <v>86</v>
      </c>
      <c r="O984" s="49" t="s">
        <v>37</v>
      </c>
      <c r="P984" s="11" t="s">
        <v>80</v>
      </c>
      <c r="Q984" s="11" t="s">
        <v>87</v>
      </c>
      <c r="R984" s="11" t="s">
        <v>632</v>
      </c>
      <c r="S984" s="11" t="s">
        <v>633</v>
      </c>
      <c r="T984" s="90" t="s">
        <v>1</v>
      </c>
      <c r="U984" s="89"/>
      <c r="V984" s="51">
        <v>45586</v>
      </c>
      <c r="W984" s="49" t="s">
        <v>1583</v>
      </c>
    </row>
    <row r="985" spans="1:23" ht="13" customHeight="1" x14ac:dyDescent="0.35">
      <c r="A985" s="11">
        <v>979</v>
      </c>
      <c r="B985" s="47">
        <v>109808062</v>
      </c>
      <c r="C985" s="94" t="s">
        <v>1070</v>
      </c>
      <c r="D985" s="79" t="s">
        <v>1071</v>
      </c>
      <c r="E985" s="48" t="s">
        <v>34</v>
      </c>
      <c r="F985" s="48" t="s">
        <v>74</v>
      </c>
      <c r="G985" s="11" t="s">
        <v>64</v>
      </c>
      <c r="H985" s="11" t="s">
        <v>75</v>
      </c>
      <c r="I985" s="11">
        <v>1299</v>
      </c>
      <c r="J985" s="49" t="s">
        <v>39</v>
      </c>
      <c r="K985" s="49" t="s">
        <v>76</v>
      </c>
      <c r="L985" s="49" t="s">
        <v>95</v>
      </c>
      <c r="M985" s="49" t="s">
        <v>77</v>
      </c>
      <c r="N985" s="48" t="s">
        <v>108</v>
      </c>
      <c r="O985" s="49" t="s">
        <v>37</v>
      </c>
      <c r="P985" s="11" t="s">
        <v>80</v>
      </c>
      <c r="Q985" s="11" t="s">
        <v>98</v>
      </c>
      <c r="R985" s="49" t="s">
        <v>648</v>
      </c>
      <c r="S985" s="11" t="s">
        <v>1805</v>
      </c>
      <c r="T985" s="90" t="s">
        <v>1</v>
      </c>
      <c r="U985" s="90"/>
      <c r="V985" s="51">
        <v>44782</v>
      </c>
      <c r="W985" s="49" t="s">
        <v>1585</v>
      </c>
    </row>
    <row r="986" spans="1:23" ht="13" customHeight="1" x14ac:dyDescent="0.35">
      <c r="A986" s="11">
        <v>980</v>
      </c>
      <c r="B986" s="47">
        <v>206850965</v>
      </c>
      <c r="C986" s="94" t="s">
        <v>1816</v>
      </c>
      <c r="D986" s="100" t="s">
        <v>1817</v>
      </c>
      <c r="E986" s="47" t="s">
        <v>31</v>
      </c>
      <c r="F986" s="48" t="s">
        <v>74</v>
      </c>
      <c r="G986" s="11" t="s">
        <v>64</v>
      </c>
      <c r="H986" s="11" t="s">
        <v>75</v>
      </c>
      <c r="I986" s="47">
        <v>1299</v>
      </c>
      <c r="J986" s="49" t="s">
        <v>32</v>
      </c>
      <c r="K986" s="49" t="s">
        <v>76</v>
      </c>
      <c r="L986" s="49" t="s">
        <v>95</v>
      </c>
      <c r="M986" s="49" t="s">
        <v>77</v>
      </c>
      <c r="N986" s="49" t="s">
        <v>89</v>
      </c>
      <c r="O986" s="49" t="s">
        <v>37</v>
      </c>
      <c r="P986" s="11" t="s">
        <v>80</v>
      </c>
      <c r="Q986" s="78" t="s">
        <v>90</v>
      </c>
      <c r="R986" s="11" t="s">
        <v>2865</v>
      </c>
      <c r="S986" s="11" t="s">
        <v>2866</v>
      </c>
      <c r="T986" s="90" t="s">
        <v>3</v>
      </c>
      <c r="U986" s="89"/>
      <c r="V986" s="51">
        <v>46013</v>
      </c>
      <c r="W986" s="49" t="s">
        <v>1584</v>
      </c>
    </row>
    <row r="987" spans="1:23" ht="13" customHeight="1" x14ac:dyDescent="0.35">
      <c r="A987" s="11">
        <v>981</v>
      </c>
      <c r="B987" s="47">
        <v>113090891</v>
      </c>
      <c r="C987" s="94" t="s">
        <v>1072</v>
      </c>
      <c r="D987" s="79" t="s">
        <v>1073</v>
      </c>
      <c r="E987" s="48" t="s">
        <v>31</v>
      </c>
      <c r="F987" s="48" t="s">
        <v>74</v>
      </c>
      <c r="G987" s="11" t="s">
        <v>64</v>
      </c>
      <c r="H987" s="11" t="s">
        <v>75</v>
      </c>
      <c r="I987" s="11">
        <v>1299</v>
      </c>
      <c r="J987" s="49" t="s">
        <v>32</v>
      </c>
      <c r="K987" s="49" t="s">
        <v>76</v>
      </c>
      <c r="L987" s="49" t="s">
        <v>84</v>
      </c>
      <c r="M987" s="49" t="s">
        <v>85</v>
      </c>
      <c r="N987" s="48" t="s">
        <v>86</v>
      </c>
      <c r="O987" s="49" t="s">
        <v>37</v>
      </c>
      <c r="P987" s="11" t="s">
        <v>80</v>
      </c>
      <c r="Q987" s="11" t="s">
        <v>87</v>
      </c>
      <c r="R987" s="49" t="s">
        <v>648</v>
      </c>
      <c r="S987" s="11" t="s">
        <v>1805</v>
      </c>
      <c r="T987" s="90" t="s">
        <v>1</v>
      </c>
      <c r="U987" s="106"/>
      <c r="V987" s="51">
        <v>45589</v>
      </c>
      <c r="W987" s="49" t="s">
        <v>1584</v>
      </c>
    </row>
    <row r="988" spans="1:23" ht="13" customHeight="1" x14ac:dyDescent="0.35">
      <c r="A988" s="11">
        <v>982</v>
      </c>
      <c r="B988" s="47">
        <v>103909188</v>
      </c>
      <c r="C988" s="94" t="s">
        <v>1074</v>
      </c>
      <c r="D988" s="79" t="s">
        <v>1075</v>
      </c>
      <c r="E988" s="48" t="s">
        <v>34</v>
      </c>
      <c r="F988" s="48" t="s">
        <v>74</v>
      </c>
      <c r="G988" s="11" t="s">
        <v>64</v>
      </c>
      <c r="H988" s="11" t="s">
        <v>75</v>
      </c>
      <c r="I988" s="11">
        <v>1299</v>
      </c>
      <c r="J988" s="49" t="s">
        <v>32</v>
      </c>
      <c r="K988" s="49" t="s">
        <v>76</v>
      </c>
      <c r="L988" s="49" t="s">
        <v>85</v>
      </c>
      <c r="M988" s="49" t="s">
        <v>88</v>
      </c>
      <c r="N988" s="48" t="s">
        <v>97</v>
      </c>
      <c r="O988" s="49" t="s">
        <v>37</v>
      </c>
      <c r="P988" s="11" t="s">
        <v>80</v>
      </c>
      <c r="Q988" s="11" t="s">
        <v>98</v>
      </c>
      <c r="R988" s="11" t="s">
        <v>1069</v>
      </c>
      <c r="S988" s="11" t="s">
        <v>2733</v>
      </c>
      <c r="T988" s="90" t="s">
        <v>10</v>
      </c>
      <c r="U988" s="90"/>
      <c r="V988" s="51">
        <v>44067</v>
      </c>
      <c r="W988" s="49" t="s">
        <v>1588</v>
      </c>
    </row>
    <row r="989" spans="1:23" ht="13" customHeight="1" x14ac:dyDescent="0.35">
      <c r="A989" s="11">
        <v>983</v>
      </c>
      <c r="B989" s="97">
        <v>203736256</v>
      </c>
      <c r="C989" s="47" t="s">
        <v>2826</v>
      </c>
      <c r="D989" s="101" t="s">
        <v>2827</v>
      </c>
      <c r="E989" s="48" t="s">
        <v>31</v>
      </c>
      <c r="F989" s="48" t="s">
        <v>74</v>
      </c>
      <c r="G989" s="11" t="s">
        <v>64</v>
      </c>
      <c r="H989" s="11" t="s">
        <v>75</v>
      </c>
      <c r="I989" s="11">
        <v>1299</v>
      </c>
      <c r="J989" s="49" t="s">
        <v>39</v>
      </c>
      <c r="K989" s="49" t="s">
        <v>76</v>
      </c>
      <c r="L989" s="49" t="s">
        <v>77</v>
      </c>
      <c r="M989" s="49" t="s">
        <v>78</v>
      </c>
      <c r="N989" s="49" t="s">
        <v>89</v>
      </c>
      <c r="O989" s="49" t="s">
        <v>37</v>
      </c>
      <c r="P989" s="11" t="s">
        <v>80</v>
      </c>
      <c r="Q989" s="11" t="s">
        <v>90</v>
      </c>
      <c r="R989" s="11" t="s">
        <v>628</v>
      </c>
      <c r="S989" s="11" t="s">
        <v>629</v>
      </c>
      <c r="T989" s="90" t="s">
        <v>1</v>
      </c>
      <c r="U989" s="91"/>
      <c r="V989" s="51">
        <v>45691</v>
      </c>
      <c r="W989" s="49" t="s">
        <v>1584</v>
      </c>
    </row>
    <row r="990" spans="1:23" ht="13" customHeight="1" x14ac:dyDescent="0.35">
      <c r="A990" s="11">
        <v>984</v>
      </c>
      <c r="B990" s="47">
        <v>107117479</v>
      </c>
      <c r="C990" s="94" t="s">
        <v>1076</v>
      </c>
      <c r="D990" s="79" t="s">
        <v>1077</v>
      </c>
      <c r="E990" s="48" t="s">
        <v>34</v>
      </c>
      <c r="F990" s="48" t="s">
        <v>74</v>
      </c>
      <c r="G990" s="11" t="s">
        <v>64</v>
      </c>
      <c r="H990" s="11" t="s">
        <v>75</v>
      </c>
      <c r="I990" s="11">
        <v>1299</v>
      </c>
      <c r="J990" s="49" t="s">
        <v>39</v>
      </c>
      <c r="K990" s="49" t="s">
        <v>76</v>
      </c>
      <c r="L990" s="49" t="s">
        <v>78</v>
      </c>
      <c r="M990" s="49" t="s">
        <v>92</v>
      </c>
      <c r="N990" s="48" t="s">
        <v>97</v>
      </c>
      <c r="O990" s="49" t="s">
        <v>37</v>
      </c>
      <c r="P990" s="11" t="s">
        <v>80</v>
      </c>
      <c r="Q990" s="11" t="s">
        <v>98</v>
      </c>
      <c r="R990" s="49" t="s">
        <v>648</v>
      </c>
      <c r="S990" s="47" t="s">
        <v>1805</v>
      </c>
      <c r="T990" s="90" t="s">
        <v>1</v>
      </c>
      <c r="U990" s="89"/>
      <c r="V990" s="51">
        <v>44782</v>
      </c>
      <c r="W990" s="49" t="s">
        <v>1588</v>
      </c>
    </row>
    <row r="991" spans="1:23" ht="13" customHeight="1" x14ac:dyDescent="0.35">
      <c r="A991" s="11">
        <v>985</v>
      </c>
      <c r="B991" s="47">
        <v>203908331</v>
      </c>
      <c r="C991" s="94" t="s">
        <v>1078</v>
      </c>
      <c r="D991" s="79" t="s">
        <v>1079</v>
      </c>
      <c r="E991" s="48" t="s">
        <v>31</v>
      </c>
      <c r="F991" s="48" t="s">
        <v>74</v>
      </c>
      <c r="G991" s="11" t="s">
        <v>64</v>
      </c>
      <c r="H991" s="11" t="s">
        <v>75</v>
      </c>
      <c r="I991" s="11">
        <v>1299</v>
      </c>
      <c r="J991" s="49" t="s">
        <v>39</v>
      </c>
      <c r="K991" s="49" t="s">
        <v>76</v>
      </c>
      <c r="L991" s="49" t="s">
        <v>92</v>
      </c>
      <c r="M991" s="49" t="s">
        <v>84</v>
      </c>
      <c r="N991" s="48" t="s">
        <v>86</v>
      </c>
      <c r="O991" s="49" t="s">
        <v>37</v>
      </c>
      <c r="P991" s="11" t="s">
        <v>80</v>
      </c>
      <c r="Q991" s="11" t="s">
        <v>90</v>
      </c>
      <c r="R991" s="11" t="s">
        <v>1069</v>
      </c>
      <c r="S991" s="11" t="s">
        <v>2733</v>
      </c>
      <c r="T991" s="90" t="s">
        <v>1</v>
      </c>
      <c r="U991" s="90"/>
      <c r="V991" s="51">
        <v>45537</v>
      </c>
      <c r="W991" s="49" t="s">
        <v>1585</v>
      </c>
    </row>
    <row r="992" spans="1:23" ht="13" customHeight="1" x14ac:dyDescent="0.35">
      <c r="A992" s="11">
        <v>986</v>
      </c>
      <c r="B992" s="47">
        <v>204094492</v>
      </c>
      <c r="C992" s="94" t="s">
        <v>1080</v>
      </c>
      <c r="D992" s="79" t="s">
        <v>1081</v>
      </c>
      <c r="E992" s="48" t="s">
        <v>31</v>
      </c>
      <c r="F992" s="48" t="s">
        <v>74</v>
      </c>
      <c r="G992" s="11" t="s">
        <v>64</v>
      </c>
      <c r="H992" s="11" t="s">
        <v>75</v>
      </c>
      <c r="I992" s="11">
        <v>1299</v>
      </c>
      <c r="J992" s="49" t="s">
        <v>39</v>
      </c>
      <c r="K992" s="49" t="s">
        <v>76</v>
      </c>
      <c r="L992" s="49" t="s">
        <v>95</v>
      </c>
      <c r="M992" s="49" t="s">
        <v>77</v>
      </c>
      <c r="N992" s="48" t="s">
        <v>86</v>
      </c>
      <c r="O992" s="49" t="s">
        <v>37</v>
      </c>
      <c r="P992" s="11" t="s">
        <v>80</v>
      </c>
      <c r="Q992" s="11" t="s">
        <v>87</v>
      </c>
      <c r="R992" s="49" t="s">
        <v>648</v>
      </c>
      <c r="S992" s="11" t="s">
        <v>1805</v>
      </c>
      <c r="T992" s="90" t="s">
        <v>1</v>
      </c>
      <c r="U992" s="90"/>
      <c r="V992" s="51">
        <v>45561</v>
      </c>
      <c r="W992" s="49" t="s">
        <v>1584</v>
      </c>
    </row>
    <row r="993" spans="1:23" ht="13" customHeight="1" x14ac:dyDescent="0.35">
      <c r="A993" s="11">
        <v>987</v>
      </c>
      <c r="B993" s="47">
        <v>203850900</v>
      </c>
      <c r="C993" s="94" t="s">
        <v>2428</v>
      </c>
      <c r="D993" s="79" t="s">
        <v>2429</v>
      </c>
      <c r="E993" s="48" t="s">
        <v>31</v>
      </c>
      <c r="F993" s="48" t="s">
        <v>74</v>
      </c>
      <c r="G993" s="11" t="s">
        <v>64</v>
      </c>
      <c r="H993" s="11" t="s">
        <v>75</v>
      </c>
      <c r="I993" s="11">
        <v>1299</v>
      </c>
      <c r="J993" s="49" t="s">
        <v>39</v>
      </c>
      <c r="K993" s="49" t="s">
        <v>76</v>
      </c>
      <c r="L993" s="49" t="s">
        <v>92</v>
      </c>
      <c r="M993" s="49" t="s">
        <v>84</v>
      </c>
      <c r="N993" s="48" t="s">
        <v>86</v>
      </c>
      <c r="O993" s="49" t="s">
        <v>37</v>
      </c>
      <c r="P993" s="11" t="s">
        <v>80</v>
      </c>
      <c r="Q993" s="11" t="s">
        <v>90</v>
      </c>
      <c r="R993" s="11" t="s">
        <v>1069</v>
      </c>
      <c r="S993" s="11" t="s">
        <v>2733</v>
      </c>
      <c r="T993" s="90" t="s">
        <v>1</v>
      </c>
      <c r="U993" s="90"/>
      <c r="V993" s="51">
        <v>45524</v>
      </c>
      <c r="W993" s="49" t="s">
        <v>1584</v>
      </c>
    </row>
    <row r="994" spans="1:23" ht="13" customHeight="1" x14ac:dyDescent="0.35">
      <c r="A994" s="11">
        <v>988</v>
      </c>
      <c r="B994" s="47">
        <v>206926476</v>
      </c>
      <c r="C994" s="94" t="s">
        <v>2014</v>
      </c>
      <c r="D994" s="79" t="s">
        <v>2022</v>
      </c>
      <c r="E994" s="48" t="s">
        <v>31</v>
      </c>
      <c r="F994" s="48" t="s">
        <v>74</v>
      </c>
      <c r="G994" s="48" t="s">
        <v>64</v>
      </c>
      <c r="H994" s="48" t="s">
        <v>75</v>
      </c>
      <c r="I994" s="11">
        <v>1299</v>
      </c>
      <c r="J994" s="49" t="s">
        <v>32</v>
      </c>
      <c r="K994" s="49" t="s">
        <v>76</v>
      </c>
      <c r="L994" s="49" t="s">
        <v>88</v>
      </c>
      <c r="M994" s="49" t="s">
        <v>95</v>
      </c>
      <c r="N994" s="49" t="s">
        <v>89</v>
      </c>
      <c r="O994" s="49" t="s">
        <v>37</v>
      </c>
      <c r="P994" s="49" t="s">
        <v>80</v>
      </c>
      <c r="Q994" s="49" t="s">
        <v>90</v>
      </c>
      <c r="R994" s="49" t="s">
        <v>2735</v>
      </c>
      <c r="S994" s="49" t="s">
        <v>643</v>
      </c>
      <c r="T994" s="90" t="s">
        <v>10</v>
      </c>
      <c r="U994" s="89"/>
      <c r="V994" s="51">
        <v>46037</v>
      </c>
      <c r="W994" s="49" t="s">
        <v>1584</v>
      </c>
    </row>
    <row r="995" spans="1:23" ht="13" customHeight="1" x14ac:dyDescent="0.35">
      <c r="A995" s="11">
        <v>989</v>
      </c>
      <c r="B995" s="47">
        <v>206853791</v>
      </c>
      <c r="C995" s="94" t="s">
        <v>1874</v>
      </c>
      <c r="D995" s="79" t="s">
        <v>1875</v>
      </c>
      <c r="E995" s="48" t="s">
        <v>31</v>
      </c>
      <c r="F995" s="48" t="s">
        <v>74</v>
      </c>
      <c r="G995" s="11" t="s">
        <v>64</v>
      </c>
      <c r="H995" s="11" t="s">
        <v>75</v>
      </c>
      <c r="I995" s="11">
        <v>1299</v>
      </c>
      <c r="J995" s="49" t="s">
        <v>39</v>
      </c>
      <c r="K995" s="49" t="s">
        <v>76</v>
      </c>
      <c r="L995" s="49" t="s">
        <v>88</v>
      </c>
      <c r="M995" s="49" t="s">
        <v>95</v>
      </c>
      <c r="N995" s="49" t="s">
        <v>89</v>
      </c>
      <c r="O995" s="48" t="s">
        <v>37</v>
      </c>
      <c r="P995" s="48" t="s">
        <v>80</v>
      </c>
      <c r="Q995" s="11" t="s">
        <v>90</v>
      </c>
      <c r="R995" s="49" t="s">
        <v>648</v>
      </c>
      <c r="S995" s="11" t="s">
        <v>1805</v>
      </c>
      <c r="T995" s="90" t="s">
        <v>10</v>
      </c>
      <c r="U995" s="89"/>
      <c r="V995" s="51">
        <v>46030</v>
      </c>
      <c r="W995" s="49" t="s">
        <v>1584</v>
      </c>
    </row>
    <row r="996" spans="1:23" ht="13" customHeight="1" x14ac:dyDescent="0.35">
      <c r="A996" s="11">
        <v>990</v>
      </c>
      <c r="B996" s="47">
        <v>203736773</v>
      </c>
      <c r="C996" s="94" t="s">
        <v>1082</v>
      </c>
      <c r="D996" s="79" t="s">
        <v>1083</v>
      </c>
      <c r="E996" s="48" t="s">
        <v>31</v>
      </c>
      <c r="F996" s="48" t="s">
        <v>74</v>
      </c>
      <c r="G996" s="11" t="s">
        <v>64</v>
      </c>
      <c r="H996" s="11" t="s">
        <v>75</v>
      </c>
      <c r="I996" s="11">
        <v>1299</v>
      </c>
      <c r="J996" s="49" t="s">
        <v>32</v>
      </c>
      <c r="K996" s="49" t="s">
        <v>76</v>
      </c>
      <c r="L996" s="49" t="s">
        <v>92</v>
      </c>
      <c r="M996" s="49" t="s">
        <v>84</v>
      </c>
      <c r="N996" s="48" t="s">
        <v>86</v>
      </c>
      <c r="O996" s="49" t="s">
        <v>37</v>
      </c>
      <c r="P996" s="11" t="s">
        <v>80</v>
      </c>
      <c r="Q996" s="11" t="s">
        <v>99</v>
      </c>
      <c r="R996" s="49" t="s">
        <v>648</v>
      </c>
      <c r="S996" s="11" t="s">
        <v>1805</v>
      </c>
      <c r="T996" s="90" t="s">
        <v>7</v>
      </c>
      <c r="U996" s="90" t="s">
        <v>2914</v>
      </c>
      <c r="V996" s="51">
        <v>45502</v>
      </c>
      <c r="W996" s="49" t="s">
        <v>1584</v>
      </c>
    </row>
    <row r="997" spans="1:23" ht="13" customHeight="1" x14ac:dyDescent="0.35">
      <c r="A997" s="11">
        <v>991</v>
      </c>
      <c r="B997" s="47">
        <v>204013730</v>
      </c>
      <c r="C997" s="94" t="s">
        <v>1084</v>
      </c>
      <c r="D997" s="79" t="s">
        <v>1085</v>
      </c>
      <c r="E997" s="48" t="s">
        <v>31</v>
      </c>
      <c r="F997" s="48" t="s">
        <v>74</v>
      </c>
      <c r="G997" s="11" t="s">
        <v>64</v>
      </c>
      <c r="H997" s="11" t="s">
        <v>75</v>
      </c>
      <c r="I997" s="11">
        <v>1299</v>
      </c>
      <c r="J997" s="49" t="s">
        <v>32</v>
      </c>
      <c r="K997" s="49" t="s">
        <v>76</v>
      </c>
      <c r="L997" s="49" t="s">
        <v>85</v>
      </c>
      <c r="M997" s="49" t="s">
        <v>88</v>
      </c>
      <c r="N997" s="48" t="s">
        <v>79</v>
      </c>
      <c r="O997" s="49" t="s">
        <v>37</v>
      </c>
      <c r="P997" s="11" t="s">
        <v>80</v>
      </c>
      <c r="Q997" s="11" t="s">
        <v>81</v>
      </c>
      <c r="R997" s="11" t="s">
        <v>1069</v>
      </c>
      <c r="S997" s="11" t="s">
        <v>2733</v>
      </c>
      <c r="T997" s="90" t="s">
        <v>10</v>
      </c>
      <c r="U997" s="90"/>
      <c r="V997" s="51">
        <v>45551</v>
      </c>
      <c r="W997" s="49" t="s">
        <v>1584</v>
      </c>
    </row>
    <row r="998" spans="1:23" ht="13" customHeight="1" x14ac:dyDescent="0.35">
      <c r="A998" s="11">
        <v>992</v>
      </c>
      <c r="B998" s="47">
        <v>106268183</v>
      </c>
      <c r="C998" s="94" t="s">
        <v>1086</v>
      </c>
      <c r="D998" s="79" t="s">
        <v>1087</v>
      </c>
      <c r="E998" s="48" t="s">
        <v>34</v>
      </c>
      <c r="F998" s="48" t="s">
        <v>74</v>
      </c>
      <c r="G998" s="11" t="s">
        <v>64</v>
      </c>
      <c r="H998" s="11" t="s">
        <v>75</v>
      </c>
      <c r="I998" s="11">
        <v>1299</v>
      </c>
      <c r="J998" s="49" t="s">
        <v>39</v>
      </c>
      <c r="K998" s="49" t="s">
        <v>76</v>
      </c>
      <c r="L998" s="49" t="s">
        <v>95</v>
      </c>
      <c r="M998" s="49" t="s">
        <v>77</v>
      </c>
      <c r="N998" s="48" t="s">
        <v>97</v>
      </c>
      <c r="O998" s="49" t="s">
        <v>37</v>
      </c>
      <c r="P998" s="11" t="s">
        <v>80</v>
      </c>
      <c r="Q998" s="11" t="s">
        <v>98</v>
      </c>
      <c r="R998" s="11" t="s">
        <v>2864</v>
      </c>
      <c r="S998" s="11" t="s">
        <v>2732</v>
      </c>
      <c r="T998" s="90" t="s">
        <v>1</v>
      </c>
      <c r="U998" s="91"/>
      <c r="V998" s="51">
        <v>44831</v>
      </c>
      <c r="W998" s="49" t="s">
        <v>1588</v>
      </c>
    </row>
    <row r="999" spans="1:23" ht="13" customHeight="1" x14ac:dyDescent="0.35">
      <c r="A999" s="11">
        <v>993</v>
      </c>
      <c r="B999" s="47">
        <v>203965449</v>
      </c>
      <c r="C999" s="94" t="s">
        <v>1088</v>
      </c>
      <c r="D999" s="79" t="s">
        <v>1089</v>
      </c>
      <c r="E999" s="48" t="s">
        <v>31</v>
      </c>
      <c r="F999" s="48" t="s">
        <v>74</v>
      </c>
      <c r="G999" s="11" t="s">
        <v>64</v>
      </c>
      <c r="H999" s="11" t="s">
        <v>75</v>
      </c>
      <c r="I999" s="11">
        <v>1299</v>
      </c>
      <c r="J999" s="49" t="s">
        <v>32</v>
      </c>
      <c r="K999" s="49" t="s">
        <v>76</v>
      </c>
      <c r="L999" s="49" t="s">
        <v>77</v>
      </c>
      <c r="M999" s="49" t="s">
        <v>78</v>
      </c>
      <c r="N999" s="48" t="s">
        <v>79</v>
      </c>
      <c r="O999" s="49" t="s">
        <v>37</v>
      </c>
      <c r="P999" s="11" t="s">
        <v>80</v>
      </c>
      <c r="Q999" s="11" t="s">
        <v>81</v>
      </c>
      <c r="R999" s="11" t="s">
        <v>640</v>
      </c>
      <c r="S999" s="11" t="s">
        <v>2734</v>
      </c>
      <c r="T999" s="90" t="s">
        <v>1</v>
      </c>
      <c r="U999" s="91"/>
      <c r="V999" s="51">
        <v>45544</v>
      </c>
      <c r="W999" s="49" t="s">
        <v>1585</v>
      </c>
    </row>
    <row r="1000" spans="1:23" ht="13" customHeight="1" x14ac:dyDescent="0.35">
      <c r="A1000" s="11">
        <v>994</v>
      </c>
      <c r="B1000" s="11">
        <v>205938163</v>
      </c>
      <c r="C1000" s="94" t="s">
        <v>2207</v>
      </c>
      <c r="D1000" s="79" t="s">
        <v>2208</v>
      </c>
      <c r="E1000" s="48" t="s">
        <v>31</v>
      </c>
      <c r="F1000" s="48" t="s">
        <v>74</v>
      </c>
      <c r="G1000" s="11" t="s">
        <v>64</v>
      </c>
      <c r="H1000" s="11" t="s">
        <v>75</v>
      </c>
      <c r="I1000" s="11">
        <v>1299</v>
      </c>
      <c r="J1000" s="49" t="s">
        <v>39</v>
      </c>
      <c r="K1000" s="49" t="s">
        <v>76</v>
      </c>
      <c r="L1000" s="49" t="s">
        <v>78</v>
      </c>
      <c r="M1000" s="49" t="s">
        <v>92</v>
      </c>
      <c r="N1000" s="49" t="s">
        <v>89</v>
      </c>
      <c r="O1000" s="49" t="s">
        <v>37</v>
      </c>
      <c r="P1000" s="11" t="s">
        <v>80</v>
      </c>
      <c r="Q1000" s="2" t="s">
        <v>96</v>
      </c>
      <c r="R1000" s="11" t="s">
        <v>1069</v>
      </c>
      <c r="S1000" s="54" t="s">
        <v>2733</v>
      </c>
      <c r="T1000" s="90" t="s">
        <v>1</v>
      </c>
      <c r="U1000" s="90"/>
      <c r="V1000" s="51">
        <v>46051</v>
      </c>
      <c r="W1000" s="49" t="s">
        <v>1584</v>
      </c>
    </row>
    <row r="1001" spans="1:23" ht="13" customHeight="1" x14ac:dyDescent="0.35">
      <c r="A1001" s="11">
        <v>995</v>
      </c>
      <c r="B1001" s="47">
        <v>205279080</v>
      </c>
      <c r="C1001" s="94" t="s">
        <v>2153</v>
      </c>
      <c r="D1001" s="11" t="s">
        <v>2154</v>
      </c>
      <c r="E1001" s="112" t="s">
        <v>31</v>
      </c>
      <c r="F1001" s="48" t="s">
        <v>74</v>
      </c>
      <c r="G1001" s="11" t="s">
        <v>64</v>
      </c>
      <c r="H1001" s="11" t="s">
        <v>75</v>
      </c>
      <c r="I1001" s="11">
        <v>1299</v>
      </c>
      <c r="J1001" s="49" t="s">
        <v>32</v>
      </c>
      <c r="K1001" s="49" t="s">
        <v>76</v>
      </c>
      <c r="L1001" s="49" t="s">
        <v>84</v>
      </c>
      <c r="M1001" s="49" t="s">
        <v>85</v>
      </c>
      <c r="N1001" s="49" t="s">
        <v>79</v>
      </c>
      <c r="O1001" s="49" t="s">
        <v>37</v>
      </c>
      <c r="P1001" s="49" t="s">
        <v>80</v>
      </c>
      <c r="Q1001" s="49" t="s">
        <v>96</v>
      </c>
      <c r="R1001" s="11" t="s">
        <v>632</v>
      </c>
      <c r="S1001" s="49" t="s">
        <v>633</v>
      </c>
      <c r="T1001" s="90" t="s">
        <v>1</v>
      </c>
      <c r="U1001" s="89"/>
      <c r="V1001" s="51">
        <v>46048</v>
      </c>
      <c r="W1001" s="49" t="s">
        <v>1584</v>
      </c>
    </row>
    <row r="1002" spans="1:23" ht="13" customHeight="1" x14ac:dyDescent="0.35">
      <c r="A1002" s="11">
        <v>996</v>
      </c>
      <c r="B1002" s="47">
        <v>206004601</v>
      </c>
      <c r="C1002" s="94" t="s">
        <v>1090</v>
      </c>
      <c r="D1002" s="11" t="s">
        <v>1091</v>
      </c>
      <c r="E1002" s="48" t="s">
        <v>31</v>
      </c>
      <c r="F1002" s="48" t="s">
        <v>74</v>
      </c>
      <c r="G1002" s="11" t="s">
        <v>64</v>
      </c>
      <c r="H1002" s="11" t="s">
        <v>75</v>
      </c>
      <c r="I1002" s="11">
        <v>1299</v>
      </c>
      <c r="J1002" s="49" t="s">
        <v>39</v>
      </c>
      <c r="K1002" s="49" t="s">
        <v>76</v>
      </c>
      <c r="L1002" s="49" t="s">
        <v>85</v>
      </c>
      <c r="M1002" s="49" t="s">
        <v>88</v>
      </c>
      <c r="N1002" s="49" t="s">
        <v>89</v>
      </c>
      <c r="O1002" s="49" t="s">
        <v>37</v>
      </c>
      <c r="P1002" s="11" t="s">
        <v>80</v>
      </c>
      <c r="Q1002" s="11" t="s">
        <v>81</v>
      </c>
      <c r="R1002" s="11" t="s">
        <v>640</v>
      </c>
      <c r="S1002" s="11" t="s">
        <v>2734</v>
      </c>
      <c r="T1002" s="90" t="s">
        <v>10</v>
      </c>
      <c r="U1002" s="91"/>
      <c r="V1002" s="51">
        <v>45915</v>
      </c>
      <c r="W1002" s="49" t="s">
        <v>1584</v>
      </c>
    </row>
    <row r="1003" spans="1:23" ht="13" customHeight="1" x14ac:dyDescent="0.35">
      <c r="A1003" s="11">
        <v>997</v>
      </c>
      <c r="B1003" s="11">
        <v>205853892</v>
      </c>
      <c r="C1003" s="94" t="s">
        <v>2856</v>
      </c>
      <c r="D1003" s="11" t="s">
        <v>2857</v>
      </c>
      <c r="E1003" s="48" t="s">
        <v>31</v>
      </c>
      <c r="F1003" s="48" t="s">
        <v>74</v>
      </c>
      <c r="G1003" s="11" t="s">
        <v>64</v>
      </c>
      <c r="H1003" s="11" t="s">
        <v>75</v>
      </c>
      <c r="I1003" s="11">
        <v>1299</v>
      </c>
      <c r="J1003" s="49" t="s">
        <v>39</v>
      </c>
      <c r="K1003" s="49" t="s">
        <v>76</v>
      </c>
      <c r="L1003" s="49" t="s">
        <v>78</v>
      </c>
      <c r="M1003" s="49" t="s">
        <v>92</v>
      </c>
      <c r="N1003" s="11" t="s">
        <v>89</v>
      </c>
      <c r="O1003" s="11" t="s">
        <v>37</v>
      </c>
      <c r="P1003" s="11" t="s">
        <v>80</v>
      </c>
      <c r="Q1003" s="11" t="s">
        <v>96</v>
      </c>
      <c r="R1003" s="11" t="s">
        <v>628</v>
      </c>
      <c r="S1003" s="11" t="s">
        <v>629</v>
      </c>
      <c r="T1003" s="90" t="s">
        <v>1</v>
      </c>
      <c r="U1003" s="90"/>
      <c r="V1003" s="51">
        <v>46226</v>
      </c>
      <c r="W1003" s="11" t="s">
        <v>1584</v>
      </c>
    </row>
    <row r="1004" spans="1:23" ht="13" customHeight="1" x14ac:dyDescent="0.35">
      <c r="A1004" s="11">
        <v>998</v>
      </c>
      <c r="B1004" s="47">
        <v>205997632</v>
      </c>
      <c r="C1004" s="94" t="s">
        <v>1092</v>
      </c>
      <c r="D1004" s="11" t="s">
        <v>1093</v>
      </c>
      <c r="E1004" s="48" t="s">
        <v>31</v>
      </c>
      <c r="F1004" s="48" t="s">
        <v>74</v>
      </c>
      <c r="G1004" s="11" t="s">
        <v>64</v>
      </c>
      <c r="H1004" s="11" t="s">
        <v>75</v>
      </c>
      <c r="I1004" s="11">
        <v>1299</v>
      </c>
      <c r="J1004" s="49" t="s">
        <v>32</v>
      </c>
      <c r="K1004" s="49" t="s">
        <v>76</v>
      </c>
      <c r="L1004" s="49" t="s">
        <v>88</v>
      </c>
      <c r="M1004" s="49" t="s">
        <v>95</v>
      </c>
      <c r="N1004" s="48" t="s">
        <v>79</v>
      </c>
      <c r="O1004" s="49" t="s">
        <v>37</v>
      </c>
      <c r="P1004" s="11" t="s">
        <v>80</v>
      </c>
      <c r="Q1004" s="11" t="s">
        <v>81</v>
      </c>
      <c r="R1004" s="11" t="s">
        <v>2865</v>
      </c>
      <c r="S1004" s="11" t="s">
        <v>2866</v>
      </c>
      <c r="T1004" s="90" t="s">
        <v>10</v>
      </c>
      <c r="U1004" s="90"/>
      <c r="V1004" s="51">
        <v>45915</v>
      </c>
      <c r="W1004" s="49" t="s">
        <v>1584</v>
      </c>
    </row>
    <row r="1005" spans="1:23" ht="13" customHeight="1" x14ac:dyDescent="0.35">
      <c r="A1005" s="11">
        <v>999</v>
      </c>
      <c r="B1005" s="47">
        <v>203965010</v>
      </c>
      <c r="C1005" s="94" t="s">
        <v>1094</v>
      </c>
      <c r="D1005" s="11" t="s">
        <v>1095</v>
      </c>
      <c r="E1005" s="48" t="s">
        <v>31</v>
      </c>
      <c r="F1005" s="48" t="s">
        <v>74</v>
      </c>
      <c r="G1005" s="11" t="s">
        <v>64</v>
      </c>
      <c r="H1005" s="11" t="s">
        <v>75</v>
      </c>
      <c r="I1005" s="11">
        <v>1299</v>
      </c>
      <c r="J1005" s="49" t="s">
        <v>32</v>
      </c>
      <c r="K1005" s="49" t="s">
        <v>76</v>
      </c>
      <c r="L1005" s="49" t="s">
        <v>88</v>
      </c>
      <c r="M1005" s="49" t="s">
        <v>95</v>
      </c>
      <c r="N1005" s="48" t="s">
        <v>86</v>
      </c>
      <c r="O1005" s="49" t="s">
        <v>37</v>
      </c>
      <c r="P1005" s="11" t="s">
        <v>80</v>
      </c>
      <c r="Q1005" s="11" t="s">
        <v>99</v>
      </c>
      <c r="R1005" s="49" t="s">
        <v>648</v>
      </c>
      <c r="S1005" s="11" t="s">
        <v>1805</v>
      </c>
      <c r="T1005" s="90" t="s">
        <v>10</v>
      </c>
      <c r="U1005" s="90"/>
      <c r="V1005" s="51">
        <v>45544</v>
      </c>
      <c r="W1005" s="49" t="s">
        <v>1584</v>
      </c>
    </row>
    <row r="1006" spans="1:23" ht="13" customHeight="1" x14ac:dyDescent="0.35">
      <c r="A1006" s="11">
        <v>1000</v>
      </c>
      <c r="B1006" s="47">
        <v>203908908</v>
      </c>
      <c r="C1006" s="94" t="s">
        <v>1096</v>
      </c>
      <c r="D1006" s="11" t="s">
        <v>1097</v>
      </c>
      <c r="E1006" s="48" t="s">
        <v>31</v>
      </c>
      <c r="F1006" s="48" t="s">
        <v>74</v>
      </c>
      <c r="G1006" s="11" t="s">
        <v>64</v>
      </c>
      <c r="H1006" s="11" t="s">
        <v>75</v>
      </c>
      <c r="I1006" s="11">
        <v>1299</v>
      </c>
      <c r="J1006" s="49" t="s">
        <v>39</v>
      </c>
      <c r="K1006" s="49" t="s">
        <v>76</v>
      </c>
      <c r="L1006" s="49" t="s">
        <v>92</v>
      </c>
      <c r="M1006" s="49" t="s">
        <v>84</v>
      </c>
      <c r="N1006" s="49" t="s">
        <v>89</v>
      </c>
      <c r="O1006" s="49" t="s">
        <v>37</v>
      </c>
      <c r="P1006" s="11" t="s">
        <v>80</v>
      </c>
      <c r="Q1006" s="11" t="s">
        <v>90</v>
      </c>
      <c r="R1006" s="11" t="s">
        <v>1069</v>
      </c>
      <c r="S1006" s="11" t="s">
        <v>2733</v>
      </c>
      <c r="T1006" s="90" t="s">
        <v>1</v>
      </c>
      <c r="U1006" s="90"/>
      <c r="V1006" s="51">
        <v>45537</v>
      </c>
      <c r="W1006" s="49" t="s">
        <v>1584</v>
      </c>
    </row>
    <row r="1007" spans="1:23" ht="13" customHeight="1" x14ac:dyDescent="0.35">
      <c r="A1007" s="11">
        <v>1001</v>
      </c>
      <c r="B1007" s="47">
        <v>204095809</v>
      </c>
      <c r="C1007" s="94" t="s">
        <v>1098</v>
      </c>
      <c r="D1007" s="11" t="s">
        <v>1099</v>
      </c>
      <c r="E1007" s="48" t="s">
        <v>31</v>
      </c>
      <c r="F1007" s="48" t="s">
        <v>74</v>
      </c>
      <c r="G1007" s="11" t="s">
        <v>64</v>
      </c>
      <c r="H1007" s="11" t="s">
        <v>75</v>
      </c>
      <c r="I1007" s="11">
        <v>1299</v>
      </c>
      <c r="J1007" s="49" t="s">
        <v>39</v>
      </c>
      <c r="K1007" s="49" t="s">
        <v>76</v>
      </c>
      <c r="L1007" s="49" t="s">
        <v>95</v>
      </c>
      <c r="M1007" s="49" t="s">
        <v>77</v>
      </c>
      <c r="N1007" s="48" t="s">
        <v>86</v>
      </c>
      <c r="O1007" s="49" t="s">
        <v>37</v>
      </c>
      <c r="P1007" s="11" t="s">
        <v>80</v>
      </c>
      <c r="Q1007" s="11" t="s">
        <v>87</v>
      </c>
      <c r="R1007" s="11" t="s">
        <v>632</v>
      </c>
      <c r="S1007" s="11" t="s">
        <v>633</v>
      </c>
      <c r="T1007" s="90" t="s">
        <v>4</v>
      </c>
      <c r="U1007" s="90"/>
      <c r="V1007" s="51">
        <v>45561</v>
      </c>
      <c r="W1007" s="49" t="s">
        <v>1584</v>
      </c>
    </row>
    <row r="1008" spans="1:23" ht="13" customHeight="1" x14ac:dyDescent="0.35">
      <c r="A1008" s="11">
        <v>1002</v>
      </c>
      <c r="B1008" s="47">
        <v>204116442</v>
      </c>
      <c r="C1008" s="94" t="s">
        <v>1100</v>
      </c>
      <c r="D1008" s="11" t="s">
        <v>1101</v>
      </c>
      <c r="E1008" s="48" t="s">
        <v>31</v>
      </c>
      <c r="F1008" s="48" t="s">
        <v>74</v>
      </c>
      <c r="G1008" s="11" t="s">
        <v>64</v>
      </c>
      <c r="H1008" s="11" t="s">
        <v>75</v>
      </c>
      <c r="I1008" s="11">
        <v>1299</v>
      </c>
      <c r="J1008" s="49" t="s">
        <v>32</v>
      </c>
      <c r="K1008" s="49" t="s">
        <v>76</v>
      </c>
      <c r="L1008" s="49" t="s">
        <v>77</v>
      </c>
      <c r="M1008" s="49" t="s">
        <v>78</v>
      </c>
      <c r="N1008" s="48" t="s">
        <v>86</v>
      </c>
      <c r="O1008" s="49" t="s">
        <v>37</v>
      </c>
      <c r="P1008" s="11" t="s">
        <v>80</v>
      </c>
      <c r="Q1008" s="11" t="s">
        <v>87</v>
      </c>
      <c r="R1008" s="49" t="s">
        <v>628</v>
      </c>
      <c r="S1008" s="11" t="s">
        <v>629</v>
      </c>
      <c r="T1008" s="90" t="s">
        <v>1</v>
      </c>
      <c r="U1008" s="89"/>
      <c r="V1008" s="51">
        <v>45561</v>
      </c>
      <c r="W1008" s="49" t="s">
        <v>1583</v>
      </c>
    </row>
    <row r="1009" spans="1:23" ht="13" customHeight="1" x14ac:dyDescent="0.35">
      <c r="A1009" s="11">
        <v>1003</v>
      </c>
      <c r="B1009" s="47">
        <v>203965178</v>
      </c>
      <c r="C1009" s="94" t="s">
        <v>1102</v>
      </c>
      <c r="D1009" s="11" t="s">
        <v>1103</v>
      </c>
      <c r="E1009" s="48" t="s">
        <v>31</v>
      </c>
      <c r="F1009" s="48" t="s">
        <v>74</v>
      </c>
      <c r="G1009" s="11" t="s">
        <v>64</v>
      </c>
      <c r="H1009" s="11" t="s">
        <v>75</v>
      </c>
      <c r="I1009" s="11">
        <v>1299</v>
      </c>
      <c r="J1009" s="49" t="s">
        <v>39</v>
      </c>
      <c r="K1009" s="49" t="s">
        <v>76</v>
      </c>
      <c r="L1009" s="49" t="s">
        <v>77</v>
      </c>
      <c r="M1009" s="49" t="s">
        <v>78</v>
      </c>
      <c r="N1009" s="48" t="s">
        <v>79</v>
      </c>
      <c r="O1009" s="49" t="s">
        <v>37</v>
      </c>
      <c r="P1009" s="11" t="s">
        <v>80</v>
      </c>
      <c r="Q1009" s="11" t="s">
        <v>81</v>
      </c>
      <c r="R1009" s="49" t="s">
        <v>648</v>
      </c>
      <c r="S1009" s="11" t="s">
        <v>1805</v>
      </c>
      <c r="T1009" s="90" t="s">
        <v>1</v>
      </c>
      <c r="U1009" s="92"/>
      <c r="V1009" s="51">
        <v>45544</v>
      </c>
      <c r="W1009" s="49" t="s">
        <v>1584</v>
      </c>
    </row>
    <row r="1010" spans="1:23" ht="13" customHeight="1" x14ac:dyDescent="0.35">
      <c r="A1010" s="11">
        <v>1004</v>
      </c>
      <c r="B1010" s="47">
        <v>203993303</v>
      </c>
      <c r="C1010" s="94" t="s">
        <v>1104</v>
      </c>
      <c r="D1010" s="11" t="s">
        <v>1105</v>
      </c>
      <c r="E1010" s="48" t="s">
        <v>31</v>
      </c>
      <c r="F1010" s="48" t="s">
        <v>74</v>
      </c>
      <c r="G1010" s="11" t="s">
        <v>64</v>
      </c>
      <c r="H1010" s="11" t="s">
        <v>75</v>
      </c>
      <c r="I1010" s="11">
        <v>1299</v>
      </c>
      <c r="J1010" s="49" t="s">
        <v>39</v>
      </c>
      <c r="K1010" s="49" t="s">
        <v>76</v>
      </c>
      <c r="L1010" s="49" t="s">
        <v>78</v>
      </c>
      <c r="M1010" s="49" t="s">
        <v>92</v>
      </c>
      <c r="N1010" s="48" t="s">
        <v>79</v>
      </c>
      <c r="O1010" s="49" t="s">
        <v>37</v>
      </c>
      <c r="P1010" s="11" t="s">
        <v>80</v>
      </c>
      <c r="Q1010" s="11" t="s">
        <v>81</v>
      </c>
      <c r="R1010" s="49" t="s">
        <v>628</v>
      </c>
      <c r="S1010" s="11" t="s">
        <v>629</v>
      </c>
      <c r="T1010" s="90" t="s">
        <v>1</v>
      </c>
      <c r="U1010" s="90"/>
      <c r="V1010" s="51">
        <v>45547</v>
      </c>
      <c r="W1010" s="49" t="s">
        <v>1584</v>
      </c>
    </row>
    <row r="1011" spans="1:23" ht="13" customHeight="1" x14ac:dyDescent="0.35">
      <c r="A1011" s="11">
        <v>1005</v>
      </c>
      <c r="B1011" s="47">
        <v>204053437</v>
      </c>
      <c r="C1011" s="94" t="s">
        <v>1106</v>
      </c>
      <c r="D1011" s="11" t="s">
        <v>1107</v>
      </c>
      <c r="E1011" s="48" t="s">
        <v>31</v>
      </c>
      <c r="F1011" s="48" t="s">
        <v>74</v>
      </c>
      <c r="G1011" s="11" t="s">
        <v>64</v>
      </c>
      <c r="H1011" s="11" t="s">
        <v>75</v>
      </c>
      <c r="I1011" s="11">
        <v>1299</v>
      </c>
      <c r="J1011" s="49" t="s">
        <v>32</v>
      </c>
      <c r="K1011" s="49" t="s">
        <v>76</v>
      </c>
      <c r="L1011" s="49" t="s">
        <v>95</v>
      </c>
      <c r="M1011" s="49" t="s">
        <v>77</v>
      </c>
      <c r="N1011" s="48" t="s">
        <v>86</v>
      </c>
      <c r="O1011" s="49" t="s">
        <v>37</v>
      </c>
      <c r="P1011" s="11" t="s">
        <v>80</v>
      </c>
      <c r="Q1011" s="11" t="s">
        <v>99</v>
      </c>
      <c r="R1011" s="49" t="s">
        <v>648</v>
      </c>
      <c r="S1011" s="11" t="s">
        <v>1805</v>
      </c>
      <c r="T1011" s="90" t="s">
        <v>1</v>
      </c>
      <c r="U1011" s="107"/>
      <c r="V1011" s="51">
        <v>45558</v>
      </c>
      <c r="W1011" s="49" t="s">
        <v>1583</v>
      </c>
    </row>
    <row r="1012" spans="1:23" ht="13" customHeight="1" x14ac:dyDescent="0.35">
      <c r="A1012" s="11">
        <v>1006</v>
      </c>
      <c r="B1012" s="47">
        <v>206137333</v>
      </c>
      <c r="C1012" s="94" t="s">
        <v>1108</v>
      </c>
      <c r="D1012" s="11" t="s">
        <v>1109</v>
      </c>
      <c r="E1012" s="48" t="s">
        <v>31</v>
      </c>
      <c r="F1012" s="48" t="s">
        <v>74</v>
      </c>
      <c r="G1012" s="11" t="s">
        <v>64</v>
      </c>
      <c r="H1012" s="11" t="s">
        <v>75</v>
      </c>
      <c r="I1012" s="11">
        <v>1299</v>
      </c>
      <c r="J1012" s="49" t="s">
        <v>32</v>
      </c>
      <c r="K1012" s="49" t="s">
        <v>76</v>
      </c>
      <c r="L1012" s="49" t="s">
        <v>84</v>
      </c>
      <c r="M1012" s="49" t="s">
        <v>85</v>
      </c>
      <c r="N1012" s="49" t="s">
        <v>89</v>
      </c>
      <c r="O1012" s="49" t="s">
        <v>37</v>
      </c>
      <c r="P1012" s="11" t="s">
        <v>80</v>
      </c>
      <c r="Q1012" s="11" t="s">
        <v>81</v>
      </c>
      <c r="R1012" s="11" t="s">
        <v>632</v>
      </c>
      <c r="S1012" s="11" t="s">
        <v>633</v>
      </c>
      <c r="T1012" s="90" t="s">
        <v>1</v>
      </c>
      <c r="U1012" s="91"/>
      <c r="V1012" s="51">
        <v>45929</v>
      </c>
      <c r="W1012" s="49" t="s">
        <v>1584</v>
      </c>
    </row>
    <row r="1013" spans="1:23" ht="13" customHeight="1" x14ac:dyDescent="0.35">
      <c r="A1013" s="11">
        <v>1007</v>
      </c>
      <c r="B1013" s="47">
        <v>205996135</v>
      </c>
      <c r="C1013" s="94" t="s">
        <v>1110</v>
      </c>
      <c r="D1013" s="11" t="s">
        <v>1111</v>
      </c>
      <c r="E1013" s="48" t="s">
        <v>31</v>
      </c>
      <c r="F1013" s="48" t="s">
        <v>74</v>
      </c>
      <c r="G1013" s="11" t="s">
        <v>64</v>
      </c>
      <c r="H1013" s="11" t="s">
        <v>75</v>
      </c>
      <c r="I1013" s="11">
        <v>1299</v>
      </c>
      <c r="J1013" s="49" t="s">
        <v>39</v>
      </c>
      <c r="K1013" s="49" t="s">
        <v>76</v>
      </c>
      <c r="L1013" s="49" t="s">
        <v>77</v>
      </c>
      <c r="M1013" s="49" t="s">
        <v>78</v>
      </c>
      <c r="N1013" s="48" t="s">
        <v>79</v>
      </c>
      <c r="O1013" s="49" t="s">
        <v>37</v>
      </c>
      <c r="P1013" s="11" t="s">
        <v>80</v>
      </c>
      <c r="Q1013" s="11" t="s">
        <v>81</v>
      </c>
      <c r="R1013" s="11" t="s">
        <v>632</v>
      </c>
      <c r="S1013" s="11" t="s">
        <v>633</v>
      </c>
      <c r="T1013" s="90" t="s">
        <v>7</v>
      </c>
      <c r="U1013" s="90" t="s">
        <v>2914</v>
      </c>
      <c r="V1013" s="51">
        <v>45915</v>
      </c>
      <c r="W1013" s="49" t="s">
        <v>1584</v>
      </c>
    </row>
    <row r="1014" spans="1:23" ht="13" customHeight="1" x14ac:dyDescent="0.35">
      <c r="A1014" s="11">
        <v>1008</v>
      </c>
      <c r="B1014" s="47">
        <v>204890370</v>
      </c>
      <c r="C1014" s="94" t="s">
        <v>1112</v>
      </c>
      <c r="D1014" s="11" t="s">
        <v>1113</v>
      </c>
      <c r="E1014" s="48" t="s">
        <v>31</v>
      </c>
      <c r="F1014" s="48" t="s">
        <v>74</v>
      </c>
      <c r="G1014" s="11" t="s">
        <v>64</v>
      </c>
      <c r="H1014" s="11" t="s">
        <v>75</v>
      </c>
      <c r="I1014" s="11">
        <v>1290</v>
      </c>
      <c r="J1014" s="49" t="s">
        <v>39</v>
      </c>
      <c r="K1014" s="49" t="s">
        <v>76</v>
      </c>
      <c r="L1014" s="49" t="s">
        <v>92</v>
      </c>
      <c r="M1014" s="49" t="s">
        <v>84</v>
      </c>
      <c r="N1014" s="49" t="s">
        <v>89</v>
      </c>
      <c r="O1014" s="49" t="s">
        <v>37</v>
      </c>
      <c r="P1014" s="11" t="s">
        <v>80</v>
      </c>
      <c r="Q1014" s="11" t="s">
        <v>90</v>
      </c>
      <c r="R1014" s="11" t="s">
        <v>1069</v>
      </c>
      <c r="S1014" s="11" t="s">
        <v>2733</v>
      </c>
      <c r="T1014" s="90" t="s">
        <v>1</v>
      </c>
      <c r="U1014" s="91"/>
      <c r="V1014" s="51">
        <v>45691</v>
      </c>
      <c r="W1014" s="49" t="s">
        <v>1584</v>
      </c>
    </row>
    <row r="1015" spans="1:23" ht="13" customHeight="1" x14ac:dyDescent="0.35">
      <c r="A1015" s="11">
        <v>1009</v>
      </c>
      <c r="B1015" s="47">
        <v>203851108</v>
      </c>
      <c r="C1015" s="94" t="s">
        <v>1114</v>
      </c>
      <c r="D1015" s="11" t="s">
        <v>1115</v>
      </c>
      <c r="E1015" s="48" t="s">
        <v>31</v>
      </c>
      <c r="F1015" s="48" t="s">
        <v>74</v>
      </c>
      <c r="G1015" s="11" t="s">
        <v>64</v>
      </c>
      <c r="H1015" s="11" t="s">
        <v>75</v>
      </c>
      <c r="I1015" s="11">
        <v>1299</v>
      </c>
      <c r="J1015" s="49" t="s">
        <v>39</v>
      </c>
      <c r="K1015" s="49" t="s">
        <v>76</v>
      </c>
      <c r="L1015" s="49" t="s">
        <v>84</v>
      </c>
      <c r="M1015" s="49" t="s">
        <v>85</v>
      </c>
      <c r="N1015" s="48" t="s">
        <v>79</v>
      </c>
      <c r="O1015" s="49" t="s">
        <v>37</v>
      </c>
      <c r="P1015" s="11" t="s">
        <v>80</v>
      </c>
      <c r="Q1015" s="11" t="s">
        <v>81</v>
      </c>
      <c r="R1015" s="49" t="s">
        <v>628</v>
      </c>
      <c r="S1015" s="11" t="s">
        <v>629</v>
      </c>
      <c r="T1015" s="90" t="s">
        <v>1</v>
      </c>
      <c r="U1015" s="89"/>
      <c r="V1015" s="51">
        <v>45524</v>
      </c>
      <c r="W1015" s="49" t="s">
        <v>1586</v>
      </c>
    </row>
    <row r="1016" spans="1:23" ht="13" customHeight="1" x14ac:dyDescent="0.35">
      <c r="A1016" s="11">
        <v>1010</v>
      </c>
      <c r="B1016" s="47">
        <v>206129262</v>
      </c>
      <c r="C1016" s="94" t="s">
        <v>1116</v>
      </c>
      <c r="D1016" s="11" t="s">
        <v>1117</v>
      </c>
      <c r="E1016" s="48" t="s">
        <v>31</v>
      </c>
      <c r="F1016" s="48" t="s">
        <v>74</v>
      </c>
      <c r="G1016" s="11" t="s">
        <v>64</v>
      </c>
      <c r="H1016" s="11" t="s">
        <v>75</v>
      </c>
      <c r="I1016" s="11">
        <v>1299</v>
      </c>
      <c r="J1016" s="49" t="s">
        <v>32</v>
      </c>
      <c r="K1016" s="49" t="s">
        <v>76</v>
      </c>
      <c r="L1016" s="49" t="s">
        <v>92</v>
      </c>
      <c r="M1016" s="49" t="s">
        <v>84</v>
      </c>
      <c r="N1016" s="49" t="s">
        <v>89</v>
      </c>
      <c r="O1016" s="49" t="s">
        <v>37</v>
      </c>
      <c r="P1016" s="11" t="s">
        <v>80</v>
      </c>
      <c r="Q1016" s="11" t="s">
        <v>81</v>
      </c>
      <c r="R1016" s="49" t="s">
        <v>648</v>
      </c>
      <c r="S1016" s="11" t="s">
        <v>1805</v>
      </c>
      <c r="T1016" s="90" t="s">
        <v>7</v>
      </c>
      <c r="U1016" s="90" t="s">
        <v>2914</v>
      </c>
      <c r="V1016" s="51">
        <v>45929</v>
      </c>
      <c r="W1016" s="49" t="s">
        <v>1584</v>
      </c>
    </row>
    <row r="1017" spans="1:23" ht="13" customHeight="1" x14ac:dyDescent="0.35">
      <c r="A1017" s="11">
        <v>1011</v>
      </c>
      <c r="B1017" s="47">
        <v>206137338</v>
      </c>
      <c r="C1017" s="94" t="s">
        <v>1118</v>
      </c>
      <c r="D1017" s="11" t="s">
        <v>1119</v>
      </c>
      <c r="E1017" s="48" t="s">
        <v>31</v>
      </c>
      <c r="F1017" s="48" t="s">
        <v>74</v>
      </c>
      <c r="G1017" s="11" t="s">
        <v>64</v>
      </c>
      <c r="H1017" s="11" t="s">
        <v>75</v>
      </c>
      <c r="I1017" s="11">
        <v>1299</v>
      </c>
      <c r="J1017" s="49" t="s">
        <v>39</v>
      </c>
      <c r="K1017" s="49" t="s">
        <v>76</v>
      </c>
      <c r="L1017" s="49" t="s">
        <v>77</v>
      </c>
      <c r="M1017" s="49" t="s">
        <v>78</v>
      </c>
      <c r="N1017" s="49" t="s">
        <v>89</v>
      </c>
      <c r="O1017" s="49" t="s">
        <v>37</v>
      </c>
      <c r="P1017" s="11" t="s">
        <v>80</v>
      </c>
      <c r="Q1017" s="11" t="s">
        <v>81</v>
      </c>
      <c r="R1017" s="11" t="s">
        <v>632</v>
      </c>
      <c r="S1017" s="11" t="s">
        <v>633</v>
      </c>
      <c r="T1017" s="90" t="s">
        <v>1</v>
      </c>
      <c r="U1017" s="89"/>
      <c r="V1017" s="51">
        <v>45929</v>
      </c>
      <c r="W1017" s="49" t="s">
        <v>1584</v>
      </c>
    </row>
    <row r="1018" spans="1:23" ht="13" customHeight="1" x14ac:dyDescent="0.35">
      <c r="A1018" s="11">
        <v>1012</v>
      </c>
      <c r="B1018" s="47">
        <v>206129614</v>
      </c>
      <c r="C1018" s="94" t="s">
        <v>1120</v>
      </c>
      <c r="D1018" s="11" t="s">
        <v>1121</v>
      </c>
      <c r="E1018" s="48" t="s">
        <v>31</v>
      </c>
      <c r="F1018" s="48" t="s">
        <v>74</v>
      </c>
      <c r="G1018" s="11" t="s">
        <v>64</v>
      </c>
      <c r="H1018" s="11" t="s">
        <v>75</v>
      </c>
      <c r="I1018" s="11">
        <v>1299</v>
      </c>
      <c r="J1018" s="49" t="s">
        <v>39</v>
      </c>
      <c r="K1018" s="49" t="s">
        <v>76</v>
      </c>
      <c r="L1018" s="49" t="s">
        <v>88</v>
      </c>
      <c r="M1018" s="49" t="s">
        <v>95</v>
      </c>
      <c r="N1018" s="48" t="s">
        <v>79</v>
      </c>
      <c r="O1018" s="49" t="s">
        <v>37</v>
      </c>
      <c r="P1018" s="11" t="s">
        <v>80</v>
      </c>
      <c r="Q1018" s="11" t="s">
        <v>81</v>
      </c>
      <c r="R1018" s="11" t="s">
        <v>2865</v>
      </c>
      <c r="S1018" s="11" t="s">
        <v>2866</v>
      </c>
      <c r="T1018" s="90" t="s">
        <v>10</v>
      </c>
      <c r="U1018" s="91"/>
      <c r="V1018" s="51">
        <v>45929</v>
      </c>
      <c r="W1018" s="49" t="s">
        <v>1584</v>
      </c>
    </row>
    <row r="1019" spans="1:23" ht="13" customHeight="1" x14ac:dyDescent="0.35">
      <c r="A1019" s="11">
        <v>1013</v>
      </c>
      <c r="B1019" s="47">
        <v>204890373</v>
      </c>
      <c r="C1019" s="94" t="s">
        <v>1122</v>
      </c>
      <c r="D1019" s="11" t="s">
        <v>1123</v>
      </c>
      <c r="E1019" s="48" t="s">
        <v>31</v>
      </c>
      <c r="F1019" s="48" t="s">
        <v>74</v>
      </c>
      <c r="G1019" s="11" t="s">
        <v>64</v>
      </c>
      <c r="H1019" s="11" t="s">
        <v>75</v>
      </c>
      <c r="I1019" s="11">
        <v>1290</v>
      </c>
      <c r="J1019" s="49" t="s">
        <v>39</v>
      </c>
      <c r="K1019" s="49" t="s">
        <v>76</v>
      </c>
      <c r="L1019" s="49" t="s">
        <v>84</v>
      </c>
      <c r="M1019" s="49" t="s">
        <v>85</v>
      </c>
      <c r="N1019" s="48" t="s">
        <v>86</v>
      </c>
      <c r="O1019" s="49" t="s">
        <v>37</v>
      </c>
      <c r="P1019" s="11" t="s">
        <v>80</v>
      </c>
      <c r="Q1019" s="11" t="s">
        <v>90</v>
      </c>
      <c r="R1019" s="49" t="s">
        <v>628</v>
      </c>
      <c r="S1019" s="11" t="s">
        <v>629</v>
      </c>
      <c r="T1019" s="90" t="s">
        <v>1</v>
      </c>
      <c r="U1019" s="89"/>
      <c r="V1019" s="51">
        <v>45691</v>
      </c>
      <c r="W1019" s="49" t="s">
        <v>1584</v>
      </c>
    </row>
    <row r="1020" spans="1:23" ht="13.5" customHeight="1" x14ac:dyDescent="0.35">
      <c r="A1020" s="11">
        <v>1014</v>
      </c>
      <c r="B1020" s="97">
        <v>205845553</v>
      </c>
      <c r="C1020" s="47" t="s">
        <v>2828</v>
      </c>
      <c r="D1020" s="94" t="s">
        <v>2829</v>
      </c>
      <c r="E1020" s="48" t="s">
        <v>31</v>
      </c>
      <c r="F1020" s="48" t="s">
        <v>74</v>
      </c>
      <c r="G1020" s="11" t="s">
        <v>64</v>
      </c>
      <c r="H1020" s="11" t="s">
        <v>75</v>
      </c>
      <c r="I1020" s="11">
        <v>1299</v>
      </c>
      <c r="J1020" s="49" t="s">
        <v>32</v>
      </c>
      <c r="K1020" s="49" t="s">
        <v>76</v>
      </c>
      <c r="L1020" s="49" t="s">
        <v>77</v>
      </c>
      <c r="M1020" s="49" t="s">
        <v>78</v>
      </c>
      <c r="N1020" s="48" t="s">
        <v>86</v>
      </c>
      <c r="O1020" s="49" t="s">
        <v>37</v>
      </c>
      <c r="P1020" s="11" t="s">
        <v>80</v>
      </c>
      <c r="Q1020" s="11" t="s">
        <v>90</v>
      </c>
      <c r="R1020" s="11" t="s">
        <v>628</v>
      </c>
      <c r="S1020" s="11" t="s">
        <v>629</v>
      </c>
      <c r="T1020" s="90" t="s">
        <v>1</v>
      </c>
      <c r="U1020" s="89"/>
      <c r="V1020" s="51">
        <v>45894</v>
      </c>
      <c r="W1020" s="49" t="s">
        <v>1583</v>
      </c>
    </row>
    <row r="1021" spans="1:23" ht="13" customHeight="1" x14ac:dyDescent="0.35">
      <c r="A1021" s="11">
        <v>1015</v>
      </c>
      <c r="B1021" s="47">
        <v>206239769</v>
      </c>
      <c r="C1021" s="94" t="s">
        <v>1661</v>
      </c>
      <c r="D1021" s="11" t="s">
        <v>1635</v>
      </c>
      <c r="E1021" s="48" t="s">
        <v>31</v>
      </c>
      <c r="F1021" s="48" t="s">
        <v>74</v>
      </c>
      <c r="G1021" s="11" t="s">
        <v>64</v>
      </c>
      <c r="H1021" s="11" t="s">
        <v>75</v>
      </c>
      <c r="I1021" s="11">
        <v>1299</v>
      </c>
      <c r="J1021" s="49" t="s">
        <v>32</v>
      </c>
      <c r="K1021" s="49" t="s">
        <v>76</v>
      </c>
      <c r="L1021" s="49" t="s">
        <v>77</v>
      </c>
      <c r="M1021" s="49" t="s">
        <v>78</v>
      </c>
      <c r="N1021" s="48" t="s">
        <v>86</v>
      </c>
      <c r="O1021" s="49" t="s">
        <v>37</v>
      </c>
      <c r="P1021" s="11" t="s">
        <v>80</v>
      </c>
      <c r="Q1021" s="11" t="s">
        <v>90</v>
      </c>
      <c r="R1021" s="11" t="s">
        <v>2865</v>
      </c>
      <c r="S1021" s="11" t="s">
        <v>2866</v>
      </c>
      <c r="T1021" s="90" t="s">
        <v>1</v>
      </c>
      <c r="U1021" s="89"/>
      <c r="V1021" s="51">
        <v>45943</v>
      </c>
      <c r="W1021" s="49" t="s">
        <v>1576</v>
      </c>
    </row>
    <row r="1022" spans="1:23" ht="13" customHeight="1" x14ac:dyDescent="0.35">
      <c r="A1022" s="11">
        <v>1016</v>
      </c>
      <c r="B1022" s="47">
        <v>203850899</v>
      </c>
      <c r="C1022" s="94" t="s">
        <v>1124</v>
      </c>
      <c r="D1022" s="11" t="s">
        <v>1125</v>
      </c>
      <c r="E1022" s="48" t="s">
        <v>31</v>
      </c>
      <c r="F1022" s="48" t="s">
        <v>74</v>
      </c>
      <c r="G1022" s="11" t="s">
        <v>64</v>
      </c>
      <c r="H1022" s="11" t="s">
        <v>75</v>
      </c>
      <c r="I1022" s="11">
        <v>1299</v>
      </c>
      <c r="J1022" s="49" t="s">
        <v>39</v>
      </c>
      <c r="K1022" s="49" t="s">
        <v>76</v>
      </c>
      <c r="L1022" s="49" t="s">
        <v>78</v>
      </c>
      <c r="M1022" s="49" t="s">
        <v>92</v>
      </c>
      <c r="N1022" s="48" t="s">
        <v>86</v>
      </c>
      <c r="O1022" s="49" t="s">
        <v>37</v>
      </c>
      <c r="P1022" s="11" t="s">
        <v>80</v>
      </c>
      <c r="Q1022" s="11" t="s">
        <v>90</v>
      </c>
      <c r="R1022" s="49" t="s">
        <v>628</v>
      </c>
      <c r="S1022" s="11" t="s">
        <v>629</v>
      </c>
      <c r="T1022" s="90" t="s">
        <v>1</v>
      </c>
      <c r="U1022" s="89"/>
      <c r="V1022" s="51">
        <v>45524</v>
      </c>
      <c r="W1022" s="49" t="s">
        <v>1584</v>
      </c>
    </row>
    <row r="1023" spans="1:23" ht="13" customHeight="1" x14ac:dyDescent="0.35">
      <c r="A1023" s="11">
        <v>1017</v>
      </c>
      <c r="B1023" s="47">
        <v>206239755</v>
      </c>
      <c r="C1023" s="94" t="s">
        <v>1647</v>
      </c>
      <c r="D1023" s="11" t="s">
        <v>1642</v>
      </c>
      <c r="E1023" s="48" t="s">
        <v>31</v>
      </c>
      <c r="F1023" s="48" t="s">
        <v>74</v>
      </c>
      <c r="G1023" s="11" t="s">
        <v>64</v>
      </c>
      <c r="H1023" s="11" t="s">
        <v>75</v>
      </c>
      <c r="I1023" s="11">
        <v>1299</v>
      </c>
      <c r="J1023" s="49" t="s">
        <v>39</v>
      </c>
      <c r="K1023" s="49" t="s">
        <v>76</v>
      </c>
      <c r="L1023" s="49" t="s">
        <v>92</v>
      </c>
      <c r="M1023" s="49" t="s">
        <v>84</v>
      </c>
      <c r="N1023" s="49" t="s">
        <v>89</v>
      </c>
      <c r="O1023" s="49" t="s">
        <v>37</v>
      </c>
      <c r="P1023" s="11" t="s">
        <v>80</v>
      </c>
      <c r="Q1023" s="11" t="s">
        <v>90</v>
      </c>
      <c r="R1023" s="49" t="s">
        <v>628</v>
      </c>
      <c r="S1023" s="11" t="s">
        <v>629</v>
      </c>
      <c r="T1023" s="90" t="s">
        <v>1</v>
      </c>
      <c r="U1023" s="89"/>
      <c r="V1023" s="51">
        <v>45943</v>
      </c>
      <c r="W1023" s="49" t="s">
        <v>1583</v>
      </c>
    </row>
    <row r="1024" spans="1:23" ht="13" customHeight="1" x14ac:dyDescent="0.35">
      <c r="A1024" s="11">
        <v>1018</v>
      </c>
      <c r="B1024" s="47">
        <v>206890219</v>
      </c>
      <c r="C1024" s="94" t="s">
        <v>1854</v>
      </c>
      <c r="D1024" s="11" t="s">
        <v>1855</v>
      </c>
      <c r="E1024" s="11" t="s">
        <v>31</v>
      </c>
      <c r="F1024" s="48" t="s">
        <v>74</v>
      </c>
      <c r="G1024" s="11" t="s">
        <v>64</v>
      </c>
      <c r="H1024" s="11" t="s">
        <v>75</v>
      </c>
      <c r="I1024" s="11">
        <v>1299</v>
      </c>
      <c r="J1024" s="49" t="s">
        <v>39</v>
      </c>
      <c r="K1024" s="49" t="s">
        <v>76</v>
      </c>
      <c r="L1024" s="49" t="s">
        <v>77</v>
      </c>
      <c r="M1024" s="49" t="s">
        <v>78</v>
      </c>
      <c r="N1024" s="49" t="s">
        <v>89</v>
      </c>
      <c r="O1024" s="49" t="s">
        <v>37</v>
      </c>
      <c r="P1024" s="11" t="s">
        <v>80</v>
      </c>
      <c r="Q1024" s="11" t="s">
        <v>96</v>
      </c>
      <c r="R1024" s="11" t="s">
        <v>1069</v>
      </c>
      <c r="S1024" s="11" t="s">
        <v>2733</v>
      </c>
      <c r="T1024" s="90" t="s">
        <v>1</v>
      </c>
      <c r="U1024" s="90"/>
      <c r="V1024" s="51">
        <v>46027</v>
      </c>
      <c r="W1024" s="49" t="s">
        <v>1584</v>
      </c>
    </row>
    <row r="1025" spans="1:23" ht="13" customHeight="1" x14ac:dyDescent="0.35">
      <c r="A1025" s="11">
        <v>1019</v>
      </c>
      <c r="B1025" s="47">
        <v>204117683</v>
      </c>
      <c r="C1025" s="94" t="s">
        <v>1126</v>
      </c>
      <c r="D1025" s="11" t="s">
        <v>1127</v>
      </c>
      <c r="E1025" s="48" t="s">
        <v>31</v>
      </c>
      <c r="F1025" s="48" t="s">
        <v>74</v>
      </c>
      <c r="G1025" s="11" t="s">
        <v>64</v>
      </c>
      <c r="H1025" s="11" t="s">
        <v>75</v>
      </c>
      <c r="I1025" s="11">
        <v>1299</v>
      </c>
      <c r="J1025" s="49" t="s">
        <v>39</v>
      </c>
      <c r="K1025" s="49" t="s">
        <v>76</v>
      </c>
      <c r="L1025" s="49" t="s">
        <v>85</v>
      </c>
      <c r="M1025" s="49" t="s">
        <v>88</v>
      </c>
      <c r="N1025" s="48" t="s">
        <v>86</v>
      </c>
      <c r="O1025" s="49" t="s">
        <v>37</v>
      </c>
      <c r="P1025" s="11" t="s">
        <v>80</v>
      </c>
      <c r="Q1025" s="11" t="s">
        <v>87</v>
      </c>
      <c r="R1025" s="11" t="s">
        <v>632</v>
      </c>
      <c r="S1025" s="11" t="s">
        <v>633</v>
      </c>
      <c r="T1025" s="90" t="s">
        <v>10</v>
      </c>
      <c r="U1025" s="90"/>
      <c r="V1025" s="51">
        <v>45561</v>
      </c>
      <c r="W1025" s="49" t="s">
        <v>1584</v>
      </c>
    </row>
    <row r="1026" spans="1:23" ht="13" customHeight="1" x14ac:dyDescent="0.35">
      <c r="A1026" s="11">
        <v>1020</v>
      </c>
      <c r="B1026" s="47">
        <v>203341966</v>
      </c>
      <c r="C1026" s="94" t="s">
        <v>1128</v>
      </c>
      <c r="D1026" s="11" t="s">
        <v>1129</v>
      </c>
      <c r="E1026" s="48" t="s">
        <v>31</v>
      </c>
      <c r="F1026" s="48" t="s">
        <v>74</v>
      </c>
      <c r="G1026" s="11" t="s">
        <v>64</v>
      </c>
      <c r="H1026" s="11" t="s">
        <v>75</v>
      </c>
      <c r="I1026" s="11">
        <v>1299</v>
      </c>
      <c r="J1026" s="49" t="s">
        <v>32</v>
      </c>
      <c r="K1026" s="49" t="s">
        <v>76</v>
      </c>
      <c r="L1026" s="49" t="s">
        <v>78</v>
      </c>
      <c r="M1026" s="49" t="s">
        <v>92</v>
      </c>
      <c r="N1026" s="48" t="s">
        <v>86</v>
      </c>
      <c r="O1026" s="49" t="s">
        <v>37</v>
      </c>
      <c r="P1026" s="11" t="s">
        <v>80</v>
      </c>
      <c r="Q1026" s="11" t="s">
        <v>99</v>
      </c>
      <c r="R1026" s="49" t="s">
        <v>648</v>
      </c>
      <c r="S1026" s="11" t="s">
        <v>1805</v>
      </c>
      <c r="T1026" s="90" t="s">
        <v>1</v>
      </c>
      <c r="U1026" s="90" t="s">
        <v>2914</v>
      </c>
      <c r="V1026" s="51">
        <v>45432</v>
      </c>
      <c r="W1026" s="49" t="s">
        <v>1584</v>
      </c>
    </row>
    <row r="1027" spans="1:23" ht="13" customHeight="1" x14ac:dyDescent="0.35">
      <c r="A1027" s="11">
        <v>1021</v>
      </c>
      <c r="B1027" s="47">
        <v>206004602</v>
      </c>
      <c r="C1027" s="94" t="s">
        <v>1130</v>
      </c>
      <c r="D1027" s="11" t="s">
        <v>1131</v>
      </c>
      <c r="E1027" s="48" t="s">
        <v>31</v>
      </c>
      <c r="F1027" s="48" t="s">
        <v>74</v>
      </c>
      <c r="G1027" s="11" t="s">
        <v>64</v>
      </c>
      <c r="H1027" s="11" t="s">
        <v>75</v>
      </c>
      <c r="I1027" s="11">
        <v>1299</v>
      </c>
      <c r="J1027" s="49" t="s">
        <v>32</v>
      </c>
      <c r="K1027" s="49" t="s">
        <v>76</v>
      </c>
      <c r="L1027" s="49" t="s">
        <v>84</v>
      </c>
      <c r="M1027" s="49" t="s">
        <v>85</v>
      </c>
      <c r="N1027" s="48" t="s">
        <v>79</v>
      </c>
      <c r="O1027" s="49" t="s">
        <v>37</v>
      </c>
      <c r="P1027" s="11" t="s">
        <v>80</v>
      </c>
      <c r="Q1027" s="11" t="s">
        <v>81</v>
      </c>
      <c r="R1027" s="11" t="s">
        <v>640</v>
      </c>
      <c r="S1027" s="11" t="s">
        <v>2734</v>
      </c>
      <c r="T1027" s="90" t="s">
        <v>7</v>
      </c>
      <c r="U1027" s="90"/>
      <c r="V1027" s="51">
        <v>45922</v>
      </c>
      <c r="W1027" s="49" t="s">
        <v>1584</v>
      </c>
    </row>
    <row r="1028" spans="1:23" ht="13" customHeight="1" x14ac:dyDescent="0.35">
      <c r="A1028" s="11">
        <v>1022</v>
      </c>
      <c r="B1028" s="47">
        <v>203965406</v>
      </c>
      <c r="C1028" s="94" t="s">
        <v>1132</v>
      </c>
      <c r="D1028" s="11" t="s">
        <v>1133</v>
      </c>
      <c r="E1028" s="48" t="s">
        <v>31</v>
      </c>
      <c r="F1028" s="48" t="s">
        <v>74</v>
      </c>
      <c r="G1028" s="11" t="s">
        <v>64</v>
      </c>
      <c r="H1028" s="11" t="s">
        <v>75</v>
      </c>
      <c r="I1028" s="11">
        <v>1299</v>
      </c>
      <c r="J1028" s="49" t="s">
        <v>32</v>
      </c>
      <c r="K1028" s="49" t="s">
        <v>76</v>
      </c>
      <c r="L1028" s="49" t="s">
        <v>84</v>
      </c>
      <c r="M1028" s="49" t="s">
        <v>85</v>
      </c>
      <c r="N1028" s="48" t="s">
        <v>79</v>
      </c>
      <c r="O1028" s="49" t="s">
        <v>37</v>
      </c>
      <c r="P1028" s="11" t="s">
        <v>80</v>
      </c>
      <c r="Q1028" s="11" t="s">
        <v>81</v>
      </c>
      <c r="R1028" s="11" t="s">
        <v>1069</v>
      </c>
      <c r="S1028" s="11" t="s">
        <v>2733</v>
      </c>
      <c r="T1028" s="90" t="s">
        <v>1</v>
      </c>
      <c r="U1028" s="91"/>
      <c r="V1028" s="51">
        <v>45544</v>
      </c>
      <c r="W1028" s="49" t="s">
        <v>1584</v>
      </c>
    </row>
    <row r="1029" spans="1:23" ht="13" customHeight="1" x14ac:dyDescent="0.35">
      <c r="A1029" s="11">
        <v>1023</v>
      </c>
      <c r="B1029" s="47">
        <v>203850901</v>
      </c>
      <c r="C1029" s="94" t="s">
        <v>1134</v>
      </c>
      <c r="D1029" s="11" t="s">
        <v>1135</v>
      </c>
      <c r="E1029" s="48" t="s">
        <v>31</v>
      </c>
      <c r="F1029" s="48" t="s">
        <v>74</v>
      </c>
      <c r="G1029" s="11" t="s">
        <v>64</v>
      </c>
      <c r="H1029" s="11" t="s">
        <v>75</v>
      </c>
      <c r="I1029" s="11">
        <v>1299</v>
      </c>
      <c r="J1029" s="49" t="s">
        <v>32</v>
      </c>
      <c r="K1029" s="49" t="s">
        <v>76</v>
      </c>
      <c r="L1029" s="49" t="s">
        <v>78</v>
      </c>
      <c r="M1029" s="49" t="s">
        <v>92</v>
      </c>
      <c r="N1029" s="48" t="s">
        <v>86</v>
      </c>
      <c r="O1029" s="49" t="s">
        <v>37</v>
      </c>
      <c r="P1029" s="11" t="s">
        <v>80</v>
      </c>
      <c r="Q1029" s="11" t="s">
        <v>90</v>
      </c>
      <c r="R1029" s="11" t="s">
        <v>1069</v>
      </c>
      <c r="S1029" s="11" t="s">
        <v>2733</v>
      </c>
      <c r="T1029" s="90" t="s">
        <v>1</v>
      </c>
      <c r="U1029" s="90"/>
      <c r="V1029" s="51">
        <v>45524</v>
      </c>
      <c r="W1029" s="49" t="s">
        <v>1584</v>
      </c>
    </row>
    <row r="1030" spans="1:23" ht="13" customHeight="1" x14ac:dyDescent="0.35">
      <c r="A1030" s="11">
        <v>1024</v>
      </c>
      <c r="B1030" s="47">
        <v>203851104</v>
      </c>
      <c r="C1030" s="94" t="s">
        <v>1136</v>
      </c>
      <c r="D1030" s="11" t="s">
        <v>1137</v>
      </c>
      <c r="E1030" s="48" t="s">
        <v>31</v>
      </c>
      <c r="F1030" s="48" t="s">
        <v>74</v>
      </c>
      <c r="G1030" s="11" t="s">
        <v>64</v>
      </c>
      <c r="H1030" s="11" t="s">
        <v>75</v>
      </c>
      <c r="I1030" s="11">
        <v>1299</v>
      </c>
      <c r="J1030" s="49" t="s">
        <v>32</v>
      </c>
      <c r="K1030" s="49" t="s">
        <v>76</v>
      </c>
      <c r="L1030" s="49" t="s">
        <v>78</v>
      </c>
      <c r="M1030" s="49" t="s">
        <v>92</v>
      </c>
      <c r="N1030" s="48" t="s">
        <v>79</v>
      </c>
      <c r="O1030" s="49" t="s">
        <v>37</v>
      </c>
      <c r="P1030" s="11" t="s">
        <v>80</v>
      </c>
      <c r="Q1030" s="11" t="s">
        <v>81</v>
      </c>
      <c r="R1030" s="11" t="s">
        <v>2865</v>
      </c>
      <c r="S1030" s="11" t="s">
        <v>2866</v>
      </c>
      <c r="T1030" s="90" t="s">
        <v>1</v>
      </c>
      <c r="U1030" s="90"/>
      <c r="V1030" s="51">
        <v>45524</v>
      </c>
      <c r="W1030" s="49" t="s">
        <v>1586</v>
      </c>
    </row>
    <row r="1031" spans="1:23" ht="13" customHeight="1" x14ac:dyDescent="0.35">
      <c r="A1031" s="11">
        <v>1025</v>
      </c>
      <c r="B1031" s="47">
        <v>206129267</v>
      </c>
      <c r="C1031" s="94" t="s">
        <v>1138</v>
      </c>
      <c r="D1031" s="11" t="s">
        <v>1139</v>
      </c>
      <c r="E1031" s="48" t="s">
        <v>31</v>
      </c>
      <c r="F1031" s="48" t="s">
        <v>74</v>
      </c>
      <c r="G1031" s="11" t="s">
        <v>64</v>
      </c>
      <c r="H1031" s="11" t="s">
        <v>75</v>
      </c>
      <c r="I1031" s="11">
        <v>1299</v>
      </c>
      <c r="J1031" s="49" t="s">
        <v>32</v>
      </c>
      <c r="K1031" s="49" t="s">
        <v>76</v>
      </c>
      <c r="L1031" s="49" t="s">
        <v>78</v>
      </c>
      <c r="M1031" s="49" t="s">
        <v>92</v>
      </c>
      <c r="N1031" s="48" t="s">
        <v>79</v>
      </c>
      <c r="O1031" s="49" t="s">
        <v>37</v>
      </c>
      <c r="P1031" s="11" t="s">
        <v>80</v>
      </c>
      <c r="Q1031" s="11" t="s">
        <v>81</v>
      </c>
      <c r="R1031" s="49" t="s">
        <v>648</v>
      </c>
      <c r="S1031" s="11" t="s">
        <v>1805</v>
      </c>
      <c r="T1031" s="90" t="s">
        <v>1</v>
      </c>
      <c r="U1031" s="90"/>
      <c r="V1031" s="51">
        <v>45929</v>
      </c>
      <c r="W1031" s="49" t="s">
        <v>1584</v>
      </c>
    </row>
    <row r="1032" spans="1:23" ht="13" customHeight="1" x14ac:dyDescent="0.35">
      <c r="A1032" s="11">
        <v>1026</v>
      </c>
      <c r="B1032" s="97">
        <v>205845556</v>
      </c>
      <c r="C1032" s="47" t="s">
        <v>2830</v>
      </c>
      <c r="D1032" s="94" t="s">
        <v>2831</v>
      </c>
      <c r="E1032" s="48" t="s">
        <v>31</v>
      </c>
      <c r="F1032" s="48" t="s">
        <v>74</v>
      </c>
      <c r="G1032" s="11" t="s">
        <v>64</v>
      </c>
      <c r="H1032" s="11" t="s">
        <v>75</v>
      </c>
      <c r="I1032" s="11">
        <v>1299</v>
      </c>
      <c r="J1032" s="49" t="s">
        <v>39</v>
      </c>
      <c r="K1032" s="49" t="s">
        <v>76</v>
      </c>
      <c r="L1032" s="49" t="s">
        <v>88</v>
      </c>
      <c r="M1032" s="49" t="s">
        <v>95</v>
      </c>
      <c r="N1032" s="49" t="s">
        <v>89</v>
      </c>
      <c r="O1032" s="49" t="s">
        <v>37</v>
      </c>
      <c r="P1032" s="11" t="s">
        <v>80</v>
      </c>
      <c r="Q1032" s="11" t="s">
        <v>90</v>
      </c>
      <c r="R1032" s="11" t="s">
        <v>632</v>
      </c>
      <c r="S1032" s="11" t="s">
        <v>633</v>
      </c>
      <c r="T1032" s="90" t="s">
        <v>10</v>
      </c>
      <c r="U1032" s="90"/>
      <c r="V1032" s="51">
        <v>45894</v>
      </c>
      <c r="W1032" s="49" t="s">
        <v>1584</v>
      </c>
    </row>
    <row r="1033" spans="1:23" ht="13" customHeight="1" x14ac:dyDescent="0.35">
      <c r="A1033" s="11">
        <v>1027</v>
      </c>
      <c r="B1033" s="47">
        <v>206200807</v>
      </c>
      <c r="C1033" s="94" t="s">
        <v>1603</v>
      </c>
      <c r="D1033" s="11" t="s">
        <v>1597</v>
      </c>
      <c r="E1033" s="48" t="s">
        <v>31</v>
      </c>
      <c r="F1033" s="48" t="s">
        <v>74</v>
      </c>
      <c r="G1033" s="11" t="s">
        <v>64</v>
      </c>
      <c r="H1033" s="11" t="s">
        <v>75</v>
      </c>
      <c r="I1033" s="11">
        <v>1299</v>
      </c>
      <c r="J1033" s="49" t="s">
        <v>32</v>
      </c>
      <c r="K1033" s="49" t="s">
        <v>76</v>
      </c>
      <c r="L1033" s="49" t="s">
        <v>78</v>
      </c>
      <c r="M1033" s="49" t="s">
        <v>92</v>
      </c>
      <c r="N1033" s="49" t="s">
        <v>89</v>
      </c>
      <c r="O1033" s="49" t="s">
        <v>37</v>
      </c>
      <c r="P1033" s="11" t="s">
        <v>80</v>
      </c>
      <c r="Q1033" s="11" t="s">
        <v>81</v>
      </c>
      <c r="R1033" s="49" t="s">
        <v>2735</v>
      </c>
      <c r="S1033" s="11" t="s">
        <v>643</v>
      </c>
      <c r="T1033" s="90" t="s">
        <v>1</v>
      </c>
      <c r="U1033" s="89"/>
      <c r="V1033" s="51">
        <v>45936</v>
      </c>
      <c r="W1033" s="49" t="s">
        <v>1584</v>
      </c>
    </row>
    <row r="1034" spans="1:23" ht="13" customHeight="1" x14ac:dyDescent="0.35">
      <c r="A1034" s="11">
        <v>1028</v>
      </c>
      <c r="B1034" s="47">
        <v>203635494</v>
      </c>
      <c r="C1034" s="94" t="s">
        <v>1140</v>
      </c>
      <c r="D1034" s="11" t="s">
        <v>1141</v>
      </c>
      <c r="E1034" s="48" t="s">
        <v>31</v>
      </c>
      <c r="F1034" s="48" t="s">
        <v>74</v>
      </c>
      <c r="G1034" s="11" t="s">
        <v>64</v>
      </c>
      <c r="H1034" s="11" t="s">
        <v>75</v>
      </c>
      <c r="I1034" s="11">
        <v>1299</v>
      </c>
      <c r="J1034" s="49" t="s">
        <v>32</v>
      </c>
      <c r="K1034" s="49" t="s">
        <v>76</v>
      </c>
      <c r="L1034" s="49" t="s">
        <v>84</v>
      </c>
      <c r="M1034" s="49" t="s">
        <v>85</v>
      </c>
      <c r="N1034" s="48" t="s">
        <v>79</v>
      </c>
      <c r="O1034" s="49" t="s">
        <v>37</v>
      </c>
      <c r="P1034" s="11" t="s">
        <v>80</v>
      </c>
      <c r="Q1034" s="11" t="s">
        <v>81</v>
      </c>
      <c r="R1034" s="49" t="s">
        <v>648</v>
      </c>
      <c r="S1034" s="11" t="s">
        <v>1805</v>
      </c>
      <c r="T1034" s="90" t="s">
        <v>7</v>
      </c>
      <c r="U1034" s="91"/>
      <c r="V1034" s="51">
        <v>45481</v>
      </c>
      <c r="W1034" s="49" t="s">
        <v>1584</v>
      </c>
    </row>
    <row r="1035" spans="1:23" ht="13" customHeight="1" x14ac:dyDescent="0.35">
      <c r="A1035" s="11">
        <v>1029</v>
      </c>
      <c r="B1035" s="47">
        <v>203881694</v>
      </c>
      <c r="C1035" s="94" t="s">
        <v>1142</v>
      </c>
      <c r="D1035" s="11" t="s">
        <v>1143</v>
      </c>
      <c r="E1035" s="48" t="s">
        <v>31</v>
      </c>
      <c r="F1035" s="48" t="s">
        <v>74</v>
      </c>
      <c r="G1035" s="11" t="s">
        <v>64</v>
      </c>
      <c r="H1035" s="11" t="s">
        <v>75</v>
      </c>
      <c r="I1035" s="11">
        <v>1299</v>
      </c>
      <c r="J1035" s="49" t="s">
        <v>39</v>
      </c>
      <c r="K1035" s="49" t="s">
        <v>76</v>
      </c>
      <c r="L1035" s="49" t="s">
        <v>92</v>
      </c>
      <c r="M1035" s="49" t="s">
        <v>84</v>
      </c>
      <c r="N1035" s="48" t="s">
        <v>79</v>
      </c>
      <c r="O1035" s="49" t="s">
        <v>37</v>
      </c>
      <c r="P1035" s="11" t="s">
        <v>80</v>
      </c>
      <c r="Q1035" s="11" t="s">
        <v>81</v>
      </c>
      <c r="R1035" s="49" t="s">
        <v>648</v>
      </c>
      <c r="S1035" s="11" t="s">
        <v>1805</v>
      </c>
      <c r="T1035" s="90" t="s">
        <v>1</v>
      </c>
      <c r="U1035" s="91"/>
      <c r="V1035" s="51">
        <v>45530</v>
      </c>
      <c r="W1035" s="49" t="s">
        <v>1586</v>
      </c>
    </row>
    <row r="1036" spans="1:23" ht="13" customHeight="1" x14ac:dyDescent="0.35">
      <c r="A1036" s="11">
        <v>1030</v>
      </c>
      <c r="B1036" s="47">
        <v>205856635</v>
      </c>
      <c r="C1036" s="94" t="s">
        <v>1144</v>
      </c>
      <c r="D1036" s="11" t="s">
        <v>1145</v>
      </c>
      <c r="E1036" s="48" t="s">
        <v>31</v>
      </c>
      <c r="F1036" s="48" t="s">
        <v>74</v>
      </c>
      <c r="G1036" s="11" t="s">
        <v>64</v>
      </c>
      <c r="H1036" s="11" t="s">
        <v>75</v>
      </c>
      <c r="I1036" s="11">
        <v>1299</v>
      </c>
      <c r="J1036" s="49" t="s">
        <v>32</v>
      </c>
      <c r="K1036" s="49" t="s">
        <v>76</v>
      </c>
      <c r="L1036" s="49" t="s">
        <v>92</v>
      </c>
      <c r="M1036" s="49" t="s">
        <v>84</v>
      </c>
      <c r="N1036" s="49" t="s">
        <v>79</v>
      </c>
      <c r="O1036" s="49" t="s">
        <v>37</v>
      </c>
      <c r="P1036" s="11" t="s">
        <v>80</v>
      </c>
      <c r="Q1036" s="11" t="s">
        <v>96</v>
      </c>
      <c r="R1036" s="49" t="s">
        <v>628</v>
      </c>
      <c r="S1036" s="11" t="s">
        <v>629</v>
      </c>
      <c r="T1036" s="90" t="s">
        <v>1</v>
      </c>
      <c r="U1036" s="89"/>
      <c r="V1036" s="51">
        <v>45894</v>
      </c>
      <c r="W1036" s="49" t="s">
        <v>1584</v>
      </c>
    </row>
    <row r="1037" spans="1:23" ht="13" customHeight="1" x14ac:dyDescent="0.35">
      <c r="A1037" s="11">
        <v>1031</v>
      </c>
      <c r="B1037" s="47">
        <v>203800780</v>
      </c>
      <c r="C1037" s="94" t="s">
        <v>1146</v>
      </c>
      <c r="D1037" s="11" t="s">
        <v>1147</v>
      </c>
      <c r="E1037" s="48" t="s">
        <v>31</v>
      </c>
      <c r="F1037" s="48" t="s">
        <v>74</v>
      </c>
      <c r="G1037" s="11" t="s">
        <v>64</v>
      </c>
      <c r="H1037" s="11" t="s">
        <v>75</v>
      </c>
      <c r="I1037" s="11">
        <v>1299</v>
      </c>
      <c r="J1037" s="49" t="s">
        <v>32</v>
      </c>
      <c r="K1037" s="49" t="s">
        <v>76</v>
      </c>
      <c r="L1037" s="49" t="s">
        <v>92</v>
      </c>
      <c r="M1037" s="49" t="s">
        <v>84</v>
      </c>
      <c r="N1037" s="48" t="s">
        <v>86</v>
      </c>
      <c r="O1037" s="49" t="s">
        <v>37</v>
      </c>
      <c r="P1037" s="11" t="s">
        <v>80</v>
      </c>
      <c r="Q1037" s="11" t="s">
        <v>90</v>
      </c>
      <c r="R1037" s="49" t="s">
        <v>648</v>
      </c>
      <c r="S1037" s="11" t="s">
        <v>1805</v>
      </c>
      <c r="T1037" s="90" t="s">
        <v>3</v>
      </c>
      <c r="U1037" s="90"/>
      <c r="V1037" s="51">
        <v>45684</v>
      </c>
      <c r="W1037" s="49" t="s">
        <v>1583</v>
      </c>
    </row>
    <row r="1038" spans="1:23" ht="13" customHeight="1" x14ac:dyDescent="0.35">
      <c r="A1038" s="11">
        <v>1032</v>
      </c>
      <c r="B1038" s="47">
        <v>204072305</v>
      </c>
      <c r="C1038" s="94" t="s">
        <v>1148</v>
      </c>
      <c r="D1038" s="11" t="s">
        <v>1149</v>
      </c>
      <c r="E1038" s="48" t="s">
        <v>31</v>
      </c>
      <c r="F1038" s="48" t="s">
        <v>74</v>
      </c>
      <c r="G1038" s="11" t="s">
        <v>64</v>
      </c>
      <c r="H1038" s="11" t="s">
        <v>75</v>
      </c>
      <c r="I1038" s="11">
        <v>1299</v>
      </c>
      <c r="J1038" s="49" t="s">
        <v>32</v>
      </c>
      <c r="K1038" s="49" t="s">
        <v>76</v>
      </c>
      <c r="L1038" s="49" t="s">
        <v>95</v>
      </c>
      <c r="M1038" s="49" t="s">
        <v>77</v>
      </c>
      <c r="N1038" s="48" t="s">
        <v>86</v>
      </c>
      <c r="O1038" s="49" t="s">
        <v>37</v>
      </c>
      <c r="P1038" s="11" t="s">
        <v>80</v>
      </c>
      <c r="Q1038" s="11" t="s">
        <v>90</v>
      </c>
      <c r="R1038" s="49" t="s">
        <v>648</v>
      </c>
      <c r="S1038" s="11" t="s">
        <v>1805</v>
      </c>
      <c r="T1038" s="90" t="s">
        <v>1</v>
      </c>
      <c r="U1038" s="90"/>
      <c r="V1038" s="51">
        <v>45558</v>
      </c>
      <c r="W1038" s="49" t="s">
        <v>1584</v>
      </c>
    </row>
    <row r="1039" spans="1:23" ht="13" customHeight="1" x14ac:dyDescent="0.35">
      <c r="A1039" s="11">
        <v>1033</v>
      </c>
      <c r="B1039" s="47">
        <v>204137711</v>
      </c>
      <c r="C1039" s="94" t="s">
        <v>1150</v>
      </c>
      <c r="D1039" s="11" t="s">
        <v>1151</v>
      </c>
      <c r="E1039" s="48" t="s">
        <v>31</v>
      </c>
      <c r="F1039" s="48" t="s">
        <v>74</v>
      </c>
      <c r="G1039" s="11" t="s">
        <v>64</v>
      </c>
      <c r="H1039" s="11" t="s">
        <v>75</v>
      </c>
      <c r="I1039" s="11">
        <v>1299</v>
      </c>
      <c r="J1039" s="49" t="s">
        <v>39</v>
      </c>
      <c r="K1039" s="49" t="s">
        <v>76</v>
      </c>
      <c r="L1039" s="49" t="s">
        <v>88</v>
      </c>
      <c r="M1039" s="49" t="s">
        <v>95</v>
      </c>
      <c r="N1039" s="48" t="s">
        <v>86</v>
      </c>
      <c r="O1039" s="49" t="s">
        <v>37</v>
      </c>
      <c r="P1039" s="11" t="s">
        <v>80</v>
      </c>
      <c r="Q1039" s="11" t="s">
        <v>87</v>
      </c>
      <c r="R1039" s="49" t="s">
        <v>628</v>
      </c>
      <c r="S1039" s="11" t="s">
        <v>629</v>
      </c>
      <c r="T1039" s="90" t="s">
        <v>10</v>
      </c>
      <c r="U1039" s="91"/>
      <c r="V1039" s="51">
        <v>45565</v>
      </c>
      <c r="W1039" s="49" t="s">
        <v>1584</v>
      </c>
    </row>
    <row r="1040" spans="1:23" ht="13" customHeight="1" x14ac:dyDescent="0.35">
      <c r="A1040" s="11">
        <v>1034</v>
      </c>
      <c r="B1040" s="47">
        <v>204013686</v>
      </c>
      <c r="C1040" s="94" t="s">
        <v>1152</v>
      </c>
      <c r="D1040" s="11" t="s">
        <v>1153</v>
      </c>
      <c r="E1040" s="48" t="s">
        <v>31</v>
      </c>
      <c r="F1040" s="48" t="s">
        <v>74</v>
      </c>
      <c r="G1040" s="11" t="s">
        <v>64</v>
      </c>
      <c r="H1040" s="11" t="s">
        <v>75</v>
      </c>
      <c r="I1040" s="11">
        <v>1299</v>
      </c>
      <c r="J1040" s="49" t="s">
        <v>39</v>
      </c>
      <c r="K1040" s="49" t="s">
        <v>76</v>
      </c>
      <c r="L1040" s="49" t="s">
        <v>85</v>
      </c>
      <c r="M1040" s="49" t="s">
        <v>88</v>
      </c>
      <c r="N1040" s="48" t="s">
        <v>79</v>
      </c>
      <c r="O1040" s="49" t="s">
        <v>37</v>
      </c>
      <c r="P1040" s="11" t="s">
        <v>80</v>
      </c>
      <c r="Q1040" s="11" t="s">
        <v>81</v>
      </c>
      <c r="R1040" s="11" t="s">
        <v>640</v>
      </c>
      <c r="S1040" s="11" t="s">
        <v>2734</v>
      </c>
      <c r="T1040" s="90" t="s">
        <v>10</v>
      </c>
      <c r="U1040" s="89"/>
      <c r="V1040" s="51">
        <v>45551</v>
      </c>
      <c r="W1040" s="49" t="s">
        <v>1583</v>
      </c>
    </row>
    <row r="1041" spans="1:23" ht="13" customHeight="1" x14ac:dyDescent="0.35">
      <c r="A1041" s="11">
        <v>1035</v>
      </c>
      <c r="B1041" s="47">
        <v>204868502</v>
      </c>
      <c r="C1041" s="94" t="s">
        <v>2430</v>
      </c>
      <c r="D1041" s="11" t="s">
        <v>2431</v>
      </c>
      <c r="E1041" s="48" t="s">
        <v>31</v>
      </c>
      <c r="F1041" s="48" t="s">
        <v>74</v>
      </c>
      <c r="G1041" s="11" t="s">
        <v>64</v>
      </c>
      <c r="H1041" s="11" t="s">
        <v>75</v>
      </c>
      <c r="I1041" s="11">
        <v>1299</v>
      </c>
      <c r="J1041" s="49" t="s">
        <v>32</v>
      </c>
      <c r="K1041" s="49" t="s">
        <v>76</v>
      </c>
      <c r="L1041" s="49" t="s">
        <v>85</v>
      </c>
      <c r="M1041" s="49" t="s">
        <v>88</v>
      </c>
      <c r="N1041" s="48" t="s">
        <v>86</v>
      </c>
      <c r="O1041" s="49" t="s">
        <v>37</v>
      </c>
      <c r="P1041" s="11" t="s">
        <v>80</v>
      </c>
      <c r="Q1041" s="11" t="s">
        <v>90</v>
      </c>
      <c r="R1041" s="11" t="s">
        <v>1069</v>
      </c>
      <c r="S1041" s="11" t="s">
        <v>2733</v>
      </c>
      <c r="T1041" s="90" t="s">
        <v>10</v>
      </c>
      <c r="U1041" s="90"/>
      <c r="V1041" s="51">
        <v>45894</v>
      </c>
      <c r="W1041" s="49" t="s">
        <v>1584</v>
      </c>
    </row>
    <row r="1042" spans="1:23" ht="13" customHeight="1" x14ac:dyDescent="0.35">
      <c r="A1042" s="11">
        <v>1036</v>
      </c>
      <c r="B1042" s="47">
        <v>203881662</v>
      </c>
      <c r="C1042" s="94" t="s">
        <v>1154</v>
      </c>
      <c r="D1042" s="11" t="s">
        <v>1155</v>
      </c>
      <c r="E1042" s="48" t="s">
        <v>31</v>
      </c>
      <c r="F1042" s="48" t="s">
        <v>74</v>
      </c>
      <c r="G1042" s="11" t="s">
        <v>64</v>
      </c>
      <c r="H1042" s="11" t="s">
        <v>75</v>
      </c>
      <c r="I1042" s="11">
        <v>1299</v>
      </c>
      <c r="J1042" s="49" t="s">
        <v>32</v>
      </c>
      <c r="K1042" s="49" t="s">
        <v>76</v>
      </c>
      <c r="L1042" s="49" t="s">
        <v>77</v>
      </c>
      <c r="M1042" s="49" t="s">
        <v>78</v>
      </c>
      <c r="N1042" s="48" t="s">
        <v>79</v>
      </c>
      <c r="O1042" s="49" t="s">
        <v>37</v>
      </c>
      <c r="P1042" s="11" t="s">
        <v>80</v>
      </c>
      <c r="Q1042" s="11" t="s">
        <v>81</v>
      </c>
      <c r="R1042" s="11" t="s">
        <v>2865</v>
      </c>
      <c r="S1042" s="11" t="s">
        <v>2866</v>
      </c>
      <c r="T1042" s="90" t="s">
        <v>7</v>
      </c>
      <c r="U1042" s="90" t="s">
        <v>2914</v>
      </c>
      <c r="V1042" s="51">
        <v>45530</v>
      </c>
      <c r="W1042" s="49" t="s">
        <v>1584</v>
      </c>
    </row>
    <row r="1043" spans="1:23" ht="13" customHeight="1" x14ac:dyDescent="0.35">
      <c r="A1043" s="11">
        <v>1037</v>
      </c>
      <c r="B1043" s="47">
        <v>203851101</v>
      </c>
      <c r="C1043" s="94" t="s">
        <v>1156</v>
      </c>
      <c r="D1043" s="11" t="s">
        <v>1157</v>
      </c>
      <c r="E1043" s="48" t="s">
        <v>31</v>
      </c>
      <c r="F1043" s="48" t="s">
        <v>74</v>
      </c>
      <c r="G1043" s="11" t="s">
        <v>64</v>
      </c>
      <c r="H1043" s="11" t="s">
        <v>75</v>
      </c>
      <c r="I1043" s="11">
        <v>1299</v>
      </c>
      <c r="J1043" s="49" t="s">
        <v>32</v>
      </c>
      <c r="K1043" s="49" t="s">
        <v>76</v>
      </c>
      <c r="L1043" s="49" t="s">
        <v>77</v>
      </c>
      <c r="M1043" s="49" t="s">
        <v>78</v>
      </c>
      <c r="N1043" s="48" t="s">
        <v>79</v>
      </c>
      <c r="O1043" s="49" t="s">
        <v>37</v>
      </c>
      <c r="P1043" s="11" t="s">
        <v>80</v>
      </c>
      <c r="Q1043" s="11" t="s">
        <v>81</v>
      </c>
      <c r="R1043" s="11" t="s">
        <v>1069</v>
      </c>
      <c r="S1043" s="11" t="s">
        <v>2733</v>
      </c>
      <c r="T1043" s="90" t="s">
        <v>1</v>
      </c>
      <c r="U1043" s="90"/>
      <c r="V1043" s="51">
        <v>45524</v>
      </c>
      <c r="W1043" s="49" t="s">
        <v>1586</v>
      </c>
    </row>
    <row r="1044" spans="1:23" ht="13" customHeight="1" x14ac:dyDescent="0.35">
      <c r="A1044" s="11">
        <v>1038</v>
      </c>
      <c r="B1044" s="47">
        <v>205997634</v>
      </c>
      <c r="C1044" s="94" t="s">
        <v>1158</v>
      </c>
      <c r="D1044" s="11" t="s">
        <v>1159</v>
      </c>
      <c r="E1044" s="48" t="s">
        <v>31</v>
      </c>
      <c r="F1044" s="48" t="s">
        <v>74</v>
      </c>
      <c r="G1044" s="11" t="s">
        <v>64</v>
      </c>
      <c r="H1044" s="11" t="s">
        <v>75</v>
      </c>
      <c r="I1044" s="11">
        <v>1299</v>
      </c>
      <c r="J1044" s="49" t="s">
        <v>32</v>
      </c>
      <c r="K1044" s="49" t="s">
        <v>76</v>
      </c>
      <c r="L1044" s="49" t="s">
        <v>88</v>
      </c>
      <c r="M1044" s="49" t="s">
        <v>95</v>
      </c>
      <c r="N1044" s="48" t="s">
        <v>79</v>
      </c>
      <c r="O1044" s="49" t="s">
        <v>37</v>
      </c>
      <c r="P1044" s="11" t="s">
        <v>80</v>
      </c>
      <c r="Q1044" s="11" t="s">
        <v>81</v>
      </c>
      <c r="R1044" s="11" t="s">
        <v>1069</v>
      </c>
      <c r="S1044" s="11" t="s">
        <v>2733</v>
      </c>
      <c r="T1044" s="90" t="s">
        <v>10</v>
      </c>
      <c r="U1044" s="90"/>
      <c r="V1044" s="51">
        <v>45915</v>
      </c>
      <c r="W1044" s="49" t="s">
        <v>1584</v>
      </c>
    </row>
    <row r="1045" spans="1:23" ht="13" customHeight="1" x14ac:dyDescent="0.35">
      <c r="A1045" s="11">
        <v>1039</v>
      </c>
      <c r="B1045" s="47">
        <v>204967557</v>
      </c>
      <c r="C1045" s="94" t="s">
        <v>1160</v>
      </c>
      <c r="D1045" s="11" t="s">
        <v>1161</v>
      </c>
      <c r="E1045" s="48" t="s">
        <v>31</v>
      </c>
      <c r="F1045" s="48" t="s">
        <v>74</v>
      </c>
      <c r="G1045" s="11" t="s">
        <v>64</v>
      </c>
      <c r="H1045" s="11" t="s">
        <v>75</v>
      </c>
      <c r="I1045" s="11">
        <v>1299</v>
      </c>
      <c r="J1045" s="49" t="s">
        <v>39</v>
      </c>
      <c r="K1045" s="49" t="s">
        <v>76</v>
      </c>
      <c r="L1045" s="49" t="s">
        <v>85</v>
      </c>
      <c r="M1045" s="49" t="s">
        <v>88</v>
      </c>
      <c r="N1045" s="48" t="s">
        <v>86</v>
      </c>
      <c r="O1045" s="49" t="s">
        <v>37</v>
      </c>
      <c r="P1045" s="11" t="s">
        <v>80</v>
      </c>
      <c r="Q1045" s="11" t="s">
        <v>90</v>
      </c>
      <c r="R1045" s="49" t="s">
        <v>648</v>
      </c>
      <c r="S1045" s="11" t="s">
        <v>1805</v>
      </c>
      <c r="T1045" s="90" t="s">
        <v>10</v>
      </c>
      <c r="U1045" s="91"/>
      <c r="V1045" s="51">
        <v>45719</v>
      </c>
      <c r="W1045" s="49" t="s">
        <v>1584</v>
      </c>
    </row>
    <row r="1046" spans="1:23" ht="13" customHeight="1" x14ac:dyDescent="0.35">
      <c r="A1046" s="11">
        <v>1040</v>
      </c>
      <c r="B1046" s="47">
        <v>204967039</v>
      </c>
      <c r="C1046" s="94" t="s">
        <v>1162</v>
      </c>
      <c r="D1046" s="11" t="s">
        <v>1163</v>
      </c>
      <c r="E1046" s="48" t="s">
        <v>31</v>
      </c>
      <c r="F1046" s="48" t="s">
        <v>74</v>
      </c>
      <c r="G1046" s="11" t="s">
        <v>64</v>
      </c>
      <c r="H1046" s="11" t="s">
        <v>75</v>
      </c>
      <c r="I1046" s="11">
        <v>1299</v>
      </c>
      <c r="J1046" s="49" t="s">
        <v>32</v>
      </c>
      <c r="K1046" s="49" t="s">
        <v>76</v>
      </c>
      <c r="L1046" s="49" t="s">
        <v>77</v>
      </c>
      <c r="M1046" s="49" t="s">
        <v>78</v>
      </c>
      <c r="N1046" s="48" t="s">
        <v>86</v>
      </c>
      <c r="O1046" s="49" t="s">
        <v>37</v>
      </c>
      <c r="P1046" s="11" t="s">
        <v>80</v>
      </c>
      <c r="Q1046" s="11" t="s">
        <v>90</v>
      </c>
      <c r="R1046" s="49" t="s">
        <v>648</v>
      </c>
      <c r="S1046" s="11" t="s">
        <v>1805</v>
      </c>
      <c r="T1046" s="90" t="s">
        <v>1</v>
      </c>
      <c r="U1046" s="90"/>
      <c r="V1046" s="51">
        <v>45719</v>
      </c>
      <c r="W1046" s="49" t="s">
        <v>1584</v>
      </c>
    </row>
    <row r="1047" spans="1:23" ht="13" customHeight="1" x14ac:dyDescent="0.35">
      <c r="A1047" s="11">
        <v>1041</v>
      </c>
      <c r="B1047" s="47">
        <v>204967145</v>
      </c>
      <c r="C1047" s="94" t="s">
        <v>1164</v>
      </c>
      <c r="D1047" s="11" t="s">
        <v>1165</v>
      </c>
      <c r="E1047" s="48" t="s">
        <v>31</v>
      </c>
      <c r="F1047" s="48" t="s">
        <v>74</v>
      </c>
      <c r="G1047" s="11" t="s">
        <v>64</v>
      </c>
      <c r="H1047" s="11" t="s">
        <v>75</v>
      </c>
      <c r="I1047" s="11">
        <v>1299</v>
      </c>
      <c r="J1047" s="49" t="s">
        <v>39</v>
      </c>
      <c r="K1047" s="49" t="s">
        <v>76</v>
      </c>
      <c r="L1047" s="49" t="s">
        <v>92</v>
      </c>
      <c r="M1047" s="49" t="s">
        <v>84</v>
      </c>
      <c r="N1047" s="48" t="s">
        <v>86</v>
      </c>
      <c r="O1047" s="49" t="s">
        <v>37</v>
      </c>
      <c r="P1047" s="11" t="s">
        <v>80</v>
      </c>
      <c r="Q1047" s="11" t="s">
        <v>90</v>
      </c>
      <c r="R1047" s="11" t="s">
        <v>1069</v>
      </c>
      <c r="S1047" s="11" t="s">
        <v>2733</v>
      </c>
      <c r="T1047" s="90" t="s">
        <v>1</v>
      </c>
      <c r="U1047" s="90"/>
      <c r="V1047" s="51">
        <v>45719</v>
      </c>
      <c r="W1047" s="49" t="s">
        <v>1586</v>
      </c>
    </row>
    <row r="1048" spans="1:23" ht="13" customHeight="1" x14ac:dyDescent="0.35">
      <c r="A1048" s="11">
        <v>1042</v>
      </c>
      <c r="B1048" s="47">
        <v>203512946</v>
      </c>
      <c r="C1048" s="94" t="s">
        <v>1166</v>
      </c>
      <c r="D1048" s="11" t="s">
        <v>1167</v>
      </c>
      <c r="E1048" s="48" t="s">
        <v>31</v>
      </c>
      <c r="F1048" s="48" t="s">
        <v>74</v>
      </c>
      <c r="G1048" s="11" t="s">
        <v>64</v>
      </c>
      <c r="H1048" s="11" t="s">
        <v>75</v>
      </c>
      <c r="I1048" s="11">
        <v>1299</v>
      </c>
      <c r="J1048" s="49" t="s">
        <v>32</v>
      </c>
      <c r="K1048" s="49" t="s">
        <v>76</v>
      </c>
      <c r="L1048" s="49" t="s">
        <v>95</v>
      </c>
      <c r="M1048" s="49" t="s">
        <v>77</v>
      </c>
      <c r="N1048" s="48" t="s">
        <v>79</v>
      </c>
      <c r="O1048" s="49" t="s">
        <v>37</v>
      </c>
      <c r="P1048" s="11" t="s">
        <v>80</v>
      </c>
      <c r="Q1048" s="11" t="s">
        <v>81</v>
      </c>
      <c r="R1048" s="11" t="s">
        <v>2865</v>
      </c>
      <c r="S1048" s="11" t="s">
        <v>2866</v>
      </c>
      <c r="T1048" s="90" t="s">
        <v>1</v>
      </c>
      <c r="U1048" s="90"/>
      <c r="V1048" s="51">
        <v>45463</v>
      </c>
      <c r="W1048" s="49" t="s">
        <v>1584</v>
      </c>
    </row>
    <row r="1049" spans="1:23" ht="13" customHeight="1" x14ac:dyDescent="0.35">
      <c r="A1049" s="11">
        <v>1043</v>
      </c>
      <c r="B1049" s="47">
        <v>202189563</v>
      </c>
      <c r="C1049" s="94" t="s">
        <v>1168</v>
      </c>
      <c r="D1049" s="11" t="s">
        <v>1169</v>
      </c>
      <c r="E1049" s="48" t="s">
        <v>31</v>
      </c>
      <c r="F1049" s="48" t="s">
        <v>74</v>
      </c>
      <c r="G1049" s="11" t="s">
        <v>64</v>
      </c>
      <c r="H1049" s="11" t="s">
        <v>75</v>
      </c>
      <c r="I1049" s="11">
        <v>1299</v>
      </c>
      <c r="J1049" s="49" t="s">
        <v>32</v>
      </c>
      <c r="K1049" s="49" t="s">
        <v>76</v>
      </c>
      <c r="L1049" s="49" t="s">
        <v>84</v>
      </c>
      <c r="M1049" s="49" t="s">
        <v>85</v>
      </c>
      <c r="N1049" s="48" t="s">
        <v>79</v>
      </c>
      <c r="O1049" s="49" t="s">
        <v>37</v>
      </c>
      <c r="P1049" s="11" t="s">
        <v>80</v>
      </c>
      <c r="Q1049" s="11" t="s">
        <v>81</v>
      </c>
      <c r="R1049" s="49" t="s">
        <v>648</v>
      </c>
      <c r="S1049" s="11" t="s">
        <v>1805</v>
      </c>
      <c r="T1049" s="90" t="s">
        <v>1</v>
      </c>
      <c r="U1049" s="91"/>
      <c r="V1049" s="51">
        <v>45537</v>
      </c>
      <c r="W1049" s="49" t="s">
        <v>1585</v>
      </c>
    </row>
    <row r="1050" spans="1:23" ht="13" customHeight="1" x14ac:dyDescent="0.35">
      <c r="A1050" s="11">
        <v>1044</v>
      </c>
      <c r="B1050" s="47">
        <v>205854084</v>
      </c>
      <c r="C1050" s="94" t="s">
        <v>1170</v>
      </c>
      <c r="D1050" s="11" t="s">
        <v>1171</v>
      </c>
      <c r="E1050" s="48" t="s">
        <v>31</v>
      </c>
      <c r="F1050" s="48" t="s">
        <v>74</v>
      </c>
      <c r="G1050" s="11" t="s">
        <v>64</v>
      </c>
      <c r="H1050" s="11" t="s">
        <v>75</v>
      </c>
      <c r="I1050" s="11">
        <v>1299</v>
      </c>
      <c r="J1050" s="49" t="s">
        <v>39</v>
      </c>
      <c r="K1050" s="49" t="s">
        <v>76</v>
      </c>
      <c r="L1050" s="49" t="s">
        <v>84</v>
      </c>
      <c r="M1050" s="49" t="s">
        <v>85</v>
      </c>
      <c r="N1050" s="49" t="s">
        <v>79</v>
      </c>
      <c r="O1050" s="49" t="s">
        <v>37</v>
      </c>
      <c r="P1050" s="11" t="s">
        <v>80</v>
      </c>
      <c r="Q1050" s="11" t="s">
        <v>96</v>
      </c>
      <c r="R1050" s="11" t="s">
        <v>632</v>
      </c>
      <c r="S1050" s="11" t="s">
        <v>633</v>
      </c>
      <c r="T1050" s="90" t="s">
        <v>1</v>
      </c>
      <c r="U1050" s="89"/>
      <c r="V1050" s="51">
        <v>45894</v>
      </c>
      <c r="W1050" s="49" t="s">
        <v>1584</v>
      </c>
    </row>
    <row r="1051" spans="1:23" ht="13" customHeight="1" x14ac:dyDescent="0.35">
      <c r="A1051" s="11">
        <v>1045</v>
      </c>
      <c r="B1051" s="47">
        <v>106268302</v>
      </c>
      <c r="C1051" s="94" t="s">
        <v>1172</v>
      </c>
      <c r="D1051" s="11" t="s">
        <v>1173</v>
      </c>
      <c r="E1051" s="48" t="s">
        <v>34</v>
      </c>
      <c r="F1051" s="48" t="s">
        <v>74</v>
      </c>
      <c r="G1051" s="11" t="s">
        <v>64</v>
      </c>
      <c r="H1051" s="11" t="s">
        <v>75</v>
      </c>
      <c r="I1051" s="11">
        <v>1299</v>
      </c>
      <c r="J1051" s="49" t="s">
        <v>32</v>
      </c>
      <c r="K1051" s="49" t="s">
        <v>76</v>
      </c>
      <c r="L1051" s="49" t="s">
        <v>95</v>
      </c>
      <c r="M1051" s="49" t="s">
        <v>77</v>
      </c>
      <c r="N1051" s="48" t="s">
        <v>97</v>
      </c>
      <c r="O1051" s="49" t="s">
        <v>37</v>
      </c>
      <c r="P1051" s="11" t="s">
        <v>80</v>
      </c>
      <c r="Q1051" s="11" t="s">
        <v>98</v>
      </c>
      <c r="R1051" s="11" t="s">
        <v>640</v>
      </c>
      <c r="S1051" s="11" t="s">
        <v>2734</v>
      </c>
      <c r="T1051" s="90" t="s">
        <v>1</v>
      </c>
      <c r="U1051" s="91"/>
      <c r="V1051" s="51">
        <v>44839</v>
      </c>
      <c r="W1051" s="49" t="s">
        <v>1588</v>
      </c>
    </row>
    <row r="1052" spans="1:23" ht="13" customHeight="1" x14ac:dyDescent="0.35">
      <c r="A1052" s="11">
        <v>1046</v>
      </c>
      <c r="B1052" s="47">
        <v>206915472</v>
      </c>
      <c r="C1052" s="94" t="s">
        <v>1920</v>
      </c>
      <c r="D1052" s="11" t="s">
        <v>1913</v>
      </c>
      <c r="E1052" s="48" t="s">
        <v>31</v>
      </c>
      <c r="F1052" s="48" t="s">
        <v>74</v>
      </c>
      <c r="G1052" s="11" t="s">
        <v>64</v>
      </c>
      <c r="H1052" s="11" t="s">
        <v>75</v>
      </c>
      <c r="I1052" s="11">
        <v>1299</v>
      </c>
      <c r="J1052" s="49" t="s">
        <v>39</v>
      </c>
      <c r="K1052" s="49" t="s">
        <v>76</v>
      </c>
      <c r="L1052" s="49" t="s">
        <v>95</v>
      </c>
      <c r="M1052" s="49" t="s">
        <v>77</v>
      </c>
      <c r="N1052" s="49" t="s">
        <v>89</v>
      </c>
      <c r="O1052" s="49" t="s">
        <v>37</v>
      </c>
      <c r="P1052" s="11" t="s">
        <v>80</v>
      </c>
      <c r="Q1052" s="11" t="s">
        <v>90</v>
      </c>
      <c r="R1052" s="49" t="s">
        <v>628</v>
      </c>
      <c r="S1052" s="11" t="s">
        <v>629</v>
      </c>
      <c r="T1052" s="90" t="s">
        <v>1</v>
      </c>
      <c r="U1052" s="91"/>
      <c r="V1052" s="51">
        <v>46034</v>
      </c>
      <c r="W1052" s="49" t="s">
        <v>1584</v>
      </c>
    </row>
    <row r="1053" spans="1:23" ht="13" customHeight="1" x14ac:dyDescent="0.35">
      <c r="A1053" s="11">
        <v>1047</v>
      </c>
      <c r="B1053" s="47">
        <v>206129616</v>
      </c>
      <c r="C1053" s="94" t="s">
        <v>1174</v>
      </c>
      <c r="D1053" s="11" t="s">
        <v>1175</v>
      </c>
      <c r="E1053" s="48" t="s">
        <v>31</v>
      </c>
      <c r="F1053" s="48" t="s">
        <v>74</v>
      </c>
      <c r="G1053" s="11" t="s">
        <v>64</v>
      </c>
      <c r="H1053" s="11" t="s">
        <v>75</v>
      </c>
      <c r="I1053" s="11">
        <v>1299</v>
      </c>
      <c r="J1053" s="49" t="s">
        <v>32</v>
      </c>
      <c r="K1053" s="49" t="s">
        <v>76</v>
      </c>
      <c r="L1053" s="49" t="s">
        <v>84</v>
      </c>
      <c r="M1053" s="49" t="s">
        <v>85</v>
      </c>
      <c r="N1053" s="48" t="s">
        <v>79</v>
      </c>
      <c r="O1053" s="49" t="s">
        <v>37</v>
      </c>
      <c r="P1053" s="11" t="s">
        <v>80</v>
      </c>
      <c r="Q1053" s="11" t="s">
        <v>81</v>
      </c>
      <c r="R1053" s="49" t="s">
        <v>648</v>
      </c>
      <c r="S1053" s="11" t="s">
        <v>1805</v>
      </c>
      <c r="T1053" s="90" t="s">
        <v>1</v>
      </c>
      <c r="U1053" s="90"/>
      <c r="V1053" s="51">
        <v>45929</v>
      </c>
      <c r="W1053" s="49" t="s">
        <v>1584</v>
      </c>
    </row>
    <row r="1054" spans="1:23" ht="13" customHeight="1" x14ac:dyDescent="0.35">
      <c r="A1054" s="11">
        <v>1048</v>
      </c>
      <c r="B1054" s="47">
        <v>204951315</v>
      </c>
      <c r="C1054" s="94" t="s">
        <v>2432</v>
      </c>
      <c r="D1054" s="11" t="s">
        <v>2433</v>
      </c>
      <c r="E1054" s="48" t="s">
        <v>31</v>
      </c>
      <c r="F1054" s="48" t="s">
        <v>74</v>
      </c>
      <c r="G1054" s="11" t="s">
        <v>64</v>
      </c>
      <c r="H1054" s="11" t="s">
        <v>75</v>
      </c>
      <c r="I1054" s="11">
        <v>1299</v>
      </c>
      <c r="J1054" s="49" t="s">
        <v>32</v>
      </c>
      <c r="K1054" s="49" t="s">
        <v>76</v>
      </c>
      <c r="L1054" s="49" t="s">
        <v>92</v>
      </c>
      <c r="M1054" s="49" t="s">
        <v>84</v>
      </c>
      <c r="N1054" s="48" t="s">
        <v>86</v>
      </c>
      <c r="O1054" s="49" t="s">
        <v>37</v>
      </c>
      <c r="P1054" s="11" t="s">
        <v>80</v>
      </c>
      <c r="Q1054" s="11" t="s">
        <v>90</v>
      </c>
      <c r="R1054" s="49" t="s">
        <v>648</v>
      </c>
      <c r="S1054" s="11" t="s">
        <v>1805</v>
      </c>
      <c r="T1054" s="90" t="s">
        <v>7</v>
      </c>
      <c r="U1054" s="90" t="s">
        <v>2914</v>
      </c>
      <c r="V1054" s="51">
        <v>45719</v>
      </c>
      <c r="W1054" s="49" t="s">
        <v>1584</v>
      </c>
    </row>
    <row r="1055" spans="1:23" ht="13" customHeight="1" x14ac:dyDescent="0.35">
      <c r="A1055" s="11">
        <v>1049</v>
      </c>
      <c r="B1055" s="47">
        <v>204009351</v>
      </c>
      <c r="C1055" s="94" t="s">
        <v>1176</v>
      </c>
      <c r="D1055" s="11" t="s">
        <v>1177</v>
      </c>
      <c r="E1055" s="48" t="s">
        <v>31</v>
      </c>
      <c r="F1055" s="48" t="s">
        <v>74</v>
      </c>
      <c r="G1055" s="11" t="s">
        <v>64</v>
      </c>
      <c r="H1055" s="11" t="s">
        <v>75</v>
      </c>
      <c r="I1055" s="11">
        <v>1299</v>
      </c>
      <c r="J1055" s="49" t="s">
        <v>39</v>
      </c>
      <c r="K1055" s="49" t="s">
        <v>76</v>
      </c>
      <c r="L1055" s="49" t="s">
        <v>88</v>
      </c>
      <c r="M1055" s="49" t="s">
        <v>95</v>
      </c>
      <c r="N1055" s="48" t="s">
        <v>86</v>
      </c>
      <c r="O1055" s="49" t="s">
        <v>37</v>
      </c>
      <c r="P1055" s="11" t="s">
        <v>80</v>
      </c>
      <c r="Q1055" s="11" t="s">
        <v>90</v>
      </c>
      <c r="R1055" s="49" t="s">
        <v>648</v>
      </c>
      <c r="S1055" s="11" t="s">
        <v>1805</v>
      </c>
      <c r="T1055" s="90" t="s">
        <v>10</v>
      </c>
      <c r="U1055" s="90"/>
      <c r="V1055" s="51">
        <v>45551</v>
      </c>
      <c r="W1055" s="49" t="s">
        <v>1584</v>
      </c>
    </row>
    <row r="1056" spans="1:23" ht="13" customHeight="1" x14ac:dyDescent="0.35">
      <c r="A1056" s="11">
        <v>1050</v>
      </c>
      <c r="B1056" s="47">
        <v>203512947</v>
      </c>
      <c r="C1056" s="94" t="s">
        <v>1178</v>
      </c>
      <c r="D1056" s="11" t="s">
        <v>1179</v>
      </c>
      <c r="E1056" s="48" t="s">
        <v>31</v>
      </c>
      <c r="F1056" s="48" t="s">
        <v>74</v>
      </c>
      <c r="G1056" s="11" t="s">
        <v>64</v>
      </c>
      <c r="H1056" s="11" t="s">
        <v>75</v>
      </c>
      <c r="I1056" s="11">
        <v>1299</v>
      </c>
      <c r="J1056" s="49" t="s">
        <v>39</v>
      </c>
      <c r="K1056" s="49" t="s">
        <v>76</v>
      </c>
      <c r="L1056" s="49" t="s">
        <v>88</v>
      </c>
      <c r="M1056" s="49" t="s">
        <v>95</v>
      </c>
      <c r="N1056" s="48" t="s">
        <v>79</v>
      </c>
      <c r="O1056" s="49" t="s">
        <v>37</v>
      </c>
      <c r="P1056" s="11" t="s">
        <v>80</v>
      </c>
      <c r="Q1056" s="11" t="s">
        <v>81</v>
      </c>
      <c r="R1056" s="11" t="s">
        <v>1069</v>
      </c>
      <c r="S1056" s="11" t="s">
        <v>2733</v>
      </c>
      <c r="T1056" s="90" t="s">
        <v>10</v>
      </c>
      <c r="U1056" s="90"/>
      <c r="V1056" s="51">
        <v>45463</v>
      </c>
      <c r="W1056" s="49" t="s">
        <v>1584</v>
      </c>
    </row>
    <row r="1057" spans="1:23" ht="13" customHeight="1" x14ac:dyDescent="0.35">
      <c r="A1057" s="11">
        <v>1051</v>
      </c>
      <c r="B1057" s="47">
        <v>206006426</v>
      </c>
      <c r="C1057" s="94" t="s">
        <v>1180</v>
      </c>
      <c r="D1057" s="11" t="s">
        <v>1181</v>
      </c>
      <c r="E1057" s="48" t="s">
        <v>31</v>
      </c>
      <c r="F1057" s="48" t="s">
        <v>74</v>
      </c>
      <c r="G1057" s="11" t="s">
        <v>64</v>
      </c>
      <c r="H1057" s="11" t="s">
        <v>75</v>
      </c>
      <c r="I1057" s="11">
        <v>1299</v>
      </c>
      <c r="J1057" s="49" t="s">
        <v>39</v>
      </c>
      <c r="K1057" s="49" t="s">
        <v>76</v>
      </c>
      <c r="L1057" s="49" t="s">
        <v>77</v>
      </c>
      <c r="M1057" s="49" t="s">
        <v>78</v>
      </c>
      <c r="N1057" s="48" t="s">
        <v>79</v>
      </c>
      <c r="O1057" s="49" t="s">
        <v>37</v>
      </c>
      <c r="P1057" s="11" t="s">
        <v>80</v>
      </c>
      <c r="Q1057" s="11" t="s">
        <v>81</v>
      </c>
      <c r="R1057" s="49" t="s">
        <v>2735</v>
      </c>
      <c r="S1057" s="11" t="s">
        <v>643</v>
      </c>
      <c r="T1057" s="90" t="s">
        <v>1</v>
      </c>
      <c r="U1057" s="90"/>
      <c r="V1057" s="51">
        <v>45915</v>
      </c>
      <c r="W1057" s="49" t="s">
        <v>1584</v>
      </c>
    </row>
    <row r="1058" spans="1:23" ht="13" customHeight="1" x14ac:dyDescent="0.35">
      <c r="A1058" s="11">
        <v>1052</v>
      </c>
      <c r="B1058" s="47">
        <v>206129597</v>
      </c>
      <c r="C1058" s="94" t="s">
        <v>1182</v>
      </c>
      <c r="D1058" s="11" t="s">
        <v>1183</v>
      </c>
      <c r="E1058" s="48" t="s">
        <v>31</v>
      </c>
      <c r="F1058" s="48" t="s">
        <v>74</v>
      </c>
      <c r="G1058" s="11" t="s">
        <v>64</v>
      </c>
      <c r="H1058" s="11" t="s">
        <v>75</v>
      </c>
      <c r="I1058" s="11">
        <v>1299</v>
      </c>
      <c r="J1058" s="49" t="s">
        <v>32</v>
      </c>
      <c r="K1058" s="49" t="s">
        <v>76</v>
      </c>
      <c r="L1058" s="49" t="s">
        <v>84</v>
      </c>
      <c r="M1058" s="49" t="s">
        <v>85</v>
      </c>
      <c r="N1058" s="48" t="s">
        <v>79</v>
      </c>
      <c r="O1058" s="49" t="s">
        <v>37</v>
      </c>
      <c r="P1058" s="11" t="s">
        <v>80</v>
      </c>
      <c r="Q1058" s="11" t="s">
        <v>81</v>
      </c>
      <c r="R1058" s="49" t="s">
        <v>648</v>
      </c>
      <c r="S1058" s="11" t="s">
        <v>1805</v>
      </c>
      <c r="T1058" s="90" t="s">
        <v>7</v>
      </c>
      <c r="U1058" s="90"/>
      <c r="V1058" s="51">
        <v>45929</v>
      </c>
      <c r="W1058" s="49" t="s">
        <v>1584</v>
      </c>
    </row>
    <row r="1059" spans="1:23" ht="13" customHeight="1" x14ac:dyDescent="0.35">
      <c r="A1059" s="11">
        <v>1053</v>
      </c>
      <c r="B1059" s="47">
        <v>203522194</v>
      </c>
      <c r="C1059" s="94" t="s">
        <v>1184</v>
      </c>
      <c r="D1059" s="11" t="s">
        <v>1185</v>
      </c>
      <c r="E1059" s="48" t="s">
        <v>31</v>
      </c>
      <c r="F1059" s="48" t="s">
        <v>74</v>
      </c>
      <c r="G1059" s="11" t="s">
        <v>64</v>
      </c>
      <c r="H1059" s="11" t="s">
        <v>75</v>
      </c>
      <c r="I1059" s="11">
        <v>1299</v>
      </c>
      <c r="J1059" s="49" t="s">
        <v>39</v>
      </c>
      <c r="K1059" s="49" t="s">
        <v>76</v>
      </c>
      <c r="L1059" s="49" t="s">
        <v>92</v>
      </c>
      <c r="M1059" s="49" t="s">
        <v>84</v>
      </c>
      <c r="N1059" s="48" t="s">
        <v>86</v>
      </c>
      <c r="O1059" s="49" t="s">
        <v>37</v>
      </c>
      <c r="P1059" s="11" t="s">
        <v>80</v>
      </c>
      <c r="Q1059" s="11" t="s">
        <v>99</v>
      </c>
      <c r="R1059" s="49" t="s">
        <v>648</v>
      </c>
      <c r="S1059" s="11" t="s">
        <v>1805</v>
      </c>
      <c r="T1059" s="90" t="s">
        <v>7</v>
      </c>
      <c r="U1059" s="90" t="s">
        <v>2914</v>
      </c>
      <c r="V1059" s="51">
        <v>45463</v>
      </c>
      <c r="W1059" s="49" t="s">
        <v>1586</v>
      </c>
    </row>
    <row r="1060" spans="1:23" ht="13" customHeight="1" x14ac:dyDescent="0.35">
      <c r="A1060" s="11">
        <v>1054</v>
      </c>
      <c r="B1060" s="47">
        <v>204138127</v>
      </c>
      <c r="C1060" s="94" t="s">
        <v>1186</v>
      </c>
      <c r="D1060" s="11" t="s">
        <v>1187</v>
      </c>
      <c r="E1060" s="48" t="s">
        <v>31</v>
      </c>
      <c r="F1060" s="48" t="s">
        <v>74</v>
      </c>
      <c r="G1060" s="11" t="s">
        <v>64</v>
      </c>
      <c r="H1060" s="11" t="s">
        <v>75</v>
      </c>
      <c r="I1060" s="11">
        <v>1299</v>
      </c>
      <c r="J1060" s="49" t="s">
        <v>32</v>
      </c>
      <c r="K1060" s="49" t="s">
        <v>76</v>
      </c>
      <c r="L1060" s="49" t="s">
        <v>92</v>
      </c>
      <c r="M1060" s="49" t="s">
        <v>84</v>
      </c>
      <c r="N1060" s="48" t="s">
        <v>86</v>
      </c>
      <c r="O1060" s="49" t="s">
        <v>37</v>
      </c>
      <c r="P1060" s="11" t="s">
        <v>80</v>
      </c>
      <c r="Q1060" s="11" t="s">
        <v>87</v>
      </c>
      <c r="R1060" s="11" t="s">
        <v>640</v>
      </c>
      <c r="S1060" s="11" t="s">
        <v>2734</v>
      </c>
      <c r="T1060" s="90" t="s">
        <v>1</v>
      </c>
      <c r="U1060" s="90"/>
      <c r="V1060" s="51">
        <v>45565</v>
      </c>
      <c r="W1060" s="49" t="s">
        <v>1586</v>
      </c>
    </row>
    <row r="1061" spans="1:23" ht="13" customHeight="1" x14ac:dyDescent="0.35">
      <c r="A1061" s="11">
        <v>1055</v>
      </c>
      <c r="B1061" s="47">
        <v>205996131</v>
      </c>
      <c r="C1061" s="94" t="s">
        <v>1188</v>
      </c>
      <c r="D1061" s="11" t="s">
        <v>1189</v>
      </c>
      <c r="E1061" s="48" t="s">
        <v>31</v>
      </c>
      <c r="F1061" s="48" t="s">
        <v>74</v>
      </c>
      <c r="G1061" s="11" t="s">
        <v>64</v>
      </c>
      <c r="H1061" s="11" t="s">
        <v>75</v>
      </c>
      <c r="I1061" s="11">
        <v>1299</v>
      </c>
      <c r="J1061" s="49" t="s">
        <v>39</v>
      </c>
      <c r="K1061" s="49" t="s">
        <v>76</v>
      </c>
      <c r="L1061" s="49" t="s">
        <v>78</v>
      </c>
      <c r="M1061" s="49" t="s">
        <v>92</v>
      </c>
      <c r="N1061" s="49" t="s">
        <v>89</v>
      </c>
      <c r="O1061" s="49" t="s">
        <v>37</v>
      </c>
      <c r="P1061" s="11" t="s">
        <v>80</v>
      </c>
      <c r="Q1061" s="11" t="s">
        <v>81</v>
      </c>
      <c r="R1061" s="11" t="s">
        <v>632</v>
      </c>
      <c r="S1061" s="11" t="s">
        <v>633</v>
      </c>
      <c r="T1061" s="90" t="s">
        <v>1</v>
      </c>
      <c r="U1061" s="90"/>
      <c r="V1061" s="51">
        <v>45915</v>
      </c>
      <c r="W1061" s="49" t="s">
        <v>1584</v>
      </c>
    </row>
    <row r="1062" spans="1:23" ht="13" customHeight="1" x14ac:dyDescent="0.35">
      <c r="A1062" s="11">
        <v>1056</v>
      </c>
      <c r="B1062" s="47">
        <v>206072874</v>
      </c>
      <c r="C1062" s="94" t="s">
        <v>1190</v>
      </c>
      <c r="D1062" s="11" t="s">
        <v>1191</v>
      </c>
      <c r="E1062" s="48" t="s">
        <v>31</v>
      </c>
      <c r="F1062" s="48" t="s">
        <v>74</v>
      </c>
      <c r="G1062" s="11" t="s">
        <v>64</v>
      </c>
      <c r="H1062" s="11" t="s">
        <v>75</v>
      </c>
      <c r="I1062" s="11">
        <v>1299</v>
      </c>
      <c r="J1062" s="49" t="s">
        <v>32</v>
      </c>
      <c r="K1062" s="49" t="s">
        <v>76</v>
      </c>
      <c r="L1062" s="49" t="s">
        <v>92</v>
      </c>
      <c r="M1062" s="49" t="s">
        <v>84</v>
      </c>
      <c r="N1062" s="48" t="s">
        <v>79</v>
      </c>
      <c r="O1062" s="49" t="s">
        <v>37</v>
      </c>
      <c r="P1062" s="11" t="s">
        <v>80</v>
      </c>
      <c r="Q1062" s="11" t="s">
        <v>81</v>
      </c>
      <c r="R1062" s="49" t="s">
        <v>648</v>
      </c>
      <c r="S1062" s="11" t="s">
        <v>1805</v>
      </c>
      <c r="T1062" s="90" t="s">
        <v>1</v>
      </c>
      <c r="U1062" s="90"/>
      <c r="V1062" s="51">
        <v>45929</v>
      </c>
      <c r="W1062" s="49" t="s">
        <v>1584</v>
      </c>
    </row>
    <row r="1063" spans="1:23" ht="13" customHeight="1" x14ac:dyDescent="0.35">
      <c r="A1063" s="11">
        <v>1057</v>
      </c>
      <c r="B1063" s="47">
        <v>203964991</v>
      </c>
      <c r="C1063" s="94" t="s">
        <v>1192</v>
      </c>
      <c r="D1063" s="11" t="s">
        <v>1193</v>
      </c>
      <c r="E1063" s="48" t="s">
        <v>31</v>
      </c>
      <c r="F1063" s="48" t="s">
        <v>74</v>
      </c>
      <c r="G1063" s="11" t="s">
        <v>64</v>
      </c>
      <c r="H1063" s="11" t="s">
        <v>75</v>
      </c>
      <c r="I1063" s="11">
        <v>1299</v>
      </c>
      <c r="J1063" s="49" t="s">
        <v>39</v>
      </c>
      <c r="K1063" s="49" t="s">
        <v>76</v>
      </c>
      <c r="L1063" s="49" t="s">
        <v>85</v>
      </c>
      <c r="M1063" s="49" t="s">
        <v>88</v>
      </c>
      <c r="N1063" s="48" t="s">
        <v>86</v>
      </c>
      <c r="O1063" s="49" t="s">
        <v>37</v>
      </c>
      <c r="P1063" s="11" t="s">
        <v>80</v>
      </c>
      <c r="Q1063" s="11" t="s">
        <v>99</v>
      </c>
      <c r="R1063" s="49" t="s">
        <v>648</v>
      </c>
      <c r="S1063" s="11" t="s">
        <v>1805</v>
      </c>
      <c r="T1063" s="90" t="s">
        <v>10</v>
      </c>
      <c r="U1063" s="90"/>
      <c r="V1063" s="51">
        <v>45544</v>
      </c>
      <c r="W1063" s="49" t="s">
        <v>1584</v>
      </c>
    </row>
    <row r="1064" spans="1:23" ht="13" customHeight="1" x14ac:dyDescent="0.35">
      <c r="A1064" s="11">
        <v>1058</v>
      </c>
      <c r="B1064" s="47">
        <v>203468747</v>
      </c>
      <c r="C1064" s="94" t="s">
        <v>1196</v>
      </c>
      <c r="D1064" s="11" t="s">
        <v>1197</v>
      </c>
      <c r="E1064" s="48" t="s">
        <v>31</v>
      </c>
      <c r="F1064" s="48" t="s">
        <v>74</v>
      </c>
      <c r="G1064" s="11" t="s">
        <v>64</v>
      </c>
      <c r="H1064" s="11" t="s">
        <v>75</v>
      </c>
      <c r="I1064" s="11">
        <v>1299</v>
      </c>
      <c r="J1064" s="49" t="s">
        <v>39</v>
      </c>
      <c r="K1064" s="49" t="s">
        <v>76</v>
      </c>
      <c r="L1064" s="49" t="s">
        <v>77</v>
      </c>
      <c r="M1064" s="49" t="s">
        <v>78</v>
      </c>
      <c r="N1064" s="48" t="s">
        <v>79</v>
      </c>
      <c r="O1064" s="49" t="s">
        <v>37</v>
      </c>
      <c r="P1064" s="11" t="s">
        <v>80</v>
      </c>
      <c r="Q1064" s="11" t="s">
        <v>81</v>
      </c>
      <c r="R1064" s="11" t="s">
        <v>1069</v>
      </c>
      <c r="S1064" s="11" t="s">
        <v>2733</v>
      </c>
      <c r="T1064" s="90" t="s">
        <v>7</v>
      </c>
      <c r="U1064" s="90" t="s">
        <v>2914</v>
      </c>
      <c r="V1064" s="51">
        <v>45456</v>
      </c>
      <c r="W1064" s="49" t="s">
        <v>1586</v>
      </c>
    </row>
    <row r="1065" spans="1:23" ht="13" customHeight="1" x14ac:dyDescent="0.35">
      <c r="A1065" s="11">
        <v>1059</v>
      </c>
      <c r="B1065" s="47">
        <v>203908339</v>
      </c>
      <c r="C1065" s="94" t="s">
        <v>1198</v>
      </c>
      <c r="D1065" s="11" t="s">
        <v>1199</v>
      </c>
      <c r="E1065" s="48" t="s">
        <v>31</v>
      </c>
      <c r="F1065" s="48" t="s">
        <v>74</v>
      </c>
      <c r="G1065" s="11" t="s">
        <v>64</v>
      </c>
      <c r="H1065" s="11" t="s">
        <v>75</v>
      </c>
      <c r="I1065" s="11">
        <v>1299</v>
      </c>
      <c r="J1065" s="49" t="s">
        <v>32</v>
      </c>
      <c r="K1065" s="49" t="s">
        <v>76</v>
      </c>
      <c r="L1065" s="49" t="s">
        <v>92</v>
      </c>
      <c r="M1065" s="49" t="s">
        <v>84</v>
      </c>
      <c r="N1065" s="48" t="s">
        <v>79</v>
      </c>
      <c r="O1065" s="49" t="s">
        <v>37</v>
      </c>
      <c r="P1065" s="11" t="s">
        <v>80</v>
      </c>
      <c r="Q1065" s="11" t="s">
        <v>81</v>
      </c>
      <c r="R1065" s="49" t="s">
        <v>648</v>
      </c>
      <c r="S1065" s="11" t="s">
        <v>1805</v>
      </c>
      <c r="T1065" s="90" t="s">
        <v>1</v>
      </c>
      <c r="U1065" s="91"/>
      <c r="V1065" s="51">
        <v>45537</v>
      </c>
      <c r="W1065" s="49" t="s">
        <v>1584</v>
      </c>
    </row>
    <row r="1066" spans="1:23" ht="13" customHeight="1" x14ac:dyDescent="0.35">
      <c r="A1066" s="11">
        <v>1060</v>
      </c>
      <c r="B1066" s="47">
        <v>203850898</v>
      </c>
      <c r="C1066" s="94" t="s">
        <v>2434</v>
      </c>
      <c r="D1066" s="11" t="s">
        <v>2435</v>
      </c>
      <c r="E1066" s="48" t="s">
        <v>31</v>
      </c>
      <c r="F1066" s="48" t="s">
        <v>74</v>
      </c>
      <c r="G1066" s="11" t="s">
        <v>64</v>
      </c>
      <c r="H1066" s="11" t="s">
        <v>75</v>
      </c>
      <c r="I1066" s="11">
        <v>1299</v>
      </c>
      <c r="J1066" s="49" t="s">
        <v>39</v>
      </c>
      <c r="K1066" s="49" t="s">
        <v>76</v>
      </c>
      <c r="L1066" s="49" t="s">
        <v>95</v>
      </c>
      <c r="M1066" s="49" t="s">
        <v>77</v>
      </c>
      <c r="N1066" s="48" t="s">
        <v>86</v>
      </c>
      <c r="O1066" s="49" t="s">
        <v>37</v>
      </c>
      <c r="P1066" s="11" t="s">
        <v>80</v>
      </c>
      <c r="Q1066" s="11" t="s">
        <v>90</v>
      </c>
      <c r="R1066" s="11" t="s">
        <v>632</v>
      </c>
      <c r="S1066" s="11" t="s">
        <v>633</v>
      </c>
      <c r="T1066" s="90" t="s">
        <v>1</v>
      </c>
      <c r="U1066" s="89"/>
      <c r="V1066" s="51">
        <v>45524</v>
      </c>
      <c r="W1066" s="49" t="s">
        <v>1584</v>
      </c>
    </row>
    <row r="1067" spans="1:23" ht="13" customHeight="1" x14ac:dyDescent="0.35">
      <c r="A1067" s="11">
        <v>1061</v>
      </c>
      <c r="B1067" s="47">
        <v>204138128</v>
      </c>
      <c r="C1067" s="94" t="s">
        <v>1200</v>
      </c>
      <c r="D1067" s="11" t="s">
        <v>1201</v>
      </c>
      <c r="E1067" s="48" t="s">
        <v>31</v>
      </c>
      <c r="F1067" s="48" t="s">
        <v>74</v>
      </c>
      <c r="G1067" s="11" t="s">
        <v>64</v>
      </c>
      <c r="H1067" s="11" t="s">
        <v>75</v>
      </c>
      <c r="I1067" s="11">
        <v>1299</v>
      </c>
      <c r="J1067" s="49" t="s">
        <v>39</v>
      </c>
      <c r="K1067" s="49" t="s">
        <v>76</v>
      </c>
      <c r="L1067" s="49" t="s">
        <v>77</v>
      </c>
      <c r="M1067" s="49" t="s">
        <v>78</v>
      </c>
      <c r="N1067" s="48" t="s">
        <v>86</v>
      </c>
      <c r="O1067" s="49" t="s">
        <v>37</v>
      </c>
      <c r="P1067" s="11" t="s">
        <v>80</v>
      </c>
      <c r="Q1067" s="11" t="s">
        <v>87</v>
      </c>
      <c r="R1067" s="49" t="s">
        <v>628</v>
      </c>
      <c r="S1067" s="11" t="s">
        <v>629</v>
      </c>
      <c r="T1067" s="90" t="s">
        <v>1</v>
      </c>
      <c r="U1067" s="89"/>
      <c r="V1067" s="51">
        <v>45565</v>
      </c>
      <c r="W1067" s="49" t="s">
        <v>1586</v>
      </c>
    </row>
    <row r="1068" spans="1:23" ht="13" customHeight="1" x14ac:dyDescent="0.35">
      <c r="A1068" s="11">
        <v>1062</v>
      </c>
      <c r="B1068" s="47">
        <v>204094494</v>
      </c>
      <c r="C1068" s="94" t="s">
        <v>1202</v>
      </c>
      <c r="D1068" s="11" t="s">
        <v>1203</v>
      </c>
      <c r="E1068" s="48" t="s">
        <v>31</v>
      </c>
      <c r="F1068" s="48" t="s">
        <v>74</v>
      </c>
      <c r="G1068" s="11" t="s">
        <v>64</v>
      </c>
      <c r="H1068" s="11" t="s">
        <v>75</v>
      </c>
      <c r="I1068" s="11">
        <v>1299</v>
      </c>
      <c r="J1068" s="49" t="s">
        <v>39</v>
      </c>
      <c r="K1068" s="49" t="s">
        <v>76</v>
      </c>
      <c r="L1068" s="49" t="s">
        <v>95</v>
      </c>
      <c r="M1068" s="49" t="s">
        <v>77</v>
      </c>
      <c r="N1068" s="48" t="s">
        <v>86</v>
      </c>
      <c r="O1068" s="49" t="s">
        <v>37</v>
      </c>
      <c r="P1068" s="11" t="s">
        <v>80</v>
      </c>
      <c r="Q1068" s="11" t="s">
        <v>87</v>
      </c>
      <c r="R1068" s="49" t="s">
        <v>628</v>
      </c>
      <c r="S1068" s="11" t="s">
        <v>629</v>
      </c>
      <c r="T1068" s="90" t="s">
        <v>1</v>
      </c>
      <c r="U1068" s="91"/>
      <c r="V1068" s="51">
        <v>45561</v>
      </c>
      <c r="W1068" s="49" t="s">
        <v>1585</v>
      </c>
    </row>
    <row r="1069" spans="1:23" ht="13" customHeight="1" x14ac:dyDescent="0.35">
      <c r="A1069" s="11">
        <v>1063</v>
      </c>
      <c r="B1069" s="47">
        <v>203850925</v>
      </c>
      <c r="C1069" s="94" t="s">
        <v>2347</v>
      </c>
      <c r="D1069" s="11" t="s">
        <v>2348</v>
      </c>
      <c r="E1069" s="48" t="s">
        <v>31</v>
      </c>
      <c r="F1069" s="48" t="s">
        <v>74</v>
      </c>
      <c r="G1069" s="11" t="s">
        <v>64</v>
      </c>
      <c r="H1069" s="11" t="s">
        <v>75</v>
      </c>
      <c r="I1069" s="11">
        <v>1299</v>
      </c>
      <c r="J1069" s="49" t="s">
        <v>32</v>
      </c>
      <c r="K1069" s="49" t="s">
        <v>76</v>
      </c>
      <c r="L1069" s="49" t="s">
        <v>95</v>
      </c>
      <c r="M1069" s="49" t="s">
        <v>77</v>
      </c>
      <c r="N1069" s="48" t="s">
        <v>86</v>
      </c>
      <c r="O1069" s="49" t="s">
        <v>37</v>
      </c>
      <c r="P1069" s="11" t="s">
        <v>80</v>
      </c>
      <c r="Q1069" s="11" t="s">
        <v>90</v>
      </c>
      <c r="R1069" s="49" t="s">
        <v>648</v>
      </c>
      <c r="S1069" s="11" t="s">
        <v>1805</v>
      </c>
      <c r="T1069" s="90" t="s">
        <v>1</v>
      </c>
      <c r="U1069" s="89"/>
      <c r="V1069" s="51">
        <v>45524</v>
      </c>
      <c r="W1069" s="49" t="s">
        <v>1585</v>
      </c>
    </row>
    <row r="1070" spans="1:23" ht="13" customHeight="1" x14ac:dyDescent="0.35">
      <c r="A1070" s="11">
        <v>1064</v>
      </c>
      <c r="B1070" s="47">
        <v>203965457</v>
      </c>
      <c r="C1070" s="94" t="s">
        <v>1204</v>
      </c>
      <c r="D1070" s="11" t="s">
        <v>1205</v>
      </c>
      <c r="E1070" s="48" t="s">
        <v>31</v>
      </c>
      <c r="F1070" s="48" t="s">
        <v>74</v>
      </c>
      <c r="G1070" s="11" t="s">
        <v>64</v>
      </c>
      <c r="H1070" s="11" t="s">
        <v>75</v>
      </c>
      <c r="I1070" s="11">
        <v>1299</v>
      </c>
      <c r="J1070" s="49" t="s">
        <v>39</v>
      </c>
      <c r="K1070" s="49" t="s">
        <v>76</v>
      </c>
      <c r="L1070" s="49" t="s">
        <v>95</v>
      </c>
      <c r="M1070" s="49" t="s">
        <v>77</v>
      </c>
      <c r="N1070" s="48" t="s">
        <v>79</v>
      </c>
      <c r="O1070" s="49" t="s">
        <v>37</v>
      </c>
      <c r="P1070" s="11" t="s">
        <v>80</v>
      </c>
      <c r="Q1070" s="11" t="s">
        <v>81</v>
      </c>
      <c r="R1070" s="11" t="s">
        <v>632</v>
      </c>
      <c r="S1070" s="11" t="s">
        <v>633</v>
      </c>
      <c r="T1070" s="90" t="s">
        <v>1</v>
      </c>
      <c r="U1070" s="89"/>
      <c r="V1070" s="51">
        <v>45544</v>
      </c>
      <c r="W1070" s="49" t="s">
        <v>1584</v>
      </c>
    </row>
    <row r="1071" spans="1:23" ht="13" customHeight="1" x14ac:dyDescent="0.35">
      <c r="A1071" s="11">
        <v>1065</v>
      </c>
      <c r="B1071" s="47">
        <v>204467948</v>
      </c>
      <c r="C1071" s="94" t="s">
        <v>1206</v>
      </c>
      <c r="D1071" s="11" t="s">
        <v>1207</v>
      </c>
      <c r="E1071" s="48" t="s">
        <v>31</v>
      </c>
      <c r="F1071" s="48" t="s">
        <v>74</v>
      </c>
      <c r="G1071" s="11" t="s">
        <v>64</v>
      </c>
      <c r="H1071" s="11" t="s">
        <v>75</v>
      </c>
      <c r="I1071" s="11">
        <v>1299</v>
      </c>
      <c r="J1071" s="49" t="s">
        <v>32</v>
      </c>
      <c r="K1071" s="49" t="s">
        <v>76</v>
      </c>
      <c r="L1071" s="49" t="s">
        <v>85</v>
      </c>
      <c r="M1071" s="49" t="s">
        <v>88</v>
      </c>
      <c r="N1071" s="48" t="s">
        <v>86</v>
      </c>
      <c r="O1071" s="49" t="s">
        <v>37</v>
      </c>
      <c r="P1071" s="11" t="s">
        <v>80</v>
      </c>
      <c r="Q1071" s="11" t="s">
        <v>87</v>
      </c>
      <c r="R1071" s="11" t="s">
        <v>1069</v>
      </c>
      <c r="S1071" s="11" t="s">
        <v>2733</v>
      </c>
      <c r="T1071" s="90" t="s">
        <v>10</v>
      </c>
      <c r="U1071" s="90"/>
      <c r="V1071" s="51">
        <v>45603</v>
      </c>
      <c r="W1071" s="49" t="s">
        <v>1584</v>
      </c>
    </row>
    <row r="1072" spans="1:23" ht="13" customHeight="1" x14ac:dyDescent="0.35">
      <c r="A1072" s="11">
        <v>1066</v>
      </c>
      <c r="B1072" s="47">
        <v>201487409</v>
      </c>
      <c r="C1072" s="94" t="s">
        <v>1208</v>
      </c>
      <c r="D1072" s="11" t="s">
        <v>1209</v>
      </c>
      <c r="E1072" s="48" t="s">
        <v>31</v>
      </c>
      <c r="F1072" s="48" t="s">
        <v>74</v>
      </c>
      <c r="G1072" s="11" t="s">
        <v>64</v>
      </c>
      <c r="H1072" s="11" t="s">
        <v>75</v>
      </c>
      <c r="I1072" s="11">
        <v>1299</v>
      </c>
      <c r="J1072" s="49" t="s">
        <v>39</v>
      </c>
      <c r="K1072" s="49" t="s">
        <v>76</v>
      </c>
      <c r="L1072" s="49" t="s">
        <v>95</v>
      </c>
      <c r="M1072" s="49" t="s">
        <v>77</v>
      </c>
      <c r="N1072" s="48" t="s">
        <v>79</v>
      </c>
      <c r="O1072" s="49" t="s">
        <v>37</v>
      </c>
      <c r="P1072" s="11" t="s">
        <v>80</v>
      </c>
      <c r="Q1072" s="11" t="s">
        <v>81</v>
      </c>
      <c r="R1072" s="11" t="s">
        <v>632</v>
      </c>
      <c r="S1072" s="11" t="s">
        <v>633</v>
      </c>
      <c r="T1072" s="90" t="s">
        <v>1</v>
      </c>
      <c r="U1072" s="90"/>
      <c r="V1072" s="51">
        <v>45561</v>
      </c>
      <c r="W1072" s="49" t="s">
        <v>1583</v>
      </c>
    </row>
    <row r="1073" spans="1:23" ht="13" customHeight="1" x14ac:dyDescent="0.35">
      <c r="A1073" s="11">
        <v>1067</v>
      </c>
      <c r="B1073" s="47">
        <v>204331928</v>
      </c>
      <c r="C1073" s="94" t="s">
        <v>1210</v>
      </c>
      <c r="D1073" s="11" t="s">
        <v>1211</v>
      </c>
      <c r="E1073" s="48" t="s">
        <v>31</v>
      </c>
      <c r="F1073" s="48" t="s">
        <v>74</v>
      </c>
      <c r="G1073" s="11" t="s">
        <v>64</v>
      </c>
      <c r="H1073" s="11" t="s">
        <v>75</v>
      </c>
      <c r="I1073" s="11">
        <v>1299</v>
      </c>
      <c r="J1073" s="49" t="s">
        <v>39</v>
      </c>
      <c r="K1073" s="49" t="s">
        <v>76</v>
      </c>
      <c r="L1073" s="49" t="s">
        <v>88</v>
      </c>
      <c r="M1073" s="49" t="s">
        <v>95</v>
      </c>
      <c r="N1073" s="48" t="s">
        <v>86</v>
      </c>
      <c r="O1073" s="49" t="s">
        <v>37</v>
      </c>
      <c r="P1073" s="11" t="s">
        <v>80</v>
      </c>
      <c r="Q1073" s="11" t="s">
        <v>87</v>
      </c>
      <c r="R1073" s="49" t="s">
        <v>648</v>
      </c>
      <c r="S1073" s="11" t="s">
        <v>1805</v>
      </c>
      <c r="T1073" s="90" t="s">
        <v>10</v>
      </c>
      <c r="U1073" s="90"/>
      <c r="V1073" s="51">
        <v>45589</v>
      </c>
      <c r="W1073" s="49" t="s">
        <v>1584</v>
      </c>
    </row>
    <row r="1074" spans="1:23" ht="13" customHeight="1" x14ac:dyDescent="0.35">
      <c r="A1074" s="11">
        <v>1068</v>
      </c>
      <c r="B1074" s="47">
        <v>203341964</v>
      </c>
      <c r="C1074" s="94" t="s">
        <v>1212</v>
      </c>
      <c r="D1074" s="11" t="s">
        <v>1213</v>
      </c>
      <c r="E1074" s="48" t="s">
        <v>31</v>
      </c>
      <c r="F1074" s="48" t="s">
        <v>74</v>
      </c>
      <c r="G1074" s="11" t="s">
        <v>64</v>
      </c>
      <c r="H1074" s="11" t="s">
        <v>75</v>
      </c>
      <c r="I1074" s="11">
        <v>1299</v>
      </c>
      <c r="J1074" s="49" t="s">
        <v>39</v>
      </c>
      <c r="K1074" s="49" t="s">
        <v>76</v>
      </c>
      <c r="L1074" s="49" t="s">
        <v>77</v>
      </c>
      <c r="M1074" s="49" t="s">
        <v>78</v>
      </c>
      <c r="N1074" s="48" t="s">
        <v>86</v>
      </c>
      <c r="O1074" s="49" t="s">
        <v>37</v>
      </c>
      <c r="P1074" s="11" t="s">
        <v>80</v>
      </c>
      <c r="Q1074" s="11" t="s">
        <v>99</v>
      </c>
      <c r="R1074" s="11" t="s">
        <v>1069</v>
      </c>
      <c r="S1074" s="11" t="s">
        <v>2733</v>
      </c>
      <c r="T1074" s="90" t="s">
        <v>1</v>
      </c>
      <c r="U1074" s="90"/>
      <c r="V1074" s="51">
        <v>45432</v>
      </c>
      <c r="W1074" s="49" t="s">
        <v>1584</v>
      </c>
    </row>
    <row r="1075" spans="1:23" ht="13" customHeight="1" x14ac:dyDescent="0.35">
      <c r="A1075" s="11">
        <v>1069</v>
      </c>
      <c r="B1075" s="47">
        <v>203011024</v>
      </c>
      <c r="C1075" s="94" t="s">
        <v>1214</v>
      </c>
      <c r="D1075" s="11" t="s">
        <v>1215</v>
      </c>
      <c r="E1075" s="48" t="s">
        <v>31</v>
      </c>
      <c r="F1075" s="48" t="s">
        <v>74</v>
      </c>
      <c r="G1075" s="11" t="s">
        <v>64</v>
      </c>
      <c r="H1075" s="11" t="s">
        <v>75</v>
      </c>
      <c r="I1075" s="11">
        <v>1299</v>
      </c>
      <c r="J1075" s="49" t="s">
        <v>39</v>
      </c>
      <c r="K1075" s="49" t="s">
        <v>76</v>
      </c>
      <c r="L1075" s="49" t="s">
        <v>95</v>
      </c>
      <c r="M1075" s="49" t="s">
        <v>77</v>
      </c>
      <c r="N1075" s="48" t="s">
        <v>79</v>
      </c>
      <c r="O1075" s="49" t="s">
        <v>37</v>
      </c>
      <c r="P1075" s="11" t="s">
        <v>80</v>
      </c>
      <c r="Q1075" s="11" t="s">
        <v>81</v>
      </c>
      <c r="R1075" s="11" t="s">
        <v>628</v>
      </c>
      <c r="S1075" s="11" t="s">
        <v>629</v>
      </c>
      <c r="T1075" s="90" t="s">
        <v>1</v>
      </c>
      <c r="U1075" s="90"/>
      <c r="V1075" s="51">
        <v>45603</v>
      </c>
      <c r="W1075" s="49" t="s">
        <v>1584</v>
      </c>
    </row>
    <row r="1076" spans="1:23" ht="13" customHeight="1" x14ac:dyDescent="0.35">
      <c r="A1076" s="11">
        <v>1070</v>
      </c>
      <c r="B1076" s="47">
        <v>204172230</v>
      </c>
      <c r="C1076" s="94" t="s">
        <v>2349</v>
      </c>
      <c r="D1076" s="11" t="s">
        <v>2350</v>
      </c>
      <c r="E1076" s="48" t="s">
        <v>31</v>
      </c>
      <c r="F1076" s="48" t="s">
        <v>74</v>
      </c>
      <c r="G1076" s="11" t="s">
        <v>64</v>
      </c>
      <c r="H1076" s="11" t="s">
        <v>75</v>
      </c>
      <c r="I1076" s="11">
        <v>1299</v>
      </c>
      <c r="J1076" s="49" t="s">
        <v>32</v>
      </c>
      <c r="K1076" s="49" t="s">
        <v>76</v>
      </c>
      <c r="L1076" s="49" t="s">
        <v>78</v>
      </c>
      <c r="M1076" s="49" t="s">
        <v>92</v>
      </c>
      <c r="N1076" s="49" t="s">
        <v>89</v>
      </c>
      <c r="O1076" s="49" t="s">
        <v>37</v>
      </c>
      <c r="P1076" s="11" t="s">
        <v>80</v>
      </c>
      <c r="Q1076" s="11" t="s">
        <v>90</v>
      </c>
      <c r="R1076" s="11" t="s">
        <v>1069</v>
      </c>
      <c r="S1076" s="11" t="s">
        <v>2733</v>
      </c>
      <c r="T1076" s="90" t="s">
        <v>1</v>
      </c>
      <c r="U1076" s="90"/>
      <c r="V1076" s="51">
        <v>45568</v>
      </c>
      <c r="W1076" s="49" t="s">
        <v>1585</v>
      </c>
    </row>
    <row r="1077" spans="1:23" ht="13" customHeight="1" x14ac:dyDescent="0.35">
      <c r="A1077" s="11">
        <v>1071</v>
      </c>
      <c r="B1077" s="47">
        <v>205845560</v>
      </c>
      <c r="C1077" s="94" t="s">
        <v>1216</v>
      </c>
      <c r="D1077" s="11" t="s">
        <v>1217</v>
      </c>
      <c r="E1077" s="48" t="s">
        <v>31</v>
      </c>
      <c r="F1077" s="48" t="s">
        <v>74</v>
      </c>
      <c r="G1077" s="11" t="s">
        <v>64</v>
      </c>
      <c r="H1077" s="11" t="s">
        <v>75</v>
      </c>
      <c r="I1077" s="11">
        <v>1299</v>
      </c>
      <c r="J1077" s="49" t="s">
        <v>32</v>
      </c>
      <c r="K1077" s="49" t="s">
        <v>76</v>
      </c>
      <c r="L1077" s="49" t="s">
        <v>77</v>
      </c>
      <c r="M1077" s="49" t="s">
        <v>78</v>
      </c>
      <c r="N1077" s="48" t="s">
        <v>86</v>
      </c>
      <c r="O1077" s="49" t="s">
        <v>37</v>
      </c>
      <c r="P1077" s="11" t="s">
        <v>80</v>
      </c>
      <c r="Q1077" s="11" t="s">
        <v>90</v>
      </c>
      <c r="R1077" s="11" t="s">
        <v>2865</v>
      </c>
      <c r="S1077" s="11" t="s">
        <v>2866</v>
      </c>
      <c r="T1077" s="90" t="s">
        <v>1</v>
      </c>
      <c r="U1077" s="90"/>
      <c r="V1077" s="51">
        <v>45894</v>
      </c>
      <c r="W1077" s="49" t="s">
        <v>1584</v>
      </c>
    </row>
    <row r="1078" spans="1:23" ht="13" customHeight="1" x14ac:dyDescent="0.35">
      <c r="A1078" s="11">
        <v>1072</v>
      </c>
      <c r="B1078" s="47">
        <v>203851002</v>
      </c>
      <c r="C1078" s="94" t="s">
        <v>1218</v>
      </c>
      <c r="D1078" s="11" t="s">
        <v>1219</v>
      </c>
      <c r="E1078" s="48" t="s">
        <v>31</v>
      </c>
      <c r="F1078" s="48" t="s">
        <v>74</v>
      </c>
      <c r="G1078" s="11" t="s">
        <v>64</v>
      </c>
      <c r="H1078" s="11" t="s">
        <v>75</v>
      </c>
      <c r="I1078" s="11">
        <v>1299</v>
      </c>
      <c r="J1078" s="49" t="s">
        <v>39</v>
      </c>
      <c r="K1078" s="49" t="s">
        <v>76</v>
      </c>
      <c r="L1078" s="49" t="s">
        <v>84</v>
      </c>
      <c r="M1078" s="49" t="s">
        <v>85</v>
      </c>
      <c r="N1078" s="48" t="s">
        <v>79</v>
      </c>
      <c r="O1078" s="49" t="s">
        <v>37</v>
      </c>
      <c r="P1078" s="11" t="s">
        <v>80</v>
      </c>
      <c r="Q1078" s="11" t="s">
        <v>81</v>
      </c>
      <c r="R1078" s="11" t="s">
        <v>632</v>
      </c>
      <c r="S1078" s="11" t="s">
        <v>633</v>
      </c>
      <c r="T1078" s="90" t="s">
        <v>1</v>
      </c>
      <c r="U1078" s="89"/>
      <c r="V1078" s="51">
        <v>45524</v>
      </c>
      <c r="W1078" s="49" t="s">
        <v>1585</v>
      </c>
    </row>
    <row r="1079" spans="1:23" ht="13" customHeight="1" x14ac:dyDescent="0.35">
      <c r="A1079" s="11">
        <v>1073</v>
      </c>
      <c r="B1079" s="47">
        <v>203850924</v>
      </c>
      <c r="C1079" s="94" t="s">
        <v>2365</v>
      </c>
      <c r="D1079" s="11" t="s">
        <v>2366</v>
      </c>
      <c r="E1079" s="48" t="s">
        <v>31</v>
      </c>
      <c r="F1079" s="48" t="s">
        <v>74</v>
      </c>
      <c r="G1079" s="11" t="s">
        <v>64</v>
      </c>
      <c r="H1079" s="11" t="s">
        <v>75</v>
      </c>
      <c r="I1079" s="11">
        <v>1299</v>
      </c>
      <c r="J1079" s="49" t="s">
        <v>32</v>
      </c>
      <c r="K1079" s="49" t="s">
        <v>76</v>
      </c>
      <c r="L1079" s="49" t="s">
        <v>88</v>
      </c>
      <c r="M1079" s="49" t="s">
        <v>95</v>
      </c>
      <c r="N1079" s="48" t="s">
        <v>86</v>
      </c>
      <c r="O1079" s="49" t="s">
        <v>37</v>
      </c>
      <c r="P1079" s="11" t="s">
        <v>80</v>
      </c>
      <c r="Q1079" s="11" t="s">
        <v>90</v>
      </c>
      <c r="R1079" s="49" t="s">
        <v>648</v>
      </c>
      <c r="S1079" s="11" t="s">
        <v>1805</v>
      </c>
      <c r="T1079" s="90" t="s">
        <v>10</v>
      </c>
      <c r="U1079" s="90"/>
      <c r="V1079" s="51">
        <v>45524</v>
      </c>
      <c r="W1079" s="49" t="s">
        <v>1585</v>
      </c>
    </row>
    <row r="1080" spans="1:23" ht="13" customHeight="1" x14ac:dyDescent="0.35">
      <c r="A1080" s="11">
        <v>1074</v>
      </c>
      <c r="B1080" s="47">
        <v>203850926</v>
      </c>
      <c r="C1080" s="94" t="s">
        <v>2367</v>
      </c>
      <c r="D1080" s="11" t="s">
        <v>2368</v>
      </c>
      <c r="E1080" s="48" t="s">
        <v>31</v>
      </c>
      <c r="F1080" s="48" t="s">
        <v>74</v>
      </c>
      <c r="G1080" s="11" t="s">
        <v>64</v>
      </c>
      <c r="H1080" s="11" t="s">
        <v>75</v>
      </c>
      <c r="I1080" s="11">
        <v>1299</v>
      </c>
      <c r="J1080" s="49" t="s">
        <v>32</v>
      </c>
      <c r="K1080" s="49" t="s">
        <v>76</v>
      </c>
      <c r="L1080" s="49" t="s">
        <v>92</v>
      </c>
      <c r="M1080" s="49" t="s">
        <v>84</v>
      </c>
      <c r="N1080" s="48" t="s">
        <v>86</v>
      </c>
      <c r="O1080" s="49" t="s">
        <v>37</v>
      </c>
      <c r="P1080" s="11" t="s">
        <v>80</v>
      </c>
      <c r="Q1080" s="11" t="s">
        <v>90</v>
      </c>
      <c r="R1080" s="11" t="s">
        <v>632</v>
      </c>
      <c r="S1080" s="11" t="s">
        <v>633</v>
      </c>
      <c r="T1080" s="90" t="s">
        <v>1</v>
      </c>
      <c r="U1080" s="89"/>
      <c r="V1080" s="51">
        <v>45524</v>
      </c>
      <c r="W1080" s="49" t="s">
        <v>1585</v>
      </c>
    </row>
    <row r="1081" spans="1:23" ht="13" customHeight="1" x14ac:dyDescent="0.35">
      <c r="A1081" s="11">
        <v>1075</v>
      </c>
      <c r="B1081" s="47">
        <v>203850923</v>
      </c>
      <c r="C1081" s="94" t="s">
        <v>2369</v>
      </c>
      <c r="D1081" s="11" t="s">
        <v>2370</v>
      </c>
      <c r="E1081" s="48" t="s">
        <v>31</v>
      </c>
      <c r="F1081" s="48" t="s">
        <v>74</v>
      </c>
      <c r="G1081" s="11" t="s">
        <v>64</v>
      </c>
      <c r="H1081" s="11" t="s">
        <v>75</v>
      </c>
      <c r="I1081" s="11">
        <v>1299</v>
      </c>
      <c r="J1081" s="49" t="s">
        <v>39</v>
      </c>
      <c r="K1081" s="49" t="s">
        <v>76</v>
      </c>
      <c r="L1081" s="49" t="s">
        <v>85</v>
      </c>
      <c r="M1081" s="49" t="s">
        <v>88</v>
      </c>
      <c r="N1081" s="48" t="s">
        <v>86</v>
      </c>
      <c r="O1081" s="49" t="s">
        <v>37</v>
      </c>
      <c r="P1081" s="11" t="s">
        <v>80</v>
      </c>
      <c r="Q1081" s="11" t="s">
        <v>90</v>
      </c>
      <c r="R1081" s="11" t="s">
        <v>632</v>
      </c>
      <c r="S1081" s="11" t="s">
        <v>633</v>
      </c>
      <c r="T1081" s="90" t="s">
        <v>10</v>
      </c>
      <c r="U1081" s="90"/>
      <c r="V1081" s="51">
        <v>45524</v>
      </c>
      <c r="W1081" s="49" t="s">
        <v>1585</v>
      </c>
    </row>
    <row r="1082" spans="1:23" ht="13" customHeight="1" x14ac:dyDescent="0.35">
      <c r="A1082" s="11">
        <v>1076</v>
      </c>
      <c r="B1082" s="47">
        <v>206873790</v>
      </c>
      <c r="C1082" s="94" t="s">
        <v>1872</v>
      </c>
      <c r="D1082" s="11" t="s">
        <v>1873</v>
      </c>
      <c r="E1082" s="48" t="s">
        <v>31</v>
      </c>
      <c r="F1082" s="48" t="s">
        <v>74</v>
      </c>
      <c r="G1082" s="11" t="s">
        <v>64</v>
      </c>
      <c r="H1082" s="11" t="s">
        <v>75</v>
      </c>
      <c r="I1082" s="11">
        <v>1299</v>
      </c>
      <c r="J1082" s="49" t="s">
        <v>39</v>
      </c>
      <c r="K1082" s="49" t="s">
        <v>76</v>
      </c>
      <c r="L1082" s="49" t="s">
        <v>88</v>
      </c>
      <c r="M1082" s="49" t="s">
        <v>95</v>
      </c>
      <c r="N1082" s="49" t="s">
        <v>89</v>
      </c>
      <c r="O1082" s="48" t="s">
        <v>37</v>
      </c>
      <c r="P1082" s="48" t="s">
        <v>80</v>
      </c>
      <c r="Q1082" s="11" t="s">
        <v>90</v>
      </c>
      <c r="R1082" s="49" t="s">
        <v>648</v>
      </c>
      <c r="S1082" s="11" t="s">
        <v>1805</v>
      </c>
      <c r="T1082" s="90" t="s">
        <v>10</v>
      </c>
      <c r="U1082" s="90"/>
      <c r="V1082" s="51">
        <v>46030</v>
      </c>
      <c r="W1082" s="49" t="s">
        <v>1584</v>
      </c>
    </row>
    <row r="1083" spans="1:23" ht="13" customHeight="1" x14ac:dyDescent="0.35">
      <c r="A1083" s="11">
        <v>1077</v>
      </c>
      <c r="B1083" s="47">
        <v>206015650</v>
      </c>
      <c r="C1083" s="94" t="s">
        <v>1220</v>
      </c>
      <c r="D1083" s="11" t="s">
        <v>1221</v>
      </c>
      <c r="E1083" s="48" t="s">
        <v>31</v>
      </c>
      <c r="F1083" s="48" t="s">
        <v>74</v>
      </c>
      <c r="G1083" s="11" t="s">
        <v>64</v>
      </c>
      <c r="H1083" s="11" t="s">
        <v>75</v>
      </c>
      <c r="I1083" s="11">
        <v>1299</v>
      </c>
      <c r="J1083" s="49" t="s">
        <v>39</v>
      </c>
      <c r="K1083" s="49" t="s">
        <v>76</v>
      </c>
      <c r="L1083" s="49" t="s">
        <v>77</v>
      </c>
      <c r="M1083" s="49" t="s">
        <v>78</v>
      </c>
      <c r="N1083" s="49" t="s">
        <v>89</v>
      </c>
      <c r="O1083" s="49" t="s">
        <v>37</v>
      </c>
      <c r="P1083" s="11" t="s">
        <v>80</v>
      </c>
      <c r="Q1083" s="11" t="s">
        <v>81</v>
      </c>
      <c r="R1083" s="49" t="s">
        <v>628</v>
      </c>
      <c r="S1083" s="11" t="s">
        <v>629</v>
      </c>
      <c r="T1083" s="90" t="s">
        <v>7</v>
      </c>
      <c r="U1083" s="90" t="s">
        <v>2914</v>
      </c>
      <c r="V1083" s="51">
        <v>45915</v>
      </c>
      <c r="W1083" s="49" t="s">
        <v>1584</v>
      </c>
    </row>
    <row r="1084" spans="1:23" ht="13" customHeight="1" x14ac:dyDescent="0.35">
      <c r="A1084" s="11">
        <v>1078</v>
      </c>
      <c r="B1084" s="47">
        <v>205854085</v>
      </c>
      <c r="C1084" s="94" t="s">
        <v>1222</v>
      </c>
      <c r="D1084" s="11" t="s">
        <v>1223</v>
      </c>
      <c r="E1084" s="48" t="s">
        <v>31</v>
      </c>
      <c r="F1084" s="48" t="s">
        <v>74</v>
      </c>
      <c r="G1084" s="11" t="s">
        <v>64</v>
      </c>
      <c r="H1084" s="11" t="s">
        <v>75</v>
      </c>
      <c r="I1084" s="11">
        <v>1299</v>
      </c>
      <c r="J1084" s="49" t="s">
        <v>32</v>
      </c>
      <c r="K1084" s="49" t="s">
        <v>76</v>
      </c>
      <c r="L1084" s="49" t="s">
        <v>78</v>
      </c>
      <c r="M1084" s="49" t="s">
        <v>92</v>
      </c>
      <c r="N1084" s="49" t="s">
        <v>89</v>
      </c>
      <c r="O1084" s="49" t="s">
        <v>37</v>
      </c>
      <c r="P1084" s="11" t="s">
        <v>80</v>
      </c>
      <c r="Q1084" s="11" t="s">
        <v>96</v>
      </c>
      <c r="R1084" s="11" t="s">
        <v>640</v>
      </c>
      <c r="S1084" s="11" t="s">
        <v>2734</v>
      </c>
      <c r="T1084" s="90" t="s">
        <v>1</v>
      </c>
      <c r="U1084" s="89"/>
      <c r="V1084" s="51">
        <v>45894</v>
      </c>
      <c r="W1084" s="49" t="s">
        <v>1584</v>
      </c>
    </row>
    <row r="1085" spans="1:23" ht="13" customHeight="1" x14ac:dyDescent="0.35">
      <c r="A1085" s="11">
        <v>1079</v>
      </c>
      <c r="B1085" s="47">
        <v>205996136</v>
      </c>
      <c r="C1085" s="94" t="s">
        <v>1224</v>
      </c>
      <c r="D1085" s="11" t="s">
        <v>1225</v>
      </c>
      <c r="E1085" s="48" t="s">
        <v>31</v>
      </c>
      <c r="F1085" s="48" t="s">
        <v>74</v>
      </c>
      <c r="G1085" s="11" t="s">
        <v>64</v>
      </c>
      <c r="H1085" s="11" t="s">
        <v>75</v>
      </c>
      <c r="I1085" s="11">
        <v>1299</v>
      </c>
      <c r="J1085" s="49" t="s">
        <v>32</v>
      </c>
      <c r="K1085" s="49" t="s">
        <v>76</v>
      </c>
      <c r="L1085" s="49" t="s">
        <v>78</v>
      </c>
      <c r="M1085" s="49" t="s">
        <v>92</v>
      </c>
      <c r="N1085" s="48" t="s">
        <v>79</v>
      </c>
      <c r="O1085" s="49" t="s">
        <v>37</v>
      </c>
      <c r="P1085" s="11" t="s">
        <v>80</v>
      </c>
      <c r="Q1085" s="11" t="s">
        <v>81</v>
      </c>
      <c r="R1085" s="11" t="s">
        <v>632</v>
      </c>
      <c r="S1085" s="11" t="s">
        <v>633</v>
      </c>
      <c r="T1085" s="90" t="s">
        <v>1</v>
      </c>
      <c r="U1085" s="90"/>
      <c r="V1085" s="51">
        <v>45915</v>
      </c>
      <c r="W1085" s="49" t="s">
        <v>1584</v>
      </c>
    </row>
    <row r="1086" spans="1:23" ht="13" customHeight="1" x14ac:dyDescent="0.35">
      <c r="A1086" s="11">
        <v>1080</v>
      </c>
      <c r="B1086" s="47">
        <v>206491329</v>
      </c>
      <c r="C1086" s="94" t="s">
        <v>2157</v>
      </c>
      <c r="D1086" s="11" t="s">
        <v>2158</v>
      </c>
      <c r="E1086" s="112" t="s">
        <v>31</v>
      </c>
      <c r="F1086" s="48" t="s">
        <v>74</v>
      </c>
      <c r="G1086" s="11" t="s">
        <v>64</v>
      </c>
      <c r="H1086" s="11" t="s">
        <v>75</v>
      </c>
      <c r="I1086" s="11">
        <v>1299</v>
      </c>
      <c r="J1086" s="49" t="s">
        <v>32</v>
      </c>
      <c r="K1086" s="49" t="s">
        <v>76</v>
      </c>
      <c r="L1086" s="49" t="s">
        <v>84</v>
      </c>
      <c r="M1086" s="49" t="s">
        <v>85</v>
      </c>
      <c r="N1086" s="49" t="s">
        <v>89</v>
      </c>
      <c r="O1086" s="49" t="s">
        <v>37</v>
      </c>
      <c r="P1086" s="49" t="s">
        <v>80</v>
      </c>
      <c r="Q1086" s="49" t="s">
        <v>96</v>
      </c>
      <c r="R1086" s="11" t="s">
        <v>632</v>
      </c>
      <c r="S1086" s="49" t="s">
        <v>633</v>
      </c>
      <c r="T1086" s="90" t="s">
        <v>7</v>
      </c>
      <c r="U1086" s="90"/>
      <c r="V1086" s="51">
        <v>46048</v>
      </c>
      <c r="W1086" s="49" t="s">
        <v>1584</v>
      </c>
    </row>
    <row r="1087" spans="1:23" ht="13" customHeight="1" x14ac:dyDescent="0.35">
      <c r="A1087" s="11">
        <v>1081</v>
      </c>
      <c r="B1087" s="47">
        <v>204052506</v>
      </c>
      <c r="C1087" s="94" t="s">
        <v>1226</v>
      </c>
      <c r="D1087" s="11" t="s">
        <v>1227</v>
      </c>
      <c r="E1087" s="48" t="s">
        <v>31</v>
      </c>
      <c r="F1087" s="48" t="s">
        <v>74</v>
      </c>
      <c r="G1087" s="11" t="s">
        <v>64</v>
      </c>
      <c r="H1087" s="11" t="s">
        <v>75</v>
      </c>
      <c r="I1087" s="11">
        <v>1299</v>
      </c>
      <c r="J1087" s="49" t="s">
        <v>39</v>
      </c>
      <c r="K1087" s="49" t="s">
        <v>76</v>
      </c>
      <c r="L1087" s="49" t="s">
        <v>95</v>
      </c>
      <c r="M1087" s="49" t="s">
        <v>77</v>
      </c>
      <c r="N1087" s="48" t="s">
        <v>86</v>
      </c>
      <c r="O1087" s="49" t="s">
        <v>37</v>
      </c>
      <c r="P1087" s="11" t="s">
        <v>80</v>
      </c>
      <c r="Q1087" s="11" t="s">
        <v>99</v>
      </c>
      <c r="R1087" s="11" t="s">
        <v>632</v>
      </c>
      <c r="S1087" s="11" t="s">
        <v>633</v>
      </c>
      <c r="T1087" s="90" t="s">
        <v>7</v>
      </c>
      <c r="U1087" s="90" t="s">
        <v>2914</v>
      </c>
      <c r="V1087" s="51">
        <v>45561</v>
      </c>
      <c r="W1087" s="49" t="s">
        <v>1584</v>
      </c>
    </row>
    <row r="1088" spans="1:23" ht="13" customHeight="1" x14ac:dyDescent="0.35">
      <c r="A1088" s="11">
        <v>1082</v>
      </c>
      <c r="B1088" s="47">
        <v>204094496</v>
      </c>
      <c r="C1088" s="94" t="s">
        <v>1228</v>
      </c>
      <c r="D1088" s="11" t="s">
        <v>1229</v>
      </c>
      <c r="E1088" s="48" t="s">
        <v>31</v>
      </c>
      <c r="F1088" s="48" t="s">
        <v>74</v>
      </c>
      <c r="G1088" s="11" t="s">
        <v>64</v>
      </c>
      <c r="H1088" s="11" t="s">
        <v>75</v>
      </c>
      <c r="I1088" s="11">
        <v>1299</v>
      </c>
      <c r="J1088" s="49" t="s">
        <v>39</v>
      </c>
      <c r="K1088" s="49" t="s">
        <v>76</v>
      </c>
      <c r="L1088" s="49" t="s">
        <v>84</v>
      </c>
      <c r="M1088" s="49" t="s">
        <v>85</v>
      </c>
      <c r="N1088" s="48" t="s">
        <v>86</v>
      </c>
      <c r="O1088" s="49" t="s">
        <v>37</v>
      </c>
      <c r="P1088" s="11" t="s">
        <v>80</v>
      </c>
      <c r="Q1088" s="11" t="s">
        <v>87</v>
      </c>
      <c r="R1088" s="49" t="s">
        <v>648</v>
      </c>
      <c r="S1088" s="11" t="s">
        <v>1805</v>
      </c>
      <c r="T1088" s="90" t="s">
        <v>4</v>
      </c>
      <c r="U1088" s="91"/>
      <c r="V1088" s="51">
        <v>45561</v>
      </c>
      <c r="W1088" s="49" t="s">
        <v>1584</v>
      </c>
    </row>
    <row r="1089" spans="1:23" ht="13" customHeight="1" x14ac:dyDescent="0.35">
      <c r="A1089" s="11">
        <v>1083</v>
      </c>
      <c r="B1089" s="47">
        <v>205252750</v>
      </c>
      <c r="C1089" s="94" t="s">
        <v>2151</v>
      </c>
      <c r="D1089" s="11" t="s">
        <v>2152</v>
      </c>
      <c r="E1089" s="112" t="s">
        <v>31</v>
      </c>
      <c r="F1089" s="48" t="s">
        <v>74</v>
      </c>
      <c r="G1089" s="11" t="s">
        <v>64</v>
      </c>
      <c r="H1089" s="11" t="s">
        <v>75</v>
      </c>
      <c r="I1089" s="11">
        <v>1299</v>
      </c>
      <c r="J1089" s="49" t="s">
        <v>32</v>
      </c>
      <c r="K1089" s="49" t="s">
        <v>76</v>
      </c>
      <c r="L1089" s="49" t="s">
        <v>84</v>
      </c>
      <c r="M1089" s="49" t="s">
        <v>85</v>
      </c>
      <c r="N1089" s="49" t="s">
        <v>79</v>
      </c>
      <c r="O1089" s="49" t="s">
        <v>37</v>
      </c>
      <c r="P1089" s="49" t="s">
        <v>80</v>
      </c>
      <c r="Q1089" s="49" t="s">
        <v>96</v>
      </c>
      <c r="R1089" s="11" t="s">
        <v>1069</v>
      </c>
      <c r="S1089" s="49" t="s">
        <v>2733</v>
      </c>
      <c r="T1089" s="90" t="s">
        <v>1</v>
      </c>
      <c r="U1089" s="91"/>
      <c r="V1089" s="51">
        <v>46048</v>
      </c>
      <c r="W1089" s="49" t="s">
        <v>1584</v>
      </c>
    </row>
    <row r="1090" spans="1:23" ht="13" customHeight="1" x14ac:dyDescent="0.35">
      <c r="A1090" s="11">
        <v>1084</v>
      </c>
      <c r="B1090" s="47">
        <v>206886635</v>
      </c>
      <c r="C1090" s="94" t="s">
        <v>1856</v>
      </c>
      <c r="D1090" s="11" t="s">
        <v>1857</v>
      </c>
      <c r="E1090" s="11" t="s">
        <v>31</v>
      </c>
      <c r="F1090" s="48" t="s">
        <v>74</v>
      </c>
      <c r="G1090" s="11" t="s">
        <v>64</v>
      </c>
      <c r="H1090" s="11" t="s">
        <v>75</v>
      </c>
      <c r="I1090" s="11">
        <v>1299</v>
      </c>
      <c r="J1090" s="49" t="s">
        <v>39</v>
      </c>
      <c r="K1090" s="49" t="s">
        <v>76</v>
      </c>
      <c r="L1090" s="49" t="s">
        <v>92</v>
      </c>
      <c r="M1090" s="49" t="s">
        <v>84</v>
      </c>
      <c r="N1090" s="49" t="s">
        <v>89</v>
      </c>
      <c r="O1090" s="49" t="s">
        <v>37</v>
      </c>
      <c r="P1090" s="11" t="s">
        <v>80</v>
      </c>
      <c r="Q1090" s="11" t="s">
        <v>96</v>
      </c>
      <c r="R1090" s="11" t="s">
        <v>232</v>
      </c>
      <c r="S1090" s="11" t="s">
        <v>1760</v>
      </c>
      <c r="T1090" s="90" t="s">
        <v>1</v>
      </c>
      <c r="U1090" s="90"/>
      <c r="V1090" s="51">
        <v>46027</v>
      </c>
      <c r="W1090" s="49" t="s">
        <v>1584</v>
      </c>
    </row>
    <row r="1091" spans="1:23" ht="13" customHeight="1" x14ac:dyDescent="0.35">
      <c r="A1091" s="11">
        <v>1085</v>
      </c>
      <c r="B1091" s="47">
        <v>206886512</v>
      </c>
      <c r="C1091" s="94" t="s">
        <v>1858</v>
      </c>
      <c r="D1091" s="11" t="s">
        <v>1859</v>
      </c>
      <c r="E1091" s="11" t="s">
        <v>31</v>
      </c>
      <c r="F1091" s="48" t="s">
        <v>74</v>
      </c>
      <c r="G1091" s="11" t="s">
        <v>64</v>
      </c>
      <c r="H1091" s="11" t="s">
        <v>75</v>
      </c>
      <c r="I1091" s="11">
        <v>1299</v>
      </c>
      <c r="J1091" s="49" t="s">
        <v>32</v>
      </c>
      <c r="K1091" s="49" t="s">
        <v>76</v>
      </c>
      <c r="L1091" s="49" t="s">
        <v>84</v>
      </c>
      <c r="M1091" s="49" t="s">
        <v>85</v>
      </c>
      <c r="N1091" s="49" t="s">
        <v>89</v>
      </c>
      <c r="O1091" s="49" t="s">
        <v>37</v>
      </c>
      <c r="P1091" s="11" t="s">
        <v>80</v>
      </c>
      <c r="Q1091" s="11" t="s">
        <v>96</v>
      </c>
      <c r="R1091" s="11" t="s">
        <v>232</v>
      </c>
      <c r="S1091" s="11" t="s">
        <v>1760</v>
      </c>
      <c r="T1091" s="90" t="s">
        <v>1</v>
      </c>
      <c r="U1091" s="90"/>
      <c r="V1091" s="51">
        <v>46027</v>
      </c>
      <c r="W1091" s="49" t="s">
        <v>1584</v>
      </c>
    </row>
    <row r="1092" spans="1:23" ht="13" customHeight="1" x14ac:dyDescent="0.35">
      <c r="A1092" s="11">
        <v>1086</v>
      </c>
      <c r="B1092" s="47">
        <v>206889908</v>
      </c>
      <c r="C1092" s="94" t="s">
        <v>1860</v>
      </c>
      <c r="D1092" s="11" t="s">
        <v>1861</v>
      </c>
      <c r="E1092" s="11" t="s">
        <v>31</v>
      </c>
      <c r="F1092" s="48" t="s">
        <v>74</v>
      </c>
      <c r="G1092" s="11" t="s">
        <v>64</v>
      </c>
      <c r="H1092" s="11" t="s">
        <v>75</v>
      </c>
      <c r="I1092" s="11">
        <v>1299</v>
      </c>
      <c r="J1092" s="49" t="s">
        <v>32</v>
      </c>
      <c r="K1092" s="49" t="s">
        <v>76</v>
      </c>
      <c r="L1092" s="49" t="s">
        <v>85</v>
      </c>
      <c r="M1092" s="49" t="s">
        <v>88</v>
      </c>
      <c r="N1092" s="49" t="s">
        <v>89</v>
      </c>
      <c r="O1092" s="49" t="s">
        <v>37</v>
      </c>
      <c r="P1092" s="11" t="s">
        <v>80</v>
      </c>
      <c r="Q1092" s="11" t="s">
        <v>96</v>
      </c>
      <c r="R1092" s="11" t="s">
        <v>232</v>
      </c>
      <c r="S1092" s="11" t="s">
        <v>1760</v>
      </c>
      <c r="T1092" s="90" t="s">
        <v>10</v>
      </c>
      <c r="U1092" s="89"/>
      <c r="V1092" s="51">
        <v>46027</v>
      </c>
      <c r="W1092" s="49" t="s">
        <v>1584</v>
      </c>
    </row>
    <row r="1093" spans="1:23" ht="13" customHeight="1" x14ac:dyDescent="0.35">
      <c r="A1093" s="11">
        <v>1087</v>
      </c>
      <c r="B1093" s="47">
        <v>206897663</v>
      </c>
      <c r="C1093" s="94" t="s">
        <v>1902</v>
      </c>
      <c r="D1093" s="11" t="s">
        <v>1903</v>
      </c>
      <c r="E1093" s="48" t="s">
        <v>31</v>
      </c>
      <c r="F1093" s="48" t="s">
        <v>74</v>
      </c>
      <c r="G1093" s="11" t="s">
        <v>64</v>
      </c>
      <c r="H1093" s="11" t="s">
        <v>75</v>
      </c>
      <c r="I1093" s="11">
        <v>1290</v>
      </c>
      <c r="J1093" s="49" t="s">
        <v>39</v>
      </c>
      <c r="K1093" s="49" t="s">
        <v>76</v>
      </c>
      <c r="L1093" s="49" t="s">
        <v>84</v>
      </c>
      <c r="M1093" s="49" t="s">
        <v>85</v>
      </c>
      <c r="N1093" s="49" t="s">
        <v>89</v>
      </c>
      <c r="O1093" s="48" t="s">
        <v>37</v>
      </c>
      <c r="P1093" s="48" t="s">
        <v>80</v>
      </c>
      <c r="Q1093" s="11" t="s">
        <v>81</v>
      </c>
      <c r="R1093" s="11" t="s">
        <v>1069</v>
      </c>
      <c r="S1093" s="11" t="s">
        <v>2733</v>
      </c>
      <c r="T1093" s="90" t="s">
        <v>1</v>
      </c>
      <c r="U1093" s="90"/>
      <c r="V1093" s="51">
        <v>46030</v>
      </c>
      <c r="W1093" s="49" t="s">
        <v>1585</v>
      </c>
    </row>
    <row r="1094" spans="1:23" ht="13" customHeight="1" x14ac:dyDescent="0.35">
      <c r="A1094" s="11">
        <v>1088</v>
      </c>
      <c r="B1094" s="47">
        <v>204010043</v>
      </c>
      <c r="C1094" s="94" t="s">
        <v>2351</v>
      </c>
      <c r="D1094" s="11" t="s">
        <v>2352</v>
      </c>
      <c r="E1094" s="48" t="s">
        <v>31</v>
      </c>
      <c r="F1094" s="48" t="s">
        <v>74</v>
      </c>
      <c r="G1094" s="11" t="s">
        <v>64</v>
      </c>
      <c r="H1094" s="11" t="s">
        <v>75</v>
      </c>
      <c r="I1094" s="11">
        <v>1299</v>
      </c>
      <c r="J1094" s="49" t="s">
        <v>32</v>
      </c>
      <c r="K1094" s="49" t="s">
        <v>76</v>
      </c>
      <c r="L1094" s="49" t="s">
        <v>78</v>
      </c>
      <c r="M1094" s="49" t="s">
        <v>92</v>
      </c>
      <c r="N1094" s="48" t="s">
        <v>86</v>
      </c>
      <c r="O1094" s="49" t="s">
        <v>37</v>
      </c>
      <c r="P1094" s="11" t="s">
        <v>80</v>
      </c>
      <c r="Q1094" s="11" t="s">
        <v>90</v>
      </c>
      <c r="R1094" s="11" t="s">
        <v>1069</v>
      </c>
      <c r="S1094" s="11" t="s">
        <v>2733</v>
      </c>
      <c r="T1094" s="90" t="s">
        <v>1</v>
      </c>
      <c r="U1094" s="90"/>
      <c r="V1094" s="51">
        <v>45551</v>
      </c>
      <c r="W1094" s="49" t="s">
        <v>1585</v>
      </c>
    </row>
    <row r="1095" spans="1:23" ht="13" customHeight="1" x14ac:dyDescent="0.35">
      <c r="A1095" s="11">
        <v>1089</v>
      </c>
      <c r="B1095" s="47">
        <v>201536170</v>
      </c>
      <c r="C1095" s="94" t="s">
        <v>1230</v>
      </c>
      <c r="D1095" s="11" t="s">
        <v>1231</v>
      </c>
      <c r="E1095" s="48" t="s">
        <v>31</v>
      </c>
      <c r="F1095" s="48" t="s">
        <v>74</v>
      </c>
      <c r="G1095" s="11" t="s">
        <v>64</v>
      </c>
      <c r="H1095" s="11" t="s">
        <v>75</v>
      </c>
      <c r="I1095" s="11">
        <v>1299</v>
      </c>
      <c r="J1095" s="49" t="s">
        <v>32</v>
      </c>
      <c r="K1095" s="49" t="s">
        <v>76</v>
      </c>
      <c r="L1095" s="49" t="s">
        <v>95</v>
      </c>
      <c r="M1095" s="49" t="s">
        <v>77</v>
      </c>
      <c r="N1095" s="48" t="s">
        <v>86</v>
      </c>
      <c r="O1095" s="49" t="s">
        <v>37</v>
      </c>
      <c r="P1095" s="11" t="s">
        <v>80</v>
      </c>
      <c r="Q1095" s="11" t="s">
        <v>87</v>
      </c>
      <c r="R1095" s="49" t="s">
        <v>648</v>
      </c>
      <c r="S1095" s="11" t="s">
        <v>1805</v>
      </c>
      <c r="T1095" s="90" t="s">
        <v>1</v>
      </c>
      <c r="U1095" s="90"/>
      <c r="V1095" s="51">
        <v>45568</v>
      </c>
      <c r="W1095" s="49" t="s">
        <v>1585</v>
      </c>
    </row>
    <row r="1096" spans="1:23" ht="13" customHeight="1" x14ac:dyDescent="0.35">
      <c r="A1096" s="11">
        <v>1090</v>
      </c>
      <c r="B1096" s="47">
        <v>203342037</v>
      </c>
      <c r="C1096" s="94" t="s">
        <v>1232</v>
      </c>
      <c r="D1096" s="11" t="s">
        <v>1233</v>
      </c>
      <c r="E1096" s="48" t="s">
        <v>31</v>
      </c>
      <c r="F1096" s="48" t="s">
        <v>74</v>
      </c>
      <c r="G1096" s="11" t="s">
        <v>64</v>
      </c>
      <c r="H1096" s="11" t="s">
        <v>75</v>
      </c>
      <c r="I1096" s="11">
        <v>1299</v>
      </c>
      <c r="J1096" s="49" t="s">
        <v>32</v>
      </c>
      <c r="K1096" s="49" t="s">
        <v>76</v>
      </c>
      <c r="L1096" s="49" t="s">
        <v>95</v>
      </c>
      <c r="M1096" s="49" t="s">
        <v>77</v>
      </c>
      <c r="N1096" s="48" t="s">
        <v>86</v>
      </c>
      <c r="O1096" s="49" t="s">
        <v>37</v>
      </c>
      <c r="P1096" s="11" t="s">
        <v>80</v>
      </c>
      <c r="Q1096" s="11" t="s">
        <v>99</v>
      </c>
      <c r="R1096" s="11" t="s">
        <v>632</v>
      </c>
      <c r="S1096" s="11" t="s">
        <v>633</v>
      </c>
      <c r="T1096" s="90" t="s">
        <v>1</v>
      </c>
      <c r="U1096" s="90"/>
      <c r="V1096" s="51">
        <v>45432</v>
      </c>
      <c r="W1096" s="49" t="s">
        <v>1584</v>
      </c>
    </row>
    <row r="1097" spans="1:23" ht="13" customHeight="1" x14ac:dyDescent="0.35">
      <c r="A1097" s="11">
        <v>1091</v>
      </c>
      <c r="B1097" s="47">
        <v>206139179</v>
      </c>
      <c r="C1097" s="94" t="s">
        <v>1234</v>
      </c>
      <c r="D1097" s="11" t="s">
        <v>1235</v>
      </c>
      <c r="E1097" s="48" t="s">
        <v>31</v>
      </c>
      <c r="F1097" s="48" t="s">
        <v>74</v>
      </c>
      <c r="G1097" s="11" t="s">
        <v>64</v>
      </c>
      <c r="H1097" s="11" t="s">
        <v>75</v>
      </c>
      <c r="I1097" s="11">
        <v>1299</v>
      </c>
      <c r="J1097" s="49" t="s">
        <v>32</v>
      </c>
      <c r="K1097" s="49" t="s">
        <v>76</v>
      </c>
      <c r="L1097" s="49" t="s">
        <v>95</v>
      </c>
      <c r="M1097" s="49" t="s">
        <v>77</v>
      </c>
      <c r="N1097" s="48" t="s">
        <v>79</v>
      </c>
      <c r="O1097" s="49" t="s">
        <v>37</v>
      </c>
      <c r="P1097" s="11" t="s">
        <v>80</v>
      </c>
      <c r="Q1097" s="11" t="s">
        <v>81</v>
      </c>
      <c r="R1097" s="11" t="s">
        <v>632</v>
      </c>
      <c r="S1097" s="11" t="s">
        <v>633</v>
      </c>
      <c r="T1097" s="90" t="s">
        <v>1</v>
      </c>
      <c r="U1097" s="89"/>
      <c r="V1097" s="51">
        <v>45929</v>
      </c>
      <c r="W1097" s="49" t="s">
        <v>1584</v>
      </c>
    </row>
    <row r="1098" spans="1:23" ht="13" customHeight="1" x14ac:dyDescent="0.35">
      <c r="A1098" s="11">
        <v>1092</v>
      </c>
      <c r="B1098" s="47">
        <v>203881659</v>
      </c>
      <c r="C1098" s="94" t="s">
        <v>1236</v>
      </c>
      <c r="D1098" s="11" t="s">
        <v>1237</v>
      </c>
      <c r="E1098" s="48" t="s">
        <v>31</v>
      </c>
      <c r="F1098" s="48" t="s">
        <v>74</v>
      </c>
      <c r="G1098" s="11" t="s">
        <v>64</v>
      </c>
      <c r="H1098" s="11" t="s">
        <v>75</v>
      </c>
      <c r="I1098" s="11">
        <v>1299</v>
      </c>
      <c r="J1098" s="49" t="s">
        <v>39</v>
      </c>
      <c r="K1098" s="49" t="s">
        <v>76</v>
      </c>
      <c r="L1098" s="49" t="s">
        <v>92</v>
      </c>
      <c r="M1098" s="49" t="s">
        <v>84</v>
      </c>
      <c r="N1098" s="48" t="s">
        <v>79</v>
      </c>
      <c r="O1098" s="49" t="s">
        <v>37</v>
      </c>
      <c r="P1098" s="11" t="s">
        <v>80</v>
      </c>
      <c r="Q1098" s="11" t="s">
        <v>81</v>
      </c>
      <c r="R1098" s="11" t="s">
        <v>632</v>
      </c>
      <c r="S1098" s="11" t="s">
        <v>633</v>
      </c>
      <c r="T1098" s="90" t="s">
        <v>1</v>
      </c>
      <c r="U1098" s="91"/>
      <c r="V1098" s="51">
        <v>45530</v>
      </c>
      <c r="W1098" s="49" t="s">
        <v>1584</v>
      </c>
    </row>
    <row r="1099" spans="1:23" ht="13" customHeight="1" x14ac:dyDescent="0.35">
      <c r="A1099" s="11">
        <v>1093</v>
      </c>
      <c r="B1099" s="47">
        <v>201204303</v>
      </c>
      <c r="C1099" s="94" t="s">
        <v>1238</v>
      </c>
      <c r="D1099" s="11" t="s">
        <v>1239</v>
      </c>
      <c r="E1099" s="48" t="s">
        <v>31</v>
      </c>
      <c r="F1099" s="48" t="s">
        <v>74</v>
      </c>
      <c r="G1099" s="11" t="s">
        <v>64</v>
      </c>
      <c r="H1099" s="11" t="s">
        <v>75</v>
      </c>
      <c r="I1099" s="11">
        <v>1299</v>
      </c>
      <c r="J1099" s="49" t="s">
        <v>32</v>
      </c>
      <c r="K1099" s="49" t="s">
        <v>76</v>
      </c>
      <c r="L1099" s="49" t="s">
        <v>85</v>
      </c>
      <c r="M1099" s="49" t="s">
        <v>88</v>
      </c>
      <c r="N1099" s="48" t="s">
        <v>79</v>
      </c>
      <c r="O1099" s="49" t="s">
        <v>37</v>
      </c>
      <c r="P1099" s="11" t="s">
        <v>80</v>
      </c>
      <c r="Q1099" s="11" t="s">
        <v>81</v>
      </c>
      <c r="R1099" s="11" t="s">
        <v>2865</v>
      </c>
      <c r="S1099" s="11" t="s">
        <v>2866</v>
      </c>
      <c r="T1099" s="90" t="s">
        <v>10</v>
      </c>
      <c r="U1099" s="91"/>
      <c r="V1099" s="51">
        <v>45544</v>
      </c>
      <c r="W1099" s="49" t="s">
        <v>1584</v>
      </c>
    </row>
    <row r="1100" spans="1:23" ht="13" customHeight="1" x14ac:dyDescent="0.35">
      <c r="A1100" s="11">
        <v>1094</v>
      </c>
      <c r="B1100" s="47">
        <v>203800479</v>
      </c>
      <c r="C1100" s="94" t="s">
        <v>2436</v>
      </c>
      <c r="D1100" s="11" t="s">
        <v>2437</v>
      </c>
      <c r="E1100" s="48" t="s">
        <v>31</v>
      </c>
      <c r="F1100" s="48" t="s">
        <v>74</v>
      </c>
      <c r="G1100" s="11" t="s">
        <v>64</v>
      </c>
      <c r="H1100" s="11" t="s">
        <v>75</v>
      </c>
      <c r="I1100" s="11">
        <v>1299</v>
      </c>
      <c r="J1100" s="49" t="s">
        <v>32</v>
      </c>
      <c r="K1100" s="49" t="s">
        <v>76</v>
      </c>
      <c r="L1100" s="49" t="s">
        <v>77</v>
      </c>
      <c r="M1100" s="49" t="s">
        <v>78</v>
      </c>
      <c r="N1100" s="48" t="s">
        <v>86</v>
      </c>
      <c r="O1100" s="49" t="s">
        <v>37</v>
      </c>
      <c r="P1100" s="11" t="s">
        <v>80</v>
      </c>
      <c r="Q1100" s="11" t="s">
        <v>90</v>
      </c>
      <c r="R1100" s="11" t="s">
        <v>1069</v>
      </c>
      <c r="S1100" s="11" t="s">
        <v>2733</v>
      </c>
      <c r="T1100" s="90" t="s">
        <v>1</v>
      </c>
      <c r="U1100" s="90"/>
      <c r="V1100" s="51">
        <v>45516</v>
      </c>
      <c r="W1100" s="49" t="s">
        <v>1584</v>
      </c>
    </row>
    <row r="1101" spans="1:23" ht="13" customHeight="1" x14ac:dyDescent="0.35">
      <c r="A1101" s="11">
        <v>1095</v>
      </c>
      <c r="B1101" s="47">
        <v>204868706</v>
      </c>
      <c r="C1101" s="94" t="s">
        <v>1240</v>
      </c>
      <c r="D1101" s="11" t="s">
        <v>1241</v>
      </c>
      <c r="E1101" s="48" t="s">
        <v>31</v>
      </c>
      <c r="F1101" s="48" t="s">
        <v>74</v>
      </c>
      <c r="G1101" s="11" t="s">
        <v>64</v>
      </c>
      <c r="H1101" s="11" t="s">
        <v>75</v>
      </c>
      <c r="I1101" s="11">
        <v>1299</v>
      </c>
      <c r="J1101" s="49" t="s">
        <v>32</v>
      </c>
      <c r="K1101" s="49" t="s">
        <v>76</v>
      </c>
      <c r="L1101" s="49" t="s">
        <v>85</v>
      </c>
      <c r="M1101" s="49" t="s">
        <v>88</v>
      </c>
      <c r="N1101" s="48" t="s">
        <v>86</v>
      </c>
      <c r="O1101" s="49" t="s">
        <v>37</v>
      </c>
      <c r="P1101" s="11" t="s">
        <v>80</v>
      </c>
      <c r="Q1101" s="11" t="s">
        <v>90</v>
      </c>
      <c r="R1101" s="49" t="s">
        <v>648</v>
      </c>
      <c r="S1101" s="11" t="s">
        <v>1805</v>
      </c>
      <c r="T1101" s="90" t="s">
        <v>10</v>
      </c>
      <c r="U1101" s="90"/>
      <c r="V1101" s="51">
        <v>45894</v>
      </c>
      <c r="W1101" s="49" t="s">
        <v>1584</v>
      </c>
    </row>
    <row r="1102" spans="1:23" ht="13" customHeight="1" x14ac:dyDescent="0.35">
      <c r="A1102" s="11">
        <v>1096</v>
      </c>
      <c r="B1102" s="47">
        <v>203881695</v>
      </c>
      <c r="C1102" s="94" t="s">
        <v>1242</v>
      </c>
      <c r="D1102" s="11" t="s">
        <v>1243</v>
      </c>
      <c r="E1102" s="48" t="s">
        <v>31</v>
      </c>
      <c r="F1102" s="48" t="s">
        <v>74</v>
      </c>
      <c r="G1102" s="11" t="s">
        <v>64</v>
      </c>
      <c r="H1102" s="11" t="s">
        <v>75</v>
      </c>
      <c r="I1102" s="11">
        <v>1299</v>
      </c>
      <c r="J1102" s="49" t="s">
        <v>39</v>
      </c>
      <c r="K1102" s="49" t="s">
        <v>76</v>
      </c>
      <c r="L1102" s="49" t="s">
        <v>88</v>
      </c>
      <c r="M1102" s="49" t="s">
        <v>95</v>
      </c>
      <c r="N1102" s="48" t="s">
        <v>79</v>
      </c>
      <c r="O1102" s="49" t="s">
        <v>37</v>
      </c>
      <c r="P1102" s="11" t="s">
        <v>80</v>
      </c>
      <c r="Q1102" s="11" t="s">
        <v>81</v>
      </c>
      <c r="R1102" s="11" t="s">
        <v>632</v>
      </c>
      <c r="S1102" s="11" t="s">
        <v>633</v>
      </c>
      <c r="T1102" s="90" t="s">
        <v>10</v>
      </c>
      <c r="U1102" s="90"/>
      <c r="V1102" s="51">
        <v>45530</v>
      </c>
      <c r="W1102" s="49" t="s">
        <v>1586</v>
      </c>
    </row>
    <row r="1103" spans="1:23" ht="13" customHeight="1" x14ac:dyDescent="0.35">
      <c r="A1103" s="11">
        <v>1097</v>
      </c>
      <c r="B1103" s="47">
        <v>113366831</v>
      </c>
      <c r="C1103" s="94" t="s">
        <v>1244</v>
      </c>
      <c r="D1103" s="11" t="s">
        <v>1245</v>
      </c>
      <c r="E1103" s="48" t="s">
        <v>31</v>
      </c>
      <c r="F1103" s="48" t="s">
        <v>74</v>
      </c>
      <c r="G1103" s="11" t="s">
        <v>64</v>
      </c>
      <c r="H1103" s="11" t="s">
        <v>75</v>
      </c>
      <c r="I1103" s="11">
        <v>1299</v>
      </c>
      <c r="J1103" s="49" t="s">
        <v>39</v>
      </c>
      <c r="K1103" s="49" t="s">
        <v>76</v>
      </c>
      <c r="L1103" s="49" t="s">
        <v>77</v>
      </c>
      <c r="M1103" s="49" t="s">
        <v>78</v>
      </c>
      <c r="N1103" s="48" t="s">
        <v>86</v>
      </c>
      <c r="O1103" s="49" t="s">
        <v>37</v>
      </c>
      <c r="P1103" s="11" t="s">
        <v>80</v>
      </c>
      <c r="Q1103" s="11" t="s">
        <v>99</v>
      </c>
      <c r="R1103" s="49" t="s">
        <v>628</v>
      </c>
      <c r="S1103" s="111" t="s">
        <v>629</v>
      </c>
      <c r="T1103" s="90" t="s">
        <v>1</v>
      </c>
      <c r="U1103" s="89"/>
      <c r="V1103" s="51">
        <v>45537</v>
      </c>
      <c r="W1103" s="49" t="s">
        <v>1584</v>
      </c>
    </row>
    <row r="1104" spans="1:23" ht="13" customHeight="1" x14ac:dyDescent="0.35">
      <c r="A1104" s="11">
        <v>1098</v>
      </c>
      <c r="B1104" s="47">
        <v>205939862</v>
      </c>
      <c r="C1104" s="94" t="s">
        <v>2091</v>
      </c>
      <c r="D1104" s="11" t="s">
        <v>2092</v>
      </c>
      <c r="E1104" s="48" t="s">
        <v>31</v>
      </c>
      <c r="F1104" s="48" t="s">
        <v>74</v>
      </c>
      <c r="G1104" s="11" t="s">
        <v>64</v>
      </c>
      <c r="H1104" s="11" t="s">
        <v>75</v>
      </c>
      <c r="I1104" s="11">
        <v>1299</v>
      </c>
      <c r="J1104" s="49" t="s">
        <v>32</v>
      </c>
      <c r="K1104" s="49" t="s">
        <v>76</v>
      </c>
      <c r="L1104" s="49" t="s">
        <v>78</v>
      </c>
      <c r="M1104" s="49" t="s">
        <v>92</v>
      </c>
      <c r="N1104" s="49" t="s">
        <v>89</v>
      </c>
      <c r="O1104" s="49" t="s">
        <v>37</v>
      </c>
      <c r="P1104" s="11" t="s">
        <v>80</v>
      </c>
      <c r="Q1104" s="11" t="s">
        <v>96</v>
      </c>
      <c r="R1104" s="11" t="s">
        <v>632</v>
      </c>
      <c r="S1104" s="111" t="s">
        <v>633</v>
      </c>
      <c r="T1104" s="90" t="s">
        <v>1</v>
      </c>
      <c r="U1104" s="91"/>
      <c r="V1104" s="51">
        <v>46048</v>
      </c>
      <c r="W1104" s="49" t="s">
        <v>1584</v>
      </c>
    </row>
    <row r="1105" spans="1:23" ht="13" customHeight="1" x14ac:dyDescent="0.35">
      <c r="A1105" s="11">
        <v>1099</v>
      </c>
      <c r="B1105" s="47">
        <v>203736775</v>
      </c>
      <c r="C1105" s="94" t="s">
        <v>1246</v>
      </c>
      <c r="D1105" s="11" t="s">
        <v>1247</v>
      </c>
      <c r="E1105" s="48" t="s">
        <v>31</v>
      </c>
      <c r="F1105" s="48" t="s">
        <v>74</v>
      </c>
      <c r="G1105" s="11" t="s">
        <v>64</v>
      </c>
      <c r="H1105" s="11" t="s">
        <v>75</v>
      </c>
      <c r="I1105" s="11">
        <v>1299</v>
      </c>
      <c r="J1105" s="49" t="s">
        <v>32</v>
      </c>
      <c r="K1105" s="49" t="s">
        <v>76</v>
      </c>
      <c r="L1105" s="49" t="s">
        <v>77</v>
      </c>
      <c r="M1105" s="49" t="s">
        <v>78</v>
      </c>
      <c r="N1105" s="48" t="s">
        <v>86</v>
      </c>
      <c r="O1105" s="49" t="s">
        <v>37</v>
      </c>
      <c r="P1105" s="11" t="s">
        <v>80</v>
      </c>
      <c r="Q1105" s="11" t="s">
        <v>99</v>
      </c>
      <c r="R1105" s="11" t="s">
        <v>2865</v>
      </c>
      <c r="S1105" s="11" t="s">
        <v>2866</v>
      </c>
      <c r="T1105" s="90" t="s">
        <v>1</v>
      </c>
      <c r="U1105" s="90"/>
      <c r="V1105" s="51">
        <v>45502</v>
      </c>
      <c r="W1105" s="49" t="s">
        <v>1584</v>
      </c>
    </row>
    <row r="1106" spans="1:23" ht="13" customHeight="1" x14ac:dyDescent="0.35">
      <c r="A1106" s="11">
        <v>1100</v>
      </c>
      <c r="B1106" s="47">
        <v>112549647</v>
      </c>
      <c r="C1106" s="94" t="s">
        <v>1248</v>
      </c>
      <c r="D1106" s="11" t="s">
        <v>1249</v>
      </c>
      <c r="E1106" s="48" t="s">
        <v>31</v>
      </c>
      <c r="F1106" s="48" t="s">
        <v>74</v>
      </c>
      <c r="G1106" s="11" t="s">
        <v>64</v>
      </c>
      <c r="H1106" s="11" t="s">
        <v>75</v>
      </c>
      <c r="I1106" s="11">
        <v>1299</v>
      </c>
      <c r="J1106" s="49" t="s">
        <v>32</v>
      </c>
      <c r="K1106" s="49" t="s">
        <v>76</v>
      </c>
      <c r="L1106" s="49" t="s">
        <v>92</v>
      </c>
      <c r="M1106" s="49" t="s">
        <v>84</v>
      </c>
      <c r="N1106" s="48" t="s">
        <v>86</v>
      </c>
      <c r="O1106" s="49" t="s">
        <v>37</v>
      </c>
      <c r="P1106" s="11" t="s">
        <v>80</v>
      </c>
      <c r="Q1106" s="11" t="s">
        <v>87</v>
      </c>
      <c r="R1106" s="49" t="s">
        <v>648</v>
      </c>
      <c r="S1106" s="111" t="s">
        <v>1805</v>
      </c>
      <c r="T1106" s="90" t="s">
        <v>1</v>
      </c>
      <c r="U1106" s="89"/>
      <c r="V1106" s="51">
        <v>45586</v>
      </c>
      <c r="W1106" s="49" t="s">
        <v>1584</v>
      </c>
    </row>
    <row r="1107" spans="1:23" ht="13" customHeight="1" x14ac:dyDescent="0.35">
      <c r="A1107" s="11">
        <v>1101</v>
      </c>
      <c r="B1107" s="47">
        <v>202199036</v>
      </c>
      <c r="C1107" s="94" t="s">
        <v>1250</v>
      </c>
      <c r="D1107" s="11" t="s">
        <v>1251</v>
      </c>
      <c r="E1107" s="48" t="s">
        <v>31</v>
      </c>
      <c r="F1107" s="48" t="s">
        <v>74</v>
      </c>
      <c r="G1107" s="11" t="s">
        <v>64</v>
      </c>
      <c r="H1107" s="11" t="s">
        <v>75</v>
      </c>
      <c r="I1107" s="11">
        <v>1299</v>
      </c>
      <c r="J1107" s="49" t="s">
        <v>39</v>
      </c>
      <c r="K1107" s="49" t="s">
        <v>76</v>
      </c>
      <c r="L1107" s="49" t="s">
        <v>77</v>
      </c>
      <c r="M1107" s="49" t="s">
        <v>78</v>
      </c>
      <c r="N1107" s="48" t="s">
        <v>86</v>
      </c>
      <c r="O1107" s="49" t="s">
        <v>37</v>
      </c>
      <c r="P1107" s="11" t="s">
        <v>80</v>
      </c>
      <c r="Q1107" s="11" t="s">
        <v>87</v>
      </c>
      <c r="R1107" s="49" t="s">
        <v>648</v>
      </c>
      <c r="S1107" s="111" t="s">
        <v>1805</v>
      </c>
      <c r="T1107" s="90" t="s">
        <v>7</v>
      </c>
      <c r="U1107" s="90" t="s">
        <v>2914</v>
      </c>
      <c r="V1107" s="51">
        <v>45561</v>
      </c>
      <c r="W1107" s="49" t="s">
        <v>1584</v>
      </c>
    </row>
    <row r="1108" spans="1:23" ht="13" customHeight="1" x14ac:dyDescent="0.35">
      <c r="A1108" s="11">
        <v>1102</v>
      </c>
      <c r="B1108" s="47">
        <v>204373724</v>
      </c>
      <c r="C1108" s="94" t="s">
        <v>1252</v>
      </c>
      <c r="D1108" s="11" t="s">
        <v>1253</v>
      </c>
      <c r="E1108" s="48" t="s">
        <v>31</v>
      </c>
      <c r="F1108" s="48" t="s">
        <v>74</v>
      </c>
      <c r="G1108" s="11" t="s">
        <v>64</v>
      </c>
      <c r="H1108" s="11" t="s">
        <v>75</v>
      </c>
      <c r="I1108" s="11">
        <v>1299</v>
      </c>
      <c r="J1108" s="49" t="s">
        <v>32</v>
      </c>
      <c r="K1108" s="49" t="s">
        <v>76</v>
      </c>
      <c r="L1108" s="49" t="s">
        <v>88</v>
      </c>
      <c r="M1108" s="49" t="s">
        <v>95</v>
      </c>
      <c r="N1108" s="48" t="s">
        <v>86</v>
      </c>
      <c r="O1108" s="49" t="s">
        <v>37</v>
      </c>
      <c r="P1108" s="11" t="s">
        <v>80</v>
      </c>
      <c r="Q1108" s="11" t="s">
        <v>99</v>
      </c>
      <c r="R1108" s="49" t="s">
        <v>648</v>
      </c>
      <c r="S1108" s="111" t="s">
        <v>1805</v>
      </c>
      <c r="T1108" s="90" t="s">
        <v>10</v>
      </c>
      <c r="U1108" s="91"/>
      <c r="V1108" s="51">
        <v>45593</v>
      </c>
      <c r="W1108" s="49" t="s">
        <v>1584</v>
      </c>
    </row>
    <row r="1109" spans="1:23" ht="13" customHeight="1" x14ac:dyDescent="0.35">
      <c r="A1109" s="11">
        <v>1103</v>
      </c>
      <c r="B1109" s="47">
        <v>203918123</v>
      </c>
      <c r="C1109" s="94" t="s">
        <v>1254</v>
      </c>
      <c r="D1109" s="11" t="s">
        <v>1255</v>
      </c>
      <c r="E1109" s="48" t="s">
        <v>31</v>
      </c>
      <c r="F1109" s="48" t="s">
        <v>74</v>
      </c>
      <c r="G1109" s="11" t="s">
        <v>64</v>
      </c>
      <c r="H1109" s="11" t="s">
        <v>75</v>
      </c>
      <c r="I1109" s="11">
        <v>1299</v>
      </c>
      <c r="J1109" s="49" t="s">
        <v>39</v>
      </c>
      <c r="K1109" s="49" t="s">
        <v>76</v>
      </c>
      <c r="L1109" s="49" t="s">
        <v>84</v>
      </c>
      <c r="M1109" s="49" t="s">
        <v>85</v>
      </c>
      <c r="N1109" s="48" t="s">
        <v>86</v>
      </c>
      <c r="O1109" s="49" t="s">
        <v>37</v>
      </c>
      <c r="P1109" s="11" t="s">
        <v>80</v>
      </c>
      <c r="Q1109" s="11" t="s">
        <v>99</v>
      </c>
      <c r="R1109" s="11" t="s">
        <v>2865</v>
      </c>
      <c r="S1109" s="111" t="s">
        <v>2866</v>
      </c>
      <c r="T1109" s="90" t="s">
        <v>1</v>
      </c>
      <c r="U1109" s="91"/>
      <c r="V1109" s="51">
        <v>45537</v>
      </c>
      <c r="W1109" s="49" t="s">
        <v>1584</v>
      </c>
    </row>
    <row r="1110" spans="1:23" ht="13" customHeight="1" x14ac:dyDescent="0.35">
      <c r="A1110" s="11">
        <v>1104</v>
      </c>
      <c r="B1110" s="47">
        <v>205199830</v>
      </c>
      <c r="C1110" s="95" t="s">
        <v>2075</v>
      </c>
      <c r="D1110" s="11" t="s">
        <v>2076</v>
      </c>
      <c r="E1110" s="48" t="s">
        <v>31</v>
      </c>
      <c r="F1110" s="48" t="s">
        <v>74</v>
      </c>
      <c r="G1110" s="11" t="s">
        <v>64</v>
      </c>
      <c r="H1110" s="11" t="s">
        <v>75</v>
      </c>
      <c r="I1110" s="11">
        <v>1299</v>
      </c>
      <c r="J1110" s="49" t="s">
        <v>39</v>
      </c>
      <c r="K1110" s="49" t="s">
        <v>76</v>
      </c>
      <c r="L1110" s="49" t="s">
        <v>95</v>
      </c>
      <c r="M1110" s="49" t="s">
        <v>77</v>
      </c>
      <c r="N1110" s="49" t="s">
        <v>79</v>
      </c>
      <c r="O1110" s="49" t="s">
        <v>37</v>
      </c>
      <c r="P1110" s="11" t="s">
        <v>80</v>
      </c>
      <c r="Q1110" s="11" t="s">
        <v>96</v>
      </c>
      <c r="R1110" s="11" t="s">
        <v>2865</v>
      </c>
      <c r="S1110" s="111" t="s">
        <v>2866</v>
      </c>
      <c r="T1110" s="90" t="s">
        <v>1</v>
      </c>
      <c r="U1110" s="90"/>
      <c r="V1110" s="51">
        <v>46048</v>
      </c>
      <c r="W1110" s="49" t="s">
        <v>1584</v>
      </c>
    </row>
    <row r="1111" spans="1:23" ht="13" customHeight="1" x14ac:dyDescent="0.35">
      <c r="A1111" s="11">
        <v>1105</v>
      </c>
      <c r="B1111" s="47">
        <v>201264954</v>
      </c>
      <c r="C1111" s="94" t="s">
        <v>1256</v>
      </c>
      <c r="D1111" s="11" t="s">
        <v>1257</v>
      </c>
      <c r="E1111" s="48" t="s">
        <v>31</v>
      </c>
      <c r="F1111" s="48" t="s">
        <v>74</v>
      </c>
      <c r="G1111" s="11" t="s">
        <v>64</v>
      </c>
      <c r="H1111" s="11" t="s">
        <v>75</v>
      </c>
      <c r="I1111" s="11">
        <v>1299</v>
      </c>
      <c r="J1111" s="49" t="s">
        <v>32</v>
      </c>
      <c r="K1111" s="49" t="s">
        <v>76</v>
      </c>
      <c r="L1111" s="49" t="s">
        <v>77</v>
      </c>
      <c r="M1111" s="49" t="s">
        <v>78</v>
      </c>
      <c r="N1111" s="48" t="s">
        <v>86</v>
      </c>
      <c r="O1111" s="49" t="s">
        <v>37</v>
      </c>
      <c r="P1111" s="11" t="s">
        <v>80</v>
      </c>
      <c r="Q1111" s="11" t="s">
        <v>87</v>
      </c>
      <c r="R1111" s="49" t="s">
        <v>648</v>
      </c>
      <c r="S1111" s="111" t="s">
        <v>1805</v>
      </c>
      <c r="T1111" s="90" t="s">
        <v>1</v>
      </c>
      <c r="U1111" s="90" t="s">
        <v>2914</v>
      </c>
      <c r="V1111" s="51">
        <v>45561</v>
      </c>
      <c r="W1111" s="49" t="s">
        <v>1584</v>
      </c>
    </row>
    <row r="1112" spans="1:23" ht="13" customHeight="1" x14ac:dyDescent="0.35">
      <c r="A1112" s="11">
        <v>1106</v>
      </c>
      <c r="B1112" s="47">
        <v>203468744</v>
      </c>
      <c r="C1112" s="94" t="s">
        <v>1258</v>
      </c>
      <c r="D1112" s="11" t="s">
        <v>1259</v>
      </c>
      <c r="E1112" s="48" t="s">
        <v>31</v>
      </c>
      <c r="F1112" s="48" t="s">
        <v>74</v>
      </c>
      <c r="G1112" s="11" t="s">
        <v>64</v>
      </c>
      <c r="H1112" s="11" t="s">
        <v>75</v>
      </c>
      <c r="I1112" s="11">
        <v>1299</v>
      </c>
      <c r="J1112" s="49" t="s">
        <v>39</v>
      </c>
      <c r="K1112" s="49" t="s">
        <v>76</v>
      </c>
      <c r="L1112" s="49" t="s">
        <v>77</v>
      </c>
      <c r="M1112" s="49" t="s">
        <v>78</v>
      </c>
      <c r="N1112" s="48" t="s">
        <v>79</v>
      </c>
      <c r="O1112" s="49" t="s">
        <v>37</v>
      </c>
      <c r="P1112" s="11" t="s">
        <v>80</v>
      </c>
      <c r="Q1112" s="11" t="s">
        <v>81</v>
      </c>
      <c r="R1112" s="49" t="s">
        <v>628</v>
      </c>
      <c r="S1112" s="111" t="s">
        <v>629</v>
      </c>
      <c r="T1112" s="90" t="s">
        <v>7</v>
      </c>
      <c r="U1112" s="90" t="s">
        <v>2914</v>
      </c>
      <c r="V1112" s="51">
        <v>45456</v>
      </c>
      <c r="W1112" s="49" t="s">
        <v>1586</v>
      </c>
    </row>
    <row r="1113" spans="1:23" ht="13" customHeight="1" x14ac:dyDescent="0.35">
      <c r="A1113" s="11">
        <v>1107</v>
      </c>
      <c r="B1113" s="47">
        <v>205127496</v>
      </c>
      <c r="C1113" s="94" t="s">
        <v>2105</v>
      </c>
      <c r="D1113" s="11" t="s">
        <v>2106</v>
      </c>
      <c r="E1113" s="48" t="s">
        <v>31</v>
      </c>
      <c r="F1113" s="48" t="s">
        <v>74</v>
      </c>
      <c r="G1113" s="11" t="s">
        <v>64</v>
      </c>
      <c r="H1113" s="11" t="s">
        <v>75</v>
      </c>
      <c r="I1113" s="11">
        <v>1299</v>
      </c>
      <c r="J1113" s="49" t="s">
        <v>39</v>
      </c>
      <c r="K1113" s="49" t="s">
        <v>76</v>
      </c>
      <c r="L1113" s="49" t="s">
        <v>85</v>
      </c>
      <c r="M1113" s="49" t="s">
        <v>88</v>
      </c>
      <c r="N1113" s="49" t="s">
        <v>89</v>
      </c>
      <c r="O1113" s="49" t="s">
        <v>37</v>
      </c>
      <c r="P1113" s="11" t="s">
        <v>80</v>
      </c>
      <c r="Q1113" s="11" t="s">
        <v>96</v>
      </c>
      <c r="R1113" s="49" t="s">
        <v>2735</v>
      </c>
      <c r="S1113" s="102" t="s">
        <v>643</v>
      </c>
      <c r="T1113" s="90" t="s">
        <v>10</v>
      </c>
      <c r="U1113" s="89"/>
      <c r="V1113" s="51">
        <v>46048</v>
      </c>
      <c r="W1113" s="49" t="s">
        <v>1584</v>
      </c>
    </row>
    <row r="1114" spans="1:23" ht="13" customHeight="1" x14ac:dyDescent="0.35">
      <c r="A1114" s="11">
        <v>1108</v>
      </c>
      <c r="B1114" s="47">
        <v>204009358</v>
      </c>
      <c r="C1114" s="94" t="s">
        <v>1260</v>
      </c>
      <c r="D1114" s="11" t="s">
        <v>1261</v>
      </c>
      <c r="E1114" s="48" t="s">
        <v>31</v>
      </c>
      <c r="F1114" s="48" t="s">
        <v>74</v>
      </c>
      <c r="G1114" s="11" t="s">
        <v>64</v>
      </c>
      <c r="H1114" s="11" t="s">
        <v>75</v>
      </c>
      <c r="I1114" s="11">
        <v>1299</v>
      </c>
      <c r="J1114" s="49" t="s">
        <v>32</v>
      </c>
      <c r="K1114" s="49" t="s">
        <v>76</v>
      </c>
      <c r="L1114" s="49" t="s">
        <v>88</v>
      </c>
      <c r="M1114" s="49" t="s">
        <v>95</v>
      </c>
      <c r="N1114" s="48" t="s">
        <v>86</v>
      </c>
      <c r="O1114" s="49" t="s">
        <v>37</v>
      </c>
      <c r="P1114" s="11" t="s">
        <v>80</v>
      </c>
      <c r="Q1114" s="11" t="s">
        <v>90</v>
      </c>
      <c r="R1114" s="49" t="s">
        <v>648</v>
      </c>
      <c r="S1114" s="111" t="s">
        <v>1805</v>
      </c>
      <c r="T1114" s="90" t="s">
        <v>10</v>
      </c>
      <c r="U1114" s="89"/>
      <c r="V1114" s="51">
        <v>45551</v>
      </c>
      <c r="W1114" s="49" t="s">
        <v>1584</v>
      </c>
    </row>
    <row r="1115" spans="1:23" ht="13" customHeight="1" x14ac:dyDescent="0.35">
      <c r="A1115" s="11">
        <v>1109</v>
      </c>
      <c r="B1115" s="97">
        <v>205845550</v>
      </c>
      <c r="C1115" s="47" t="s">
        <v>2832</v>
      </c>
      <c r="D1115" s="94" t="s">
        <v>2833</v>
      </c>
      <c r="E1115" s="48" t="s">
        <v>31</v>
      </c>
      <c r="F1115" s="48" t="s">
        <v>74</v>
      </c>
      <c r="G1115" s="11" t="s">
        <v>64</v>
      </c>
      <c r="H1115" s="11" t="s">
        <v>75</v>
      </c>
      <c r="I1115" s="11">
        <v>1299</v>
      </c>
      <c r="J1115" s="49" t="s">
        <v>39</v>
      </c>
      <c r="K1115" s="49" t="s">
        <v>76</v>
      </c>
      <c r="L1115" s="49" t="s">
        <v>84</v>
      </c>
      <c r="M1115" s="49" t="s">
        <v>85</v>
      </c>
      <c r="N1115" s="49" t="s">
        <v>89</v>
      </c>
      <c r="O1115" s="49" t="s">
        <v>37</v>
      </c>
      <c r="P1115" s="11" t="s">
        <v>80</v>
      </c>
      <c r="Q1115" s="11" t="s">
        <v>90</v>
      </c>
      <c r="R1115" s="11" t="s">
        <v>2865</v>
      </c>
      <c r="S1115" s="111" t="s">
        <v>2866</v>
      </c>
      <c r="T1115" s="90" t="s">
        <v>1</v>
      </c>
      <c r="U1115" s="89"/>
      <c r="V1115" s="51">
        <v>45894</v>
      </c>
      <c r="W1115" s="49" t="s">
        <v>1584</v>
      </c>
    </row>
    <row r="1116" spans="1:23" ht="13" customHeight="1" x14ac:dyDescent="0.35">
      <c r="A1116" s="11">
        <v>1110</v>
      </c>
      <c r="B1116" s="47">
        <v>103776227</v>
      </c>
      <c r="C1116" s="94" t="s">
        <v>1262</v>
      </c>
      <c r="D1116" s="11" t="s">
        <v>1263</v>
      </c>
      <c r="E1116" s="48" t="s">
        <v>34</v>
      </c>
      <c r="F1116" s="48" t="s">
        <v>74</v>
      </c>
      <c r="G1116" s="11" t="s">
        <v>64</v>
      </c>
      <c r="H1116" s="11" t="s">
        <v>75</v>
      </c>
      <c r="I1116" s="11">
        <v>1299</v>
      </c>
      <c r="J1116" s="49" t="s">
        <v>32</v>
      </c>
      <c r="K1116" s="49" t="s">
        <v>76</v>
      </c>
      <c r="L1116" s="49" t="s">
        <v>88</v>
      </c>
      <c r="M1116" s="49" t="s">
        <v>95</v>
      </c>
      <c r="N1116" s="48" t="s">
        <v>108</v>
      </c>
      <c r="O1116" s="49" t="s">
        <v>37</v>
      </c>
      <c r="P1116" s="11" t="s">
        <v>80</v>
      </c>
      <c r="Q1116" s="11" t="s">
        <v>98</v>
      </c>
      <c r="R1116" s="49" t="s">
        <v>648</v>
      </c>
      <c r="S1116" s="111" t="s">
        <v>1805</v>
      </c>
      <c r="T1116" s="90" t="s">
        <v>10</v>
      </c>
      <c r="U1116" s="90"/>
      <c r="V1116" s="51">
        <v>44782</v>
      </c>
      <c r="W1116" s="49" t="s">
        <v>1584</v>
      </c>
    </row>
    <row r="1117" spans="1:23" ht="13" customHeight="1" x14ac:dyDescent="0.35">
      <c r="A1117" s="11">
        <v>1111</v>
      </c>
      <c r="B1117" s="47">
        <v>206230580</v>
      </c>
      <c r="C1117" s="94" t="s">
        <v>1650</v>
      </c>
      <c r="D1117" s="11" t="s">
        <v>1645</v>
      </c>
      <c r="E1117" s="48" t="s">
        <v>31</v>
      </c>
      <c r="F1117" s="48" t="s">
        <v>74</v>
      </c>
      <c r="G1117" s="11" t="s">
        <v>64</v>
      </c>
      <c r="H1117" s="11" t="s">
        <v>75</v>
      </c>
      <c r="I1117" s="11">
        <v>1299</v>
      </c>
      <c r="J1117" s="49" t="s">
        <v>32</v>
      </c>
      <c r="K1117" s="49" t="s">
        <v>76</v>
      </c>
      <c r="L1117" s="49" t="s">
        <v>95</v>
      </c>
      <c r="M1117" s="49" t="s">
        <v>77</v>
      </c>
      <c r="N1117" s="49" t="s">
        <v>89</v>
      </c>
      <c r="O1117" s="49" t="s">
        <v>37</v>
      </c>
      <c r="P1117" s="11" t="s">
        <v>80</v>
      </c>
      <c r="Q1117" s="11" t="s">
        <v>96</v>
      </c>
      <c r="R1117" s="11" t="s">
        <v>2865</v>
      </c>
      <c r="S1117" s="111" t="s">
        <v>2866</v>
      </c>
      <c r="T1117" s="90" t="s">
        <v>1</v>
      </c>
      <c r="U1117" s="90"/>
      <c r="V1117" s="51">
        <v>45943</v>
      </c>
      <c r="W1117" s="49" t="s">
        <v>1583</v>
      </c>
    </row>
    <row r="1118" spans="1:23" ht="13" customHeight="1" x14ac:dyDescent="0.35">
      <c r="A1118" s="11">
        <v>1112</v>
      </c>
      <c r="B1118" s="47">
        <v>205853886</v>
      </c>
      <c r="C1118" s="94" t="s">
        <v>1264</v>
      </c>
      <c r="D1118" s="11" t="s">
        <v>1265</v>
      </c>
      <c r="E1118" s="48" t="s">
        <v>31</v>
      </c>
      <c r="F1118" s="48" t="s">
        <v>74</v>
      </c>
      <c r="G1118" s="11" t="s">
        <v>64</v>
      </c>
      <c r="H1118" s="11" t="s">
        <v>75</v>
      </c>
      <c r="I1118" s="11">
        <v>1299</v>
      </c>
      <c r="J1118" s="49" t="s">
        <v>32</v>
      </c>
      <c r="K1118" s="49" t="s">
        <v>76</v>
      </c>
      <c r="L1118" s="49" t="s">
        <v>95</v>
      </c>
      <c r="M1118" s="49" t="s">
        <v>77</v>
      </c>
      <c r="N1118" s="49" t="s">
        <v>89</v>
      </c>
      <c r="O1118" s="49" t="s">
        <v>37</v>
      </c>
      <c r="P1118" s="11" t="s">
        <v>80</v>
      </c>
      <c r="Q1118" s="11" t="s">
        <v>96</v>
      </c>
      <c r="R1118" s="11" t="s">
        <v>2865</v>
      </c>
      <c r="S1118" s="11" t="s">
        <v>2866</v>
      </c>
      <c r="T1118" s="90" t="s">
        <v>1</v>
      </c>
      <c r="U1118" s="91"/>
      <c r="V1118" s="51">
        <v>45894</v>
      </c>
      <c r="W1118" s="49" t="s">
        <v>1584</v>
      </c>
    </row>
    <row r="1119" spans="1:23" ht="13" customHeight="1" x14ac:dyDescent="0.35">
      <c r="A1119" s="11">
        <v>1113</v>
      </c>
      <c r="B1119" s="47">
        <v>203965456</v>
      </c>
      <c r="C1119" s="94" t="s">
        <v>1266</v>
      </c>
      <c r="D1119" s="11" t="s">
        <v>1267</v>
      </c>
      <c r="E1119" s="48" t="s">
        <v>31</v>
      </c>
      <c r="F1119" s="48" t="s">
        <v>74</v>
      </c>
      <c r="G1119" s="11" t="s">
        <v>64</v>
      </c>
      <c r="H1119" s="11" t="s">
        <v>75</v>
      </c>
      <c r="I1119" s="11">
        <v>1299</v>
      </c>
      <c r="J1119" s="49" t="s">
        <v>39</v>
      </c>
      <c r="K1119" s="49" t="s">
        <v>76</v>
      </c>
      <c r="L1119" s="49" t="s">
        <v>95</v>
      </c>
      <c r="M1119" s="49" t="s">
        <v>77</v>
      </c>
      <c r="N1119" s="48" t="s">
        <v>79</v>
      </c>
      <c r="O1119" s="49" t="s">
        <v>37</v>
      </c>
      <c r="P1119" s="11" t="s">
        <v>80</v>
      </c>
      <c r="Q1119" s="11" t="s">
        <v>81</v>
      </c>
      <c r="R1119" s="11" t="s">
        <v>632</v>
      </c>
      <c r="S1119" s="111" t="s">
        <v>633</v>
      </c>
      <c r="T1119" s="90" t="s">
        <v>1</v>
      </c>
      <c r="U1119" s="90"/>
      <c r="V1119" s="51">
        <v>45544</v>
      </c>
      <c r="W1119" s="49" t="s">
        <v>1584</v>
      </c>
    </row>
    <row r="1120" spans="1:23" ht="13" customHeight="1" x14ac:dyDescent="0.35">
      <c r="A1120" s="11">
        <v>1114</v>
      </c>
      <c r="B1120" s="47">
        <v>206886513</v>
      </c>
      <c r="C1120" s="94" t="s">
        <v>1862</v>
      </c>
      <c r="D1120" s="11" t="s">
        <v>1863</v>
      </c>
      <c r="E1120" s="11" t="s">
        <v>31</v>
      </c>
      <c r="F1120" s="48" t="s">
        <v>74</v>
      </c>
      <c r="G1120" s="11" t="s">
        <v>64</v>
      </c>
      <c r="H1120" s="11" t="s">
        <v>75</v>
      </c>
      <c r="I1120" s="11">
        <v>1299</v>
      </c>
      <c r="J1120" s="49" t="s">
        <v>39</v>
      </c>
      <c r="K1120" s="49" t="s">
        <v>76</v>
      </c>
      <c r="L1120" s="49" t="s">
        <v>85</v>
      </c>
      <c r="M1120" s="49" t="s">
        <v>88</v>
      </c>
      <c r="N1120" s="49" t="s">
        <v>89</v>
      </c>
      <c r="O1120" s="49" t="s">
        <v>37</v>
      </c>
      <c r="P1120" s="11" t="s">
        <v>80</v>
      </c>
      <c r="Q1120" s="11" t="s">
        <v>96</v>
      </c>
      <c r="R1120" s="11" t="s">
        <v>1069</v>
      </c>
      <c r="S1120" s="111" t="s">
        <v>2733</v>
      </c>
      <c r="T1120" s="90" t="s">
        <v>10</v>
      </c>
      <c r="U1120" s="90"/>
      <c r="V1120" s="51">
        <v>46027</v>
      </c>
      <c r="W1120" s="49" t="s">
        <v>1584</v>
      </c>
    </row>
    <row r="1121" spans="1:23" ht="13" customHeight="1" x14ac:dyDescent="0.35">
      <c r="A1121" s="11">
        <v>1115</v>
      </c>
      <c r="B1121" s="47">
        <v>206886644</v>
      </c>
      <c r="C1121" s="94" t="s">
        <v>1864</v>
      </c>
      <c r="D1121" s="11" t="s">
        <v>1865</v>
      </c>
      <c r="E1121" s="11" t="s">
        <v>31</v>
      </c>
      <c r="F1121" s="48" t="s">
        <v>74</v>
      </c>
      <c r="G1121" s="11" t="s">
        <v>64</v>
      </c>
      <c r="H1121" s="11" t="s">
        <v>75</v>
      </c>
      <c r="I1121" s="11">
        <v>1299</v>
      </c>
      <c r="J1121" s="49" t="s">
        <v>39</v>
      </c>
      <c r="K1121" s="49" t="s">
        <v>76</v>
      </c>
      <c r="L1121" s="49" t="s">
        <v>85</v>
      </c>
      <c r="M1121" s="49" t="s">
        <v>88</v>
      </c>
      <c r="N1121" s="49" t="s">
        <v>89</v>
      </c>
      <c r="O1121" s="49" t="s">
        <v>37</v>
      </c>
      <c r="P1121" s="11" t="s">
        <v>80</v>
      </c>
      <c r="Q1121" s="11" t="s">
        <v>96</v>
      </c>
      <c r="R1121" s="11" t="s">
        <v>1069</v>
      </c>
      <c r="S1121" s="111" t="s">
        <v>2733</v>
      </c>
      <c r="T1121" s="90" t="s">
        <v>10</v>
      </c>
      <c r="U1121" s="90"/>
      <c r="V1121" s="51">
        <v>46027</v>
      </c>
      <c r="W1121" s="49" t="s">
        <v>1584</v>
      </c>
    </row>
    <row r="1122" spans="1:23" ht="13" customHeight="1" x14ac:dyDescent="0.35">
      <c r="A1122" s="11">
        <v>1116</v>
      </c>
      <c r="B1122" s="97">
        <v>205845549</v>
      </c>
      <c r="C1122" s="47" t="s">
        <v>2834</v>
      </c>
      <c r="D1122" s="94" t="s">
        <v>2835</v>
      </c>
      <c r="E1122" s="48" t="s">
        <v>31</v>
      </c>
      <c r="F1122" s="48" t="s">
        <v>74</v>
      </c>
      <c r="G1122" s="11" t="s">
        <v>64</v>
      </c>
      <c r="H1122" s="11" t="s">
        <v>75</v>
      </c>
      <c r="I1122" s="11">
        <v>1299</v>
      </c>
      <c r="J1122" s="49" t="s">
        <v>39</v>
      </c>
      <c r="K1122" s="49" t="s">
        <v>76</v>
      </c>
      <c r="L1122" s="49" t="s">
        <v>92</v>
      </c>
      <c r="M1122" s="49" t="s">
        <v>84</v>
      </c>
      <c r="N1122" s="49" t="s">
        <v>89</v>
      </c>
      <c r="O1122" s="49" t="s">
        <v>37</v>
      </c>
      <c r="P1122" s="11" t="s">
        <v>80</v>
      </c>
      <c r="Q1122" s="11" t="s">
        <v>90</v>
      </c>
      <c r="R1122" s="11" t="s">
        <v>2865</v>
      </c>
      <c r="S1122" s="111" t="s">
        <v>2866</v>
      </c>
      <c r="T1122" s="90" t="s">
        <v>1</v>
      </c>
      <c r="U1122" s="91"/>
      <c r="V1122" s="51">
        <v>45894</v>
      </c>
      <c r="W1122" s="49" t="s">
        <v>1584</v>
      </c>
    </row>
    <row r="1123" spans="1:23" ht="13" customHeight="1" x14ac:dyDescent="0.35">
      <c r="A1123" s="11">
        <v>1117</v>
      </c>
      <c r="B1123" s="47">
        <v>206192239</v>
      </c>
      <c r="C1123" s="94" t="s">
        <v>1618</v>
      </c>
      <c r="D1123" s="11" t="s">
        <v>1611</v>
      </c>
      <c r="E1123" s="48" t="s">
        <v>31</v>
      </c>
      <c r="F1123" s="48" t="s">
        <v>74</v>
      </c>
      <c r="G1123" s="11" t="s">
        <v>64</v>
      </c>
      <c r="H1123" s="11" t="s">
        <v>75</v>
      </c>
      <c r="I1123" s="11">
        <v>1299</v>
      </c>
      <c r="J1123" s="49" t="s">
        <v>39</v>
      </c>
      <c r="K1123" s="49" t="s">
        <v>76</v>
      </c>
      <c r="L1123" s="49" t="s">
        <v>95</v>
      </c>
      <c r="M1123" s="49" t="s">
        <v>77</v>
      </c>
      <c r="N1123" s="49" t="s">
        <v>79</v>
      </c>
      <c r="O1123" s="49" t="s">
        <v>37</v>
      </c>
      <c r="P1123" s="11" t="s">
        <v>80</v>
      </c>
      <c r="Q1123" s="11" t="s">
        <v>96</v>
      </c>
      <c r="R1123" s="49" t="s">
        <v>628</v>
      </c>
      <c r="S1123" s="111" t="s">
        <v>629</v>
      </c>
      <c r="T1123" s="90" t="s">
        <v>1</v>
      </c>
      <c r="U1123" s="91"/>
      <c r="V1123" s="51">
        <v>45936</v>
      </c>
      <c r="W1123" s="49" t="s">
        <v>1584</v>
      </c>
    </row>
    <row r="1124" spans="1:23" ht="13" customHeight="1" x14ac:dyDescent="0.35">
      <c r="A1124" s="11">
        <v>1118</v>
      </c>
      <c r="B1124" s="47">
        <v>203512943</v>
      </c>
      <c r="C1124" s="94" t="s">
        <v>1268</v>
      </c>
      <c r="D1124" s="11" t="s">
        <v>1269</v>
      </c>
      <c r="E1124" s="48" t="s">
        <v>31</v>
      </c>
      <c r="F1124" s="48" t="s">
        <v>74</v>
      </c>
      <c r="G1124" s="11" t="s">
        <v>64</v>
      </c>
      <c r="H1124" s="11" t="s">
        <v>75</v>
      </c>
      <c r="I1124" s="11">
        <v>1299</v>
      </c>
      <c r="J1124" s="49" t="s">
        <v>39</v>
      </c>
      <c r="K1124" s="49" t="s">
        <v>76</v>
      </c>
      <c r="L1124" s="49" t="s">
        <v>84</v>
      </c>
      <c r="M1124" s="49" t="s">
        <v>85</v>
      </c>
      <c r="N1124" s="48" t="s">
        <v>79</v>
      </c>
      <c r="O1124" s="49" t="s">
        <v>37</v>
      </c>
      <c r="P1124" s="11" t="s">
        <v>80</v>
      </c>
      <c r="Q1124" s="11" t="s">
        <v>81</v>
      </c>
      <c r="R1124" s="49" t="s">
        <v>648</v>
      </c>
      <c r="S1124" s="111" t="s">
        <v>1805</v>
      </c>
      <c r="T1124" s="90" t="s">
        <v>1</v>
      </c>
      <c r="U1124" s="90"/>
      <c r="V1124" s="51">
        <v>45463</v>
      </c>
      <c r="W1124" s="49" t="s">
        <v>1584</v>
      </c>
    </row>
    <row r="1125" spans="1:23" ht="13" customHeight="1" x14ac:dyDescent="0.35">
      <c r="A1125" s="11">
        <v>1119</v>
      </c>
      <c r="B1125" s="47">
        <v>204009949</v>
      </c>
      <c r="C1125" s="94" t="s">
        <v>1270</v>
      </c>
      <c r="D1125" s="11" t="s">
        <v>1271</v>
      </c>
      <c r="E1125" s="48" t="s">
        <v>31</v>
      </c>
      <c r="F1125" s="48" t="s">
        <v>74</v>
      </c>
      <c r="G1125" s="11" t="s">
        <v>64</v>
      </c>
      <c r="H1125" s="11" t="s">
        <v>75</v>
      </c>
      <c r="I1125" s="11">
        <v>1299</v>
      </c>
      <c r="J1125" s="49" t="s">
        <v>32</v>
      </c>
      <c r="K1125" s="49" t="s">
        <v>76</v>
      </c>
      <c r="L1125" s="49" t="s">
        <v>78</v>
      </c>
      <c r="M1125" s="49" t="s">
        <v>92</v>
      </c>
      <c r="N1125" s="48" t="s">
        <v>86</v>
      </c>
      <c r="O1125" s="49" t="s">
        <v>37</v>
      </c>
      <c r="P1125" s="11" t="s">
        <v>80</v>
      </c>
      <c r="Q1125" s="11" t="s">
        <v>90</v>
      </c>
      <c r="R1125" s="11" t="s">
        <v>640</v>
      </c>
      <c r="S1125" s="11" t="s">
        <v>2734</v>
      </c>
      <c r="T1125" s="90" t="s">
        <v>1</v>
      </c>
      <c r="U1125" s="91"/>
      <c r="V1125" s="51">
        <v>45789</v>
      </c>
      <c r="W1125" s="49" t="s">
        <v>1584</v>
      </c>
    </row>
    <row r="1126" spans="1:23" ht="13" customHeight="1" x14ac:dyDescent="0.35">
      <c r="A1126" s="11">
        <v>1120</v>
      </c>
      <c r="B1126" s="47">
        <v>203964990</v>
      </c>
      <c r="C1126" s="94" t="s">
        <v>1272</v>
      </c>
      <c r="D1126" s="11" t="s">
        <v>1273</v>
      </c>
      <c r="E1126" s="48" t="s">
        <v>31</v>
      </c>
      <c r="F1126" s="48" t="s">
        <v>74</v>
      </c>
      <c r="G1126" s="11" t="s">
        <v>64</v>
      </c>
      <c r="H1126" s="11" t="s">
        <v>75</v>
      </c>
      <c r="I1126" s="11">
        <v>1299</v>
      </c>
      <c r="J1126" s="49" t="s">
        <v>32</v>
      </c>
      <c r="K1126" s="49" t="s">
        <v>76</v>
      </c>
      <c r="L1126" s="49" t="s">
        <v>78</v>
      </c>
      <c r="M1126" s="49" t="s">
        <v>92</v>
      </c>
      <c r="N1126" s="48" t="s">
        <v>86</v>
      </c>
      <c r="O1126" s="49" t="s">
        <v>37</v>
      </c>
      <c r="P1126" s="11" t="s">
        <v>80</v>
      </c>
      <c r="Q1126" s="11" t="s">
        <v>99</v>
      </c>
      <c r="R1126" s="49" t="s">
        <v>648</v>
      </c>
      <c r="S1126" s="11" t="s">
        <v>1805</v>
      </c>
      <c r="T1126" s="90" t="s">
        <v>1</v>
      </c>
      <c r="U1126" s="91"/>
      <c r="V1126" s="51">
        <v>45544</v>
      </c>
      <c r="W1126" s="49" t="s">
        <v>1584</v>
      </c>
    </row>
    <row r="1127" spans="1:23" ht="13" customHeight="1" x14ac:dyDescent="0.35">
      <c r="A1127" s="11">
        <v>1121</v>
      </c>
      <c r="B1127" s="47">
        <v>204117685</v>
      </c>
      <c r="C1127" s="94" t="s">
        <v>1274</v>
      </c>
      <c r="D1127" s="11" t="s">
        <v>1275</v>
      </c>
      <c r="E1127" s="48" t="s">
        <v>31</v>
      </c>
      <c r="F1127" s="48" t="s">
        <v>74</v>
      </c>
      <c r="G1127" s="11" t="s">
        <v>64</v>
      </c>
      <c r="H1127" s="11" t="s">
        <v>75</v>
      </c>
      <c r="I1127" s="11">
        <v>1299</v>
      </c>
      <c r="J1127" s="49" t="s">
        <v>39</v>
      </c>
      <c r="K1127" s="49" t="s">
        <v>76</v>
      </c>
      <c r="L1127" s="49" t="s">
        <v>85</v>
      </c>
      <c r="M1127" s="49" t="s">
        <v>88</v>
      </c>
      <c r="N1127" s="48" t="s">
        <v>86</v>
      </c>
      <c r="O1127" s="49" t="s">
        <v>37</v>
      </c>
      <c r="P1127" s="11" t="s">
        <v>80</v>
      </c>
      <c r="Q1127" s="11" t="s">
        <v>87</v>
      </c>
      <c r="R1127" s="49" t="s">
        <v>628</v>
      </c>
      <c r="S1127" s="11" t="s">
        <v>629</v>
      </c>
      <c r="T1127" s="90" t="s">
        <v>10</v>
      </c>
      <c r="U1127" s="91"/>
      <c r="V1127" s="51">
        <v>45561</v>
      </c>
      <c r="W1127" s="49" t="s">
        <v>1584</v>
      </c>
    </row>
    <row r="1128" spans="1:23" ht="13" customHeight="1" x14ac:dyDescent="0.35">
      <c r="A1128" s="11">
        <v>1122</v>
      </c>
      <c r="B1128" s="97">
        <v>205845546</v>
      </c>
      <c r="C1128" s="47" t="s">
        <v>2836</v>
      </c>
      <c r="D1128" s="94" t="s">
        <v>2837</v>
      </c>
      <c r="E1128" s="48" t="s">
        <v>31</v>
      </c>
      <c r="F1128" s="48" t="s">
        <v>74</v>
      </c>
      <c r="G1128" s="11" t="s">
        <v>64</v>
      </c>
      <c r="H1128" s="11" t="s">
        <v>75</v>
      </c>
      <c r="I1128" s="11">
        <v>1299</v>
      </c>
      <c r="J1128" s="49" t="s">
        <v>32</v>
      </c>
      <c r="K1128" s="49" t="s">
        <v>76</v>
      </c>
      <c r="L1128" s="49" t="s">
        <v>85</v>
      </c>
      <c r="M1128" s="49" t="s">
        <v>88</v>
      </c>
      <c r="N1128" s="48" t="s">
        <v>86</v>
      </c>
      <c r="O1128" s="49" t="s">
        <v>37</v>
      </c>
      <c r="P1128" s="11" t="s">
        <v>80</v>
      </c>
      <c r="Q1128" s="11" t="s">
        <v>90</v>
      </c>
      <c r="R1128" s="11" t="s">
        <v>2865</v>
      </c>
      <c r="S1128" s="11" t="s">
        <v>2866</v>
      </c>
      <c r="T1128" s="90" t="s">
        <v>10</v>
      </c>
      <c r="U1128" s="91"/>
      <c r="V1128" s="51">
        <v>45894</v>
      </c>
      <c r="W1128" s="49" t="s">
        <v>1584</v>
      </c>
    </row>
    <row r="1129" spans="1:23" ht="13" customHeight="1" x14ac:dyDescent="0.35">
      <c r="A1129" s="11">
        <v>1123</v>
      </c>
      <c r="B1129" s="47">
        <v>203908332</v>
      </c>
      <c r="C1129" s="94" t="s">
        <v>2353</v>
      </c>
      <c r="D1129" s="11" t="s">
        <v>2354</v>
      </c>
      <c r="E1129" s="48" t="s">
        <v>31</v>
      </c>
      <c r="F1129" s="48" t="s">
        <v>74</v>
      </c>
      <c r="G1129" s="11" t="s">
        <v>64</v>
      </c>
      <c r="H1129" s="11" t="s">
        <v>75</v>
      </c>
      <c r="I1129" s="11">
        <v>1299</v>
      </c>
      <c r="J1129" s="49" t="s">
        <v>32</v>
      </c>
      <c r="K1129" s="49" t="s">
        <v>76</v>
      </c>
      <c r="L1129" s="49" t="s">
        <v>77</v>
      </c>
      <c r="M1129" s="49" t="s">
        <v>78</v>
      </c>
      <c r="N1129" s="48" t="s">
        <v>86</v>
      </c>
      <c r="O1129" s="49" t="s">
        <v>37</v>
      </c>
      <c r="P1129" s="11" t="s">
        <v>80</v>
      </c>
      <c r="Q1129" s="11" t="s">
        <v>90</v>
      </c>
      <c r="R1129" s="49" t="s">
        <v>628</v>
      </c>
      <c r="S1129" s="11" t="s">
        <v>629</v>
      </c>
      <c r="T1129" s="90" t="s">
        <v>1</v>
      </c>
      <c r="U1129" s="89"/>
      <c r="V1129" s="51">
        <v>45537</v>
      </c>
      <c r="W1129" s="49" t="s">
        <v>1585</v>
      </c>
    </row>
    <row r="1130" spans="1:23" ht="13" customHeight="1" x14ac:dyDescent="0.35">
      <c r="A1130" s="11">
        <v>1124</v>
      </c>
      <c r="B1130" s="47">
        <v>206604522</v>
      </c>
      <c r="C1130" s="94" t="s">
        <v>2077</v>
      </c>
      <c r="D1130" s="11" t="s">
        <v>2078</v>
      </c>
      <c r="E1130" s="48" t="s">
        <v>31</v>
      </c>
      <c r="F1130" s="48" t="s">
        <v>74</v>
      </c>
      <c r="G1130" s="11" t="s">
        <v>64</v>
      </c>
      <c r="H1130" s="11" t="s">
        <v>75</v>
      </c>
      <c r="I1130" s="11">
        <v>1299</v>
      </c>
      <c r="J1130" s="49" t="s">
        <v>39</v>
      </c>
      <c r="K1130" s="49" t="s">
        <v>76</v>
      </c>
      <c r="L1130" s="49" t="s">
        <v>92</v>
      </c>
      <c r="M1130" s="49" t="s">
        <v>84</v>
      </c>
      <c r="N1130" s="49" t="s">
        <v>89</v>
      </c>
      <c r="O1130" s="49" t="s">
        <v>37</v>
      </c>
      <c r="P1130" s="11" t="s">
        <v>80</v>
      </c>
      <c r="Q1130" s="11" t="s">
        <v>96</v>
      </c>
      <c r="R1130" s="49" t="s">
        <v>2735</v>
      </c>
      <c r="S1130" s="49" t="s">
        <v>643</v>
      </c>
      <c r="T1130" s="90" t="s">
        <v>1</v>
      </c>
      <c r="U1130" s="89"/>
      <c r="V1130" s="51">
        <v>46048</v>
      </c>
      <c r="W1130" s="49" t="s">
        <v>1584</v>
      </c>
    </row>
    <row r="1131" spans="1:23" ht="13" customHeight="1" x14ac:dyDescent="0.35">
      <c r="A1131" s="11">
        <v>1125</v>
      </c>
      <c r="B1131" s="47">
        <v>206851164</v>
      </c>
      <c r="C1131" s="94" t="s">
        <v>1876</v>
      </c>
      <c r="D1131" s="11" t="s">
        <v>1877</v>
      </c>
      <c r="E1131" s="48" t="s">
        <v>31</v>
      </c>
      <c r="F1131" s="48" t="s">
        <v>74</v>
      </c>
      <c r="G1131" s="11" t="s">
        <v>64</v>
      </c>
      <c r="H1131" s="11" t="s">
        <v>75</v>
      </c>
      <c r="I1131" s="11">
        <v>1299</v>
      </c>
      <c r="J1131" s="49" t="s">
        <v>39</v>
      </c>
      <c r="K1131" s="49" t="s">
        <v>76</v>
      </c>
      <c r="L1131" s="49" t="s">
        <v>84</v>
      </c>
      <c r="M1131" s="49" t="s">
        <v>85</v>
      </c>
      <c r="N1131" s="49" t="s">
        <v>89</v>
      </c>
      <c r="O1131" s="48" t="s">
        <v>37</v>
      </c>
      <c r="P1131" s="48" t="s">
        <v>80</v>
      </c>
      <c r="Q1131" s="11" t="s">
        <v>90</v>
      </c>
      <c r="R1131" s="49" t="s">
        <v>648</v>
      </c>
      <c r="S1131" s="11" t="s">
        <v>1805</v>
      </c>
      <c r="T1131" s="90" t="s">
        <v>1</v>
      </c>
      <c r="U1131" s="89"/>
      <c r="V1131" s="51">
        <v>46030</v>
      </c>
      <c r="W1131" s="49" t="s">
        <v>1584</v>
      </c>
    </row>
    <row r="1132" spans="1:23" ht="13" customHeight="1" x14ac:dyDescent="0.35">
      <c r="A1132" s="11">
        <v>1126</v>
      </c>
      <c r="B1132" s="47">
        <v>203908334</v>
      </c>
      <c r="C1132" s="94" t="s">
        <v>1276</v>
      </c>
      <c r="D1132" s="11" t="s">
        <v>1277</v>
      </c>
      <c r="E1132" s="48" t="s">
        <v>31</v>
      </c>
      <c r="F1132" s="48" t="s">
        <v>74</v>
      </c>
      <c r="G1132" s="11" t="s">
        <v>64</v>
      </c>
      <c r="H1132" s="11" t="s">
        <v>75</v>
      </c>
      <c r="I1132" s="11">
        <v>1299</v>
      </c>
      <c r="J1132" s="49" t="s">
        <v>39</v>
      </c>
      <c r="K1132" s="49" t="s">
        <v>76</v>
      </c>
      <c r="L1132" s="49" t="s">
        <v>78</v>
      </c>
      <c r="M1132" s="49" t="s">
        <v>92</v>
      </c>
      <c r="N1132" s="48" t="s">
        <v>86</v>
      </c>
      <c r="O1132" s="49" t="s">
        <v>37</v>
      </c>
      <c r="P1132" s="11" t="s">
        <v>80</v>
      </c>
      <c r="Q1132" s="11" t="s">
        <v>90</v>
      </c>
      <c r="R1132" s="11" t="s">
        <v>632</v>
      </c>
      <c r="S1132" s="11" t="s">
        <v>633</v>
      </c>
      <c r="T1132" s="90" t="s">
        <v>1</v>
      </c>
      <c r="U1132" s="89"/>
      <c r="V1132" s="51">
        <v>45537</v>
      </c>
      <c r="W1132" s="49" t="s">
        <v>1585</v>
      </c>
    </row>
    <row r="1133" spans="1:23" ht="13" customHeight="1" x14ac:dyDescent="0.35">
      <c r="A1133" s="11">
        <v>1127</v>
      </c>
      <c r="B1133" s="47">
        <v>206129263</v>
      </c>
      <c r="C1133" s="94" t="s">
        <v>1278</v>
      </c>
      <c r="D1133" s="11" t="s">
        <v>1279</v>
      </c>
      <c r="E1133" s="48" t="s">
        <v>31</v>
      </c>
      <c r="F1133" s="48" t="s">
        <v>74</v>
      </c>
      <c r="G1133" s="11" t="s">
        <v>64</v>
      </c>
      <c r="H1133" s="11" t="s">
        <v>75</v>
      </c>
      <c r="I1133" s="11">
        <v>1299</v>
      </c>
      <c r="J1133" s="49" t="s">
        <v>32</v>
      </c>
      <c r="K1133" s="49" t="s">
        <v>76</v>
      </c>
      <c r="L1133" s="49" t="s">
        <v>78</v>
      </c>
      <c r="M1133" s="49" t="s">
        <v>92</v>
      </c>
      <c r="N1133" s="48" t="s">
        <v>79</v>
      </c>
      <c r="O1133" s="49" t="s">
        <v>37</v>
      </c>
      <c r="P1133" s="11" t="s">
        <v>80</v>
      </c>
      <c r="Q1133" s="11" t="s">
        <v>81</v>
      </c>
      <c r="R1133" s="49" t="s">
        <v>648</v>
      </c>
      <c r="S1133" s="11" t="s">
        <v>1805</v>
      </c>
      <c r="T1133" s="90" t="s">
        <v>1</v>
      </c>
      <c r="U1133" s="91"/>
      <c r="V1133" s="51">
        <v>45929</v>
      </c>
      <c r="W1133" s="49" t="s">
        <v>1584</v>
      </c>
    </row>
    <row r="1134" spans="1:23" ht="13" customHeight="1" x14ac:dyDescent="0.35">
      <c r="A1134" s="11">
        <v>1128</v>
      </c>
      <c r="B1134" s="47">
        <v>204013685</v>
      </c>
      <c r="C1134" s="94" t="s">
        <v>1280</v>
      </c>
      <c r="D1134" s="11" t="s">
        <v>1281</v>
      </c>
      <c r="E1134" s="48" t="s">
        <v>31</v>
      </c>
      <c r="F1134" s="48" t="s">
        <v>74</v>
      </c>
      <c r="G1134" s="11" t="s">
        <v>64</v>
      </c>
      <c r="H1134" s="11" t="s">
        <v>75</v>
      </c>
      <c r="I1134" s="11">
        <v>1299</v>
      </c>
      <c r="J1134" s="49" t="s">
        <v>39</v>
      </c>
      <c r="K1134" s="49" t="s">
        <v>76</v>
      </c>
      <c r="L1134" s="49" t="s">
        <v>92</v>
      </c>
      <c r="M1134" s="49" t="s">
        <v>84</v>
      </c>
      <c r="N1134" s="48" t="s">
        <v>79</v>
      </c>
      <c r="O1134" s="49" t="s">
        <v>37</v>
      </c>
      <c r="P1134" s="11" t="s">
        <v>80</v>
      </c>
      <c r="Q1134" s="11" t="s">
        <v>81</v>
      </c>
      <c r="R1134" s="49" t="s">
        <v>628</v>
      </c>
      <c r="S1134" s="11" t="s">
        <v>629</v>
      </c>
      <c r="T1134" s="90" t="s">
        <v>7</v>
      </c>
      <c r="U1134" s="90" t="s">
        <v>2914</v>
      </c>
      <c r="V1134" s="51">
        <v>45551</v>
      </c>
      <c r="W1134" s="49" t="s">
        <v>1583</v>
      </c>
    </row>
    <row r="1135" spans="1:23" ht="13" customHeight="1" x14ac:dyDescent="0.35">
      <c r="A1135" s="11">
        <v>1129</v>
      </c>
      <c r="B1135" s="47">
        <v>206200800</v>
      </c>
      <c r="C1135" s="94" t="s">
        <v>1602</v>
      </c>
      <c r="D1135" s="11" t="s">
        <v>1596</v>
      </c>
      <c r="E1135" s="48" t="s">
        <v>31</v>
      </c>
      <c r="F1135" s="48" t="s">
        <v>74</v>
      </c>
      <c r="G1135" s="11" t="s">
        <v>64</v>
      </c>
      <c r="H1135" s="11" t="s">
        <v>75</v>
      </c>
      <c r="I1135" s="11">
        <v>1299</v>
      </c>
      <c r="J1135" s="49" t="s">
        <v>32</v>
      </c>
      <c r="K1135" s="49" t="s">
        <v>76</v>
      </c>
      <c r="L1135" s="49" t="s">
        <v>77</v>
      </c>
      <c r="M1135" s="49" t="s">
        <v>78</v>
      </c>
      <c r="N1135" s="49" t="s">
        <v>89</v>
      </c>
      <c r="O1135" s="49" t="s">
        <v>37</v>
      </c>
      <c r="P1135" s="11" t="s">
        <v>80</v>
      </c>
      <c r="Q1135" s="11" t="s">
        <v>81</v>
      </c>
      <c r="R1135" s="49" t="s">
        <v>2735</v>
      </c>
      <c r="S1135" s="11" t="s">
        <v>643</v>
      </c>
      <c r="T1135" s="90" t="s">
        <v>1</v>
      </c>
      <c r="U1135" s="90"/>
      <c r="V1135" s="51">
        <v>45936</v>
      </c>
      <c r="W1135" s="49" t="s">
        <v>1584</v>
      </c>
    </row>
    <row r="1136" spans="1:23" ht="13" customHeight="1" x14ac:dyDescent="0.35">
      <c r="A1136" s="11">
        <v>1130</v>
      </c>
      <c r="B1136" s="47">
        <v>206846532</v>
      </c>
      <c r="C1136" s="94" t="s">
        <v>1824</v>
      </c>
      <c r="D1136" s="47" t="s">
        <v>1825</v>
      </c>
      <c r="E1136" s="47" t="s">
        <v>31</v>
      </c>
      <c r="F1136" s="48" t="s">
        <v>74</v>
      </c>
      <c r="G1136" s="11" t="s">
        <v>64</v>
      </c>
      <c r="H1136" s="11" t="s">
        <v>75</v>
      </c>
      <c r="I1136" s="47">
        <v>1299</v>
      </c>
      <c r="J1136" s="49" t="s">
        <v>39</v>
      </c>
      <c r="K1136" s="49" t="s">
        <v>76</v>
      </c>
      <c r="L1136" s="49" t="s">
        <v>84</v>
      </c>
      <c r="M1136" s="49" t="s">
        <v>85</v>
      </c>
      <c r="N1136" s="49" t="s">
        <v>89</v>
      </c>
      <c r="O1136" s="49" t="s">
        <v>37</v>
      </c>
      <c r="P1136" s="11" t="s">
        <v>80</v>
      </c>
      <c r="Q1136" s="47" t="s">
        <v>90</v>
      </c>
      <c r="R1136" s="11" t="s">
        <v>2864</v>
      </c>
      <c r="S1136" s="47" t="s">
        <v>2732</v>
      </c>
      <c r="T1136" s="90" t="s">
        <v>1</v>
      </c>
      <c r="U1136" s="90"/>
      <c r="V1136" s="51">
        <v>46013</v>
      </c>
      <c r="W1136" s="49" t="s">
        <v>1584</v>
      </c>
    </row>
    <row r="1137" spans="1:23" ht="13" customHeight="1" x14ac:dyDescent="0.35">
      <c r="A1137" s="11">
        <v>1131</v>
      </c>
      <c r="B1137" s="47">
        <v>205845555</v>
      </c>
      <c r="C1137" s="94" t="s">
        <v>2438</v>
      </c>
      <c r="D1137" s="11" t="s">
        <v>2439</v>
      </c>
      <c r="E1137" s="48" t="s">
        <v>31</v>
      </c>
      <c r="F1137" s="48" t="s">
        <v>74</v>
      </c>
      <c r="G1137" s="11" t="s">
        <v>64</v>
      </c>
      <c r="H1137" s="11" t="s">
        <v>75</v>
      </c>
      <c r="I1137" s="11">
        <v>1299</v>
      </c>
      <c r="J1137" s="49" t="s">
        <v>32</v>
      </c>
      <c r="K1137" s="49" t="s">
        <v>76</v>
      </c>
      <c r="L1137" s="49" t="s">
        <v>92</v>
      </c>
      <c r="M1137" s="49" t="s">
        <v>84</v>
      </c>
      <c r="N1137" s="49" t="s">
        <v>89</v>
      </c>
      <c r="O1137" s="49" t="s">
        <v>37</v>
      </c>
      <c r="P1137" s="11" t="s">
        <v>80</v>
      </c>
      <c r="Q1137" s="11" t="s">
        <v>90</v>
      </c>
      <c r="R1137" s="49" t="s">
        <v>648</v>
      </c>
      <c r="S1137" s="11" t="s">
        <v>1805</v>
      </c>
      <c r="T1137" s="90" t="s">
        <v>1</v>
      </c>
      <c r="U1137" s="90"/>
      <c r="V1137" s="51">
        <v>45894</v>
      </c>
      <c r="W1137" s="49" t="s">
        <v>1584</v>
      </c>
    </row>
    <row r="1138" spans="1:23" ht="13" customHeight="1" x14ac:dyDescent="0.35">
      <c r="A1138" s="11">
        <v>1132</v>
      </c>
      <c r="B1138" s="47">
        <v>108019725</v>
      </c>
      <c r="C1138" s="94" t="s">
        <v>2378</v>
      </c>
      <c r="D1138" s="11" t="s">
        <v>2379</v>
      </c>
      <c r="E1138" s="48" t="s">
        <v>34</v>
      </c>
      <c r="F1138" s="48" t="s">
        <v>74</v>
      </c>
      <c r="G1138" s="11" t="s">
        <v>64</v>
      </c>
      <c r="H1138" s="11" t="s">
        <v>75</v>
      </c>
      <c r="I1138" s="11">
        <v>1299</v>
      </c>
      <c r="J1138" s="49" t="s">
        <v>39</v>
      </c>
      <c r="K1138" s="49" t="s">
        <v>76</v>
      </c>
      <c r="L1138" s="49" t="s">
        <v>84</v>
      </c>
      <c r="M1138" s="49" t="s">
        <v>85</v>
      </c>
      <c r="N1138" s="48" t="s">
        <v>97</v>
      </c>
      <c r="O1138" s="49" t="s">
        <v>37</v>
      </c>
      <c r="P1138" s="11" t="s">
        <v>80</v>
      </c>
      <c r="Q1138" s="11" t="s">
        <v>98</v>
      </c>
      <c r="R1138" s="11" t="s">
        <v>632</v>
      </c>
      <c r="S1138" s="11" t="s">
        <v>633</v>
      </c>
      <c r="T1138" s="90" t="s">
        <v>1</v>
      </c>
      <c r="U1138" s="91"/>
      <c r="V1138" s="51">
        <v>44757</v>
      </c>
      <c r="W1138" s="49" t="s">
        <v>1584</v>
      </c>
    </row>
    <row r="1139" spans="1:23" ht="13" customHeight="1" x14ac:dyDescent="0.35">
      <c r="A1139" s="11">
        <v>1133</v>
      </c>
      <c r="B1139" s="47">
        <v>203908914</v>
      </c>
      <c r="C1139" s="94" t="s">
        <v>1282</v>
      </c>
      <c r="D1139" s="11" t="s">
        <v>1283</v>
      </c>
      <c r="E1139" s="48" t="s">
        <v>31</v>
      </c>
      <c r="F1139" s="48" t="s">
        <v>74</v>
      </c>
      <c r="G1139" s="11" t="s">
        <v>64</v>
      </c>
      <c r="H1139" s="11" t="s">
        <v>75</v>
      </c>
      <c r="I1139" s="11">
        <v>1299</v>
      </c>
      <c r="J1139" s="49" t="s">
        <v>39</v>
      </c>
      <c r="K1139" s="49" t="s">
        <v>76</v>
      </c>
      <c r="L1139" s="49" t="s">
        <v>88</v>
      </c>
      <c r="M1139" s="49" t="s">
        <v>95</v>
      </c>
      <c r="N1139" s="48" t="s">
        <v>86</v>
      </c>
      <c r="O1139" s="49" t="s">
        <v>37</v>
      </c>
      <c r="P1139" s="11" t="s">
        <v>80</v>
      </c>
      <c r="Q1139" s="11" t="s">
        <v>90</v>
      </c>
      <c r="R1139" s="49" t="s">
        <v>648</v>
      </c>
      <c r="S1139" s="11" t="s">
        <v>1805</v>
      </c>
      <c r="T1139" s="90" t="s">
        <v>10</v>
      </c>
      <c r="U1139" s="91"/>
      <c r="V1139" s="51">
        <v>45537</v>
      </c>
      <c r="W1139" s="49" t="s">
        <v>1584</v>
      </c>
    </row>
    <row r="1140" spans="1:23" ht="13" customHeight="1" x14ac:dyDescent="0.35">
      <c r="A1140" s="11">
        <v>1134</v>
      </c>
      <c r="B1140" s="47">
        <v>204951311</v>
      </c>
      <c r="C1140" s="94" t="s">
        <v>2440</v>
      </c>
      <c r="D1140" s="11" t="s">
        <v>2441</v>
      </c>
      <c r="E1140" s="48" t="s">
        <v>31</v>
      </c>
      <c r="F1140" s="48" t="s">
        <v>74</v>
      </c>
      <c r="G1140" s="11" t="s">
        <v>64</v>
      </c>
      <c r="H1140" s="11" t="s">
        <v>75</v>
      </c>
      <c r="I1140" s="11">
        <v>1299</v>
      </c>
      <c r="J1140" s="49" t="s">
        <v>39</v>
      </c>
      <c r="K1140" s="49" t="s">
        <v>76</v>
      </c>
      <c r="L1140" s="49" t="s">
        <v>95</v>
      </c>
      <c r="M1140" s="49" t="s">
        <v>77</v>
      </c>
      <c r="N1140" s="48" t="s">
        <v>86</v>
      </c>
      <c r="O1140" s="49" t="s">
        <v>37</v>
      </c>
      <c r="P1140" s="11" t="s">
        <v>80</v>
      </c>
      <c r="Q1140" s="11" t="s">
        <v>90</v>
      </c>
      <c r="R1140" s="49" t="s">
        <v>648</v>
      </c>
      <c r="S1140" s="11" t="s">
        <v>1805</v>
      </c>
      <c r="T1140" s="90" t="s">
        <v>7</v>
      </c>
      <c r="U1140" s="90" t="s">
        <v>2914</v>
      </c>
      <c r="V1140" s="51">
        <v>45719</v>
      </c>
      <c r="W1140" s="49" t="s">
        <v>1584</v>
      </c>
    </row>
    <row r="1141" spans="1:23" ht="13" customHeight="1" x14ac:dyDescent="0.35">
      <c r="A1141" s="11">
        <v>1135</v>
      </c>
      <c r="B1141" s="47">
        <v>206137337</v>
      </c>
      <c r="C1141" s="94" t="s">
        <v>1284</v>
      </c>
      <c r="D1141" s="11" t="s">
        <v>1285</v>
      </c>
      <c r="E1141" s="48" t="s">
        <v>31</v>
      </c>
      <c r="F1141" s="48" t="s">
        <v>74</v>
      </c>
      <c r="G1141" s="11" t="s">
        <v>64</v>
      </c>
      <c r="H1141" s="11" t="s">
        <v>75</v>
      </c>
      <c r="I1141" s="11">
        <v>1299</v>
      </c>
      <c r="J1141" s="49" t="s">
        <v>39</v>
      </c>
      <c r="K1141" s="49" t="s">
        <v>76</v>
      </c>
      <c r="L1141" s="49" t="s">
        <v>84</v>
      </c>
      <c r="M1141" s="49" t="s">
        <v>85</v>
      </c>
      <c r="N1141" s="48" t="s">
        <v>79</v>
      </c>
      <c r="O1141" s="49" t="s">
        <v>37</v>
      </c>
      <c r="P1141" s="11" t="s">
        <v>80</v>
      </c>
      <c r="Q1141" s="11" t="s">
        <v>81</v>
      </c>
      <c r="R1141" s="49" t="s">
        <v>628</v>
      </c>
      <c r="S1141" s="11" t="s">
        <v>629</v>
      </c>
      <c r="T1141" s="90" t="s">
        <v>4</v>
      </c>
      <c r="U1141" s="90"/>
      <c r="V1141" s="51">
        <v>45929</v>
      </c>
      <c r="W1141" s="49" t="s">
        <v>1584</v>
      </c>
    </row>
    <row r="1142" spans="1:23" ht="13" customHeight="1" x14ac:dyDescent="0.35">
      <c r="A1142" s="11">
        <v>1136</v>
      </c>
      <c r="B1142" s="47">
        <v>203512964</v>
      </c>
      <c r="C1142" s="94" t="s">
        <v>1286</v>
      </c>
      <c r="D1142" s="11" t="s">
        <v>1287</v>
      </c>
      <c r="E1142" s="48" t="s">
        <v>31</v>
      </c>
      <c r="F1142" s="48" t="s">
        <v>74</v>
      </c>
      <c r="G1142" s="11" t="s">
        <v>64</v>
      </c>
      <c r="H1142" s="11" t="s">
        <v>75</v>
      </c>
      <c r="I1142" s="11">
        <v>1299</v>
      </c>
      <c r="J1142" s="49" t="s">
        <v>39</v>
      </c>
      <c r="K1142" s="49" t="s">
        <v>76</v>
      </c>
      <c r="L1142" s="49" t="s">
        <v>95</v>
      </c>
      <c r="M1142" s="49" t="s">
        <v>77</v>
      </c>
      <c r="N1142" s="48" t="s">
        <v>79</v>
      </c>
      <c r="O1142" s="49" t="s">
        <v>37</v>
      </c>
      <c r="P1142" s="11" t="s">
        <v>80</v>
      </c>
      <c r="Q1142" s="11" t="s">
        <v>81</v>
      </c>
      <c r="R1142" s="11" t="s">
        <v>1069</v>
      </c>
      <c r="S1142" s="11" t="s">
        <v>2733</v>
      </c>
      <c r="T1142" s="90" t="s">
        <v>7</v>
      </c>
      <c r="U1142" s="90" t="s">
        <v>2914</v>
      </c>
      <c r="V1142" s="51">
        <v>45463</v>
      </c>
      <c r="W1142" s="49" t="s">
        <v>1584</v>
      </c>
    </row>
    <row r="1143" spans="1:23" ht="13" customHeight="1" x14ac:dyDescent="0.35">
      <c r="A1143" s="11">
        <v>1137</v>
      </c>
      <c r="B1143" s="47">
        <v>203908343</v>
      </c>
      <c r="C1143" s="94" t="s">
        <v>2442</v>
      </c>
      <c r="D1143" s="11" t="s">
        <v>2443</v>
      </c>
      <c r="E1143" s="48" t="s">
        <v>31</v>
      </c>
      <c r="F1143" s="48" t="s">
        <v>74</v>
      </c>
      <c r="G1143" s="11" t="s">
        <v>64</v>
      </c>
      <c r="H1143" s="11" t="s">
        <v>75</v>
      </c>
      <c r="I1143" s="11">
        <v>1299</v>
      </c>
      <c r="J1143" s="49" t="s">
        <v>39</v>
      </c>
      <c r="K1143" s="49" t="s">
        <v>76</v>
      </c>
      <c r="L1143" s="49" t="s">
        <v>85</v>
      </c>
      <c r="M1143" s="49" t="s">
        <v>88</v>
      </c>
      <c r="N1143" s="48" t="s">
        <v>86</v>
      </c>
      <c r="O1143" s="49" t="s">
        <v>37</v>
      </c>
      <c r="P1143" s="11" t="s">
        <v>80</v>
      </c>
      <c r="Q1143" s="11" t="s">
        <v>90</v>
      </c>
      <c r="R1143" s="11" t="s">
        <v>632</v>
      </c>
      <c r="S1143" s="11" t="s">
        <v>633</v>
      </c>
      <c r="T1143" s="90" t="s">
        <v>10</v>
      </c>
      <c r="U1143" s="90"/>
      <c r="V1143" s="51">
        <v>45537</v>
      </c>
      <c r="W1143" s="49" t="s">
        <v>1584</v>
      </c>
    </row>
    <row r="1144" spans="1:23" ht="13" customHeight="1" x14ac:dyDescent="0.35">
      <c r="A1144" s="11">
        <v>1138</v>
      </c>
      <c r="B1144" s="47">
        <v>203512952</v>
      </c>
      <c r="C1144" s="94" t="s">
        <v>1288</v>
      </c>
      <c r="D1144" s="11" t="s">
        <v>1289</v>
      </c>
      <c r="E1144" s="48" t="s">
        <v>31</v>
      </c>
      <c r="F1144" s="48" t="s">
        <v>74</v>
      </c>
      <c r="G1144" s="11" t="s">
        <v>64</v>
      </c>
      <c r="H1144" s="11" t="s">
        <v>75</v>
      </c>
      <c r="I1144" s="11">
        <v>1299</v>
      </c>
      <c r="J1144" s="49" t="s">
        <v>32</v>
      </c>
      <c r="K1144" s="49" t="s">
        <v>76</v>
      </c>
      <c r="L1144" s="49" t="s">
        <v>84</v>
      </c>
      <c r="M1144" s="49" t="s">
        <v>85</v>
      </c>
      <c r="N1144" s="48" t="s">
        <v>79</v>
      </c>
      <c r="O1144" s="49" t="s">
        <v>37</v>
      </c>
      <c r="P1144" s="11" t="s">
        <v>80</v>
      </c>
      <c r="Q1144" s="11" t="s">
        <v>81</v>
      </c>
      <c r="R1144" s="11" t="s">
        <v>1069</v>
      </c>
      <c r="S1144" s="11" t="s">
        <v>2733</v>
      </c>
      <c r="T1144" s="90" t="s">
        <v>1</v>
      </c>
      <c r="U1144" s="90"/>
      <c r="V1144" s="51">
        <v>45463</v>
      </c>
      <c r="W1144" s="73" t="s">
        <v>1584</v>
      </c>
    </row>
    <row r="1145" spans="1:23" ht="13" customHeight="1" x14ac:dyDescent="0.35">
      <c r="A1145" s="11">
        <v>1139</v>
      </c>
      <c r="B1145" s="47">
        <v>203881713</v>
      </c>
      <c r="C1145" s="94" t="s">
        <v>1290</v>
      </c>
      <c r="D1145" s="11" t="s">
        <v>1291</v>
      </c>
      <c r="E1145" s="48" t="s">
        <v>31</v>
      </c>
      <c r="F1145" s="48" t="s">
        <v>74</v>
      </c>
      <c r="G1145" s="11" t="s">
        <v>64</v>
      </c>
      <c r="H1145" s="11" t="s">
        <v>75</v>
      </c>
      <c r="I1145" s="11">
        <v>1299</v>
      </c>
      <c r="J1145" s="49" t="s">
        <v>32</v>
      </c>
      <c r="K1145" s="49" t="s">
        <v>76</v>
      </c>
      <c r="L1145" s="49" t="s">
        <v>84</v>
      </c>
      <c r="M1145" s="49" t="s">
        <v>85</v>
      </c>
      <c r="N1145" s="48" t="s">
        <v>79</v>
      </c>
      <c r="O1145" s="49" t="s">
        <v>37</v>
      </c>
      <c r="P1145" s="11" t="s">
        <v>80</v>
      </c>
      <c r="Q1145" s="11" t="s">
        <v>81</v>
      </c>
      <c r="R1145" s="49" t="s">
        <v>648</v>
      </c>
      <c r="S1145" s="11" t="s">
        <v>1805</v>
      </c>
      <c r="T1145" s="90" t="s">
        <v>1</v>
      </c>
      <c r="U1145" s="90"/>
      <c r="V1145" s="51">
        <v>45530</v>
      </c>
      <c r="W1145" s="49" t="s">
        <v>1584</v>
      </c>
    </row>
    <row r="1146" spans="1:23" ht="13" customHeight="1" x14ac:dyDescent="0.35">
      <c r="A1146" s="11">
        <v>1140</v>
      </c>
      <c r="B1146" s="47">
        <v>203341958</v>
      </c>
      <c r="C1146" s="94" t="s">
        <v>1622</v>
      </c>
      <c r="D1146" s="11" t="s">
        <v>1292</v>
      </c>
      <c r="E1146" s="48" t="s">
        <v>31</v>
      </c>
      <c r="F1146" s="48" t="s">
        <v>74</v>
      </c>
      <c r="G1146" s="11" t="s">
        <v>64</v>
      </c>
      <c r="H1146" s="11" t="s">
        <v>75</v>
      </c>
      <c r="I1146" s="11">
        <v>1299</v>
      </c>
      <c r="J1146" s="49" t="s">
        <v>32</v>
      </c>
      <c r="K1146" s="49" t="s">
        <v>76</v>
      </c>
      <c r="L1146" s="49" t="s">
        <v>95</v>
      </c>
      <c r="M1146" s="49" t="s">
        <v>77</v>
      </c>
      <c r="N1146" s="48" t="s">
        <v>86</v>
      </c>
      <c r="O1146" s="49" t="s">
        <v>37</v>
      </c>
      <c r="P1146" s="11" t="s">
        <v>80</v>
      </c>
      <c r="Q1146" s="11" t="s">
        <v>99</v>
      </c>
      <c r="R1146" s="11" t="s">
        <v>632</v>
      </c>
      <c r="S1146" s="11" t="s">
        <v>633</v>
      </c>
      <c r="T1146" s="90" t="s">
        <v>1</v>
      </c>
      <c r="U1146" s="90"/>
      <c r="V1146" s="51">
        <v>45432</v>
      </c>
      <c r="W1146" s="49" t="s">
        <v>1585</v>
      </c>
    </row>
    <row r="1147" spans="1:23" ht="13" customHeight="1" x14ac:dyDescent="0.35">
      <c r="A1147" s="11">
        <v>1141</v>
      </c>
      <c r="B1147" s="47">
        <v>203965408</v>
      </c>
      <c r="C1147" s="94" t="s">
        <v>1293</v>
      </c>
      <c r="D1147" s="11" t="s">
        <v>1294</v>
      </c>
      <c r="E1147" s="48" t="s">
        <v>31</v>
      </c>
      <c r="F1147" s="48" t="s">
        <v>74</v>
      </c>
      <c r="G1147" s="11" t="s">
        <v>64</v>
      </c>
      <c r="H1147" s="11" t="s">
        <v>75</v>
      </c>
      <c r="I1147" s="11">
        <v>1299</v>
      </c>
      <c r="J1147" s="49" t="s">
        <v>32</v>
      </c>
      <c r="K1147" s="49" t="s">
        <v>76</v>
      </c>
      <c r="L1147" s="49" t="s">
        <v>92</v>
      </c>
      <c r="M1147" s="49" t="s">
        <v>84</v>
      </c>
      <c r="N1147" s="48" t="s">
        <v>79</v>
      </c>
      <c r="O1147" s="49" t="s">
        <v>37</v>
      </c>
      <c r="P1147" s="11" t="s">
        <v>80</v>
      </c>
      <c r="Q1147" s="11" t="s">
        <v>81</v>
      </c>
      <c r="R1147" s="11" t="s">
        <v>640</v>
      </c>
      <c r="S1147" s="11" t="s">
        <v>2734</v>
      </c>
      <c r="T1147" s="90" t="s">
        <v>1</v>
      </c>
      <c r="U1147" s="90" t="s">
        <v>2914</v>
      </c>
      <c r="V1147" s="51">
        <v>45544</v>
      </c>
      <c r="W1147" s="49" t="s">
        <v>1584</v>
      </c>
    </row>
    <row r="1148" spans="1:23" ht="13" customHeight="1" x14ac:dyDescent="0.35">
      <c r="A1148" s="11">
        <v>1142</v>
      </c>
      <c r="B1148" s="97">
        <v>203993454</v>
      </c>
      <c r="C1148" s="47" t="s">
        <v>2838</v>
      </c>
      <c r="D1148" s="94" t="s">
        <v>2839</v>
      </c>
      <c r="E1148" s="48" t="s">
        <v>31</v>
      </c>
      <c r="F1148" s="48" t="s">
        <v>74</v>
      </c>
      <c r="G1148" s="11" t="s">
        <v>64</v>
      </c>
      <c r="H1148" s="11" t="s">
        <v>75</v>
      </c>
      <c r="I1148" s="11">
        <v>1299</v>
      </c>
      <c r="J1148" s="49" t="s">
        <v>39</v>
      </c>
      <c r="K1148" s="49" t="s">
        <v>76</v>
      </c>
      <c r="L1148" s="49" t="s">
        <v>36</v>
      </c>
      <c r="M1148" s="49" t="s">
        <v>95</v>
      </c>
      <c r="N1148" s="48" t="s">
        <v>86</v>
      </c>
      <c r="O1148" s="49" t="s">
        <v>37</v>
      </c>
      <c r="P1148" s="11" t="s">
        <v>80</v>
      </c>
      <c r="Q1148" s="11" t="s">
        <v>90</v>
      </c>
      <c r="R1148" s="11" t="s">
        <v>2865</v>
      </c>
      <c r="S1148" s="11" t="s">
        <v>2866</v>
      </c>
      <c r="T1148" s="90" t="s">
        <v>1</v>
      </c>
      <c r="U1148" s="125" t="s">
        <v>2919</v>
      </c>
      <c r="V1148" s="51">
        <v>45551</v>
      </c>
      <c r="W1148" s="49" t="s">
        <v>1584</v>
      </c>
    </row>
    <row r="1149" spans="1:23" ht="13" customHeight="1" x14ac:dyDescent="0.35">
      <c r="A1149" s="11">
        <v>1143</v>
      </c>
      <c r="B1149" s="47">
        <v>203965497</v>
      </c>
      <c r="C1149" s="94" t="s">
        <v>1295</v>
      </c>
      <c r="D1149" s="11" t="s">
        <v>1296</v>
      </c>
      <c r="E1149" s="48" t="s">
        <v>31</v>
      </c>
      <c r="F1149" s="48" t="s">
        <v>74</v>
      </c>
      <c r="G1149" s="11" t="s">
        <v>64</v>
      </c>
      <c r="H1149" s="11" t="s">
        <v>75</v>
      </c>
      <c r="I1149" s="11">
        <v>1299</v>
      </c>
      <c r="J1149" s="49" t="s">
        <v>32</v>
      </c>
      <c r="K1149" s="49" t="s">
        <v>76</v>
      </c>
      <c r="L1149" s="49" t="s">
        <v>78</v>
      </c>
      <c r="M1149" s="49" t="s">
        <v>92</v>
      </c>
      <c r="N1149" s="48" t="s">
        <v>79</v>
      </c>
      <c r="O1149" s="49" t="s">
        <v>37</v>
      </c>
      <c r="P1149" s="11" t="s">
        <v>80</v>
      </c>
      <c r="Q1149" s="11" t="s">
        <v>81</v>
      </c>
      <c r="R1149" s="11" t="s">
        <v>1069</v>
      </c>
      <c r="S1149" s="11" t="s">
        <v>2733</v>
      </c>
      <c r="T1149" s="90" t="s">
        <v>1</v>
      </c>
      <c r="U1149" s="89"/>
      <c r="V1149" s="51">
        <v>45544</v>
      </c>
      <c r="W1149" s="49" t="s">
        <v>1584</v>
      </c>
    </row>
    <row r="1150" spans="1:23" ht="13" customHeight="1" x14ac:dyDescent="0.35">
      <c r="A1150" s="11">
        <v>1144</v>
      </c>
      <c r="B1150" s="47">
        <v>204116445</v>
      </c>
      <c r="C1150" s="94" t="s">
        <v>1297</v>
      </c>
      <c r="D1150" s="11" t="s">
        <v>1298</v>
      </c>
      <c r="E1150" s="48" t="s">
        <v>31</v>
      </c>
      <c r="F1150" s="48" t="s">
        <v>74</v>
      </c>
      <c r="G1150" s="11" t="s">
        <v>64</v>
      </c>
      <c r="H1150" s="11" t="s">
        <v>75</v>
      </c>
      <c r="I1150" s="11">
        <v>1299</v>
      </c>
      <c r="J1150" s="49" t="s">
        <v>39</v>
      </c>
      <c r="K1150" s="49" t="s">
        <v>76</v>
      </c>
      <c r="L1150" s="49" t="s">
        <v>78</v>
      </c>
      <c r="M1150" s="49" t="s">
        <v>92</v>
      </c>
      <c r="N1150" s="48" t="s">
        <v>86</v>
      </c>
      <c r="O1150" s="49" t="s">
        <v>37</v>
      </c>
      <c r="P1150" s="11" t="s">
        <v>80</v>
      </c>
      <c r="Q1150" s="11" t="s">
        <v>87</v>
      </c>
      <c r="R1150" s="11" t="s">
        <v>1069</v>
      </c>
      <c r="S1150" s="11" t="s">
        <v>2733</v>
      </c>
      <c r="T1150" s="90" t="s">
        <v>1</v>
      </c>
      <c r="U1150" s="90"/>
      <c r="V1150" s="51">
        <v>45561</v>
      </c>
      <c r="W1150" s="49" t="s">
        <v>1583</v>
      </c>
    </row>
    <row r="1151" spans="1:23" ht="13" customHeight="1" x14ac:dyDescent="0.35">
      <c r="A1151" s="11">
        <v>1145</v>
      </c>
      <c r="B1151" s="47">
        <v>204095447</v>
      </c>
      <c r="C1151" s="94" t="s">
        <v>1299</v>
      </c>
      <c r="D1151" s="11" t="s">
        <v>1300</v>
      </c>
      <c r="E1151" s="48" t="s">
        <v>31</v>
      </c>
      <c r="F1151" s="48" t="s">
        <v>74</v>
      </c>
      <c r="G1151" s="11" t="s">
        <v>64</v>
      </c>
      <c r="H1151" s="11" t="s">
        <v>75</v>
      </c>
      <c r="I1151" s="11">
        <v>1299</v>
      </c>
      <c r="J1151" s="49" t="s">
        <v>39</v>
      </c>
      <c r="K1151" s="49" t="s">
        <v>76</v>
      </c>
      <c r="L1151" s="49" t="s">
        <v>92</v>
      </c>
      <c r="M1151" s="49" t="s">
        <v>84</v>
      </c>
      <c r="N1151" s="48" t="s">
        <v>86</v>
      </c>
      <c r="O1151" s="49" t="s">
        <v>37</v>
      </c>
      <c r="P1151" s="11" t="s">
        <v>80</v>
      </c>
      <c r="Q1151" s="11" t="s">
        <v>87</v>
      </c>
      <c r="R1151" s="11" t="s">
        <v>1069</v>
      </c>
      <c r="S1151" s="11" t="s">
        <v>2733</v>
      </c>
      <c r="T1151" s="90" t="s">
        <v>1</v>
      </c>
      <c r="U1151" s="89"/>
      <c r="V1151" s="51">
        <v>45561</v>
      </c>
      <c r="W1151" s="49" t="s">
        <v>1585</v>
      </c>
    </row>
    <row r="1152" spans="1:23" ht="13" customHeight="1" x14ac:dyDescent="0.35">
      <c r="A1152" s="11">
        <v>1146</v>
      </c>
      <c r="B1152" s="47">
        <v>206137339</v>
      </c>
      <c r="C1152" s="94" t="s">
        <v>1301</v>
      </c>
      <c r="D1152" s="11" t="s">
        <v>1302</v>
      </c>
      <c r="E1152" s="48" t="s">
        <v>31</v>
      </c>
      <c r="F1152" s="48" t="s">
        <v>74</v>
      </c>
      <c r="G1152" s="11" t="s">
        <v>64</v>
      </c>
      <c r="H1152" s="11" t="s">
        <v>75</v>
      </c>
      <c r="I1152" s="11">
        <v>1299</v>
      </c>
      <c r="J1152" s="49" t="s">
        <v>39</v>
      </c>
      <c r="K1152" s="49" t="s">
        <v>76</v>
      </c>
      <c r="L1152" s="49" t="s">
        <v>85</v>
      </c>
      <c r="M1152" s="49" t="s">
        <v>88</v>
      </c>
      <c r="N1152" s="48" t="s">
        <v>79</v>
      </c>
      <c r="O1152" s="49" t="s">
        <v>37</v>
      </c>
      <c r="P1152" s="11" t="s">
        <v>80</v>
      </c>
      <c r="Q1152" s="11" t="s">
        <v>81</v>
      </c>
      <c r="R1152" s="49" t="s">
        <v>628</v>
      </c>
      <c r="S1152" s="11" t="s">
        <v>629</v>
      </c>
      <c r="T1152" s="90" t="s">
        <v>10</v>
      </c>
      <c r="U1152" s="89"/>
      <c r="V1152" s="51">
        <v>45929</v>
      </c>
      <c r="W1152" s="49" t="s">
        <v>1584</v>
      </c>
    </row>
    <row r="1153" spans="1:23" ht="13" customHeight="1" x14ac:dyDescent="0.35">
      <c r="A1153" s="11">
        <v>1147</v>
      </c>
      <c r="B1153" s="47">
        <v>204052514</v>
      </c>
      <c r="C1153" s="94" t="s">
        <v>1303</v>
      </c>
      <c r="D1153" s="11" t="s">
        <v>1304</v>
      </c>
      <c r="E1153" s="48" t="s">
        <v>31</v>
      </c>
      <c r="F1153" s="48" t="s">
        <v>74</v>
      </c>
      <c r="G1153" s="11" t="s">
        <v>64</v>
      </c>
      <c r="H1153" s="11" t="s">
        <v>75</v>
      </c>
      <c r="I1153" s="11">
        <v>1299</v>
      </c>
      <c r="J1153" s="49" t="s">
        <v>32</v>
      </c>
      <c r="K1153" s="49" t="s">
        <v>76</v>
      </c>
      <c r="L1153" s="49" t="s">
        <v>78</v>
      </c>
      <c r="M1153" s="49" t="s">
        <v>92</v>
      </c>
      <c r="N1153" s="48" t="s">
        <v>86</v>
      </c>
      <c r="O1153" s="49" t="s">
        <v>37</v>
      </c>
      <c r="P1153" s="11" t="s">
        <v>80</v>
      </c>
      <c r="Q1153" s="11" t="s">
        <v>99</v>
      </c>
      <c r="R1153" s="49" t="s">
        <v>648</v>
      </c>
      <c r="S1153" s="11" t="s">
        <v>1805</v>
      </c>
      <c r="T1153" s="90" t="s">
        <v>1</v>
      </c>
      <c r="U1153" s="89"/>
      <c r="V1153" s="51">
        <v>45558</v>
      </c>
      <c r="W1153" s="49" t="s">
        <v>1583</v>
      </c>
    </row>
    <row r="1154" spans="1:23" ht="13" customHeight="1" x14ac:dyDescent="0.35">
      <c r="A1154" s="11">
        <v>1148</v>
      </c>
      <c r="B1154" s="47">
        <v>205133785</v>
      </c>
      <c r="C1154" s="94" t="s">
        <v>2095</v>
      </c>
      <c r="D1154" s="11" t="s">
        <v>2096</v>
      </c>
      <c r="E1154" s="48" t="s">
        <v>31</v>
      </c>
      <c r="F1154" s="48" t="s">
        <v>74</v>
      </c>
      <c r="G1154" s="11" t="s">
        <v>64</v>
      </c>
      <c r="H1154" s="11" t="s">
        <v>75</v>
      </c>
      <c r="I1154" s="11">
        <v>1299</v>
      </c>
      <c r="J1154" s="49" t="s">
        <v>39</v>
      </c>
      <c r="K1154" s="49" t="s">
        <v>76</v>
      </c>
      <c r="L1154" s="49" t="s">
        <v>88</v>
      </c>
      <c r="M1154" s="49" t="s">
        <v>95</v>
      </c>
      <c r="N1154" s="49" t="s">
        <v>79</v>
      </c>
      <c r="O1154" s="49" t="s">
        <v>37</v>
      </c>
      <c r="P1154" s="11" t="s">
        <v>80</v>
      </c>
      <c r="Q1154" s="11" t="s">
        <v>96</v>
      </c>
      <c r="R1154" s="11" t="s">
        <v>632</v>
      </c>
      <c r="S1154" s="11" t="s">
        <v>633</v>
      </c>
      <c r="T1154" s="90" t="s">
        <v>10</v>
      </c>
      <c r="U1154" s="90"/>
      <c r="V1154" s="51">
        <v>46048</v>
      </c>
      <c r="W1154" s="49" t="s">
        <v>1584</v>
      </c>
    </row>
    <row r="1155" spans="1:23" ht="13" customHeight="1" x14ac:dyDescent="0.35">
      <c r="A1155" s="11">
        <v>1149</v>
      </c>
      <c r="B1155" s="97">
        <v>204072899</v>
      </c>
      <c r="C1155" s="47" t="s">
        <v>2840</v>
      </c>
      <c r="D1155" s="94" t="s">
        <v>2841</v>
      </c>
      <c r="E1155" s="48" t="s">
        <v>31</v>
      </c>
      <c r="F1155" s="48" t="s">
        <v>74</v>
      </c>
      <c r="G1155" s="11" t="s">
        <v>64</v>
      </c>
      <c r="H1155" s="11" t="s">
        <v>75</v>
      </c>
      <c r="I1155" s="11">
        <v>1299</v>
      </c>
      <c r="J1155" s="49" t="s">
        <v>39</v>
      </c>
      <c r="K1155" s="49" t="s">
        <v>76</v>
      </c>
      <c r="L1155" s="49" t="s">
        <v>95</v>
      </c>
      <c r="M1155" s="49" t="s">
        <v>77</v>
      </c>
      <c r="N1155" s="48" t="s">
        <v>86</v>
      </c>
      <c r="O1155" s="49" t="s">
        <v>37</v>
      </c>
      <c r="P1155" s="11" t="s">
        <v>80</v>
      </c>
      <c r="Q1155" s="11" t="s">
        <v>90</v>
      </c>
      <c r="R1155" s="11" t="s">
        <v>2865</v>
      </c>
      <c r="S1155" s="11" t="s">
        <v>2866</v>
      </c>
      <c r="T1155" s="90" t="s">
        <v>1</v>
      </c>
      <c r="U1155" s="89"/>
      <c r="V1155" s="51">
        <v>45558</v>
      </c>
      <c r="W1155" s="49" t="s">
        <v>1584</v>
      </c>
    </row>
    <row r="1156" spans="1:23" ht="13" customHeight="1" x14ac:dyDescent="0.35">
      <c r="A1156" s="11">
        <v>1150</v>
      </c>
      <c r="B1156" s="47">
        <v>106262687</v>
      </c>
      <c r="C1156" s="94" t="s">
        <v>1305</v>
      </c>
      <c r="D1156" s="11" t="s">
        <v>1306</v>
      </c>
      <c r="E1156" s="48" t="s">
        <v>34</v>
      </c>
      <c r="F1156" s="48" t="s">
        <v>74</v>
      </c>
      <c r="G1156" s="11" t="s">
        <v>64</v>
      </c>
      <c r="H1156" s="11" t="s">
        <v>75</v>
      </c>
      <c r="I1156" s="11">
        <v>1299</v>
      </c>
      <c r="J1156" s="49" t="s">
        <v>32</v>
      </c>
      <c r="K1156" s="49" t="s">
        <v>76</v>
      </c>
      <c r="L1156" s="49" t="s">
        <v>78</v>
      </c>
      <c r="M1156" s="49" t="s">
        <v>92</v>
      </c>
      <c r="N1156" s="48" t="s">
        <v>97</v>
      </c>
      <c r="O1156" s="49" t="s">
        <v>37</v>
      </c>
      <c r="P1156" s="11" t="s">
        <v>80</v>
      </c>
      <c r="Q1156" s="11" t="s">
        <v>98</v>
      </c>
      <c r="R1156" s="49" t="s">
        <v>2735</v>
      </c>
      <c r="S1156" s="11" t="s">
        <v>643</v>
      </c>
      <c r="T1156" s="90" t="s">
        <v>1</v>
      </c>
      <c r="U1156" s="91"/>
      <c r="V1156" s="51">
        <v>44757</v>
      </c>
      <c r="W1156" s="49" t="s">
        <v>1585</v>
      </c>
    </row>
    <row r="1157" spans="1:23" ht="13" customHeight="1" x14ac:dyDescent="0.35">
      <c r="A1157" s="11">
        <v>1151</v>
      </c>
      <c r="B1157" s="47">
        <v>203964997</v>
      </c>
      <c r="C1157" s="94" t="s">
        <v>1307</v>
      </c>
      <c r="D1157" s="11" t="s">
        <v>1308</v>
      </c>
      <c r="E1157" s="48" t="s">
        <v>31</v>
      </c>
      <c r="F1157" s="48" t="s">
        <v>74</v>
      </c>
      <c r="G1157" s="11" t="s">
        <v>64</v>
      </c>
      <c r="H1157" s="11" t="s">
        <v>75</v>
      </c>
      <c r="I1157" s="11">
        <v>1299</v>
      </c>
      <c r="J1157" s="49" t="s">
        <v>32</v>
      </c>
      <c r="K1157" s="49" t="s">
        <v>76</v>
      </c>
      <c r="L1157" s="49" t="s">
        <v>84</v>
      </c>
      <c r="M1157" s="49" t="s">
        <v>85</v>
      </c>
      <c r="N1157" s="48" t="s">
        <v>86</v>
      </c>
      <c r="O1157" s="49" t="s">
        <v>37</v>
      </c>
      <c r="P1157" s="11" t="s">
        <v>80</v>
      </c>
      <c r="Q1157" s="11" t="s">
        <v>99</v>
      </c>
      <c r="R1157" s="49" t="s">
        <v>648</v>
      </c>
      <c r="S1157" s="11" t="s">
        <v>1805</v>
      </c>
      <c r="T1157" s="90" t="s">
        <v>1</v>
      </c>
      <c r="U1157" s="89"/>
      <c r="V1157" s="51">
        <v>45544</v>
      </c>
      <c r="W1157" s="49" t="s">
        <v>1584</v>
      </c>
    </row>
    <row r="1158" spans="1:23" ht="13" customHeight="1" x14ac:dyDescent="0.35">
      <c r="A1158" s="11">
        <v>1152</v>
      </c>
      <c r="B1158" s="47">
        <v>205845561</v>
      </c>
      <c r="C1158" s="94" t="s">
        <v>2444</v>
      </c>
      <c r="D1158" s="11" t="s">
        <v>2445</v>
      </c>
      <c r="E1158" s="48" t="s">
        <v>31</v>
      </c>
      <c r="F1158" s="48" t="s">
        <v>74</v>
      </c>
      <c r="G1158" s="11" t="s">
        <v>64</v>
      </c>
      <c r="H1158" s="11" t="s">
        <v>75</v>
      </c>
      <c r="I1158" s="11">
        <v>1299</v>
      </c>
      <c r="J1158" s="49" t="s">
        <v>32</v>
      </c>
      <c r="K1158" s="49" t="s">
        <v>76</v>
      </c>
      <c r="L1158" s="49" t="s">
        <v>77</v>
      </c>
      <c r="M1158" s="49" t="s">
        <v>78</v>
      </c>
      <c r="N1158" s="48" t="s">
        <v>86</v>
      </c>
      <c r="O1158" s="49" t="s">
        <v>37</v>
      </c>
      <c r="P1158" s="11" t="s">
        <v>80</v>
      </c>
      <c r="Q1158" s="11" t="s">
        <v>90</v>
      </c>
      <c r="R1158" s="11" t="s">
        <v>2865</v>
      </c>
      <c r="S1158" s="11" t="s">
        <v>2866</v>
      </c>
      <c r="T1158" s="90" t="s">
        <v>7</v>
      </c>
      <c r="U1158" s="90" t="s">
        <v>2914</v>
      </c>
      <c r="V1158" s="51">
        <v>45894</v>
      </c>
      <c r="W1158" s="49" t="s">
        <v>1584</v>
      </c>
    </row>
    <row r="1159" spans="1:23" ht="13" customHeight="1" x14ac:dyDescent="0.35">
      <c r="A1159" s="11">
        <v>1153</v>
      </c>
      <c r="B1159" s="47">
        <v>206073368</v>
      </c>
      <c r="C1159" s="94" t="s">
        <v>1309</v>
      </c>
      <c r="D1159" s="11" t="s">
        <v>1310</v>
      </c>
      <c r="E1159" s="48" t="s">
        <v>31</v>
      </c>
      <c r="F1159" s="48" t="s">
        <v>74</v>
      </c>
      <c r="G1159" s="11" t="s">
        <v>64</v>
      </c>
      <c r="H1159" s="11" t="s">
        <v>75</v>
      </c>
      <c r="I1159" s="11">
        <v>1299</v>
      </c>
      <c r="J1159" s="49" t="s">
        <v>39</v>
      </c>
      <c r="K1159" s="49" t="s">
        <v>76</v>
      </c>
      <c r="L1159" s="49" t="s">
        <v>85</v>
      </c>
      <c r="M1159" s="49" t="s">
        <v>88</v>
      </c>
      <c r="N1159" s="48" t="s">
        <v>79</v>
      </c>
      <c r="O1159" s="49" t="s">
        <v>37</v>
      </c>
      <c r="P1159" s="11" t="s">
        <v>80</v>
      </c>
      <c r="Q1159" s="11" t="s">
        <v>81</v>
      </c>
      <c r="R1159" s="49" t="s">
        <v>2735</v>
      </c>
      <c r="S1159" s="11" t="s">
        <v>643</v>
      </c>
      <c r="T1159" s="90" t="s">
        <v>10</v>
      </c>
      <c r="U1159" s="91"/>
      <c r="V1159" s="51">
        <v>45922</v>
      </c>
      <c r="W1159" s="49" t="s">
        <v>1584</v>
      </c>
    </row>
    <row r="1160" spans="1:23" ht="13" customHeight="1" x14ac:dyDescent="0.35">
      <c r="A1160" s="11">
        <v>1154</v>
      </c>
      <c r="B1160" s="47">
        <v>206846535</v>
      </c>
      <c r="C1160" s="94" t="s">
        <v>1828</v>
      </c>
      <c r="D1160" s="47" t="s">
        <v>1829</v>
      </c>
      <c r="E1160" s="47" t="s">
        <v>31</v>
      </c>
      <c r="F1160" s="48" t="s">
        <v>74</v>
      </c>
      <c r="G1160" s="11" t="s">
        <v>64</v>
      </c>
      <c r="H1160" s="11" t="s">
        <v>75</v>
      </c>
      <c r="I1160" s="47">
        <v>1299</v>
      </c>
      <c r="J1160" s="49" t="s">
        <v>32</v>
      </c>
      <c r="K1160" s="49" t="s">
        <v>76</v>
      </c>
      <c r="L1160" s="49" t="s">
        <v>95</v>
      </c>
      <c r="M1160" s="49" t="s">
        <v>77</v>
      </c>
      <c r="N1160" s="49" t="s">
        <v>89</v>
      </c>
      <c r="O1160" s="49" t="s">
        <v>37</v>
      </c>
      <c r="P1160" s="11" t="s">
        <v>80</v>
      </c>
      <c r="Q1160" s="47" t="s">
        <v>90</v>
      </c>
      <c r="R1160" s="49" t="s">
        <v>2735</v>
      </c>
      <c r="S1160" s="47" t="s">
        <v>643</v>
      </c>
      <c r="T1160" s="90" t="s">
        <v>1</v>
      </c>
      <c r="U1160" s="89"/>
      <c r="V1160" s="51">
        <v>46013</v>
      </c>
      <c r="W1160" s="49" t="s">
        <v>1584</v>
      </c>
    </row>
    <row r="1161" spans="1:23" ht="13" customHeight="1" x14ac:dyDescent="0.35">
      <c r="A1161" s="11">
        <v>1155</v>
      </c>
      <c r="B1161" s="47">
        <v>206851165</v>
      </c>
      <c r="C1161" s="94" t="s">
        <v>1870</v>
      </c>
      <c r="D1161" s="11" t="s">
        <v>1871</v>
      </c>
      <c r="E1161" s="48" t="s">
        <v>31</v>
      </c>
      <c r="F1161" s="48" t="s">
        <v>74</v>
      </c>
      <c r="G1161" s="11" t="s">
        <v>64</v>
      </c>
      <c r="H1161" s="11" t="s">
        <v>75</v>
      </c>
      <c r="I1161" s="11">
        <v>1299</v>
      </c>
      <c r="J1161" s="49" t="s">
        <v>39</v>
      </c>
      <c r="K1161" s="49" t="s">
        <v>76</v>
      </c>
      <c r="L1161" s="49" t="s">
        <v>88</v>
      </c>
      <c r="M1161" s="49" t="s">
        <v>95</v>
      </c>
      <c r="N1161" s="49" t="s">
        <v>89</v>
      </c>
      <c r="O1161" s="48" t="s">
        <v>37</v>
      </c>
      <c r="P1161" s="48" t="s">
        <v>80</v>
      </c>
      <c r="Q1161" s="11" t="s">
        <v>90</v>
      </c>
      <c r="R1161" s="49" t="s">
        <v>648</v>
      </c>
      <c r="S1161" s="11" t="s">
        <v>1805</v>
      </c>
      <c r="T1161" s="90" t="s">
        <v>10</v>
      </c>
      <c r="U1161" s="90"/>
      <c r="V1161" s="51">
        <v>46030</v>
      </c>
      <c r="W1161" s="49" t="s">
        <v>1584</v>
      </c>
    </row>
    <row r="1162" spans="1:23" ht="13" customHeight="1" x14ac:dyDescent="0.35">
      <c r="A1162" s="11">
        <v>1156</v>
      </c>
      <c r="B1162" s="47">
        <v>103868662</v>
      </c>
      <c r="C1162" s="94" t="s">
        <v>1311</v>
      </c>
      <c r="D1162" s="11" t="s">
        <v>1312</v>
      </c>
      <c r="E1162" s="48" t="s">
        <v>34</v>
      </c>
      <c r="F1162" s="48" t="s">
        <v>74</v>
      </c>
      <c r="G1162" s="11" t="s">
        <v>64</v>
      </c>
      <c r="H1162" s="11" t="s">
        <v>75</v>
      </c>
      <c r="I1162" s="11">
        <v>1299</v>
      </c>
      <c r="J1162" s="49" t="s">
        <v>39</v>
      </c>
      <c r="K1162" s="49" t="s">
        <v>76</v>
      </c>
      <c r="L1162" s="49" t="s">
        <v>95</v>
      </c>
      <c r="M1162" s="49" t="s">
        <v>77</v>
      </c>
      <c r="N1162" s="48" t="s">
        <v>108</v>
      </c>
      <c r="O1162" s="49" t="s">
        <v>37</v>
      </c>
      <c r="P1162" s="11" t="s">
        <v>80</v>
      </c>
      <c r="Q1162" s="11" t="s">
        <v>98</v>
      </c>
      <c r="R1162" s="11" t="s">
        <v>2865</v>
      </c>
      <c r="S1162" s="11" t="s">
        <v>2866</v>
      </c>
      <c r="T1162" s="90" t="s">
        <v>1</v>
      </c>
      <c r="U1162" s="91"/>
      <c r="V1162" s="51">
        <v>44839</v>
      </c>
      <c r="W1162" s="49" t="s">
        <v>1586</v>
      </c>
    </row>
    <row r="1163" spans="1:23" ht="13" customHeight="1" x14ac:dyDescent="0.35">
      <c r="A1163" s="11">
        <v>1157</v>
      </c>
      <c r="B1163" s="47">
        <v>106301312</v>
      </c>
      <c r="C1163" s="94" t="s">
        <v>1313</v>
      </c>
      <c r="D1163" s="11" t="s">
        <v>1314</v>
      </c>
      <c r="E1163" s="48" t="s">
        <v>34</v>
      </c>
      <c r="F1163" s="48" t="s">
        <v>74</v>
      </c>
      <c r="G1163" s="11" t="s">
        <v>64</v>
      </c>
      <c r="H1163" s="11" t="s">
        <v>75</v>
      </c>
      <c r="I1163" s="11">
        <v>1299</v>
      </c>
      <c r="J1163" s="49" t="s">
        <v>39</v>
      </c>
      <c r="K1163" s="49" t="s">
        <v>76</v>
      </c>
      <c r="L1163" s="49" t="s">
        <v>95</v>
      </c>
      <c r="M1163" s="49" t="s">
        <v>77</v>
      </c>
      <c r="N1163" s="48" t="s">
        <v>108</v>
      </c>
      <c r="O1163" s="49" t="s">
        <v>37</v>
      </c>
      <c r="P1163" s="11" t="s">
        <v>80</v>
      </c>
      <c r="Q1163" s="11" t="s">
        <v>98</v>
      </c>
      <c r="R1163" s="49" t="s">
        <v>628</v>
      </c>
      <c r="S1163" s="11" t="s">
        <v>629</v>
      </c>
      <c r="T1163" s="90" t="s">
        <v>1</v>
      </c>
      <c r="U1163" s="91"/>
      <c r="V1163" s="51">
        <v>44757</v>
      </c>
      <c r="W1163" s="49" t="s">
        <v>1584</v>
      </c>
    </row>
    <row r="1164" spans="1:23" ht="13" customHeight="1" x14ac:dyDescent="0.35">
      <c r="A1164" s="11">
        <v>1158</v>
      </c>
      <c r="B1164" s="47">
        <v>203965011</v>
      </c>
      <c r="C1164" s="94" t="s">
        <v>1315</v>
      </c>
      <c r="D1164" s="11" t="s">
        <v>1316</v>
      </c>
      <c r="E1164" s="48" t="s">
        <v>31</v>
      </c>
      <c r="F1164" s="48" t="s">
        <v>74</v>
      </c>
      <c r="G1164" s="11" t="s">
        <v>64</v>
      </c>
      <c r="H1164" s="11" t="s">
        <v>75</v>
      </c>
      <c r="I1164" s="11">
        <v>1299</v>
      </c>
      <c r="J1164" s="49" t="s">
        <v>39</v>
      </c>
      <c r="K1164" s="49" t="s">
        <v>76</v>
      </c>
      <c r="L1164" s="49" t="s">
        <v>77</v>
      </c>
      <c r="M1164" s="49" t="s">
        <v>78</v>
      </c>
      <c r="N1164" s="48" t="s">
        <v>86</v>
      </c>
      <c r="O1164" s="49" t="s">
        <v>37</v>
      </c>
      <c r="P1164" s="11" t="s">
        <v>80</v>
      </c>
      <c r="Q1164" s="11" t="s">
        <v>99</v>
      </c>
      <c r="R1164" s="11" t="s">
        <v>1069</v>
      </c>
      <c r="S1164" s="11" t="s">
        <v>2733</v>
      </c>
      <c r="T1164" s="90" t="s">
        <v>1</v>
      </c>
      <c r="U1164" s="90"/>
      <c r="V1164" s="51">
        <v>45544</v>
      </c>
      <c r="W1164" s="49" t="s">
        <v>1584</v>
      </c>
    </row>
    <row r="1165" spans="1:23" ht="13" customHeight="1" x14ac:dyDescent="0.35">
      <c r="A1165" s="11">
        <v>1159</v>
      </c>
      <c r="B1165" s="47">
        <v>205845557</v>
      </c>
      <c r="C1165" s="94" t="s">
        <v>1317</v>
      </c>
      <c r="D1165" s="11" t="s">
        <v>1318</v>
      </c>
      <c r="E1165" s="48" t="s">
        <v>31</v>
      </c>
      <c r="F1165" s="48" t="s">
        <v>74</v>
      </c>
      <c r="G1165" s="11" t="s">
        <v>64</v>
      </c>
      <c r="H1165" s="11" t="s">
        <v>75</v>
      </c>
      <c r="I1165" s="11">
        <v>1299</v>
      </c>
      <c r="J1165" s="49" t="s">
        <v>39</v>
      </c>
      <c r="K1165" s="49" t="s">
        <v>76</v>
      </c>
      <c r="L1165" s="49" t="s">
        <v>77</v>
      </c>
      <c r="M1165" s="49" t="s">
        <v>78</v>
      </c>
      <c r="N1165" s="49" t="s">
        <v>89</v>
      </c>
      <c r="O1165" s="49" t="s">
        <v>37</v>
      </c>
      <c r="P1165" s="11" t="s">
        <v>80</v>
      </c>
      <c r="Q1165" s="11" t="s">
        <v>90</v>
      </c>
      <c r="R1165" s="49" t="s">
        <v>628</v>
      </c>
      <c r="S1165" s="11" t="s">
        <v>629</v>
      </c>
      <c r="T1165" s="90" t="s">
        <v>1</v>
      </c>
      <c r="U1165" s="91"/>
      <c r="V1165" s="51">
        <v>45894</v>
      </c>
      <c r="W1165" s="49" t="s">
        <v>1583</v>
      </c>
    </row>
    <row r="1166" spans="1:23" ht="13" customHeight="1" x14ac:dyDescent="0.35">
      <c r="A1166" s="11">
        <v>1160</v>
      </c>
      <c r="B1166" s="47">
        <v>203993451</v>
      </c>
      <c r="C1166" s="94" t="s">
        <v>1319</v>
      </c>
      <c r="D1166" s="11" t="s">
        <v>1320</v>
      </c>
      <c r="E1166" s="48" t="s">
        <v>31</v>
      </c>
      <c r="F1166" s="48" t="s">
        <v>74</v>
      </c>
      <c r="G1166" s="11" t="s">
        <v>64</v>
      </c>
      <c r="H1166" s="11" t="s">
        <v>75</v>
      </c>
      <c r="I1166" s="11">
        <v>1299</v>
      </c>
      <c r="J1166" s="49" t="s">
        <v>39</v>
      </c>
      <c r="K1166" s="49" t="s">
        <v>76</v>
      </c>
      <c r="L1166" s="49" t="s">
        <v>85</v>
      </c>
      <c r="M1166" s="49" t="s">
        <v>88</v>
      </c>
      <c r="N1166" s="48" t="s">
        <v>86</v>
      </c>
      <c r="O1166" s="49" t="s">
        <v>37</v>
      </c>
      <c r="P1166" s="11" t="s">
        <v>80</v>
      </c>
      <c r="Q1166" s="11" t="s">
        <v>90</v>
      </c>
      <c r="R1166" s="49" t="s">
        <v>648</v>
      </c>
      <c r="S1166" s="11" t="s">
        <v>1805</v>
      </c>
      <c r="T1166" s="90" t="s">
        <v>10</v>
      </c>
      <c r="U1166" s="89"/>
      <c r="V1166" s="51">
        <v>45894</v>
      </c>
      <c r="W1166" s="49" t="s">
        <v>1584</v>
      </c>
    </row>
    <row r="1167" spans="1:23" ht="13" customHeight="1" x14ac:dyDescent="0.35">
      <c r="A1167" s="11">
        <v>1161</v>
      </c>
      <c r="B1167" s="47">
        <v>205854086</v>
      </c>
      <c r="C1167" s="94" t="s">
        <v>1321</v>
      </c>
      <c r="D1167" s="11" t="s">
        <v>1322</v>
      </c>
      <c r="E1167" s="48" t="s">
        <v>31</v>
      </c>
      <c r="F1167" s="48" t="s">
        <v>74</v>
      </c>
      <c r="G1167" s="11" t="s">
        <v>64</v>
      </c>
      <c r="H1167" s="11" t="s">
        <v>75</v>
      </c>
      <c r="I1167" s="11">
        <v>1299</v>
      </c>
      <c r="J1167" s="49" t="s">
        <v>32</v>
      </c>
      <c r="K1167" s="49" t="s">
        <v>76</v>
      </c>
      <c r="L1167" s="49" t="s">
        <v>92</v>
      </c>
      <c r="M1167" s="49" t="s">
        <v>84</v>
      </c>
      <c r="N1167" s="49" t="s">
        <v>89</v>
      </c>
      <c r="O1167" s="49" t="s">
        <v>37</v>
      </c>
      <c r="P1167" s="11" t="s">
        <v>80</v>
      </c>
      <c r="Q1167" s="11" t="s">
        <v>96</v>
      </c>
      <c r="R1167" s="49" t="s">
        <v>648</v>
      </c>
      <c r="S1167" s="11" t="s">
        <v>1805</v>
      </c>
      <c r="T1167" s="90" t="s">
        <v>1</v>
      </c>
      <c r="U1167" s="89"/>
      <c r="V1167" s="51">
        <v>45894</v>
      </c>
      <c r="W1167" s="49" t="s">
        <v>1584</v>
      </c>
    </row>
    <row r="1168" spans="1:23" ht="13" customHeight="1" x14ac:dyDescent="0.35">
      <c r="A1168" s="11">
        <v>1162</v>
      </c>
      <c r="B1168" s="47">
        <v>206915790</v>
      </c>
      <c r="C1168" s="94" t="s">
        <v>1927</v>
      </c>
      <c r="D1168" s="11" t="s">
        <v>1910</v>
      </c>
      <c r="E1168" s="48" t="s">
        <v>31</v>
      </c>
      <c r="F1168" s="48" t="s">
        <v>74</v>
      </c>
      <c r="G1168" s="11" t="s">
        <v>64</v>
      </c>
      <c r="H1168" s="11" t="s">
        <v>75</v>
      </c>
      <c r="I1168" s="11">
        <v>1299</v>
      </c>
      <c r="J1168" s="49" t="s">
        <v>32</v>
      </c>
      <c r="K1168" s="49" t="s">
        <v>76</v>
      </c>
      <c r="L1168" s="49" t="s">
        <v>88</v>
      </c>
      <c r="M1168" s="49" t="s">
        <v>95</v>
      </c>
      <c r="N1168" s="49" t="s">
        <v>89</v>
      </c>
      <c r="O1168" s="49" t="s">
        <v>37</v>
      </c>
      <c r="P1168" s="11" t="s">
        <v>80</v>
      </c>
      <c r="Q1168" s="11" t="s">
        <v>90</v>
      </c>
      <c r="R1168" s="49" t="s">
        <v>2735</v>
      </c>
      <c r="S1168" s="11" t="s">
        <v>643</v>
      </c>
      <c r="T1168" s="90" t="s">
        <v>10</v>
      </c>
      <c r="U1168" s="91"/>
      <c r="V1168" s="51">
        <v>46034</v>
      </c>
      <c r="W1168" s="49" t="s">
        <v>1584</v>
      </c>
    </row>
    <row r="1169" spans="1:23" ht="13" customHeight="1" x14ac:dyDescent="0.35">
      <c r="A1169" s="11">
        <v>1163</v>
      </c>
      <c r="B1169" s="47">
        <v>206915794</v>
      </c>
      <c r="C1169" s="94" t="s">
        <v>1916</v>
      </c>
      <c r="D1169" s="11" t="s">
        <v>1923</v>
      </c>
      <c r="E1169" s="48" t="s">
        <v>31</v>
      </c>
      <c r="F1169" s="48" t="s">
        <v>74</v>
      </c>
      <c r="G1169" s="11" t="s">
        <v>64</v>
      </c>
      <c r="H1169" s="11" t="s">
        <v>75</v>
      </c>
      <c r="I1169" s="11">
        <v>1299</v>
      </c>
      <c r="J1169" s="49" t="s">
        <v>39</v>
      </c>
      <c r="K1169" s="49" t="s">
        <v>76</v>
      </c>
      <c r="L1169" s="49" t="s">
        <v>92</v>
      </c>
      <c r="M1169" s="49" t="s">
        <v>84</v>
      </c>
      <c r="N1169" s="49" t="s">
        <v>89</v>
      </c>
      <c r="O1169" s="49" t="s">
        <v>37</v>
      </c>
      <c r="P1169" s="49" t="s">
        <v>80</v>
      </c>
      <c r="Q1169" s="49" t="s">
        <v>90</v>
      </c>
      <c r="R1169" s="49" t="s">
        <v>648</v>
      </c>
      <c r="S1169" s="49" t="s">
        <v>1805</v>
      </c>
      <c r="T1169" s="90" t="s">
        <v>1</v>
      </c>
      <c r="U1169" s="91"/>
      <c r="V1169" s="51">
        <v>46034</v>
      </c>
      <c r="W1169" s="49" t="s">
        <v>1583</v>
      </c>
    </row>
    <row r="1170" spans="1:23" ht="13" customHeight="1" x14ac:dyDescent="0.35">
      <c r="A1170" s="11">
        <v>1164</v>
      </c>
      <c r="B1170" s="47">
        <v>203555845</v>
      </c>
      <c r="C1170" s="94" t="s">
        <v>1323</v>
      </c>
      <c r="D1170" s="11" t="s">
        <v>1324</v>
      </c>
      <c r="E1170" s="48" t="s">
        <v>31</v>
      </c>
      <c r="F1170" s="48" t="s">
        <v>74</v>
      </c>
      <c r="G1170" s="11" t="s">
        <v>64</v>
      </c>
      <c r="H1170" s="11" t="s">
        <v>75</v>
      </c>
      <c r="I1170" s="11">
        <v>1299</v>
      </c>
      <c r="J1170" s="49" t="s">
        <v>39</v>
      </c>
      <c r="K1170" s="49" t="s">
        <v>76</v>
      </c>
      <c r="L1170" s="49" t="s">
        <v>85</v>
      </c>
      <c r="M1170" s="49" t="s">
        <v>88</v>
      </c>
      <c r="N1170" s="48" t="s">
        <v>86</v>
      </c>
      <c r="O1170" s="49" t="s">
        <v>37</v>
      </c>
      <c r="P1170" s="11" t="s">
        <v>80</v>
      </c>
      <c r="Q1170" s="11" t="s">
        <v>99</v>
      </c>
      <c r="R1170" s="11" t="s">
        <v>1069</v>
      </c>
      <c r="S1170" s="11" t="s">
        <v>2733</v>
      </c>
      <c r="T1170" s="90" t="s">
        <v>10</v>
      </c>
      <c r="U1170" s="89"/>
      <c r="V1170" s="51">
        <v>45470</v>
      </c>
      <c r="W1170" s="49" t="s">
        <v>1584</v>
      </c>
    </row>
    <row r="1171" spans="1:23" ht="13" customHeight="1" x14ac:dyDescent="0.35">
      <c r="A1171" s="11">
        <v>1165</v>
      </c>
      <c r="B1171" s="47">
        <v>203964988</v>
      </c>
      <c r="C1171" s="94" t="s">
        <v>1325</v>
      </c>
      <c r="D1171" s="11" t="s">
        <v>1326</v>
      </c>
      <c r="E1171" s="48" t="s">
        <v>31</v>
      </c>
      <c r="F1171" s="48" t="s">
        <v>74</v>
      </c>
      <c r="G1171" s="11" t="s">
        <v>64</v>
      </c>
      <c r="H1171" s="11" t="s">
        <v>75</v>
      </c>
      <c r="I1171" s="11">
        <v>1299</v>
      </c>
      <c r="J1171" s="49" t="s">
        <v>32</v>
      </c>
      <c r="K1171" s="49" t="s">
        <v>76</v>
      </c>
      <c r="L1171" s="49" t="s">
        <v>78</v>
      </c>
      <c r="M1171" s="49" t="s">
        <v>92</v>
      </c>
      <c r="N1171" s="48" t="s">
        <v>86</v>
      </c>
      <c r="O1171" s="49" t="s">
        <v>37</v>
      </c>
      <c r="P1171" s="11" t="s">
        <v>80</v>
      </c>
      <c r="Q1171" s="11" t="s">
        <v>99</v>
      </c>
      <c r="R1171" s="49" t="s">
        <v>648</v>
      </c>
      <c r="S1171" s="11" t="s">
        <v>1805</v>
      </c>
      <c r="T1171" s="90" t="s">
        <v>1</v>
      </c>
      <c r="U1171" s="91"/>
      <c r="V1171" s="51">
        <v>45544</v>
      </c>
      <c r="W1171" s="49" t="s">
        <v>1584</v>
      </c>
    </row>
    <row r="1172" spans="1:23" ht="13" customHeight="1" x14ac:dyDescent="0.35">
      <c r="A1172" s="11">
        <v>1166</v>
      </c>
      <c r="B1172" s="47">
        <v>204137704</v>
      </c>
      <c r="C1172" s="94" t="s">
        <v>1327</v>
      </c>
      <c r="D1172" s="11" t="s">
        <v>1328</v>
      </c>
      <c r="E1172" s="48" t="s">
        <v>31</v>
      </c>
      <c r="F1172" s="48" t="s">
        <v>74</v>
      </c>
      <c r="G1172" s="11" t="s">
        <v>64</v>
      </c>
      <c r="H1172" s="11" t="s">
        <v>75</v>
      </c>
      <c r="I1172" s="11">
        <v>1299</v>
      </c>
      <c r="J1172" s="49" t="s">
        <v>39</v>
      </c>
      <c r="K1172" s="49" t="s">
        <v>76</v>
      </c>
      <c r="L1172" s="49" t="s">
        <v>78</v>
      </c>
      <c r="M1172" s="49" t="s">
        <v>92</v>
      </c>
      <c r="N1172" s="48" t="s">
        <v>86</v>
      </c>
      <c r="O1172" s="49" t="s">
        <v>37</v>
      </c>
      <c r="P1172" s="11" t="s">
        <v>80</v>
      </c>
      <c r="Q1172" s="11" t="s">
        <v>87</v>
      </c>
      <c r="R1172" s="49" t="s">
        <v>648</v>
      </c>
      <c r="S1172" s="11" t="s">
        <v>1805</v>
      </c>
      <c r="T1172" s="90" t="s">
        <v>7</v>
      </c>
      <c r="U1172" s="90" t="s">
        <v>2914</v>
      </c>
      <c r="V1172" s="51">
        <v>45565</v>
      </c>
      <c r="W1172" s="49" t="s">
        <v>1584</v>
      </c>
    </row>
    <row r="1173" spans="1:23" ht="13" customHeight="1" x14ac:dyDescent="0.35">
      <c r="A1173" s="11">
        <v>1167</v>
      </c>
      <c r="B1173" s="47">
        <v>206846538</v>
      </c>
      <c r="C1173" s="94" t="s">
        <v>1826</v>
      </c>
      <c r="D1173" s="47" t="s">
        <v>1827</v>
      </c>
      <c r="E1173" s="47" t="s">
        <v>31</v>
      </c>
      <c r="F1173" s="48" t="s">
        <v>74</v>
      </c>
      <c r="G1173" s="11" t="s">
        <v>64</v>
      </c>
      <c r="H1173" s="11" t="s">
        <v>75</v>
      </c>
      <c r="I1173" s="47">
        <v>1299</v>
      </c>
      <c r="J1173" s="49" t="s">
        <v>39</v>
      </c>
      <c r="K1173" s="49" t="s">
        <v>76</v>
      </c>
      <c r="L1173" s="49" t="s">
        <v>95</v>
      </c>
      <c r="M1173" s="49" t="s">
        <v>77</v>
      </c>
      <c r="N1173" s="49" t="s">
        <v>89</v>
      </c>
      <c r="O1173" s="49" t="s">
        <v>37</v>
      </c>
      <c r="P1173" s="11" t="s">
        <v>80</v>
      </c>
      <c r="Q1173" s="47" t="s">
        <v>90</v>
      </c>
      <c r="R1173" s="49" t="s">
        <v>2735</v>
      </c>
      <c r="S1173" s="47" t="s">
        <v>643</v>
      </c>
      <c r="T1173" s="90" t="s">
        <v>1</v>
      </c>
      <c r="U1173" s="90"/>
      <c r="V1173" s="51">
        <v>46013</v>
      </c>
      <c r="W1173" s="49" t="s">
        <v>1584</v>
      </c>
    </row>
    <row r="1174" spans="1:23" ht="13" customHeight="1" x14ac:dyDescent="0.35">
      <c r="A1174" s="11">
        <v>1168</v>
      </c>
      <c r="B1174" s="47">
        <v>206239215</v>
      </c>
      <c r="C1174" s="94" t="s">
        <v>1662</v>
      </c>
      <c r="D1174" s="11" t="s">
        <v>1630</v>
      </c>
      <c r="E1174" s="48" t="s">
        <v>31</v>
      </c>
      <c r="F1174" s="48" t="s">
        <v>74</v>
      </c>
      <c r="G1174" s="11" t="s">
        <v>64</v>
      </c>
      <c r="H1174" s="11" t="s">
        <v>75</v>
      </c>
      <c r="I1174" s="11">
        <v>1299</v>
      </c>
      <c r="J1174" s="49" t="s">
        <v>32</v>
      </c>
      <c r="K1174" s="49" t="s">
        <v>76</v>
      </c>
      <c r="L1174" s="49" t="s">
        <v>84</v>
      </c>
      <c r="M1174" s="49" t="s">
        <v>85</v>
      </c>
      <c r="N1174" s="48" t="s">
        <v>79</v>
      </c>
      <c r="O1174" s="49" t="s">
        <v>37</v>
      </c>
      <c r="P1174" s="11" t="s">
        <v>80</v>
      </c>
      <c r="Q1174" s="11" t="s">
        <v>81</v>
      </c>
      <c r="R1174" s="11" t="s">
        <v>1069</v>
      </c>
      <c r="S1174" s="11" t="s">
        <v>2733</v>
      </c>
      <c r="T1174" s="90" t="s">
        <v>7</v>
      </c>
      <c r="U1174" s="90"/>
      <c r="V1174" s="51">
        <v>45943</v>
      </c>
      <c r="W1174" s="49" t="s">
        <v>1584</v>
      </c>
    </row>
    <row r="1175" spans="1:23" ht="13" customHeight="1" x14ac:dyDescent="0.35">
      <c r="A1175" s="11">
        <v>1169</v>
      </c>
      <c r="B1175" s="47">
        <v>206902844</v>
      </c>
      <c r="C1175" s="94" t="s">
        <v>1890</v>
      </c>
      <c r="D1175" s="11" t="s">
        <v>1891</v>
      </c>
      <c r="E1175" s="48" t="s">
        <v>31</v>
      </c>
      <c r="F1175" s="48" t="s">
        <v>74</v>
      </c>
      <c r="G1175" s="11" t="s">
        <v>64</v>
      </c>
      <c r="H1175" s="11" t="s">
        <v>75</v>
      </c>
      <c r="I1175" s="11">
        <v>1290</v>
      </c>
      <c r="J1175" s="49" t="s">
        <v>39</v>
      </c>
      <c r="K1175" s="49" t="s">
        <v>76</v>
      </c>
      <c r="L1175" s="49" t="s">
        <v>92</v>
      </c>
      <c r="M1175" s="49" t="s">
        <v>84</v>
      </c>
      <c r="N1175" s="49" t="s">
        <v>89</v>
      </c>
      <c r="O1175" s="48" t="s">
        <v>37</v>
      </c>
      <c r="P1175" s="48" t="s">
        <v>80</v>
      </c>
      <c r="Q1175" s="11" t="s">
        <v>90</v>
      </c>
      <c r="R1175" s="49" t="s">
        <v>648</v>
      </c>
      <c r="S1175" s="11" t="s">
        <v>1805</v>
      </c>
      <c r="T1175" s="90" t="s">
        <v>1</v>
      </c>
      <c r="U1175" s="91"/>
      <c r="V1175" s="51">
        <v>46030</v>
      </c>
      <c r="W1175" s="49" t="s">
        <v>1584</v>
      </c>
    </row>
    <row r="1176" spans="1:23" ht="13" customHeight="1" x14ac:dyDescent="0.35">
      <c r="A1176" s="11">
        <v>1170</v>
      </c>
      <c r="B1176" s="47">
        <v>203911200</v>
      </c>
      <c r="C1176" s="94" t="s">
        <v>1329</v>
      </c>
      <c r="D1176" s="11" t="s">
        <v>1330</v>
      </c>
      <c r="E1176" s="48" t="s">
        <v>31</v>
      </c>
      <c r="F1176" s="48" t="s">
        <v>74</v>
      </c>
      <c r="G1176" s="11" t="s">
        <v>64</v>
      </c>
      <c r="H1176" s="11" t="s">
        <v>75</v>
      </c>
      <c r="I1176" s="11">
        <v>1299</v>
      </c>
      <c r="J1176" s="49" t="s">
        <v>39</v>
      </c>
      <c r="K1176" s="49" t="s">
        <v>76</v>
      </c>
      <c r="L1176" s="49" t="s">
        <v>78</v>
      </c>
      <c r="M1176" s="49" t="s">
        <v>92</v>
      </c>
      <c r="N1176" s="48" t="s">
        <v>86</v>
      </c>
      <c r="O1176" s="49" t="s">
        <v>37</v>
      </c>
      <c r="P1176" s="11" t="s">
        <v>80</v>
      </c>
      <c r="Q1176" s="11" t="s">
        <v>99</v>
      </c>
      <c r="R1176" s="49" t="s">
        <v>648</v>
      </c>
      <c r="S1176" s="11" t="s">
        <v>1805</v>
      </c>
      <c r="T1176" s="90" t="s">
        <v>1</v>
      </c>
      <c r="U1176" s="90"/>
      <c r="V1176" s="51">
        <v>45537</v>
      </c>
      <c r="W1176" s="49" t="s">
        <v>1585</v>
      </c>
    </row>
    <row r="1177" spans="1:23" ht="13" customHeight="1" x14ac:dyDescent="0.35">
      <c r="A1177" s="11">
        <v>1171</v>
      </c>
      <c r="B1177" s="97">
        <v>205845559</v>
      </c>
      <c r="C1177" s="47" t="s">
        <v>2842</v>
      </c>
      <c r="D1177" s="94" t="s">
        <v>2843</v>
      </c>
      <c r="E1177" s="48" t="s">
        <v>31</v>
      </c>
      <c r="F1177" s="48" t="s">
        <v>74</v>
      </c>
      <c r="G1177" s="11" t="s">
        <v>64</v>
      </c>
      <c r="H1177" s="11" t="s">
        <v>75</v>
      </c>
      <c r="I1177" s="11">
        <v>1299</v>
      </c>
      <c r="J1177" s="49" t="s">
        <v>39</v>
      </c>
      <c r="K1177" s="49" t="s">
        <v>76</v>
      </c>
      <c r="L1177" s="49" t="s">
        <v>85</v>
      </c>
      <c r="M1177" s="49" t="s">
        <v>88</v>
      </c>
      <c r="N1177" s="48" t="s">
        <v>86</v>
      </c>
      <c r="O1177" s="49" t="s">
        <v>37</v>
      </c>
      <c r="P1177" s="11" t="s">
        <v>80</v>
      </c>
      <c r="Q1177" s="11" t="s">
        <v>90</v>
      </c>
      <c r="R1177" s="11" t="s">
        <v>2735</v>
      </c>
      <c r="S1177" s="11" t="s">
        <v>643</v>
      </c>
      <c r="T1177" s="90" t="s">
        <v>10</v>
      </c>
      <c r="U1177" s="89"/>
      <c r="V1177" s="51">
        <v>45894</v>
      </c>
      <c r="W1177" s="49" t="s">
        <v>1584</v>
      </c>
    </row>
    <row r="1178" spans="1:23" ht="13" customHeight="1" x14ac:dyDescent="0.35">
      <c r="A1178" s="11">
        <v>1172</v>
      </c>
      <c r="B1178" s="97">
        <v>204009364</v>
      </c>
      <c r="C1178" s="47" t="s">
        <v>2844</v>
      </c>
      <c r="D1178" s="94" t="s">
        <v>2845</v>
      </c>
      <c r="E1178" s="48" t="s">
        <v>31</v>
      </c>
      <c r="F1178" s="48" t="s">
        <v>74</v>
      </c>
      <c r="G1178" s="11" t="s">
        <v>64</v>
      </c>
      <c r="H1178" s="11" t="s">
        <v>75</v>
      </c>
      <c r="I1178" s="11">
        <v>1299</v>
      </c>
      <c r="J1178" s="49" t="s">
        <v>32</v>
      </c>
      <c r="K1178" s="49" t="s">
        <v>76</v>
      </c>
      <c r="L1178" s="49" t="s">
        <v>84</v>
      </c>
      <c r="M1178" s="49" t="s">
        <v>85</v>
      </c>
      <c r="N1178" s="49" t="s">
        <v>89</v>
      </c>
      <c r="O1178" s="49" t="s">
        <v>37</v>
      </c>
      <c r="P1178" s="11" t="s">
        <v>80</v>
      </c>
      <c r="Q1178" s="11" t="s">
        <v>90</v>
      </c>
      <c r="R1178" s="11" t="s">
        <v>2865</v>
      </c>
      <c r="S1178" s="11" t="s">
        <v>2866</v>
      </c>
      <c r="T1178" s="90" t="s">
        <v>1</v>
      </c>
      <c r="U1178" s="91"/>
      <c r="V1178" s="51">
        <v>45551</v>
      </c>
      <c r="W1178" s="49" t="s">
        <v>1584</v>
      </c>
    </row>
    <row r="1179" spans="1:23" ht="13" customHeight="1" x14ac:dyDescent="0.35">
      <c r="A1179" s="11">
        <v>1173</v>
      </c>
      <c r="B1179" s="11">
        <v>206192237</v>
      </c>
      <c r="C1179" s="94" t="s">
        <v>2852</v>
      </c>
      <c r="D1179" s="11" t="s">
        <v>2853</v>
      </c>
      <c r="E1179" s="48" t="s">
        <v>31</v>
      </c>
      <c r="F1179" s="48" t="s">
        <v>74</v>
      </c>
      <c r="G1179" s="11" t="s">
        <v>64</v>
      </c>
      <c r="H1179" s="11" t="s">
        <v>75</v>
      </c>
      <c r="I1179" s="11">
        <v>1299</v>
      </c>
      <c r="J1179" s="49" t="s">
        <v>39</v>
      </c>
      <c r="K1179" s="49" t="s">
        <v>76</v>
      </c>
      <c r="L1179" s="49" t="s">
        <v>92</v>
      </c>
      <c r="M1179" s="49" t="s">
        <v>84</v>
      </c>
      <c r="N1179" s="11" t="s">
        <v>89</v>
      </c>
      <c r="O1179" s="11" t="s">
        <v>37</v>
      </c>
      <c r="P1179" s="11" t="s">
        <v>80</v>
      </c>
      <c r="Q1179" s="11" t="s">
        <v>96</v>
      </c>
      <c r="R1179" s="11" t="s">
        <v>628</v>
      </c>
      <c r="S1179" s="11" t="s">
        <v>629</v>
      </c>
      <c r="T1179" s="90" t="s">
        <v>1</v>
      </c>
      <c r="U1179" s="90"/>
      <c r="V1179" s="51">
        <v>46226</v>
      </c>
      <c r="W1179" s="11" t="s">
        <v>1584</v>
      </c>
    </row>
    <row r="1180" spans="1:23" ht="13" customHeight="1" x14ac:dyDescent="0.35">
      <c r="A1180" s="11">
        <v>1174</v>
      </c>
      <c r="B1180" s="47">
        <v>203881697</v>
      </c>
      <c r="C1180" s="94" t="s">
        <v>1331</v>
      </c>
      <c r="D1180" s="11" t="s">
        <v>1332</v>
      </c>
      <c r="E1180" s="48" t="s">
        <v>31</v>
      </c>
      <c r="F1180" s="48" t="s">
        <v>74</v>
      </c>
      <c r="G1180" s="11" t="s">
        <v>64</v>
      </c>
      <c r="H1180" s="11" t="s">
        <v>75</v>
      </c>
      <c r="I1180" s="11">
        <v>1299</v>
      </c>
      <c r="J1180" s="49" t="s">
        <v>39</v>
      </c>
      <c r="K1180" s="49" t="s">
        <v>76</v>
      </c>
      <c r="L1180" s="49" t="s">
        <v>85</v>
      </c>
      <c r="M1180" s="49" t="s">
        <v>88</v>
      </c>
      <c r="N1180" s="48" t="s">
        <v>79</v>
      </c>
      <c r="O1180" s="49" t="s">
        <v>37</v>
      </c>
      <c r="P1180" s="11" t="s">
        <v>80</v>
      </c>
      <c r="Q1180" s="11" t="s">
        <v>81</v>
      </c>
      <c r="R1180" s="11" t="s">
        <v>640</v>
      </c>
      <c r="S1180" s="11" t="s">
        <v>2734</v>
      </c>
      <c r="T1180" s="90" t="s">
        <v>10</v>
      </c>
      <c r="U1180" s="89"/>
      <c r="V1180" s="51">
        <v>45530</v>
      </c>
      <c r="W1180" s="49" t="s">
        <v>1586</v>
      </c>
    </row>
    <row r="1181" spans="1:23" ht="13" customHeight="1" x14ac:dyDescent="0.35">
      <c r="A1181" s="11">
        <v>1175</v>
      </c>
      <c r="B1181" s="47">
        <v>206902847</v>
      </c>
      <c r="C1181" s="94" t="s">
        <v>1888</v>
      </c>
      <c r="D1181" s="11" t="s">
        <v>1889</v>
      </c>
      <c r="E1181" s="48" t="s">
        <v>31</v>
      </c>
      <c r="F1181" s="48" t="s">
        <v>74</v>
      </c>
      <c r="G1181" s="11" t="s">
        <v>64</v>
      </c>
      <c r="H1181" s="11" t="s">
        <v>75</v>
      </c>
      <c r="I1181" s="11">
        <v>1290</v>
      </c>
      <c r="J1181" s="49" t="s">
        <v>32</v>
      </c>
      <c r="K1181" s="49" t="s">
        <v>76</v>
      </c>
      <c r="L1181" s="49" t="s">
        <v>92</v>
      </c>
      <c r="M1181" s="49" t="s">
        <v>84</v>
      </c>
      <c r="N1181" s="49" t="s">
        <v>89</v>
      </c>
      <c r="O1181" s="48" t="s">
        <v>37</v>
      </c>
      <c r="P1181" s="48" t="s">
        <v>80</v>
      </c>
      <c r="Q1181" s="11" t="s">
        <v>90</v>
      </c>
      <c r="R1181" s="49" t="s">
        <v>648</v>
      </c>
      <c r="S1181" s="11" t="s">
        <v>1805</v>
      </c>
      <c r="T1181" s="90" t="s">
        <v>1</v>
      </c>
      <c r="U1181" s="91"/>
      <c r="V1181" s="51">
        <v>46030</v>
      </c>
      <c r="W1181" s="49" t="s">
        <v>1584</v>
      </c>
    </row>
    <row r="1182" spans="1:23" ht="13" customHeight="1" x14ac:dyDescent="0.35">
      <c r="A1182" s="11">
        <v>1176</v>
      </c>
      <c r="B1182" s="47">
        <v>203908342</v>
      </c>
      <c r="C1182" s="94" t="s">
        <v>2446</v>
      </c>
      <c r="D1182" s="11" t="s">
        <v>2447</v>
      </c>
      <c r="E1182" s="48" t="s">
        <v>31</v>
      </c>
      <c r="F1182" s="48" t="s">
        <v>74</v>
      </c>
      <c r="G1182" s="11" t="s">
        <v>64</v>
      </c>
      <c r="H1182" s="11" t="s">
        <v>75</v>
      </c>
      <c r="I1182" s="11">
        <v>1299</v>
      </c>
      <c r="J1182" s="49" t="s">
        <v>39</v>
      </c>
      <c r="K1182" s="49" t="s">
        <v>76</v>
      </c>
      <c r="L1182" s="49" t="s">
        <v>77</v>
      </c>
      <c r="M1182" s="49" t="s">
        <v>78</v>
      </c>
      <c r="N1182" s="48" t="s">
        <v>86</v>
      </c>
      <c r="O1182" s="49" t="s">
        <v>37</v>
      </c>
      <c r="P1182" s="11" t="s">
        <v>80</v>
      </c>
      <c r="Q1182" s="11" t="s">
        <v>90</v>
      </c>
      <c r="R1182" s="11" t="s">
        <v>1069</v>
      </c>
      <c r="S1182" s="11" t="s">
        <v>2733</v>
      </c>
      <c r="T1182" s="90" t="s">
        <v>1</v>
      </c>
      <c r="U1182" s="90"/>
      <c r="V1182" s="51">
        <v>45537</v>
      </c>
      <c r="W1182" s="49" t="s">
        <v>1584</v>
      </c>
    </row>
    <row r="1183" spans="1:23" ht="13" customHeight="1" x14ac:dyDescent="0.35">
      <c r="A1183" s="11">
        <v>1177</v>
      </c>
      <c r="B1183" s="47">
        <v>204095810</v>
      </c>
      <c r="C1183" s="94" t="s">
        <v>1333</v>
      </c>
      <c r="D1183" s="11" t="s">
        <v>1334</v>
      </c>
      <c r="E1183" s="48" t="s">
        <v>31</v>
      </c>
      <c r="F1183" s="48" t="s">
        <v>74</v>
      </c>
      <c r="G1183" s="11" t="s">
        <v>64</v>
      </c>
      <c r="H1183" s="11" t="s">
        <v>75</v>
      </c>
      <c r="I1183" s="11">
        <v>1299</v>
      </c>
      <c r="J1183" s="49" t="s">
        <v>39</v>
      </c>
      <c r="K1183" s="49" t="s">
        <v>76</v>
      </c>
      <c r="L1183" s="49" t="s">
        <v>78</v>
      </c>
      <c r="M1183" s="49" t="s">
        <v>92</v>
      </c>
      <c r="N1183" s="48" t="s">
        <v>86</v>
      </c>
      <c r="O1183" s="49" t="s">
        <v>37</v>
      </c>
      <c r="P1183" s="11" t="s">
        <v>80</v>
      </c>
      <c r="Q1183" s="11" t="s">
        <v>87</v>
      </c>
      <c r="R1183" s="11" t="s">
        <v>632</v>
      </c>
      <c r="S1183" s="11" t="s">
        <v>633</v>
      </c>
      <c r="T1183" s="90" t="s">
        <v>1</v>
      </c>
      <c r="U1183" s="90"/>
      <c r="V1183" s="51">
        <v>45561</v>
      </c>
      <c r="W1183" s="49" t="s">
        <v>1586</v>
      </c>
    </row>
    <row r="1184" spans="1:23" ht="13" customHeight="1" x14ac:dyDescent="0.35">
      <c r="A1184" s="11">
        <v>1178</v>
      </c>
      <c r="B1184" s="47">
        <v>206902848</v>
      </c>
      <c r="C1184" s="94" t="s">
        <v>1884</v>
      </c>
      <c r="D1184" s="11" t="s">
        <v>1885</v>
      </c>
      <c r="E1184" s="48" t="s">
        <v>31</v>
      </c>
      <c r="F1184" s="48" t="s">
        <v>74</v>
      </c>
      <c r="G1184" s="11" t="s">
        <v>64</v>
      </c>
      <c r="H1184" s="11" t="s">
        <v>75</v>
      </c>
      <c r="I1184" s="11">
        <v>1290</v>
      </c>
      <c r="J1184" s="49" t="s">
        <v>39</v>
      </c>
      <c r="K1184" s="49" t="s">
        <v>76</v>
      </c>
      <c r="L1184" s="49" t="s">
        <v>92</v>
      </c>
      <c r="M1184" s="49" t="s">
        <v>84</v>
      </c>
      <c r="N1184" s="49" t="s">
        <v>89</v>
      </c>
      <c r="O1184" s="48" t="s">
        <v>37</v>
      </c>
      <c r="P1184" s="48" t="s">
        <v>80</v>
      </c>
      <c r="Q1184" s="11" t="s">
        <v>90</v>
      </c>
      <c r="R1184" s="49" t="s">
        <v>648</v>
      </c>
      <c r="S1184" s="11" t="s">
        <v>1805</v>
      </c>
      <c r="T1184" s="90" t="s">
        <v>1</v>
      </c>
      <c r="U1184" s="90"/>
      <c r="V1184" s="51">
        <v>46030</v>
      </c>
      <c r="W1184" s="49" t="s">
        <v>1584</v>
      </c>
    </row>
    <row r="1185" spans="1:23" ht="13" customHeight="1" x14ac:dyDescent="0.35">
      <c r="A1185" s="11">
        <v>1179</v>
      </c>
      <c r="B1185" s="47">
        <v>205845554</v>
      </c>
      <c r="C1185" s="94" t="s">
        <v>1335</v>
      </c>
      <c r="D1185" s="11" t="s">
        <v>1336</v>
      </c>
      <c r="E1185" s="48" t="s">
        <v>31</v>
      </c>
      <c r="F1185" s="48" t="s">
        <v>74</v>
      </c>
      <c r="G1185" s="11" t="s">
        <v>64</v>
      </c>
      <c r="H1185" s="11" t="s">
        <v>75</v>
      </c>
      <c r="I1185" s="11">
        <v>1299</v>
      </c>
      <c r="J1185" s="49" t="s">
        <v>32</v>
      </c>
      <c r="K1185" s="49" t="s">
        <v>76</v>
      </c>
      <c r="L1185" s="49" t="s">
        <v>85</v>
      </c>
      <c r="M1185" s="49" t="s">
        <v>88</v>
      </c>
      <c r="N1185" s="48" t="s">
        <v>86</v>
      </c>
      <c r="O1185" s="49" t="s">
        <v>37</v>
      </c>
      <c r="P1185" s="11" t="s">
        <v>80</v>
      </c>
      <c r="Q1185" s="11" t="s">
        <v>90</v>
      </c>
      <c r="R1185" s="49" t="s">
        <v>628</v>
      </c>
      <c r="S1185" s="11" t="s">
        <v>629</v>
      </c>
      <c r="T1185" s="90" t="s">
        <v>10</v>
      </c>
      <c r="U1185" s="91"/>
      <c r="V1185" s="51">
        <v>45894</v>
      </c>
      <c r="W1185" s="49" t="s">
        <v>1583</v>
      </c>
    </row>
    <row r="1186" spans="1:23" ht="13" customHeight="1" x14ac:dyDescent="0.35">
      <c r="A1186" s="11">
        <v>1180</v>
      </c>
      <c r="B1186" s="47">
        <v>104033277</v>
      </c>
      <c r="C1186" s="94" t="s">
        <v>1337</v>
      </c>
      <c r="D1186" s="11" t="s">
        <v>1338</v>
      </c>
      <c r="E1186" s="48" t="s">
        <v>34</v>
      </c>
      <c r="F1186" s="48" t="s">
        <v>74</v>
      </c>
      <c r="G1186" s="11" t="s">
        <v>64</v>
      </c>
      <c r="H1186" s="11" t="s">
        <v>75</v>
      </c>
      <c r="I1186" s="11">
        <v>1299</v>
      </c>
      <c r="J1186" s="49" t="s">
        <v>32</v>
      </c>
      <c r="K1186" s="49" t="s">
        <v>76</v>
      </c>
      <c r="L1186" s="49" t="s">
        <v>77</v>
      </c>
      <c r="M1186" s="49" t="s">
        <v>78</v>
      </c>
      <c r="N1186" s="48" t="s">
        <v>108</v>
      </c>
      <c r="O1186" s="49" t="s">
        <v>37</v>
      </c>
      <c r="P1186" s="11" t="s">
        <v>80</v>
      </c>
      <c r="Q1186" s="11" t="s">
        <v>98</v>
      </c>
      <c r="R1186" s="49" t="s">
        <v>648</v>
      </c>
      <c r="S1186" s="11" t="s">
        <v>1805</v>
      </c>
      <c r="T1186" s="90" t="s">
        <v>1</v>
      </c>
      <c r="U1186" s="91"/>
      <c r="V1186" s="51">
        <v>44839</v>
      </c>
      <c r="W1186" s="49" t="s">
        <v>1584</v>
      </c>
    </row>
    <row r="1187" spans="1:23" ht="13" customHeight="1" x14ac:dyDescent="0.35">
      <c r="A1187" s="11">
        <v>1181</v>
      </c>
      <c r="B1187" s="47">
        <v>204246155</v>
      </c>
      <c r="C1187" s="94" t="s">
        <v>83</v>
      </c>
      <c r="D1187" s="11" t="s">
        <v>2004</v>
      </c>
      <c r="E1187" s="48" t="s">
        <v>31</v>
      </c>
      <c r="F1187" s="48" t="s">
        <v>74</v>
      </c>
      <c r="G1187" s="11" t="s">
        <v>65</v>
      </c>
      <c r="H1187" s="11" t="s">
        <v>1339</v>
      </c>
      <c r="I1187" s="11">
        <v>1299</v>
      </c>
      <c r="J1187" s="49" t="s">
        <v>32</v>
      </c>
      <c r="K1187" s="49" t="s">
        <v>76</v>
      </c>
      <c r="L1187" s="49" t="s">
        <v>77</v>
      </c>
      <c r="M1187" s="49" t="s">
        <v>78</v>
      </c>
      <c r="N1187" s="48" t="s">
        <v>86</v>
      </c>
      <c r="O1187" s="49" t="s">
        <v>68</v>
      </c>
      <c r="P1187" s="11" t="s">
        <v>80</v>
      </c>
      <c r="Q1187" s="11" t="s">
        <v>87</v>
      </c>
      <c r="R1187" s="11" t="s">
        <v>1343</v>
      </c>
      <c r="S1187" s="11" t="s">
        <v>1344</v>
      </c>
      <c r="T1187" s="90" t="s">
        <v>7</v>
      </c>
      <c r="U1187" s="90" t="s">
        <v>2914</v>
      </c>
      <c r="V1187" s="51">
        <v>45579</v>
      </c>
      <c r="W1187" s="49" t="s">
        <v>68</v>
      </c>
    </row>
    <row r="1188" spans="1:23" ht="13" customHeight="1" x14ac:dyDescent="0.35">
      <c r="A1188" s="11">
        <v>1182</v>
      </c>
      <c r="B1188" s="47">
        <v>203555218</v>
      </c>
      <c r="C1188" s="94" t="s">
        <v>1341</v>
      </c>
      <c r="D1188" s="11" t="s">
        <v>1342</v>
      </c>
      <c r="E1188" s="48" t="s">
        <v>31</v>
      </c>
      <c r="F1188" s="48" t="s">
        <v>74</v>
      </c>
      <c r="G1188" s="11" t="s">
        <v>65</v>
      </c>
      <c r="H1188" s="11" t="s">
        <v>1339</v>
      </c>
      <c r="I1188" s="11">
        <v>1181</v>
      </c>
      <c r="J1188" s="49" t="s">
        <v>39</v>
      </c>
      <c r="K1188" s="49" t="s">
        <v>76</v>
      </c>
      <c r="L1188" s="49" t="s">
        <v>95</v>
      </c>
      <c r="M1188" s="49" t="s">
        <v>77</v>
      </c>
      <c r="N1188" s="48" t="s">
        <v>79</v>
      </c>
      <c r="O1188" s="49" t="s">
        <v>68</v>
      </c>
      <c r="P1188" s="11" t="s">
        <v>80</v>
      </c>
      <c r="Q1188" s="11" t="s">
        <v>81</v>
      </c>
      <c r="R1188" s="11" t="s">
        <v>2736</v>
      </c>
      <c r="S1188" s="11" t="s">
        <v>2737</v>
      </c>
      <c r="T1188" s="90" t="s">
        <v>1</v>
      </c>
      <c r="U1188" s="90"/>
      <c r="V1188" s="51">
        <v>45470</v>
      </c>
      <c r="W1188" s="49" t="s">
        <v>68</v>
      </c>
    </row>
    <row r="1189" spans="1:23" ht="13" customHeight="1" x14ac:dyDescent="0.35">
      <c r="A1189" s="11">
        <v>1183</v>
      </c>
      <c r="B1189" s="47">
        <v>202137760</v>
      </c>
      <c r="C1189" s="94" t="s">
        <v>1345</v>
      </c>
      <c r="D1189" s="11" t="s">
        <v>1346</v>
      </c>
      <c r="E1189" s="48" t="s">
        <v>31</v>
      </c>
      <c r="F1189" s="48" t="s">
        <v>74</v>
      </c>
      <c r="G1189" s="11" t="s">
        <v>65</v>
      </c>
      <c r="H1189" s="11" t="s">
        <v>1339</v>
      </c>
      <c r="I1189" s="11">
        <v>1181</v>
      </c>
      <c r="J1189" s="49" t="s">
        <v>39</v>
      </c>
      <c r="K1189" s="49" t="s">
        <v>76</v>
      </c>
      <c r="L1189" s="49" t="s">
        <v>95</v>
      </c>
      <c r="M1189" s="49" t="s">
        <v>77</v>
      </c>
      <c r="N1189" s="48" t="s">
        <v>86</v>
      </c>
      <c r="O1189" s="49" t="s">
        <v>68</v>
      </c>
      <c r="P1189" s="11" t="s">
        <v>80</v>
      </c>
      <c r="Q1189" s="11" t="s">
        <v>87</v>
      </c>
      <c r="R1189" s="11" t="s">
        <v>2736</v>
      </c>
      <c r="S1189" s="11" t="s">
        <v>2737</v>
      </c>
      <c r="T1189" s="90" t="s">
        <v>1</v>
      </c>
      <c r="U1189" s="91"/>
      <c r="V1189" s="51">
        <v>45589</v>
      </c>
      <c r="W1189" s="49" t="s">
        <v>68</v>
      </c>
    </row>
    <row r="1190" spans="1:23" ht="13" customHeight="1" x14ac:dyDescent="0.35">
      <c r="A1190" s="11">
        <v>1184</v>
      </c>
      <c r="B1190" s="47">
        <v>203635598</v>
      </c>
      <c r="C1190" s="94" t="s">
        <v>1347</v>
      </c>
      <c r="D1190" s="11" t="s">
        <v>1348</v>
      </c>
      <c r="E1190" s="48" t="s">
        <v>31</v>
      </c>
      <c r="F1190" s="48" t="s">
        <v>74</v>
      </c>
      <c r="G1190" s="11" t="s">
        <v>65</v>
      </c>
      <c r="H1190" s="11" t="s">
        <v>1339</v>
      </c>
      <c r="I1190" s="11">
        <v>1181</v>
      </c>
      <c r="J1190" s="49" t="s">
        <v>32</v>
      </c>
      <c r="K1190" s="49" t="s">
        <v>76</v>
      </c>
      <c r="L1190" s="49" t="s">
        <v>88</v>
      </c>
      <c r="M1190" s="49" t="s">
        <v>95</v>
      </c>
      <c r="N1190" s="48" t="s">
        <v>79</v>
      </c>
      <c r="O1190" s="49" t="s">
        <v>68</v>
      </c>
      <c r="P1190" s="11" t="s">
        <v>80</v>
      </c>
      <c r="Q1190" s="11" t="s">
        <v>81</v>
      </c>
      <c r="R1190" s="11" t="s">
        <v>1343</v>
      </c>
      <c r="S1190" s="11" t="s">
        <v>1344</v>
      </c>
      <c r="T1190" s="90" t="s">
        <v>10</v>
      </c>
      <c r="U1190" s="89"/>
      <c r="V1190" s="51">
        <v>45481</v>
      </c>
      <c r="W1190" s="49" t="s">
        <v>68</v>
      </c>
    </row>
    <row r="1191" spans="1:23" ht="13" customHeight="1" x14ac:dyDescent="0.35">
      <c r="A1191" s="11">
        <v>1185</v>
      </c>
      <c r="B1191" s="47">
        <v>206361774</v>
      </c>
      <c r="C1191" s="94" t="s">
        <v>2448</v>
      </c>
      <c r="D1191" s="11" t="s">
        <v>2449</v>
      </c>
      <c r="E1191" s="48" t="s">
        <v>31</v>
      </c>
      <c r="F1191" s="48" t="s">
        <v>74</v>
      </c>
      <c r="G1191" s="11" t="s">
        <v>65</v>
      </c>
      <c r="H1191" s="11" t="s">
        <v>1339</v>
      </c>
      <c r="I1191" s="11">
        <v>1181</v>
      </c>
      <c r="J1191" s="49" t="s">
        <v>39</v>
      </c>
      <c r="K1191" s="49" t="s">
        <v>76</v>
      </c>
      <c r="L1191" s="49" t="s">
        <v>85</v>
      </c>
      <c r="M1191" s="49" t="s">
        <v>88</v>
      </c>
      <c r="N1191" s="49" t="s">
        <v>89</v>
      </c>
      <c r="O1191" s="49" t="s">
        <v>68</v>
      </c>
      <c r="P1191" s="11" t="s">
        <v>80</v>
      </c>
      <c r="Q1191" s="11" t="s">
        <v>96</v>
      </c>
      <c r="R1191" s="11" t="s">
        <v>2736</v>
      </c>
      <c r="S1191" s="11" t="s">
        <v>2737</v>
      </c>
      <c r="T1191" s="90" t="s">
        <v>10</v>
      </c>
      <c r="U1191" s="91"/>
      <c r="V1191" s="51">
        <v>45957</v>
      </c>
      <c r="W1191" s="49" t="s">
        <v>68</v>
      </c>
    </row>
    <row r="1192" spans="1:23" ht="13" customHeight="1" x14ac:dyDescent="0.35">
      <c r="A1192" s="11">
        <v>1186</v>
      </c>
      <c r="B1192" s="47">
        <v>104383492</v>
      </c>
      <c r="C1192" s="94" t="s">
        <v>2470</v>
      </c>
      <c r="D1192" s="11" t="s">
        <v>2471</v>
      </c>
      <c r="E1192" s="48" t="s">
        <v>34</v>
      </c>
      <c r="F1192" s="48" t="s">
        <v>74</v>
      </c>
      <c r="G1192" s="11" t="s">
        <v>65</v>
      </c>
      <c r="H1192" s="11" t="s">
        <v>1339</v>
      </c>
      <c r="I1192" s="11">
        <v>1182</v>
      </c>
      <c r="J1192" s="49" t="s">
        <v>39</v>
      </c>
      <c r="K1192" s="49" t="s">
        <v>76</v>
      </c>
      <c r="L1192" s="49" t="s">
        <v>92</v>
      </c>
      <c r="M1192" s="49" t="s">
        <v>84</v>
      </c>
      <c r="N1192" s="48" t="s">
        <v>1340</v>
      </c>
      <c r="O1192" s="49" t="s">
        <v>68</v>
      </c>
      <c r="P1192" s="11" t="s">
        <v>80</v>
      </c>
      <c r="Q1192" s="11" t="s">
        <v>98</v>
      </c>
      <c r="R1192" s="11" t="s">
        <v>2736</v>
      </c>
      <c r="S1192" s="11" t="s">
        <v>2737</v>
      </c>
      <c r="T1192" s="90" t="s">
        <v>1</v>
      </c>
      <c r="U1192" s="91"/>
      <c r="V1192" s="51">
        <v>44728</v>
      </c>
      <c r="W1192" s="49" t="s">
        <v>68</v>
      </c>
    </row>
    <row r="1193" spans="1:23" ht="13" customHeight="1" x14ac:dyDescent="0.35">
      <c r="A1193" s="11">
        <v>1187</v>
      </c>
      <c r="B1193" s="47">
        <v>206191961</v>
      </c>
      <c r="C1193" s="94" t="s">
        <v>1607</v>
      </c>
      <c r="D1193" s="11" t="s">
        <v>1930</v>
      </c>
      <c r="E1193" s="48" t="s">
        <v>31</v>
      </c>
      <c r="F1193" s="48" t="s">
        <v>74</v>
      </c>
      <c r="G1193" s="11" t="s">
        <v>65</v>
      </c>
      <c r="H1193" s="11" t="s">
        <v>1339</v>
      </c>
      <c r="I1193" s="11">
        <v>1299</v>
      </c>
      <c r="J1193" s="49" t="s">
        <v>32</v>
      </c>
      <c r="K1193" s="49" t="s">
        <v>76</v>
      </c>
      <c r="L1193" s="49" t="s">
        <v>78</v>
      </c>
      <c r="M1193" s="49" t="s">
        <v>92</v>
      </c>
      <c r="N1193" s="49" t="s">
        <v>89</v>
      </c>
      <c r="O1193" s="49" t="s">
        <v>68</v>
      </c>
      <c r="P1193" s="11" t="s">
        <v>80</v>
      </c>
      <c r="Q1193" s="11" t="s">
        <v>96</v>
      </c>
      <c r="R1193" s="11" t="s">
        <v>1343</v>
      </c>
      <c r="S1193" s="11" t="s">
        <v>1344</v>
      </c>
      <c r="T1193" s="90" t="s">
        <v>1</v>
      </c>
      <c r="U1193" s="89"/>
      <c r="V1193" s="51">
        <v>45936</v>
      </c>
      <c r="W1193" s="49" t="s">
        <v>68</v>
      </c>
    </row>
    <row r="1194" spans="1:23" ht="13" customHeight="1" x14ac:dyDescent="0.35">
      <c r="A1194" s="11">
        <v>1188</v>
      </c>
      <c r="B1194" s="47">
        <v>203881712</v>
      </c>
      <c r="C1194" s="94" t="s">
        <v>1349</v>
      </c>
      <c r="D1194" s="11" t="s">
        <v>1350</v>
      </c>
      <c r="E1194" s="48" t="s">
        <v>31</v>
      </c>
      <c r="F1194" s="48" t="s">
        <v>74</v>
      </c>
      <c r="G1194" s="11" t="s">
        <v>65</v>
      </c>
      <c r="H1194" s="11" t="s">
        <v>1339</v>
      </c>
      <c r="I1194" s="11">
        <v>1181</v>
      </c>
      <c r="J1194" s="49" t="s">
        <v>39</v>
      </c>
      <c r="K1194" s="49" t="s">
        <v>76</v>
      </c>
      <c r="L1194" s="49" t="s">
        <v>95</v>
      </c>
      <c r="M1194" s="49" t="s">
        <v>77</v>
      </c>
      <c r="N1194" s="48" t="s">
        <v>79</v>
      </c>
      <c r="O1194" s="49" t="s">
        <v>68</v>
      </c>
      <c r="P1194" s="11" t="s">
        <v>80</v>
      </c>
      <c r="Q1194" s="11" t="s">
        <v>81</v>
      </c>
      <c r="R1194" s="11" t="s">
        <v>2736</v>
      </c>
      <c r="S1194" s="11" t="s">
        <v>2737</v>
      </c>
      <c r="T1194" s="90" t="s">
        <v>1</v>
      </c>
      <c r="U1194" s="89"/>
      <c r="V1194" s="51">
        <v>45530</v>
      </c>
      <c r="W1194" s="49" t="s">
        <v>68</v>
      </c>
    </row>
    <row r="1195" spans="1:23" ht="13" customHeight="1" x14ac:dyDescent="0.35">
      <c r="A1195" s="11">
        <v>1189</v>
      </c>
      <c r="B1195" s="47">
        <v>206348020</v>
      </c>
      <c r="C1195" s="94" t="s">
        <v>1675</v>
      </c>
      <c r="D1195" s="11" t="s">
        <v>1676</v>
      </c>
      <c r="E1195" s="48" t="s">
        <v>31</v>
      </c>
      <c r="F1195" s="48" t="s">
        <v>74</v>
      </c>
      <c r="G1195" s="11" t="s">
        <v>65</v>
      </c>
      <c r="H1195" s="11" t="s">
        <v>1339</v>
      </c>
      <c r="I1195" s="11">
        <v>1181</v>
      </c>
      <c r="J1195" s="49" t="s">
        <v>32</v>
      </c>
      <c r="K1195" s="49" t="s">
        <v>76</v>
      </c>
      <c r="L1195" s="49" t="s">
        <v>78</v>
      </c>
      <c r="M1195" s="49" t="s">
        <v>92</v>
      </c>
      <c r="N1195" s="49" t="s">
        <v>89</v>
      </c>
      <c r="O1195" s="49" t="s">
        <v>68</v>
      </c>
      <c r="P1195" s="11" t="s">
        <v>80</v>
      </c>
      <c r="Q1195" s="11" t="s">
        <v>90</v>
      </c>
      <c r="R1195" s="11" t="s">
        <v>1343</v>
      </c>
      <c r="S1195" s="11" t="s">
        <v>1344</v>
      </c>
      <c r="T1195" s="90" t="s">
        <v>1</v>
      </c>
      <c r="U1195" s="90"/>
      <c r="V1195" s="51">
        <v>45957</v>
      </c>
      <c r="W1195" s="49" t="s">
        <v>68</v>
      </c>
    </row>
    <row r="1196" spans="1:23" ht="13" customHeight="1" x14ac:dyDescent="0.35">
      <c r="A1196" s="11">
        <v>1190</v>
      </c>
      <c r="B1196" s="47">
        <v>201188904</v>
      </c>
      <c r="C1196" s="94" t="s">
        <v>1351</v>
      </c>
      <c r="D1196" s="11" t="s">
        <v>1352</v>
      </c>
      <c r="E1196" s="48" t="s">
        <v>31</v>
      </c>
      <c r="F1196" s="48" t="s">
        <v>74</v>
      </c>
      <c r="G1196" s="11" t="s">
        <v>65</v>
      </c>
      <c r="H1196" s="11" t="s">
        <v>1339</v>
      </c>
      <c r="I1196" s="11">
        <v>1181</v>
      </c>
      <c r="J1196" s="49" t="s">
        <v>39</v>
      </c>
      <c r="K1196" s="49" t="s">
        <v>76</v>
      </c>
      <c r="L1196" s="49" t="s">
        <v>84</v>
      </c>
      <c r="M1196" s="49" t="s">
        <v>85</v>
      </c>
      <c r="N1196" s="48" t="s">
        <v>79</v>
      </c>
      <c r="O1196" s="49" t="s">
        <v>68</v>
      </c>
      <c r="P1196" s="11" t="s">
        <v>80</v>
      </c>
      <c r="Q1196" s="11" t="s">
        <v>81</v>
      </c>
      <c r="R1196" s="11" t="s">
        <v>2736</v>
      </c>
      <c r="S1196" s="11" t="s">
        <v>2737</v>
      </c>
      <c r="T1196" s="90" t="s">
        <v>1</v>
      </c>
      <c r="U1196" s="90"/>
      <c r="V1196" s="51">
        <v>45530</v>
      </c>
      <c r="W1196" s="49" t="s">
        <v>68</v>
      </c>
    </row>
    <row r="1197" spans="1:23" ht="13" customHeight="1" x14ac:dyDescent="0.35">
      <c r="A1197" s="11">
        <v>1191</v>
      </c>
      <c r="B1197" s="47">
        <v>206348027</v>
      </c>
      <c r="C1197" s="94" t="s">
        <v>1677</v>
      </c>
      <c r="D1197" s="11" t="s">
        <v>1678</v>
      </c>
      <c r="E1197" s="48" t="s">
        <v>31</v>
      </c>
      <c r="F1197" s="48" t="s">
        <v>74</v>
      </c>
      <c r="G1197" s="11" t="s">
        <v>65</v>
      </c>
      <c r="H1197" s="11" t="s">
        <v>1339</v>
      </c>
      <c r="I1197" s="11">
        <v>1181</v>
      </c>
      <c r="J1197" s="49" t="s">
        <v>39</v>
      </c>
      <c r="K1197" s="49" t="s">
        <v>76</v>
      </c>
      <c r="L1197" s="49" t="s">
        <v>78</v>
      </c>
      <c r="M1197" s="49" t="s">
        <v>92</v>
      </c>
      <c r="N1197" s="49" t="s">
        <v>89</v>
      </c>
      <c r="O1197" s="49" t="s">
        <v>68</v>
      </c>
      <c r="P1197" s="11" t="s">
        <v>80</v>
      </c>
      <c r="Q1197" s="11" t="s">
        <v>90</v>
      </c>
      <c r="R1197" s="11" t="s">
        <v>2736</v>
      </c>
      <c r="S1197" s="11" t="s">
        <v>2737</v>
      </c>
      <c r="T1197" s="90" t="s">
        <v>1</v>
      </c>
      <c r="U1197" s="89"/>
      <c r="V1197" s="51">
        <v>45957</v>
      </c>
      <c r="W1197" s="49" t="s">
        <v>68</v>
      </c>
    </row>
    <row r="1198" spans="1:23" ht="13" customHeight="1" x14ac:dyDescent="0.35">
      <c r="A1198" s="11">
        <v>1192</v>
      </c>
      <c r="B1198" s="47">
        <v>204768284</v>
      </c>
      <c r="C1198" s="94" t="s">
        <v>1353</v>
      </c>
      <c r="D1198" s="11" t="s">
        <v>1354</v>
      </c>
      <c r="E1198" s="48" t="s">
        <v>31</v>
      </c>
      <c r="F1198" s="48" t="s">
        <v>74</v>
      </c>
      <c r="G1198" s="11" t="s">
        <v>65</v>
      </c>
      <c r="H1198" s="11" t="s">
        <v>1339</v>
      </c>
      <c r="I1198" s="11">
        <v>1181</v>
      </c>
      <c r="J1198" s="49" t="s">
        <v>32</v>
      </c>
      <c r="K1198" s="49" t="s">
        <v>76</v>
      </c>
      <c r="L1198" s="49" t="s">
        <v>77</v>
      </c>
      <c r="M1198" s="49" t="s">
        <v>78</v>
      </c>
      <c r="N1198" s="48" t="s">
        <v>89</v>
      </c>
      <c r="O1198" s="49" t="s">
        <v>68</v>
      </c>
      <c r="P1198" s="11" t="s">
        <v>80</v>
      </c>
      <c r="Q1198" s="11" t="s">
        <v>90</v>
      </c>
      <c r="R1198" s="11" t="s">
        <v>1343</v>
      </c>
      <c r="S1198" s="11" t="s">
        <v>1344</v>
      </c>
      <c r="T1198" s="90" t="s">
        <v>1</v>
      </c>
      <c r="U1198" s="91"/>
      <c r="V1198" s="51">
        <v>45796</v>
      </c>
      <c r="W1198" s="49" t="s">
        <v>68</v>
      </c>
    </row>
    <row r="1199" spans="1:23" ht="13" customHeight="1" x14ac:dyDescent="0.35">
      <c r="A1199" s="11">
        <v>1193</v>
      </c>
      <c r="B1199" s="47">
        <v>206348019</v>
      </c>
      <c r="C1199" s="94" t="s">
        <v>2450</v>
      </c>
      <c r="D1199" s="11" t="s">
        <v>2451</v>
      </c>
      <c r="E1199" s="48" t="s">
        <v>31</v>
      </c>
      <c r="F1199" s="48" t="s">
        <v>74</v>
      </c>
      <c r="G1199" s="11" t="s">
        <v>65</v>
      </c>
      <c r="H1199" s="11" t="s">
        <v>1339</v>
      </c>
      <c r="I1199" s="11">
        <v>1181</v>
      </c>
      <c r="J1199" s="49" t="s">
        <v>32</v>
      </c>
      <c r="K1199" s="49" t="s">
        <v>76</v>
      </c>
      <c r="L1199" s="49" t="s">
        <v>92</v>
      </c>
      <c r="M1199" s="49" t="s">
        <v>84</v>
      </c>
      <c r="N1199" s="49" t="s">
        <v>89</v>
      </c>
      <c r="O1199" s="49" t="s">
        <v>68</v>
      </c>
      <c r="P1199" s="11" t="s">
        <v>80</v>
      </c>
      <c r="Q1199" s="11" t="s">
        <v>90</v>
      </c>
      <c r="R1199" s="11" t="s">
        <v>1343</v>
      </c>
      <c r="S1199" s="11" t="s">
        <v>1344</v>
      </c>
      <c r="T1199" s="90" t="s">
        <v>7</v>
      </c>
      <c r="U1199" s="89"/>
      <c r="V1199" s="51">
        <v>45957</v>
      </c>
      <c r="W1199" s="49" t="s">
        <v>68</v>
      </c>
    </row>
    <row r="1200" spans="1:23" ht="13" customHeight="1" x14ac:dyDescent="0.35">
      <c r="A1200" s="11">
        <v>1194</v>
      </c>
      <c r="B1200" s="47">
        <v>102205688</v>
      </c>
      <c r="C1200" s="94" t="s">
        <v>1357</v>
      </c>
      <c r="D1200" s="11" t="s">
        <v>1358</v>
      </c>
      <c r="E1200" s="48" t="s">
        <v>34</v>
      </c>
      <c r="F1200" s="48" t="s">
        <v>74</v>
      </c>
      <c r="G1200" s="11" t="s">
        <v>65</v>
      </c>
      <c r="H1200" s="11" t="s">
        <v>1339</v>
      </c>
      <c r="I1200" s="11">
        <v>1182</v>
      </c>
      <c r="J1200" s="49" t="s">
        <v>39</v>
      </c>
      <c r="K1200" s="49" t="s">
        <v>76</v>
      </c>
      <c r="L1200" s="49" t="s">
        <v>77</v>
      </c>
      <c r="M1200" s="49" t="s">
        <v>78</v>
      </c>
      <c r="N1200" s="48" t="s">
        <v>108</v>
      </c>
      <c r="O1200" s="49" t="s">
        <v>68</v>
      </c>
      <c r="P1200" s="11" t="s">
        <v>80</v>
      </c>
      <c r="Q1200" s="11" t="s">
        <v>98</v>
      </c>
      <c r="R1200" s="11" t="s">
        <v>2736</v>
      </c>
      <c r="S1200" s="11" t="s">
        <v>2737</v>
      </c>
      <c r="T1200" s="90" t="s">
        <v>1</v>
      </c>
      <c r="U1200" s="89"/>
      <c r="V1200" s="51">
        <v>42868</v>
      </c>
      <c r="W1200" s="49" t="s">
        <v>68</v>
      </c>
    </row>
    <row r="1201" spans="1:23" ht="13" customHeight="1" x14ac:dyDescent="0.35">
      <c r="A1201" s="11">
        <v>1195</v>
      </c>
      <c r="B1201" s="47">
        <v>103640429</v>
      </c>
      <c r="C1201" s="94" t="s">
        <v>1359</v>
      </c>
      <c r="D1201" s="11" t="s">
        <v>1360</v>
      </c>
      <c r="E1201" s="48" t="s">
        <v>34</v>
      </c>
      <c r="F1201" s="48" t="s">
        <v>74</v>
      </c>
      <c r="G1201" s="11" t="s">
        <v>65</v>
      </c>
      <c r="H1201" s="11" t="s">
        <v>1339</v>
      </c>
      <c r="I1201" s="11">
        <v>1182</v>
      </c>
      <c r="J1201" s="49" t="s">
        <v>39</v>
      </c>
      <c r="K1201" s="49" t="s">
        <v>76</v>
      </c>
      <c r="L1201" s="49" t="s">
        <v>95</v>
      </c>
      <c r="M1201" s="49" t="s">
        <v>77</v>
      </c>
      <c r="N1201" s="48" t="s">
        <v>108</v>
      </c>
      <c r="O1201" s="49" t="s">
        <v>68</v>
      </c>
      <c r="P1201" s="11" t="s">
        <v>80</v>
      </c>
      <c r="Q1201" s="11" t="s">
        <v>98</v>
      </c>
      <c r="R1201" s="11" t="s">
        <v>2736</v>
      </c>
      <c r="S1201" s="11" t="s">
        <v>2737</v>
      </c>
      <c r="T1201" s="90" t="s">
        <v>1</v>
      </c>
      <c r="U1201" s="89"/>
      <c r="V1201" s="51">
        <v>44724</v>
      </c>
      <c r="W1201" s="49" t="s">
        <v>68</v>
      </c>
    </row>
    <row r="1202" spans="1:23" ht="13" customHeight="1" x14ac:dyDescent="0.35">
      <c r="A1202" s="11">
        <v>1196</v>
      </c>
      <c r="B1202" s="47">
        <v>205275768</v>
      </c>
      <c r="C1202" s="94" t="s">
        <v>1361</v>
      </c>
      <c r="D1202" s="11" t="s">
        <v>1362</v>
      </c>
      <c r="E1202" s="48" t="s">
        <v>31</v>
      </c>
      <c r="F1202" s="48" t="s">
        <v>74</v>
      </c>
      <c r="G1202" s="11" t="s">
        <v>65</v>
      </c>
      <c r="H1202" s="11" t="s">
        <v>1339</v>
      </c>
      <c r="I1202" s="11">
        <v>1181</v>
      </c>
      <c r="J1202" s="49" t="s">
        <v>32</v>
      </c>
      <c r="K1202" s="49" t="s">
        <v>76</v>
      </c>
      <c r="L1202" s="49" t="s">
        <v>84</v>
      </c>
      <c r="M1202" s="49" t="s">
        <v>85</v>
      </c>
      <c r="N1202" s="48" t="s">
        <v>89</v>
      </c>
      <c r="O1202" s="49" t="s">
        <v>68</v>
      </c>
      <c r="P1202" s="11" t="s">
        <v>80</v>
      </c>
      <c r="Q1202" s="11" t="s">
        <v>90</v>
      </c>
      <c r="R1202" s="11" t="s">
        <v>1343</v>
      </c>
      <c r="S1202" s="11" t="s">
        <v>1344</v>
      </c>
      <c r="T1202" s="90" t="s">
        <v>1</v>
      </c>
      <c r="U1202" s="89"/>
      <c r="V1202" s="51">
        <v>45796</v>
      </c>
      <c r="W1202" s="49" t="s">
        <v>68</v>
      </c>
    </row>
    <row r="1203" spans="1:23" ht="13" customHeight="1" x14ac:dyDescent="0.35">
      <c r="A1203" s="11">
        <v>1197</v>
      </c>
      <c r="B1203" s="47">
        <v>205275762</v>
      </c>
      <c r="C1203" s="94" t="s">
        <v>1363</v>
      </c>
      <c r="D1203" s="11" t="s">
        <v>1996</v>
      </c>
      <c r="E1203" s="48" t="s">
        <v>31</v>
      </c>
      <c r="F1203" s="48" t="s">
        <v>74</v>
      </c>
      <c r="G1203" s="11" t="s">
        <v>65</v>
      </c>
      <c r="H1203" s="11" t="s">
        <v>1339</v>
      </c>
      <c r="I1203" s="11">
        <v>1299</v>
      </c>
      <c r="J1203" s="49" t="s">
        <v>32</v>
      </c>
      <c r="K1203" s="49" t="s">
        <v>76</v>
      </c>
      <c r="L1203" s="49" t="s">
        <v>84</v>
      </c>
      <c r="M1203" s="49" t="s">
        <v>85</v>
      </c>
      <c r="N1203" s="48" t="s">
        <v>89</v>
      </c>
      <c r="O1203" s="49" t="s">
        <v>68</v>
      </c>
      <c r="P1203" s="11" t="s">
        <v>80</v>
      </c>
      <c r="Q1203" s="11" t="s">
        <v>90</v>
      </c>
      <c r="R1203" s="11" t="s">
        <v>1343</v>
      </c>
      <c r="S1203" s="11" t="s">
        <v>1344</v>
      </c>
      <c r="T1203" s="90" t="s">
        <v>1</v>
      </c>
      <c r="U1203" s="90"/>
      <c r="V1203" s="51">
        <v>45796</v>
      </c>
      <c r="W1203" s="49" t="s">
        <v>68</v>
      </c>
    </row>
    <row r="1204" spans="1:23" ht="13" customHeight="1" x14ac:dyDescent="0.35">
      <c r="A1204" s="11">
        <v>1198</v>
      </c>
      <c r="B1204" s="47">
        <v>103058874</v>
      </c>
      <c r="C1204" s="94" t="s">
        <v>1364</v>
      </c>
      <c r="D1204" s="11" t="s">
        <v>1365</v>
      </c>
      <c r="E1204" s="48" t="s">
        <v>34</v>
      </c>
      <c r="F1204" s="48" t="s">
        <v>74</v>
      </c>
      <c r="G1204" s="11" t="s">
        <v>65</v>
      </c>
      <c r="H1204" s="11" t="s">
        <v>1339</v>
      </c>
      <c r="I1204" s="11">
        <v>1182</v>
      </c>
      <c r="J1204" s="49" t="s">
        <v>39</v>
      </c>
      <c r="K1204" s="49" t="s">
        <v>76</v>
      </c>
      <c r="L1204" s="49" t="s">
        <v>78</v>
      </c>
      <c r="M1204" s="49" t="s">
        <v>92</v>
      </c>
      <c r="N1204" s="48" t="s">
        <v>108</v>
      </c>
      <c r="O1204" s="49" t="s">
        <v>68</v>
      </c>
      <c r="P1204" s="11" t="s">
        <v>80</v>
      </c>
      <c r="Q1204" s="11" t="s">
        <v>98</v>
      </c>
      <c r="R1204" s="11" t="s">
        <v>2736</v>
      </c>
      <c r="S1204" s="11" t="s">
        <v>2737</v>
      </c>
      <c r="T1204" s="90" t="s">
        <v>1</v>
      </c>
      <c r="U1204" s="90"/>
      <c r="V1204" s="51">
        <v>43024</v>
      </c>
      <c r="W1204" s="49" t="s">
        <v>68</v>
      </c>
    </row>
    <row r="1205" spans="1:23" ht="13" customHeight="1" x14ac:dyDescent="0.35">
      <c r="A1205" s="11">
        <v>1199</v>
      </c>
      <c r="B1205" s="47">
        <v>206361295</v>
      </c>
      <c r="C1205" s="94" t="s">
        <v>2452</v>
      </c>
      <c r="D1205" s="11" t="s">
        <v>2453</v>
      </c>
      <c r="E1205" s="48" t="s">
        <v>31</v>
      </c>
      <c r="F1205" s="48" t="s">
        <v>74</v>
      </c>
      <c r="G1205" s="11" t="s">
        <v>65</v>
      </c>
      <c r="H1205" s="11" t="s">
        <v>1339</v>
      </c>
      <c r="I1205" s="11">
        <v>1181</v>
      </c>
      <c r="J1205" s="49" t="s">
        <v>39</v>
      </c>
      <c r="K1205" s="49" t="s">
        <v>76</v>
      </c>
      <c r="L1205" s="49" t="s">
        <v>78</v>
      </c>
      <c r="M1205" s="49" t="s">
        <v>92</v>
      </c>
      <c r="N1205" s="49" t="s">
        <v>89</v>
      </c>
      <c r="O1205" s="49" t="s">
        <v>68</v>
      </c>
      <c r="P1205" s="11" t="s">
        <v>80</v>
      </c>
      <c r="Q1205" s="11" t="s">
        <v>96</v>
      </c>
      <c r="R1205" s="11" t="s">
        <v>2736</v>
      </c>
      <c r="S1205" s="11" t="s">
        <v>2737</v>
      </c>
      <c r="T1205" s="90" t="s">
        <v>1</v>
      </c>
      <c r="U1205" s="89"/>
      <c r="V1205" s="51">
        <v>45957</v>
      </c>
      <c r="W1205" s="49" t="s">
        <v>68</v>
      </c>
    </row>
    <row r="1206" spans="1:23" ht="13" customHeight="1" x14ac:dyDescent="0.35">
      <c r="A1206" s="11">
        <v>1200</v>
      </c>
      <c r="B1206" s="47">
        <v>111249388</v>
      </c>
      <c r="C1206" s="94" t="s">
        <v>1367</v>
      </c>
      <c r="D1206" s="11" t="s">
        <v>1368</v>
      </c>
      <c r="E1206" s="48" t="s">
        <v>31</v>
      </c>
      <c r="F1206" s="48" t="s">
        <v>74</v>
      </c>
      <c r="G1206" s="11" t="s">
        <v>65</v>
      </c>
      <c r="H1206" s="11" t="s">
        <v>1339</v>
      </c>
      <c r="I1206" s="11">
        <v>1181</v>
      </c>
      <c r="J1206" s="49" t="s">
        <v>39</v>
      </c>
      <c r="K1206" s="49" t="s">
        <v>76</v>
      </c>
      <c r="L1206" s="49" t="s">
        <v>88</v>
      </c>
      <c r="M1206" s="49" t="s">
        <v>95</v>
      </c>
      <c r="N1206" s="48" t="s">
        <v>79</v>
      </c>
      <c r="O1206" s="49" t="s">
        <v>68</v>
      </c>
      <c r="P1206" s="11" t="s">
        <v>80</v>
      </c>
      <c r="Q1206" s="11" t="s">
        <v>81</v>
      </c>
      <c r="R1206" s="11" t="s">
        <v>2736</v>
      </c>
      <c r="S1206" s="11" t="s">
        <v>2737</v>
      </c>
      <c r="T1206" s="90" t="s">
        <v>10</v>
      </c>
      <c r="U1206" s="89"/>
      <c r="V1206" s="51">
        <v>45530</v>
      </c>
      <c r="W1206" s="49" t="s">
        <v>68</v>
      </c>
    </row>
    <row r="1207" spans="1:23" ht="13" customHeight="1" x14ac:dyDescent="0.35">
      <c r="A1207" s="11">
        <v>1201</v>
      </c>
      <c r="B1207" s="47">
        <v>204013729</v>
      </c>
      <c r="C1207" s="94" t="s">
        <v>1370</v>
      </c>
      <c r="D1207" s="11" t="s">
        <v>1371</v>
      </c>
      <c r="E1207" s="48" t="s">
        <v>31</v>
      </c>
      <c r="F1207" s="48" t="s">
        <v>74</v>
      </c>
      <c r="G1207" s="11" t="s">
        <v>65</v>
      </c>
      <c r="H1207" s="11" t="s">
        <v>1339</v>
      </c>
      <c r="I1207" s="11">
        <v>1181</v>
      </c>
      <c r="J1207" s="49" t="s">
        <v>32</v>
      </c>
      <c r="K1207" s="49" t="s">
        <v>76</v>
      </c>
      <c r="L1207" s="49" t="s">
        <v>88</v>
      </c>
      <c r="M1207" s="49" t="s">
        <v>95</v>
      </c>
      <c r="N1207" s="48" t="s">
        <v>79</v>
      </c>
      <c r="O1207" s="49" t="s">
        <v>68</v>
      </c>
      <c r="P1207" s="11" t="s">
        <v>80</v>
      </c>
      <c r="Q1207" s="11" t="s">
        <v>81</v>
      </c>
      <c r="R1207" s="11" t="s">
        <v>1343</v>
      </c>
      <c r="S1207" s="11" t="s">
        <v>1344</v>
      </c>
      <c r="T1207" s="90" t="s">
        <v>10</v>
      </c>
      <c r="U1207" s="91"/>
      <c r="V1207" s="51">
        <v>45551</v>
      </c>
      <c r="W1207" s="49" t="s">
        <v>68</v>
      </c>
    </row>
    <row r="1208" spans="1:23" ht="13" customHeight="1" x14ac:dyDescent="0.35">
      <c r="A1208" s="11">
        <v>1202</v>
      </c>
      <c r="B1208" s="47">
        <v>203555213</v>
      </c>
      <c r="C1208" s="94" t="s">
        <v>1372</v>
      </c>
      <c r="D1208" s="11" t="s">
        <v>1373</v>
      </c>
      <c r="E1208" s="48" t="s">
        <v>31</v>
      </c>
      <c r="F1208" s="48" t="s">
        <v>74</v>
      </c>
      <c r="G1208" s="11" t="s">
        <v>65</v>
      </c>
      <c r="H1208" s="11" t="s">
        <v>1339</v>
      </c>
      <c r="I1208" s="11">
        <v>1181</v>
      </c>
      <c r="J1208" s="49" t="s">
        <v>39</v>
      </c>
      <c r="K1208" s="49" t="s">
        <v>76</v>
      </c>
      <c r="L1208" s="49" t="s">
        <v>77</v>
      </c>
      <c r="M1208" s="49" t="s">
        <v>78</v>
      </c>
      <c r="N1208" s="48" t="s">
        <v>79</v>
      </c>
      <c r="O1208" s="49" t="s">
        <v>68</v>
      </c>
      <c r="P1208" s="11" t="s">
        <v>80</v>
      </c>
      <c r="Q1208" s="11" t="s">
        <v>81</v>
      </c>
      <c r="R1208" s="11" t="s">
        <v>2736</v>
      </c>
      <c r="S1208" s="11" t="s">
        <v>2737</v>
      </c>
      <c r="T1208" s="90" t="s">
        <v>1</v>
      </c>
      <c r="U1208" s="90"/>
      <c r="V1208" s="51">
        <v>45470</v>
      </c>
      <c r="W1208" s="49" t="s">
        <v>68</v>
      </c>
    </row>
    <row r="1209" spans="1:23" ht="13" customHeight="1" x14ac:dyDescent="0.35">
      <c r="A1209" s="11">
        <v>1203</v>
      </c>
      <c r="B1209" s="47">
        <v>206368539</v>
      </c>
      <c r="C1209" s="94" t="s">
        <v>1679</v>
      </c>
      <c r="D1209" s="11" t="s">
        <v>1680</v>
      </c>
      <c r="E1209" s="48" t="s">
        <v>31</v>
      </c>
      <c r="F1209" s="48" t="s">
        <v>74</v>
      </c>
      <c r="G1209" s="11" t="s">
        <v>65</v>
      </c>
      <c r="H1209" s="11" t="s">
        <v>1339</v>
      </c>
      <c r="I1209" s="11">
        <v>1181</v>
      </c>
      <c r="J1209" s="49" t="s">
        <v>39</v>
      </c>
      <c r="K1209" s="49" t="s">
        <v>76</v>
      </c>
      <c r="L1209" s="49" t="s">
        <v>77</v>
      </c>
      <c r="M1209" s="49" t="s">
        <v>78</v>
      </c>
      <c r="N1209" s="49" t="s">
        <v>89</v>
      </c>
      <c r="O1209" s="49" t="s">
        <v>68</v>
      </c>
      <c r="P1209" s="11" t="s">
        <v>80</v>
      </c>
      <c r="Q1209" s="11" t="s">
        <v>96</v>
      </c>
      <c r="R1209" s="11" t="s">
        <v>2736</v>
      </c>
      <c r="S1209" s="11" t="s">
        <v>2737</v>
      </c>
      <c r="T1209" s="90" t="s">
        <v>1</v>
      </c>
      <c r="U1209" s="89"/>
      <c r="V1209" s="51">
        <v>45957</v>
      </c>
      <c r="W1209" s="49" t="s">
        <v>68</v>
      </c>
    </row>
    <row r="1210" spans="1:23" ht="13" customHeight="1" x14ac:dyDescent="0.35">
      <c r="A1210" s="11">
        <v>1204</v>
      </c>
      <c r="B1210" s="47">
        <v>203513400</v>
      </c>
      <c r="C1210" s="94" t="s">
        <v>1374</v>
      </c>
      <c r="D1210" s="11" t="s">
        <v>1375</v>
      </c>
      <c r="E1210" s="48" t="s">
        <v>31</v>
      </c>
      <c r="F1210" s="48" t="s">
        <v>74</v>
      </c>
      <c r="G1210" s="11" t="s">
        <v>65</v>
      </c>
      <c r="H1210" s="11" t="s">
        <v>1339</v>
      </c>
      <c r="I1210" s="11">
        <v>1181</v>
      </c>
      <c r="J1210" s="49" t="s">
        <v>32</v>
      </c>
      <c r="K1210" s="49" t="s">
        <v>76</v>
      </c>
      <c r="L1210" s="49" t="s">
        <v>77</v>
      </c>
      <c r="M1210" s="49" t="s">
        <v>78</v>
      </c>
      <c r="N1210" s="48" t="s">
        <v>79</v>
      </c>
      <c r="O1210" s="49" t="s">
        <v>68</v>
      </c>
      <c r="P1210" s="11" t="s">
        <v>80</v>
      </c>
      <c r="Q1210" s="11" t="s">
        <v>81</v>
      </c>
      <c r="R1210" s="11" t="s">
        <v>1343</v>
      </c>
      <c r="S1210" s="11" t="s">
        <v>1344</v>
      </c>
      <c r="T1210" s="90" t="s">
        <v>1</v>
      </c>
      <c r="U1210" s="91"/>
      <c r="V1210" s="51">
        <v>45463</v>
      </c>
      <c r="W1210" s="49" t="s">
        <v>68</v>
      </c>
    </row>
    <row r="1211" spans="1:23" ht="13" customHeight="1" x14ac:dyDescent="0.35">
      <c r="A1211" s="11">
        <v>1205</v>
      </c>
      <c r="B1211" s="47">
        <v>108067922</v>
      </c>
      <c r="C1211" s="94" t="s">
        <v>1376</v>
      </c>
      <c r="D1211" s="11" t="s">
        <v>1377</v>
      </c>
      <c r="E1211" s="48" t="s">
        <v>34</v>
      </c>
      <c r="F1211" s="48" t="s">
        <v>74</v>
      </c>
      <c r="G1211" s="11" t="s">
        <v>65</v>
      </c>
      <c r="H1211" s="11" t="s">
        <v>1339</v>
      </c>
      <c r="I1211" s="11">
        <v>1182</v>
      </c>
      <c r="J1211" s="49" t="s">
        <v>39</v>
      </c>
      <c r="K1211" s="49" t="s">
        <v>76</v>
      </c>
      <c r="L1211" s="49" t="s">
        <v>77</v>
      </c>
      <c r="M1211" s="49" t="s">
        <v>78</v>
      </c>
      <c r="N1211" s="48" t="s">
        <v>97</v>
      </c>
      <c r="O1211" s="49" t="s">
        <v>68</v>
      </c>
      <c r="P1211" s="11" t="s">
        <v>80</v>
      </c>
      <c r="Q1211" s="11" t="s">
        <v>98</v>
      </c>
      <c r="R1211" s="11" t="s">
        <v>2736</v>
      </c>
      <c r="S1211" s="11" t="s">
        <v>2737</v>
      </c>
      <c r="T1211" s="90" t="s">
        <v>1</v>
      </c>
      <c r="U1211" s="90"/>
      <c r="V1211" s="51">
        <v>44728</v>
      </c>
      <c r="W1211" s="49" t="s">
        <v>68</v>
      </c>
    </row>
    <row r="1212" spans="1:23" ht="13" customHeight="1" x14ac:dyDescent="0.35">
      <c r="A1212" s="11">
        <v>1206</v>
      </c>
      <c r="B1212" s="47">
        <v>203513497</v>
      </c>
      <c r="C1212" s="94" t="s">
        <v>1378</v>
      </c>
      <c r="D1212" s="11" t="s">
        <v>1379</v>
      </c>
      <c r="E1212" s="48" t="s">
        <v>31</v>
      </c>
      <c r="F1212" s="48" t="s">
        <v>74</v>
      </c>
      <c r="G1212" s="11" t="s">
        <v>65</v>
      </c>
      <c r="H1212" s="11" t="s">
        <v>1339</v>
      </c>
      <c r="I1212" s="11">
        <v>1181</v>
      </c>
      <c r="J1212" s="49" t="s">
        <v>39</v>
      </c>
      <c r="K1212" s="49" t="s">
        <v>76</v>
      </c>
      <c r="L1212" s="49" t="s">
        <v>78</v>
      </c>
      <c r="M1212" s="49" t="s">
        <v>92</v>
      </c>
      <c r="N1212" s="48" t="s">
        <v>79</v>
      </c>
      <c r="O1212" s="49" t="s">
        <v>68</v>
      </c>
      <c r="P1212" s="11" t="s">
        <v>80</v>
      </c>
      <c r="Q1212" s="11" t="s">
        <v>81</v>
      </c>
      <c r="R1212" s="11" t="s">
        <v>2736</v>
      </c>
      <c r="S1212" s="11" t="s">
        <v>2737</v>
      </c>
      <c r="T1212" s="90" t="s">
        <v>1</v>
      </c>
      <c r="U1212" s="90"/>
      <c r="V1212" s="51">
        <v>45463</v>
      </c>
      <c r="W1212" s="49" t="s">
        <v>68</v>
      </c>
    </row>
    <row r="1213" spans="1:23" ht="13" customHeight="1" x14ac:dyDescent="0.35">
      <c r="A1213" s="11">
        <v>1207</v>
      </c>
      <c r="B1213" s="47">
        <v>102206142</v>
      </c>
      <c r="C1213" s="94" t="s">
        <v>1381</v>
      </c>
      <c r="D1213" s="11" t="s">
        <v>1382</v>
      </c>
      <c r="E1213" s="48" t="s">
        <v>34</v>
      </c>
      <c r="F1213" s="48" t="s">
        <v>74</v>
      </c>
      <c r="G1213" s="11" t="s">
        <v>65</v>
      </c>
      <c r="H1213" s="11" t="s">
        <v>1339</v>
      </c>
      <c r="I1213" s="11">
        <v>1182</v>
      </c>
      <c r="J1213" s="49" t="s">
        <v>32</v>
      </c>
      <c r="K1213" s="49" t="s">
        <v>76</v>
      </c>
      <c r="L1213" s="49" t="s">
        <v>78</v>
      </c>
      <c r="M1213" s="49" t="s">
        <v>92</v>
      </c>
      <c r="N1213" s="48" t="s">
        <v>108</v>
      </c>
      <c r="O1213" s="49" t="s">
        <v>68</v>
      </c>
      <c r="P1213" s="11" t="s">
        <v>80</v>
      </c>
      <c r="Q1213" s="11" t="s">
        <v>98</v>
      </c>
      <c r="R1213" s="11" t="s">
        <v>1343</v>
      </c>
      <c r="S1213" s="11" t="s">
        <v>1344</v>
      </c>
      <c r="T1213" s="90" t="s">
        <v>1</v>
      </c>
      <c r="U1213" s="91"/>
      <c r="V1213" s="51">
        <v>42868</v>
      </c>
      <c r="W1213" s="49" t="s">
        <v>68</v>
      </c>
    </row>
    <row r="1214" spans="1:23" ht="13" customHeight="1" x14ac:dyDescent="0.35">
      <c r="A1214" s="11">
        <v>1208</v>
      </c>
      <c r="B1214" s="47">
        <v>203635486</v>
      </c>
      <c r="C1214" s="94" t="s">
        <v>1383</v>
      </c>
      <c r="D1214" s="11" t="s">
        <v>1384</v>
      </c>
      <c r="E1214" s="48" t="s">
        <v>31</v>
      </c>
      <c r="F1214" s="48" t="s">
        <v>74</v>
      </c>
      <c r="G1214" s="11" t="s">
        <v>65</v>
      </c>
      <c r="H1214" s="11" t="s">
        <v>1339</v>
      </c>
      <c r="I1214" s="11">
        <v>1181</v>
      </c>
      <c r="J1214" s="49" t="s">
        <v>32</v>
      </c>
      <c r="K1214" s="49" t="s">
        <v>76</v>
      </c>
      <c r="L1214" s="49" t="s">
        <v>92</v>
      </c>
      <c r="M1214" s="49" t="s">
        <v>84</v>
      </c>
      <c r="N1214" s="48" t="s">
        <v>79</v>
      </c>
      <c r="O1214" s="49" t="s">
        <v>68</v>
      </c>
      <c r="P1214" s="11" t="s">
        <v>80</v>
      </c>
      <c r="Q1214" s="11" t="s">
        <v>81</v>
      </c>
      <c r="R1214" s="11" t="s">
        <v>1343</v>
      </c>
      <c r="S1214" s="11" t="s">
        <v>1344</v>
      </c>
      <c r="T1214" s="90" t="s">
        <v>1</v>
      </c>
      <c r="U1214" s="90"/>
      <c r="V1214" s="51">
        <v>45481</v>
      </c>
      <c r="W1214" s="49" t="s">
        <v>68</v>
      </c>
    </row>
    <row r="1215" spans="1:23" ht="13" customHeight="1" x14ac:dyDescent="0.35">
      <c r="A1215" s="11">
        <v>1209</v>
      </c>
      <c r="B1215" s="47">
        <v>205275961</v>
      </c>
      <c r="C1215" s="94" t="s">
        <v>1385</v>
      </c>
      <c r="D1215" s="11" t="s">
        <v>1386</v>
      </c>
      <c r="E1215" s="48" t="s">
        <v>31</v>
      </c>
      <c r="F1215" s="48" t="s">
        <v>74</v>
      </c>
      <c r="G1215" s="11" t="s">
        <v>65</v>
      </c>
      <c r="H1215" s="11" t="s">
        <v>1339</v>
      </c>
      <c r="I1215" s="11">
        <v>1181</v>
      </c>
      <c r="J1215" s="49" t="s">
        <v>32</v>
      </c>
      <c r="K1215" s="49" t="s">
        <v>76</v>
      </c>
      <c r="L1215" s="49" t="s">
        <v>88</v>
      </c>
      <c r="M1215" s="49" t="s">
        <v>95</v>
      </c>
      <c r="N1215" s="48" t="s">
        <v>89</v>
      </c>
      <c r="O1215" s="49" t="s">
        <v>68</v>
      </c>
      <c r="P1215" s="11" t="s">
        <v>80</v>
      </c>
      <c r="Q1215" s="11" t="s">
        <v>90</v>
      </c>
      <c r="R1215" s="11" t="s">
        <v>1343</v>
      </c>
      <c r="S1215" s="11" t="s">
        <v>1344</v>
      </c>
      <c r="T1215" s="90" t="s">
        <v>10</v>
      </c>
      <c r="U1215" s="90"/>
      <c r="V1215" s="51">
        <v>45796</v>
      </c>
      <c r="W1215" s="49" t="s">
        <v>68</v>
      </c>
    </row>
    <row r="1216" spans="1:23" ht="13" customHeight="1" x14ac:dyDescent="0.35">
      <c r="A1216" s="11">
        <v>1210</v>
      </c>
      <c r="B1216" s="47">
        <v>206348024</v>
      </c>
      <c r="C1216" s="94" t="s">
        <v>1681</v>
      </c>
      <c r="D1216" s="11" t="s">
        <v>1682</v>
      </c>
      <c r="E1216" s="48" t="s">
        <v>31</v>
      </c>
      <c r="F1216" s="48" t="s">
        <v>74</v>
      </c>
      <c r="G1216" s="11" t="s">
        <v>65</v>
      </c>
      <c r="H1216" s="11" t="s">
        <v>1339</v>
      </c>
      <c r="I1216" s="11">
        <v>1181</v>
      </c>
      <c r="J1216" s="49" t="s">
        <v>39</v>
      </c>
      <c r="K1216" s="49" t="s">
        <v>76</v>
      </c>
      <c r="L1216" s="49" t="s">
        <v>88</v>
      </c>
      <c r="M1216" s="49" t="s">
        <v>95</v>
      </c>
      <c r="N1216" s="49" t="s">
        <v>89</v>
      </c>
      <c r="O1216" s="49" t="s">
        <v>68</v>
      </c>
      <c r="P1216" s="11" t="s">
        <v>80</v>
      </c>
      <c r="Q1216" s="11" t="s">
        <v>81</v>
      </c>
      <c r="R1216" s="11" t="s">
        <v>2736</v>
      </c>
      <c r="S1216" s="11" t="s">
        <v>2737</v>
      </c>
      <c r="T1216" s="90" t="s">
        <v>10</v>
      </c>
      <c r="U1216" s="90"/>
      <c r="V1216" s="51">
        <v>45957</v>
      </c>
      <c r="W1216" s="49" t="s">
        <v>68</v>
      </c>
    </row>
    <row r="1217" spans="1:23" ht="13" customHeight="1" x14ac:dyDescent="0.35">
      <c r="A1217" s="11">
        <v>1211</v>
      </c>
      <c r="B1217" s="47">
        <v>205275960</v>
      </c>
      <c r="C1217" s="94" t="s">
        <v>1387</v>
      </c>
      <c r="D1217" s="11" t="s">
        <v>1388</v>
      </c>
      <c r="E1217" s="48" t="s">
        <v>31</v>
      </c>
      <c r="F1217" s="48" t="s">
        <v>74</v>
      </c>
      <c r="G1217" s="11" t="s">
        <v>65</v>
      </c>
      <c r="H1217" s="11" t="s">
        <v>1339</v>
      </c>
      <c r="I1217" s="11">
        <v>1181</v>
      </c>
      <c r="J1217" s="49" t="s">
        <v>32</v>
      </c>
      <c r="K1217" s="49" t="s">
        <v>76</v>
      </c>
      <c r="L1217" s="49" t="s">
        <v>92</v>
      </c>
      <c r="M1217" s="49" t="s">
        <v>84</v>
      </c>
      <c r="N1217" s="48" t="s">
        <v>89</v>
      </c>
      <c r="O1217" s="49" t="s">
        <v>68</v>
      </c>
      <c r="P1217" s="11" t="s">
        <v>80</v>
      </c>
      <c r="Q1217" s="11" t="s">
        <v>90</v>
      </c>
      <c r="R1217" s="11" t="s">
        <v>1343</v>
      </c>
      <c r="S1217" s="11" t="s">
        <v>1344</v>
      </c>
      <c r="T1217" s="90" t="s">
        <v>1</v>
      </c>
      <c r="U1217" s="91"/>
      <c r="V1217" s="51">
        <v>45796</v>
      </c>
      <c r="W1217" s="49" t="s">
        <v>68</v>
      </c>
    </row>
    <row r="1218" spans="1:23" ht="13" customHeight="1" x14ac:dyDescent="0.35">
      <c r="A1218" s="11">
        <v>1212</v>
      </c>
      <c r="B1218" s="47">
        <v>206368537</v>
      </c>
      <c r="C1218" s="94" t="s">
        <v>1683</v>
      </c>
      <c r="D1218" s="11" t="s">
        <v>1684</v>
      </c>
      <c r="E1218" s="48" t="s">
        <v>31</v>
      </c>
      <c r="F1218" s="48" t="s">
        <v>74</v>
      </c>
      <c r="G1218" s="11" t="s">
        <v>65</v>
      </c>
      <c r="H1218" s="11" t="s">
        <v>1339</v>
      </c>
      <c r="I1218" s="11">
        <v>1181</v>
      </c>
      <c r="J1218" s="49" t="s">
        <v>39</v>
      </c>
      <c r="K1218" s="49" t="s">
        <v>76</v>
      </c>
      <c r="L1218" s="49" t="s">
        <v>78</v>
      </c>
      <c r="M1218" s="49" t="s">
        <v>92</v>
      </c>
      <c r="N1218" s="49" t="s">
        <v>89</v>
      </c>
      <c r="O1218" s="49" t="s">
        <v>68</v>
      </c>
      <c r="P1218" s="11" t="s">
        <v>80</v>
      </c>
      <c r="Q1218" s="11" t="s">
        <v>96</v>
      </c>
      <c r="R1218" s="11" t="s">
        <v>2736</v>
      </c>
      <c r="S1218" s="11" t="s">
        <v>2737</v>
      </c>
      <c r="T1218" s="90" t="s">
        <v>1</v>
      </c>
      <c r="U1218" s="89"/>
      <c r="V1218" s="51">
        <v>45957</v>
      </c>
      <c r="W1218" s="49" t="s">
        <v>68</v>
      </c>
    </row>
    <row r="1219" spans="1:23" ht="13" customHeight="1" x14ac:dyDescent="0.35">
      <c r="A1219" s="11">
        <v>1213</v>
      </c>
      <c r="B1219" s="47">
        <v>105545779</v>
      </c>
      <c r="C1219" s="94" t="s">
        <v>1389</v>
      </c>
      <c r="D1219" s="11" t="s">
        <v>1390</v>
      </c>
      <c r="E1219" s="48" t="s">
        <v>34</v>
      </c>
      <c r="F1219" s="48" t="s">
        <v>74</v>
      </c>
      <c r="G1219" s="11" t="s">
        <v>65</v>
      </c>
      <c r="H1219" s="11" t="s">
        <v>1339</v>
      </c>
      <c r="I1219" s="11">
        <v>1182</v>
      </c>
      <c r="J1219" s="49" t="s">
        <v>32</v>
      </c>
      <c r="K1219" s="49" t="s">
        <v>76</v>
      </c>
      <c r="L1219" s="49" t="s">
        <v>95</v>
      </c>
      <c r="M1219" s="49" t="s">
        <v>77</v>
      </c>
      <c r="N1219" s="48" t="s">
        <v>108</v>
      </c>
      <c r="O1219" s="49" t="s">
        <v>68</v>
      </c>
      <c r="P1219" s="11" t="s">
        <v>80</v>
      </c>
      <c r="Q1219" s="11" t="s">
        <v>98</v>
      </c>
      <c r="R1219" s="11" t="s">
        <v>1343</v>
      </c>
      <c r="S1219" s="11" t="s">
        <v>1344</v>
      </c>
      <c r="T1219" s="90" t="s">
        <v>1</v>
      </c>
      <c r="U1219" s="91"/>
      <c r="V1219" s="51">
        <v>44724</v>
      </c>
      <c r="W1219" s="49" t="s">
        <v>68</v>
      </c>
    </row>
    <row r="1220" spans="1:23" ht="13" customHeight="1" x14ac:dyDescent="0.35">
      <c r="A1220" s="11">
        <v>1214</v>
      </c>
      <c r="B1220" s="47">
        <v>206361785</v>
      </c>
      <c r="C1220" s="94" t="s">
        <v>1685</v>
      </c>
      <c r="D1220" s="11" t="s">
        <v>1686</v>
      </c>
      <c r="E1220" s="48" t="s">
        <v>31</v>
      </c>
      <c r="F1220" s="48" t="s">
        <v>74</v>
      </c>
      <c r="G1220" s="11" t="s">
        <v>65</v>
      </c>
      <c r="H1220" s="11" t="s">
        <v>1339</v>
      </c>
      <c r="I1220" s="11">
        <v>1181</v>
      </c>
      <c r="J1220" s="49" t="s">
        <v>39</v>
      </c>
      <c r="K1220" s="49" t="s">
        <v>76</v>
      </c>
      <c r="L1220" s="49" t="s">
        <v>88</v>
      </c>
      <c r="M1220" s="49" t="s">
        <v>95</v>
      </c>
      <c r="N1220" s="49" t="s">
        <v>89</v>
      </c>
      <c r="O1220" s="49" t="s">
        <v>68</v>
      </c>
      <c r="P1220" s="11" t="s">
        <v>80</v>
      </c>
      <c r="Q1220" s="11" t="s">
        <v>96</v>
      </c>
      <c r="R1220" s="11" t="s">
        <v>2736</v>
      </c>
      <c r="S1220" s="11" t="s">
        <v>2737</v>
      </c>
      <c r="T1220" s="90" t="s">
        <v>10</v>
      </c>
      <c r="U1220" s="89"/>
      <c r="V1220" s="51">
        <v>45957</v>
      </c>
      <c r="W1220" s="49" t="s">
        <v>68</v>
      </c>
    </row>
    <row r="1221" spans="1:23" ht="13" customHeight="1" x14ac:dyDescent="0.35">
      <c r="A1221" s="11">
        <v>1215</v>
      </c>
      <c r="B1221" s="47">
        <v>203555155</v>
      </c>
      <c r="C1221" s="94" t="s">
        <v>1391</v>
      </c>
      <c r="D1221" s="11" t="s">
        <v>1392</v>
      </c>
      <c r="E1221" s="48" t="s">
        <v>31</v>
      </c>
      <c r="F1221" s="48" t="s">
        <v>74</v>
      </c>
      <c r="G1221" s="11" t="s">
        <v>65</v>
      </c>
      <c r="H1221" s="11" t="s">
        <v>1339</v>
      </c>
      <c r="I1221" s="11">
        <v>1181</v>
      </c>
      <c r="J1221" s="49" t="s">
        <v>32</v>
      </c>
      <c r="K1221" s="49" t="s">
        <v>76</v>
      </c>
      <c r="L1221" s="49" t="s">
        <v>78</v>
      </c>
      <c r="M1221" s="49" t="s">
        <v>92</v>
      </c>
      <c r="N1221" s="48" t="s">
        <v>79</v>
      </c>
      <c r="O1221" s="49" t="s">
        <v>68</v>
      </c>
      <c r="P1221" s="11" t="s">
        <v>80</v>
      </c>
      <c r="Q1221" s="11" t="s">
        <v>81</v>
      </c>
      <c r="R1221" s="11" t="s">
        <v>1343</v>
      </c>
      <c r="S1221" s="11" t="s">
        <v>1344</v>
      </c>
      <c r="T1221" s="90" t="s">
        <v>1</v>
      </c>
      <c r="U1221" s="90"/>
      <c r="V1221" s="51">
        <v>45470</v>
      </c>
      <c r="W1221" s="49" t="s">
        <v>68</v>
      </c>
    </row>
    <row r="1222" spans="1:23" ht="13" customHeight="1" x14ac:dyDescent="0.35">
      <c r="A1222" s="11">
        <v>1216</v>
      </c>
      <c r="B1222" s="47">
        <v>206348026</v>
      </c>
      <c r="C1222" s="94" t="s">
        <v>1687</v>
      </c>
      <c r="D1222" s="11" t="s">
        <v>1688</v>
      </c>
      <c r="E1222" s="48" t="s">
        <v>31</v>
      </c>
      <c r="F1222" s="48" t="s">
        <v>74</v>
      </c>
      <c r="G1222" s="11" t="s">
        <v>65</v>
      </c>
      <c r="H1222" s="11" t="s">
        <v>1339</v>
      </c>
      <c r="I1222" s="11">
        <v>1181</v>
      </c>
      <c r="J1222" s="49" t="s">
        <v>32</v>
      </c>
      <c r="K1222" s="49" t="s">
        <v>76</v>
      </c>
      <c r="L1222" s="49" t="s">
        <v>88</v>
      </c>
      <c r="M1222" s="49" t="s">
        <v>95</v>
      </c>
      <c r="N1222" s="49" t="s">
        <v>89</v>
      </c>
      <c r="O1222" s="49" t="s">
        <v>68</v>
      </c>
      <c r="P1222" s="11" t="s">
        <v>80</v>
      </c>
      <c r="Q1222" s="11" t="s">
        <v>90</v>
      </c>
      <c r="R1222" s="11" t="s">
        <v>1343</v>
      </c>
      <c r="S1222" s="11" t="s">
        <v>1344</v>
      </c>
      <c r="T1222" s="90" t="s">
        <v>10</v>
      </c>
      <c r="U1222" s="91"/>
      <c r="V1222" s="51">
        <v>45957</v>
      </c>
      <c r="W1222" s="49" t="s">
        <v>68</v>
      </c>
    </row>
    <row r="1223" spans="1:23" ht="13" customHeight="1" x14ac:dyDescent="0.35">
      <c r="A1223" s="11">
        <v>1217</v>
      </c>
      <c r="B1223" s="47">
        <v>206348045</v>
      </c>
      <c r="C1223" s="94" t="s">
        <v>1689</v>
      </c>
      <c r="D1223" s="11" t="s">
        <v>1690</v>
      </c>
      <c r="E1223" s="48" t="s">
        <v>31</v>
      </c>
      <c r="F1223" s="48" t="s">
        <v>74</v>
      </c>
      <c r="G1223" s="11" t="s">
        <v>65</v>
      </c>
      <c r="H1223" s="11" t="s">
        <v>1339</v>
      </c>
      <c r="I1223" s="11">
        <v>1181</v>
      </c>
      <c r="J1223" s="49" t="s">
        <v>32</v>
      </c>
      <c r="K1223" s="49" t="s">
        <v>76</v>
      </c>
      <c r="L1223" s="49" t="s">
        <v>88</v>
      </c>
      <c r="M1223" s="49" t="s">
        <v>95</v>
      </c>
      <c r="N1223" s="49" t="s">
        <v>89</v>
      </c>
      <c r="O1223" s="49" t="s">
        <v>68</v>
      </c>
      <c r="P1223" s="11" t="s">
        <v>80</v>
      </c>
      <c r="Q1223" s="11" t="s">
        <v>90</v>
      </c>
      <c r="R1223" s="11" t="s">
        <v>1343</v>
      </c>
      <c r="S1223" s="11" t="s">
        <v>1344</v>
      </c>
      <c r="T1223" s="90" t="s">
        <v>10</v>
      </c>
      <c r="U1223" s="89"/>
      <c r="V1223" s="51">
        <v>45957</v>
      </c>
      <c r="W1223" s="49" t="s">
        <v>68</v>
      </c>
    </row>
    <row r="1224" spans="1:23" ht="13" customHeight="1" x14ac:dyDescent="0.35">
      <c r="A1224" s="11">
        <v>1218</v>
      </c>
      <c r="B1224" s="47">
        <v>206348030</v>
      </c>
      <c r="C1224" s="94" t="s">
        <v>1691</v>
      </c>
      <c r="D1224" s="11" t="s">
        <v>1692</v>
      </c>
      <c r="E1224" s="48" t="s">
        <v>31</v>
      </c>
      <c r="F1224" s="48" t="s">
        <v>74</v>
      </c>
      <c r="G1224" s="11" t="s">
        <v>65</v>
      </c>
      <c r="H1224" s="11" t="s">
        <v>1339</v>
      </c>
      <c r="I1224" s="11">
        <v>1181</v>
      </c>
      <c r="J1224" s="49" t="s">
        <v>32</v>
      </c>
      <c r="K1224" s="49" t="s">
        <v>76</v>
      </c>
      <c r="L1224" s="49" t="s">
        <v>78</v>
      </c>
      <c r="M1224" s="49" t="s">
        <v>92</v>
      </c>
      <c r="N1224" s="49" t="s">
        <v>89</v>
      </c>
      <c r="O1224" s="49" t="s">
        <v>68</v>
      </c>
      <c r="P1224" s="11" t="s">
        <v>80</v>
      </c>
      <c r="Q1224" s="11" t="s">
        <v>90</v>
      </c>
      <c r="R1224" s="11" t="s">
        <v>1343</v>
      </c>
      <c r="S1224" s="11" t="s">
        <v>1344</v>
      </c>
      <c r="T1224" s="90" t="s">
        <v>7</v>
      </c>
      <c r="U1224" s="90"/>
      <c r="V1224" s="51">
        <v>45957</v>
      </c>
      <c r="W1224" s="49" t="s">
        <v>68</v>
      </c>
    </row>
    <row r="1225" spans="1:23" ht="13" customHeight="1" x14ac:dyDescent="0.35">
      <c r="A1225" s="11">
        <v>1219</v>
      </c>
      <c r="B1225" s="47">
        <v>102582351</v>
      </c>
      <c r="C1225" s="94" t="s">
        <v>1395</v>
      </c>
      <c r="D1225" s="11" t="s">
        <v>1396</v>
      </c>
      <c r="E1225" s="48" t="s">
        <v>34</v>
      </c>
      <c r="F1225" s="48" t="s">
        <v>74</v>
      </c>
      <c r="G1225" s="11" t="s">
        <v>65</v>
      </c>
      <c r="H1225" s="11" t="s">
        <v>1339</v>
      </c>
      <c r="I1225" s="11">
        <v>1182</v>
      </c>
      <c r="J1225" s="49" t="s">
        <v>32</v>
      </c>
      <c r="K1225" s="49" t="s">
        <v>76</v>
      </c>
      <c r="L1225" s="49" t="s">
        <v>95</v>
      </c>
      <c r="M1225" s="49" t="s">
        <v>77</v>
      </c>
      <c r="N1225" s="48" t="s">
        <v>108</v>
      </c>
      <c r="O1225" s="49" t="s">
        <v>68</v>
      </c>
      <c r="P1225" s="11" t="s">
        <v>80</v>
      </c>
      <c r="Q1225" s="11" t="s">
        <v>98</v>
      </c>
      <c r="R1225" s="11" t="s">
        <v>1343</v>
      </c>
      <c r="S1225" s="11" t="s">
        <v>1344</v>
      </c>
      <c r="T1225" s="90" t="s">
        <v>1</v>
      </c>
      <c r="U1225" s="90"/>
      <c r="V1225" s="51">
        <v>42962</v>
      </c>
      <c r="W1225" s="49" t="s">
        <v>68</v>
      </c>
    </row>
    <row r="1226" spans="1:23" ht="13" customHeight="1" x14ac:dyDescent="0.35">
      <c r="A1226" s="11">
        <v>1220</v>
      </c>
      <c r="B1226" s="47">
        <v>206348048</v>
      </c>
      <c r="C1226" s="94" t="s">
        <v>1693</v>
      </c>
      <c r="D1226" s="11" t="s">
        <v>1694</v>
      </c>
      <c r="E1226" s="48" t="s">
        <v>31</v>
      </c>
      <c r="F1226" s="48" t="s">
        <v>74</v>
      </c>
      <c r="G1226" s="11" t="s">
        <v>65</v>
      </c>
      <c r="H1226" s="11" t="s">
        <v>1339</v>
      </c>
      <c r="I1226" s="11">
        <v>1181</v>
      </c>
      <c r="J1226" s="49" t="s">
        <v>32</v>
      </c>
      <c r="K1226" s="49" t="s">
        <v>76</v>
      </c>
      <c r="L1226" s="49" t="s">
        <v>88</v>
      </c>
      <c r="M1226" s="49" t="s">
        <v>95</v>
      </c>
      <c r="N1226" s="49" t="s">
        <v>89</v>
      </c>
      <c r="O1226" s="49" t="s">
        <v>68</v>
      </c>
      <c r="P1226" s="11" t="s">
        <v>80</v>
      </c>
      <c r="Q1226" s="11" t="s">
        <v>90</v>
      </c>
      <c r="R1226" s="11" t="s">
        <v>1343</v>
      </c>
      <c r="S1226" s="11" t="s">
        <v>1344</v>
      </c>
      <c r="T1226" s="90" t="s">
        <v>10</v>
      </c>
      <c r="U1226" s="89"/>
      <c r="V1226" s="51">
        <v>45957</v>
      </c>
      <c r="W1226" s="49" t="s">
        <v>68</v>
      </c>
    </row>
    <row r="1227" spans="1:23" ht="13" customHeight="1" x14ac:dyDescent="0.35">
      <c r="A1227" s="11">
        <v>1221</v>
      </c>
      <c r="B1227" s="47">
        <v>206348049</v>
      </c>
      <c r="C1227" s="94" t="s">
        <v>2454</v>
      </c>
      <c r="D1227" s="11" t="s">
        <v>2455</v>
      </c>
      <c r="E1227" s="48" t="s">
        <v>31</v>
      </c>
      <c r="F1227" s="48" t="s">
        <v>74</v>
      </c>
      <c r="G1227" s="11" t="s">
        <v>65</v>
      </c>
      <c r="H1227" s="11" t="s">
        <v>1339</v>
      </c>
      <c r="I1227" s="11">
        <v>1181</v>
      </c>
      <c r="J1227" s="49" t="s">
        <v>32</v>
      </c>
      <c r="K1227" s="49" t="s">
        <v>76</v>
      </c>
      <c r="L1227" s="49" t="s">
        <v>95</v>
      </c>
      <c r="M1227" s="49" t="s">
        <v>77</v>
      </c>
      <c r="N1227" s="49" t="s">
        <v>89</v>
      </c>
      <c r="O1227" s="49" t="s">
        <v>68</v>
      </c>
      <c r="P1227" s="11" t="s">
        <v>80</v>
      </c>
      <c r="Q1227" s="11" t="s">
        <v>90</v>
      </c>
      <c r="R1227" s="11" t="s">
        <v>1343</v>
      </c>
      <c r="S1227" s="11" t="s">
        <v>1344</v>
      </c>
      <c r="T1227" s="90" t="s">
        <v>7</v>
      </c>
      <c r="U1227" s="89"/>
      <c r="V1227" s="51">
        <v>45957</v>
      </c>
      <c r="W1227" s="49" t="s">
        <v>68</v>
      </c>
    </row>
    <row r="1228" spans="1:23" ht="13" customHeight="1" x14ac:dyDescent="0.35">
      <c r="A1228" s="11">
        <v>1222</v>
      </c>
      <c r="B1228" s="47">
        <v>206348041</v>
      </c>
      <c r="C1228" s="94" t="s">
        <v>1695</v>
      </c>
      <c r="D1228" s="11" t="s">
        <v>1696</v>
      </c>
      <c r="E1228" s="48" t="s">
        <v>31</v>
      </c>
      <c r="F1228" s="48" t="s">
        <v>74</v>
      </c>
      <c r="G1228" s="11" t="s">
        <v>65</v>
      </c>
      <c r="H1228" s="11" t="s">
        <v>1339</v>
      </c>
      <c r="I1228" s="11">
        <v>1181</v>
      </c>
      <c r="J1228" s="49" t="s">
        <v>39</v>
      </c>
      <c r="K1228" s="49" t="s">
        <v>76</v>
      </c>
      <c r="L1228" s="49" t="s">
        <v>92</v>
      </c>
      <c r="M1228" s="49" t="s">
        <v>84</v>
      </c>
      <c r="N1228" s="49" t="s">
        <v>89</v>
      </c>
      <c r="O1228" s="49" t="s">
        <v>68</v>
      </c>
      <c r="P1228" s="11" t="s">
        <v>80</v>
      </c>
      <c r="Q1228" s="11" t="s">
        <v>90</v>
      </c>
      <c r="R1228" s="11" t="s">
        <v>2736</v>
      </c>
      <c r="S1228" s="11" t="s">
        <v>2737</v>
      </c>
      <c r="T1228" s="90" t="s">
        <v>3</v>
      </c>
      <c r="U1228" s="104"/>
      <c r="V1228" s="51">
        <v>45957</v>
      </c>
      <c r="W1228" s="49" t="s">
        <v>68</v>
      </c>
    </row>
    <row r="1229" spans="1:23" ht="13" customHeight="1" x14ac:dyDescent="0.35">
      <c r="A1229" s="11">
        <v>1223</v>
      </c>
      <c r="B1229" s="47">
        <v>203635597</v>
      </c>
      <c r="C1229" s="94" t="s">
        <v>1397</v>
      </c>
      <c r="D1229" s="11" t="s">
        <v>1398</v>
      </c>
      <c r="E1229" s="48" t="s">
        <v>31</v>
      </c>
      <c r="F1229" s="48" t="s">
        <v>74</v>
      </c>
      <c r="G1229" s="11" t="s">
        <v>65</v>
      </c>
      <c r="H1229" s="11" t="s">
        <v>1339</v>
      </c>
      <c r="I1229" s="11">
        <v>1181</v>
      </c>
      <c r="J1229" s="49" t="s">
        <v>32</v>
      </c>
      <c r="K1229" s="49" t="s">
        <v>76</v>
      </c>
      <c r="L1229" s="49" t="s">
        <v>85</v>
      </c>
      <c r="M1229" s="49" t="s">
        <v>88</v>
      </c>
      <c r="N1229" s="48" t="s">
        <v>79</v>
      </c>
      <c r="O1229" s="49" t="s">
        <v>68</v>
      </c>
      <c r="P1229" s="11" t="s">
        <v>80</v>
      </c>
      <c r="Q1229" s="11" t="s">
        <v>81</v>
      </c>
      <c r="R1229" s="11" t="s">
        <v>1343</v>
      </c>
      <c r="S1229" s="11" t="s">
        <v>1344</v>
      </c>
      <c r="T1229" s="90" t="s">
        <v>10</v>
      </c>
      <c r="U1229" s="90"/>
      <c r="V1229" s="51">
        <v>45481</v>
      </c>
      <c r="W1229" s="49" t="s">
        <v>68</v>
      </c>
    </row>
    <row r="1230" spans="1:23" ht="13" customHeight="1" x14ac:dyDescent="0.35">
      <c r="A1230" s="11">
        <v>1224</v>
      </c>
      <c r="B1230" s="47">
        <v>204013735</v>
      </c>
      <c r="C1230" s="94" t="s">
        <v>1399</v>
      </c>
      <c r="D1230" s="11" t="s">
        <v>1400</v>
      </c>
      <c r="E1230" s="48" t="s">
        <v>31</v>
      </c>
      <c r="F1230" s="48" t="s">
        <v>74</v>
      </c>
      <c r="G1230" s="11" t="s">
        <v>65</v>
      </c>
      <c r="H1230" s="11" t="s">
        <v>1339</v>
      </c>
      <c r="I1230" s="11">
        <v>1181</v>
      </c>
      <c r="J1230" s="49" t="s">
        <v>32</v>
      </c>
      <c r="K1230" s="49" t="s">
        <v>76</v>
      </c>
      <c r="L1230" s="49" t="s">
        <v>95</v>
      </c>
      <c r="M1230" s="49" t="s">
        <v>77</v>
      </c>
      <c r="N1230" s="48" t="s">
        <v>79</v>
      </c>
      <c r="O1230" s="49" t="s">
        <v>68</v>
      </c>
      <c r="P1230" s="11" t="s">
        <v>80</v>
      </c>
      <c r="Q1230" s="11" t="s">
        <v>81</v>
      </c>
      <c r="R1230" s="11" t="s">
        <v>1343</v>
      </c>
      <c r="S1230" s="11" t="s">
        <v>1344</v>
      </c>
      <c r="T1230" s="90" t="s">
        <v>7</v>
      </c>
      <c r="U1230" s="104"/>
      <c r="V1230" s="51">
        <v>45551</v>
      </c>
      <c r="W1230" s="49" t="s">
        <v>68</v>
      </c>
    </row>
    <row r="1231" spans="1:23" ht="13" customHeight="1" x14ac:dyDescent="0.35">
      <c r="A1231" s="11">
        <v>1225</v>
      </c>
      <c r="B1231" s="47">
        <v>204341639</v>
      </c>
      <c r="C1231" s="94" t="s">
        <v>131</v>
      </c>
      <c r="D1231" s="11" t="s">
        <v>2725</v>
      </c>
      <c r="E1231" s="48" t="s">
        <v>31</v>
      </c>
      <c r="F1231" s="48" t="s">
        <v>74</v>
      </c>
      <c r="G1231" s="11" t="s">
        <v>65</v>
      </c>
      <c r="H1231" s="11" t="s">
        <v>1339</v>
      </c>
      <c r="I1231" s="11">
        <v>1299</v>
      </c>
      <c r="J1231" s="49" t="s">
        <v>32</v>
      </c>
      <c r="K1231" s="49" t="s">
        <v>76</v>
      </c>
      <c r="L1231" s="49" t="s">
        <v>92</v>
      </c>
      <c r="M1231" s="49" t="s">
        <v>84</v>
      </c>
      <c r="N1231" s="48" t="s">
        <v>86</v>
      </c>
      <c r="O1231" s="49" t="s">
        <v>68</v>
      </c>
      <c r="P1231" s="11" t="s">
        <v>80</v>
      </c>
      <c r="Q1231" s="11" t="s">
        <v>87</v>
      </c>
      <c r="R1231" s="11" t="s">
        <v>1343</v>
      </c>
      <c r="S1231" s="11" t="s">
        <v>1344</v>
      </c>
      <c r="T1231" s="90" t="s">
        <v>7</v>
      </c>
      <c r="U1231" s="104"/>
      <c r="V1231" s="51">
        <v>45589</v>
      </c>
      <c r="W1231" s="49" t="s">
        <v>68</v>
      </c>
    </row>
    <row r="1232" spans="1:23" ht="13" customHeight="1" x14ac:dyDescent="0.35">
      <c r="A1232" s="11">
        <v>1226</v>
      </c>
      <c r="B1232" s="47">
        <v>205276097</v>
      </c>
      <c r="C1232" s="94" t="s">
        <v>1401</v>
      </c>
      <c r="D1232" s="11" t="s">
        <v>1402</v>
      </c>
      <c r="E1232" s="48" t="s">
        <v>31</v>
      </c>
      <c r="F1232" s="48" t="s">
        <v>74</v>
      </c>
      <c r="G1232" s="11" t="s">
        <v>65</v>
      </c>
      <c r="H1232" s="11" t="s">
        <v>1339</v>
      </c>
      <c r="I1232" s="11">
        <v>1181</v>
      </c>
      <c r="J1232" s="49" t="s">
        <v>39</v>
      </c>
      <c r="K1232" s="49" t="s">
        <v>76</v>
      </c>
      <c r="L1232" s="49" t="s">
        <v>84</v>
      </c>
      <c r="M1232" s="49" t="s">
        <v>85</v>
      </c>
      <c r="N1232" s="48" t="s">
        <v>89</v>
      </c>
      <c r="O1232" s="49" t="s">
        <v>68</v>
      </c>
      <c r="P1232" s="11" t="s">
        <v>80</v>
      </c>
      <c r="Q1232" s="11" t="s">
        <v>90</v>
      </c>
      <c r="R1232" s="11" t="s">
        <v>2736</v>
      </c>
      <c r="S1232" s="11" t="s">
        <v>2737</v>
      </c>
      <c r="T1232" s="90" t="s">
        <v>1</v>
      </c>
      <c r="U1232" s="104"/>
      <c r="V1232" s="51">
        <v>45796</v>
      </c>
      <c r="W1232" s="49" t="s">
        <v>68</v>
      </c>
    </row>
    <row r="1233" spans="1:23" ht="13" customHeight="1" x14ac:dyDescent="0.35">
      <c r="A1233" s="11">
        <v>1227</v>
      </c>
      <c r="B1233" s="47">
        <v>206958286</v>
      </c>
      <c r="C1233" s="94" t="s">
        <v>2129</v>
      </c>
      <c r="D1233" s="11" t="s">
        <v>2052</v>
      </c>
      <c r="E1233" s="48" t="s">
        <v>31</v>
      </c>
      <c r="F1233" s="48" t="s">
        <v>74</v>
      </c>
      <c r="G1233" s="11" t="s">
        <v>65</v>
      </c>
      <c r="H1233" s="11" t="s">
        <v>1339</v>
      </c>
      <c r="I1233" s="11">
        <v>1299</v>
      </c>
      <c r="J1233" s="49" t="s">
        <v>32</v>
      </c>
      <c r="K1233" s="49" t="s">
        <v>76</v>
      </c>
      <c r="L1233" s="49" t="s">
        <v>77</v>
      </c>
      <c r="M1233" s="49" t="s">
        <v>78</v>
      </c>
      <c r="N1233" s="49" t="s">
        <v>89</v>
      </c>
      <c r="O1233" s="49" t="s">
        <v>68</v>
      </c>
      <c r="P1233" s="11" t="s">
        <v>80</v>
      </c>
      <c r="Q1233" s="11" t="s">
        <v>96</v>
      </c>
      <c r="R1233" s="11" t="s">
        <v>1343</v>
      </c>
      <c r="S1233" s="11" t="s">
        <v>1344</v>
      </c>
      <c r="T1233" s="90" t="s">
        <v>1</v>
      </c>
      <c r="U1233" s="104"/>
      <c r="V1233" s="51">
        <v>46048</v>
      </c>
      <c r="W1233" s="49" t="s">
        <v>68</v>
      </c>
    </row>
    <row r="1234" spans="1:23" ht="13" customHeight="1" x14ac:dyDescent="0.35">
      <c r="A1234" s="11">
        <v>1228</v>
      </c>
      <c r="B1234" s="47">
        <v>201635982</v>
      </c>
      <c r="C1234" s="94" t="s">
        <v>1403</v>
      </c>
      <c r="D1234" s="11" t="s">
        <v>1404</v>
      </c>
      <c r="E1234" s="48" t="s">
        <v>31</v>
      </c>
      <c r="F1234" s="48" t="s">
        <v>74</v>
      </c>
      <c r="G1234" s="11" t="s">
        <v>65</v>
      </c>
      <c r="H1234" s="11" t="s">
        <v>1339</v>
      </c>
      <c r="I1234" s="11">
        <v>1181</v>
      </c>
      <c r="J1234" s="49" t="s">
        <v>32</v>
      </c>
      <c r="K1234" s="49" t="s">
        <v>76</v>
      </c>
      <c r="L1234" s="49" t="s">
        <v>84</v>
      </c>
      <c r="M1234" s="49" t="s">
        <v>85</v>
      </c>
      <c r="N1234" s="48" t="s">
        <v>79</v>
      </c>
      <c r="O1234" s="49" t="s">
        <v>68</v>
      </c>
      <c r="P1234" s="11" t="s">
        <v>80</v>
      </c>
      <c r="Q1234" s="11" t="s">
        <v>81</v>
      </c>
      <c r="R1234" s="11" t="s">
        <v>1343</v>
      </c>
      <c r="S1234" s="11" t="s">
        <v>1344</v>
      </c>
      <c r="T1234" s="90" t="s">
        <v>1</v>
      </c>
      <c r="U1234" s="104"/>
      <c r="V1234" s="51">
        <v>45530</v>
      </c>
      <c r="W1234" s="49" t="s">
        <v>68</v>
      </c>
    </row>
    <row r="1235" spans="1:23" ht="13" customHeight="1" x14ac:dyDescent="0.35">
      <c r="A1235" s="11">
        <v>1229</v>
      </c>
      <c r="B1235" s="47">
        <v>206957733</v>
      </c>
      <c r="C1235" s="94" t="s">
        <v>2183</v>
      </c>
      <c r="D1235" s="11" t="s">
        <v>2184</v>
      </c>
      <c r="E1235" s="112" t="s">
        <v>31</v>
      </c>
      <c r="F1235" s="48" t="s">
        <v>74</v>
      </c>
      <c r="G1235" s="11" t="s">
        <v>65</v>
      </c>
      <c r="H1235" s="11" t="s">
        <v>1339</v>
      </c>
      <c r="I1235" s="11">
        <v>1181</v>
      </c>
      <c r="J1235" s="49" t="s">
        <v>39</v>
      </c>
      <c r="K1235" s="49" t="s">
        <v>76</v>
      </c>
      <c r="L1235" s="49" t="s">
        <v>77</v>
      </c>
      <c r="M1235" s="49" t="s">
        <v>78</v>
      </c>
      <c r="N1235" s="49" t="s">
        <v>89</v>
      </c>
      <c r="O1235" s="49" t="s">
        <v>68</v>
      </c>
      <c r="P1235" s="49" t="s">
        <v>80</v>
      </c>
      <c r="Q1235" s="49" t="s">
        <v>96</v>
      </c>
      <c r="R1235" s="49" t="s">
        <v>2736</v>
      </c>
      <c r="S1235" s="49" t="s">
        <v>2737</v>
      </c>
      <c r="T1235" s="90" t="s">
        <v>1</v>
      </c>
      <c r="U1235" s="104"/>
      <c r="V1235" s="51">
        <v>46048</v>
      </c>
      <c r="W1235" s="49" t="s">
        <v>68</v>
      </c>
    </row>
    <row r="1236" spans="1:23" ht="13" customHeight="1" x14ac:dyDescent="0.35">
      <c r="A1236" s="11">
        <v>1230</v>
      </c>
      <c r="B1236" s="47">
        <v>206368538</v>
      </c>
      <c r="C1236" s="94" t="s">
        <v>1698</v>
      </c>
      <c r="D1236" s="11" t="s">
        <v>1699</v>
      </c>
      <c r="E1236" s="48" t="s">
        <v>31</v>
      </c>
      <c r="F1236" s="48" t="s">
        <v>74</v>
      </c>
      <c r="G1236" s="11" t="s">
        <v>65</v>
      </c>
      <c r="H1236" s="11" t="s">
        <v>1339</v>
      </c>
      <c r="I1236" s="11">
        <v>1181</v>
      </c>
      <c r="J1236" s="49" t="s">
        <v>39</v>
      </c>
      <c r="K1236" s="49" t="s">
        <v>76</v>
      </c>
      <c r="L1236" s="49" t="s">
        <v>77</v>
      </c>
      <c r="M1236" s="49" t="s">
        <v>78</v>
      </c>
      <c r="N1236" s="49" t="s">
        <v>89</v>
      </c>
      <c r="O1236" s="49" t="s">
        <v>68</v>
      </c>
      <c r="P1236" s="11" t="s">
        <v>80</v>
      </c>
      <c r="Q1236" s="11" t="s">
        <v>96</v>
      </c>
      <c r="R1236" s="11" t="s">
        <v>2736</v>
      </c>
      <c r="S1236" s="11" t="s">
        <v>2737</v>
      </c>
      <c r="T1236" s="90" t="s">
        <v>1</v>
      </c>
      <c r="U1236" s="104"/>
      <c r="V1236" s="51">
        <v>45957</v>
      </c>
      <c r="W1236" s="49" t="s">
        <v>68</v>
      </c>
    </row>
    <row r="1237" spans="1:23" ht="13" customHeight="1" x14ac:dyDescent="0.35">
      <c r="A1237" s="11">
        <v>1231</v>
      </c>
      <c r="B1237" s="47">
        <v>203635498</v>
      </c>
      <c r="C1237" s="94" t="s">
        <v>1405</v>
      </c>
      <c r="D1237" s="11" t="s">
        <v>1406</v>
      </c>
      <c r="E1237" s="48" t="s">
        <v>31</v>
      </c>
      <c r="F1237" s="48" t="s">
        <v>74</v>
      </c>
      <c r="G1237" s="11" t="s">
        <v>65</v>
      </c>
      <c r="H1237" s="11" t="s">
        <v>1339</v>
      </c>
      <c r="I1237" s="11">
        <v>1181</v>
      </c>
      <c r="J1237" s="49" t="s">
        <v>39</v>
      </c>
      <c r="K1237" s="49" t="s">
        <v>76</v>
      </c>
      <c r="L1237" s="49" t="s">
        <v>88</v>
      </c>
      <c r="M1237" s="49" t="s">
        <v>95</v>
      </c>
      <c r="N1237" s="48" t="s">
        <v>79</v>
      </c>
      <c r="O1237" s="49" t="s">
        <v>68</v>
      </c>
      <c r="P1237" s="11" t="s">
        <v>80</v>
      </c>
      <c r="Q1237" s="11" t="s">
        <v>81</v>
      </c>
      <c r="R1237" s="11" t="s">
        <v>2736</v>
      </c>
      <c r="S1237" s="11" t="s">
        <v>2737</v>
      </c>
      <c r="T1237" s="90" t="s">
        <v>10</v>
      </c>
      <c r="U1237" s="104"/>
      <c r="V1237" s="51">
        <v>45481</v>
      </c>
      <c r="W1237" s="49" t="s">
        <v>68</v>
      </c>
    </row>
    <row r="1238" spans="1:23" ht="13" customHeight="1" x14ac:dyDescent="0.35">
      <c r="A1238" s="11">
        <v>1232</v>
      </c>
      <c r="B1238" s="47">
        <v>205845548</v>
      </c>
      <c r="C1238" s="94" t="s">
        <v>1407</v>
      </c>
      <c r="D1238" s="11" t="s">
        <v>1408</v>
      </c>
      <c r="E1238" s="48" t="s">
        <v>31</v>
      </c>
      <c r="F1238" s="48" t="s">
        <v>74</v>
      </c>
      <c r="G1238" s="11" t="s">
        <v>65</v>
      </c>
      <c r="H1238" s="11" t="s">
        <v>1339</v>
      </c>
      <c r="I1238" s="11">
        <v>1181</v>
      </c>
      <c r="J1238" s="49" t="s">
        <v>39</v>
      </c>
      <c r="K1238" s="49" t="s">
        <v>76</v>
      </c>
      <c r="L1238" s="49" t="s">
        <v>92</v>
      </c>
      <c r="M1238" s="49" t="s">
        <v>84</v>
      </c>
      <c r="N1238" s="49" t="s">
        <v>89</v>
      </c>
      <c r="O1238" s="49" t="s">
        <v>68</v>
      </c>
      <c r="P1238" s="11" t="s">
        <v>80</v>
      </c>
      <c r="Q1238" s="11" t="s">
        <v>90</v>
      </c>
      <c r="R1238" s="11" t="s">
        <v>2736</v>
      </c>
      <c r="S1238" s="11" t="s">
        <v>2737</v>
      </c>
      <c r="T1238" s="90" t="s">
        <v>1</v>
      </c>
      <c r="U1238" s="104"/>
      <c r="V1238" s="51">
        <v>45894</v>
      </c>
      <c r="W1238" s="49" t="s">
        <v>68</v>
      </c>
    </row>
    <row r="1239" spans="1:23" ht="13" customHeight="1" x14ac:dyDescent="0.35">
      <c r="A1239" s="11">
        <v>1233</v>
      </c>
      <c r="B1239" s="47">
        <v>206348029</v>
      </c>
      <c r="C1239" s="94" t="s">
        <v>1700</v>
      </c>
      <c r="D1239" s="11" t="s">
        <v>1701</v>
      </c>
      <c r="E1239" s="48" t="s">
        <v>31</v>
      </c>
      <c r="F1239" s="48" t="s">
        <v>74</v>
      </c>
      <c r="G1239" s="11" t="s">
        <v>65</v>
      </c>
      <c r="H1239" s="11" t="s">
        <v>1339</v>
      </c>
      <c r="I1239" s="11">
        <v>1181</v>
      </c>
      <c r="J1239" s="49" t="s">
        <v>39</v>
      </c>
      <c r="K1239" s="49" t="s">
        <v>76</v>
      </c>
      <c r="L1239" s="49" t="s">
        <v>77</v>
      </c>
      <c r="M1239" s="49" t="s">
        <v>78</v>
      </c>
      <c r="N1239" s="49" t="s">
        <v>89</v>
      </c>
      <c r="O1239" s="49" t="s">
        <v>68</v>
      </c>
      <c r="P1239" s="11" t="s">
        <v>80</v>
      </c>
      <c r="Q1239" s="11" t="s">
        <v>90</v>
      </c>
      <c r="R1239" s="11" t="s">
        <v>2736</v>
      </c>
      <c r="S1239" s="11" t="s">
        <v>2737</v>
      </c>
      <c r="T1239" s="90" t="s">
        <v>1</v>
      </c>
      <c r="U1239" s="104"/>
      <c r="V1239" s="51">
        <v>45957</v>
      </c>
      <c r="W1239" s="49" t="s">
        <v>68</v>
      </c>
    </row>
    <row r="1240" spans="1:23" ht="13" customHeight="1" x14ac:dyDescent="0.35">
      <c r="A1240" s="11">
        <v>1234</v>
      </c>
      <c r="B1240" s="47">
        <v>206958064</v>
      </c>
      <c r="C1240" s="94" t="s">
        <v>2185</v>
      </c>
      <c r="D1240" s="11" t="s">
        <v>2186</v>
      </c>
      <c r="E1240" s="112" t="s">
        <v>31</v>
      </c>
      <c r="F1240" s="48" t="s">
        <v>74</v>
      </c>
      <c r="G1240" s="11" t="s">
        <v>65</v>
      </c>
      <c r="H1240" s="11" t="s">
        <v>1339</v>
      </c>
      <c r="I1240" s="11">
        <v>1181</v>
      </c>
      <c r="J1240" s="49" t="s">
        <v>39</v>
      </c>
      <c r="K1240" s="49" t="s">
        <v>76</v>
      </c>
      <c r="L1240" s="49" t="s">
        <v>77</v>
      </c>
      <c r="M1240" s="49" t="s">
        <v>78</v>
      </c>
      <c r="N1240" s="49" t="s">
        <v>89</v>
      </c>
      <c r="O1240" s="49" t="s">
        <v>68</v>
      </c>
      <c r="P1240" s="49" t="s">
        <v>80</v>
      </c>
      <c r="Q1240" s="49" t="s">
        <v>96</v>
      </c>
      <c r="R1240" s="49" t="s">
        <v>2736</v>
      </c>
      <c r="S1240" s="49" t="s">
        <v>2737</v>
      </c>
      <c r="T1240" s="90" t="s">
        <v>1</v>
      </c>
      <c r="U1240" s="104"/>
      <c r="V1240" s="51">
        <v>46048</v>
      </c>
      <c r="W1240" s="49" t="s">
        <v>68</v>
      </c>
    </row>
    <row r="1241" spans="1:23" ht="13" customHeight="1" x14ac:dyDescent="0.35">
      <c r="A1241" s="11">
        <v>1235</v>
      </c>
      <c r="B1241" s="47">
        <v>206958070</v>
      </c>
      <c r="C1241" s="94" t="s">
        <v>2187</v>
      </c>
      <c r="D1241" s="11" t="s">
        <v>2188</v>
      </c>
      <c r="E1241" s="112" t="s">
        <v>31</v>
      </c>
      <c r="F1241" s="48" t="s">
        <v>74</v>
      </c>
      <c r="G1241" s="11" t="s">
        <v>65</v>
      </c>
      <c r="H1241" s="11" t="s">
        <v>1339</v>
      </c>
      <c r="I1241" s="11">
        <v>1181</v>
      </c>
      <c r="J1241" s="49" t="s">
        <v>39</v>
      </c>
      <c r="K1241" s="49" t="s">
        <v>76</v>
      </c>
      <c r="L1241" s="49" t="s">
        <v>84</v>
      </c>
      <c r="M1241" s="49" t="s">
        <v>85</v>
      </c>
      <c r="N1241" s="49" t="s">
        <v>89</v>
      </c>
      <c r="O1241" s="49" t="s">
        <v>68</v>
      </c>
      <c r="P1241" s="49" t="s">
        <v>80</v>
      </c>
      <c r="Q1241" s="49" t="s">
        <v>96</v>
      </c>
      <c r="R1241" s="49" t="s">
        <v>2736</v>
      </c>
      <c r="S1241" s="49" t="s">
        <v>2737</v>
      </c>
      <c r="T1241" s="90" t="s">
        <v>1</v>
      </c>
      <c r="U1241" s="90"/>
      <c r="V1241" s="51">
        <v>46048</v>
      </c>
      <c r="W1241" s="49" t="s">
        <v>68</v>
      </c>
    </row>
    <row r="1242" spans="1:23" ht="13" customHeight="1" x14ac:dyDescent="0.35">
      <c r="A1242" s="11">
        <v>1236</v>
      </c>
      <c r="B1242" s="47">
        <v>206348042</v>
      </c>
      <c r="C1242" s="94" t="s">
        <v>2456</v>
      </c>
      <c r="D1242" s="11" t="s">
        <v>2457</v>
      </c>
      <c r="E1242" s="48" t="s">
        <v>31</v>
      </c>
      <c r="F1242" s="48" t="s">
        <v>74</v>
      </c>
      <c r="G1242" s="11" t="s">
        <v>65</v>
      </c>
      <c r="H1242" s="11" t="s">
        <v>1339</v>
      </c>
      <c r="I1242" s="11">
        <v>1181</v>
      </c>
      <c r="J1242" s="49" t="s">
        <v>32</v>
      </c>
      <c r="K1242" s="49" t="s">
        <v>76</v>
      </c>
      <c r="L1242" s="49" t="s">
        <v>95</v>
      </c>
      <c r="M1242" s="49" t="s">
        <v>77</v>
      </c>
      <c r="N1242" s="49" t="s">
        <v>89</v>
      </c>
      <c r="O1242" s="49" t="s">
        <v>68</v>
      </c>
      <c r="P1242" s="11" t="s">
        <v>80</v>
      </c>
      <c r="Q1242" s="11" t="s">
        <v>90</v>
      </c>
      <c r="R1242" s="11" t="s">
        <v>1343</v>
      </c>
      <c r="S1242" s="11" t="s">
        <v>1344</v>
      </c>
      <c r="T1242" s="90" t="s">
        <v>7</v>
      </c>
      <c r="U1242" s="104"/>
      <c r="V1242" s="51">
        <v>45957</v>
      </c>
      <c r="W1242" s="49" t="s">
        <v>68</v>
      </c>
    </row>
    <row r="1243" spans="1:23" ht="13" customHeight="1" x14ac:dyDescent="0.35">
      <c r="A1243" s="11">
        <v>1237</v>
      </c>
      <c r="B1243" s="47">
        <v>205845547</v>
      </c>
      <c r="C1243" s="94" t="s">
        <v>1409</v>
      </c>
      <c r="D1243" s="11" t="s">
        <v>1410</v>
      </c>
      <c r="E1243" s="48" t="s">
        <v>31</v>
      </c>
      <c r="F1243" s="48" t="s">
        <v>74</v>
      </c>
      <c r="G1243" s="11" t="s">
        <v>65</v>
      </c>
      <c r="H1243" s="11" t="s">
        <v>1339</v>
      </c>
      <c r="I1243" s="11">
        <v>1181</v>
      </c>
      <c r="J1243" s="49" t="s">
        <v>39</v>
      </c>
      <c r="K1243" s="49" t="s">
        <v>76</v>
      </c>
      <c r="L1243" s="49" t="s">
        <v>84</v>
      </c>
      <c r="M1243" s="49" t="s">
        <v>85</v>
      </c>
      <c r="N1243" s="49" t="s">
        <v>89</v>
      </c>
      <c r="O1243" s="49" t="s">
        <v>68</v>
      </c>
      <c r="P1243" s="11" t="s">
        <v>80</v>
      </c>
      <c r="Q1243" s="11" t="s">
        <v>90</v>
      </c>
      <c r="R1243" s="11" t="s">
        <v>2736</v>
      </c>
      <c r="S1243" s="11" t="s">
        <v>2737</v>
      </c>
      <c r="T1243" s="90" t="s">
        <v>1</v>
      </c>
      <c r="U1243" s="104"/>
      <c r="V1243" s="51">
        <v>45894</v>
      </c>
      <c r="W1243" s="49" t="s">
        <v>68</v>
      </c>
    </row>
    <row r="1244" spans="1:23" ht="13" customHeight="1" x14ac:dyDescent="0.35">
      <c r="A1244" s="11">
        <v>1238</v>
      </c>
      <c r="B1244" s="47">
        <v>205845552</v>
      </c>
      <c r="C1244" s="94" t="s">
        <v>1411</v>
      </c>
      <c r="D1244" s="11" t="s">
        <v>1412</v>
      </c>
      <c r="E1244" s="48" t="s">
        <v>31</v>
      </c>
      <c r="F1244" s="48" t="s">
        <v>74</v>
      </c>
      <c r="G1244" s="11" t="s">
        <v>65</v>
      </c>
      <c r="H1244" s="11" t="s">
        <v>1339</v>
      </c>
      <c r="I1244" s="11">
        <v>1181</v>
      </c>
      <c r="J1244" s="49" t="s">
        <v>39</v>
      </c>
      <c r="K1244" s="49" t="s">
        <v>76</v>
      </c>
      <c r="L1244" s="49" t="s">
        <v>77</v>
      </c>
      <c r="M1244" s="49" t="s">
        <v>78</v>
      </c>
      <c r="N1244" s="49" t="s">
        <v>89</v>
      </c>
      <c r="O1244" s="49" t="s">
        <v>68</v>
      </c>
      <c r="P1244" s="11" t="s">
        <v>80</v>
      </c>
      <c r="Q1244" s="11" t="s">
        <v>90</v>
      </c>
      <c r="R1244" s="11" t="s">
        <v>2736</v>
      </c>
      <c r="S1244" s="11" t="s">
        <v>2737</v>
      </c>
      <c r="T1244" s="90" t="s">
        <v>1</v>
      </c>
      <c r="U1244" s="104"/>
      <c r="V1244" s="51">
        <v>45894</v>
      </c>
      <c r="W1244" s="49" t="s">
        <v>68</v>
      </c>
    </row>
    <row r="1245" spans="1:23" ht="13" customHeight="1" x14ac:dyDescent="0.35">
      <c r="A1245" s="11">
        <v>1239</v>
      </c>
      <c r="B1245" s="47">
        <v>206958290</v>
      </c>
      <c r="C1245" s="94" t="s">
        <v>2458</v>
      </c>
      <c r="D1245" s="11" t="s">
        <v>2459</v>
      </c>
      <c r="E1245" s="112" t="s">
        <v>31</v>
      </c>
      <c r="F1245" s="48" t="s">
        <v>74</v>
      </c>
      <c r="G1245" s="11" t="s">
        <v>65</v>
      </c>
      <c r="H1245" s="11" t="s">
        <v>1339</v>
      </c>
      <c r="I1245" s="11">
        <v>1181</v>
      </c>
      <c r="J1245" s="49" t="s">
        <v>39</v>
      </c>
      <c r="K1245" s="49" t="s">
        <v>76</v>
      </c>
      <c r="L1245" s="49" t="s">
        <v>84</v>
      </c>
      <c r="M1245" s="49" t="s">
        <v>85</v>
      </c>
      <c r="N1245" s="49" t="s">
        <v>89</v>
      </c>
      <c r="O1245" s="49" t="s">
        <v>68</v>
      </c>
      <c r="P1245" s="49" t="s">
        <v>80</v>
      </c>
      <c r="Q1245" s="49" t="s">
        <v>96</v>
      </c>
      <c r="R1245" s="49" t="s">
        <v>2736</v>
      </c>
      <c r="S1245" s="49" t="s">
        <v>2737</v>
      </c>
      <c r="T1245" s="90" t="s">
        <v>1</v>
      </c>
      <c r="U1245" s="104"/>
      <c r="V1245" s="51">
        <v>46048</v>
      </c>
      <c r="W1245" s="49" t="s">
        <v>68</v>
      </c>
    </row>
    <row r="1246" spans="1:23" ht="13" customHeight="1" x14ac:dyDescent="0.35">
      <c r="A1246" s="11">
        <v>1240</v>
      </c>
      <c r="B1246" s="47">
        <v>205839953</v>
      </c>
      <c r="C1246" s="94" t="s">
        <v>1413</v>
      </c>
      <c r="D1246" s="11" t="s">
        <v>1414</v>
      </c>
      <c r="E1246" s="48" t="s">
        <v>31</v>
      </c>
      <c r="F1246" s="48" t="s">
        <v>74</v>
      </c>
      <c r="G1246" s="11" t="s">
        <v>65</v>
      </c>
      <c r="H1246" s="11" t="s">
        <v>1339</v>
      </c>
      <c r="I1246" s="11">
        <v>1181</v>
      </c>
      <c r="J1246" s="49" t="s">
        <v>39</v>
      </c>
      <c r="K1246" s="49" t="s">
        <v>76</v>
      </c>
      <c r="L1246" s="49" t="s">
        <v>85</v>
      </c>
      <c r="M1246" s="49" t="s">
        <v>88</v>
      </c>
      <c r="N1246" s="49" t="s">
        <v>89</v>
      </c>
      <c r="O1246" s="49" t="s">
        <v>68</v>
      </c>
      <c r="P1246" s="11" t="s">
        <v>80</v>
      </c>
      <c r="Q1246" s="11" t="s">
        <v>90</v>
      </c>
      <c r="R1246" s="11" t="s">
        <v>2736</v>
      </c>
      <c r="S1246" s="11" t="s">
        <v>2737</v>
      </c>
      <c r="T1246" s="90" t="s">
        <v>10</v>
      </c>
      <c r="U1246" s="104"/>
      <c r="V1246" s="51">
        <v>45894</v>
      </c>
      <c r="W1246" s="49" t="s">
        <v>68</v>
      </c>
    </row>
    <row r="1247" spans="1:23" ht="13" customHeight="1" x14ac:dyDescent="0.35">
      <c r="A1247" s="11">
        <v>1241</v>
      </c>
      <c r="B1247" s="47">
        <v>203555221</v>
      </c>
      <c r="C1247" s="94" t="s">
        <v>1415</v>
      </c>
      <c r="D1247" s="11" t="s">
        <v>1416</v>
      </c>
      <c r="E1247" s="48" t="s">
        <v>31</v>
      </c>
      <c r="F1247" s="48" t="s">
        <v>74</v>
      </c>
      <c r="G1247" s="11" t="s">
        <v>65</v>
      </c>
      <c r="H1247" s="11" t="s">
        <v>1339</v>
      </c>
      <c r="I1247" s="11">
        <v>1181</v>
      </c>
      <c r="J1247" s="49" t="s">
        <v>32</v>
      </c>
      <c r="K1247" s="49" t="s">
        <v>76</v>
      </c>
      <c r="L1247" s="49" t="s">
        <v>77</v>
      </c>
      <c r="M1247" s="49" t="s">
        <v>78</v>
      </c>
      <c r="N1247" s="48" t="s">
        <v>79</v>
      </c>
      <c r="O1247" s="49" t="s">
        <v>68</v>
      </c>
      <c r="P1247" s="11" t="s">
        <v>80</v>
      </c>
      <c r="Q1247" s="11" t="s">
        <v>81</v>
      </c>
      <c r="R1247" s="11" t="s">
        <v>1343</v>
      </c>
      <c r="S1247" s="11" t="s">
        <v>1344</v>
      </c>
      <c r="T1247" s="90" t="s">
        <v>7</v>
      </c>
      <c r="U1247" s="90"/>
      <c r="V1247" s="51">
        <v>45470</v>
      </c>
      <c r="W1247" s="49" t="s">
        <v>68</v>
      </c>
    </row>
    <row r="1248" spans="1:23" ht="13" customHeight="1" x14ac:dyDescent="0.35">
      <c r="A1248" s="11">
        <v>1242</v>
      </c>
      <c r="B1248" s="47">
        <v>206361787</v>
      </c>
      <c r="C1248" s="94" t="s">
        <v>2460</v>
      </c>
      <c r="D1248" s="11" t="s">
        <v>2461</v>
      </c>
      <c r="E1248" s="48" t="s">
        <v>31</v>
      </c>
      <c r="F1248" s="48" t="s">
        <v>74</v>
      </c>
      <c r="G1248" s="11" t="s">
        <v>65</v>
      </c>
      <c r="H1248" s="11" t="s">
        <v>1339</v>
      </c>
      <c r="I1248" s="11">
        <v>1181</v>
      </c>
      <c r="J1248" s="49" t="s">
        <v>39</v>
      </c>
      <c r="K1248" s="49" t="s">
        <v>76</v>
      </c>
      <c r="L1248" s="49" t="s">
        <v>84</v>
      </c>
      <c r="M1248" s="49" t="s">
        <v>85</v>
      </c>
      <c r="N1248" s="49" t="s">
        <v>89</v>
      </c>
      <c r="O1248" s="49" t="s">
        <v>68</v>
      </c>
      <c r="P1248" s="11" t="s">
        <v>80</v>
      </c>
      <c r="Q1248" s="11" t="s">
        <v>96</v>
      </c>
      <c r="R1248" s="11" t="s">
        <v>2736</v>
      </c>
      <c r="S1248" s="11" t="s">
        <v>2737</v>
      </c>
      <c r="T1248" s="90" t="s">
        <v>1</v>
      </c>
      <c r="U1248" s="104"/>
      <c r="V1248" s="51">
        <v>45957</v>
      </c>
      <c r="W1248" s="49" t="s">
        <v>68</v>
      </c>
    </row>
    <row r="1249" spans="1:23" ht="13" customHeight="1" x14ac:dyDescent="0.35">
      <c r="A1249" s="11">
        <v>1243</v>
      </c>
      <c r="B1249" s="47">
        <v>102207635</v>
      </c>
      <c r="C1249" s="94" t="s">
        <v>1417</v>
      </c>
      <c r="D1249" s="11" t="s">
        <v>1418</v>
      </c>
      <c r="E1249" s="48" t="s">
        <v>34</v>
      </c>
      <c r="F1249" s="48" t="s">
        <v>74</v>
      </c>
      <c r="G1249" s="11" t="s">
        <v>65</v>
      </c>
      <c r="H1249" s="11" t="s">
        <v>1339</v>
      </c>
      <c r="I1249" s="11">
        <v>1181</v>
      </c>
      <c r="J1249" s="49" t="s">
        <v>32</v>
      </c>
      <c r="K1249" s="49" t="s">
        <v>76</v>
      </c>
      <c r="L1249" s="49" t="s">
        <v>92</v>
      </c>
      <c r="M1249" s="49" t="s">
        <v>84</v>
      </c>
      <c r="N1249" s="48" t="s">
        <v>1340</v>
      </c>
      <c r="O1249" s="49" t="s">
        <v>68</v>
      </c>
      <c r="P1249" s="11" t="s">
        <v>80</v>
      </c>
      <c r="Q1249" s="11" t="s">
        <v>98</v>
      </c>
      <c r="R1249" s="11" t="s">
        <v>1343</v>
      </c>
      <c r="S1249" s="11" t="s">
        <v>1344</v>
      </c>
      <c r="T1249" s="90" t="s">
        <v>7</v>
      </c>
      <c r="U1249" s="104"/>
      <c r="V1249" s="51">
        <v>42868</v>
      </c>
      <c r="W1249" s="49" t="s">
        <v>68</v>
      </c>
    </row>
    <row r="1250" spans="1:23" ht="13" customHeight="1" x14ac:dyDescent="0.35">
      <c r="A1250" s="11">
        <v>1244</v>
      </c>
      <c r="B1250" s="47">
        <v>204137712</v>
      </c>
      <c r="C1250" s="94" t="s">
        <v>1419</v>
      </c>
      <c r="D1250" s="11" t="s">
        <v>1420</v>
      </c>
      <c r="E1250" s="48" t="s">
        <v>31</v>
      </c>
      <c r="F1250" s="48" t="s">
        <v>74</v>
      </c>
      <c r="G1250" s="11" t="s">
        <v>65</v>
      </c>
      <c r="H1250" s="11" t="s">
        <v>1339</v>
      </c>
      <c r="I1250" s="11">
        <v>1181</v>
      </c>
      <c r="J1250" s="49" t="s">
        <v>32</v>
      </c>
      <c r="K1250" s="49" t="s">
        <v>76</v>
      </c>
      <c r="L1250" s="49" t="s">
        <v>85</v>
      </c>
      <c r="M1250" s="49" t="s">
        <v>88</v>
      </c>
      <c r="N1250" s="48" t="s">
        <v>86</v>
      </c>
      <c r="O1250" s="49" t="s">
        <v>68</v>
      </c>
      <c r="P1250" s="11" t="s">
        <v>80</v>
      </c>
      <c r="Q1250" s="11" t="s">
        <v>87</v>
      </c>
      <c r="R1250" s="11" t="s">
        <v>1343</v>
      </c>
      <c r="S1250" s="11" t="s">
        <v>1344</v>
      </c>
      <c r="T1250" s="90" t="s">
        <v>10</v>
      </c>
      <c r="U1250" s="90"/>
      <c r="V1250" s="51">
        <v>45565</v>
      </c>
      <c r="W1250" s="49" t="s">
        <v>68</v>
      </c>
    </row>
    <row r="1251" spans="1:23" ht="13" customHeight="1" x14ac:dyDescent="0.35">
      <c r="A1251" s="11">
        <v>1245</v>
      </c>
      <c r="B1251" s="47">
        <v>203513499</v>
      </c>
      <c r="C1251" s="94" t="s">
        <v>1421</v>
      </c>
      <c r="D1251" s="11" t="s">
        <v>1422</v>
      </c>
      <c r="E1251" s="48" t="s">
        <v>31</v>
      </c>
      <c r="F1251" s="48" t="s">
        <v>74</v>
      </c>
      <c r="G1251" s="11" t="s">
        <v>65</v>
      </c>
      <c r="H1251" s="11" t="s">
        <v>1339</v>
      </c>
      <c r="I1251" s="11">
        <v>1181</v>
      </c>
      <c r="J1251" s="49" t="s">
        <v>39</v>
      </c>
      <c r="K1251" s="49" t="s">
        <v>76</v>
      </c>
      <c r="L1251" s="49" t="s">
        <v>78</v>
      </c>
      <c r="M1251" s="49" t="s">
        <v>92</v>
      </c>
      <c r="N1251" s="48" t="s">
        <v>79</v>
      </c>
      <c r="O1251" s="49" t="s">
        <v>68</v>
      </c>
      <c r="P1251" s="11" t="s">
        <v>80</v>
      </c>
      <c r="Q1251" s="11" t="s">
        <v>81</v>
      </c>
      <c r="R1251" s="11" t="s">
        <v>2736</v>
      </c>
      <c r="S1251" s="11" t="s">
        <v>2737</v>
      </c>
      <c r="T1251" s="90" t="s">
        <v>1</v>
      </c>
      <c r="U1251" s="90"/>
      <c r="V1251" s="51">
        <v>45463</v>
      </c>
      <c r="W1251" s="49" t="s">
        <v>68</v>
      </c>
    </row>
    <row r="1252" spans="1:23" ht="13" customHeight="1" x14ac:dyDescent="0.35">
      <c r="A1252" s="11">
        <v>1246</v>
      </c>
      <c r="B1252" s="47">
        <v>204094495</v>
      </c>
      <c r="C1252" s="94" t="s">
        <v>1194</v>
      </c>
      <c r="D1252" s="11" t="s">
        <v>1195</v>
      </c>
      <c r="E1252" s="48" t="s">
        <v>31</v>
      </c>
      <c r="F1252" s="48" t="s">
        <v>74</v>
      </c>
      <c r="G1252" s="11" t="s">
        <v>65</v>
      </c>
      <c r="H1252" s="11" t="s">
        <v>1339</v>
      </c>
      <c r="I1252" s="11">
        <v>1181</v>
      </c>
      <c r="J1252" s="49" t="s">
        <v>39</v>
      </c>
      <c r="K1252" s="49" t="s">
        <v>76</v>
      </c>
      <c r="L1252" s="49" t="s">
        <v>78</v>
      </c>
      <c r="M1252" s="49" t="s">
        <v>92</v>
      </c>
      <c r="N1252" s="48" t="s">
        <v>86</v>
      </c>
      <c r="O1252" s="49" t="s">
        <v>68</v>
      </c>
      <c r="P1252" s="11" t="s">
        <v>80</v>
      </c>
      <c r="Q1252" s="11" t="s">
        <v>87</v>
      </c>
      <c r="R1252" s="11" t="s">
        <v>2736</v>
      </c>
      <c r="S1252" s="11" t="s">
        <v>2737</v>
      </c>
      <c r="T1252" s="90" t="s">
        <v>7</v>
      </c>
      <c r="U1252" s="90" t="s">
        <v>2914</v>
      </c>
      <c r="V1252" s="51">
        <v>45561</v>
      </c>
      <c r="W1252" s="49" t="s">
        <v>68</v>
      </c>
    </row>
    <row r="1253" spans="1:23" ht="13" customHeight="1" x14ac:dyDescent="0.35">
      <c r="A1253" s="11">
        <v>1247</v>
      </c>
      <c r="B1253" s="47">
        <v>204013731</v>
      </c>
      <c r="C1253" s="94" t="s">
        <v>1423</v>
      </c>
      <c r="D1253" s="11" t="s">
        <v>1424</v>
      </c>
      <c r="E1253" s="48" t="s">
        <v>31</v>
      </c>
      <c r="F1253" s="48" t="s">
        <v>74</v>
      </c>
      <c r="G1253" s="11" t="s">
        <v>65</v>
      </c>
      <c r="H1253" s="11" t="s">
        <v>1339</v>
      </c>
      <c r="I1253" s="11">
        <v>1181</v>
      </c>
      <c r="J1253" s="49" t="s">
        <v>32</v>
      </c>
      <c r="K1253" s="49" t="s">
        <v>76</v>
      </c>
      <c r="L1253" s="49" t="s">
        <v>92</v>
      </c>
      <c r="M1253" s="49" t="s">
        <v>84</v>
      </c>
      <c r="N1253" s="48" t="s">
        <v>79</v>
      </c>
      <c r="O1253" s="49" t="s">
        <v>68</v>
      </c>
      <c r="P1253" s="11" t="s">
        <v>80</v>
      </c>
      <c r="Q1253" s="11" t="s">
        <v>81</v>
      </c>
      <c r="R1253" s="11" t="s">
        <v>1343</v>
      </c>
      <c r="S1253" s="11" t="s">
        <v>1344</v>
      </c>
      <c r="T1253" s="90" t="s">
        <v>7</v>
      </c>
      <c r="U1253" s="90" t="s">
        <v>2914</v>
      </c>
      <c r="V1253" s="51">
        <v>45551</v>
      </c>
      <c r="W1253" s="49" t="s">
        <v>68</v>
      </c>
    </row>
    <row r="1254" spans="1:23" ht="13" customHeight="1" x14ac:dyDescent="0.35">
      <c r="A1254" s="11">
        <v>1248</v>
      </c>
      <c r="B1254" s="47">
        <v>205276101</v>
      </c>
      <c r="C1254" s="94" t="s">
        <v>1425</v>
      </c>
      <c r="D1254" s="11" t="s">
        <v>1426</v>
      </c>
      <c r="E1254" s="48" t="s">
        <v>31</v>
      </c>
      <c r="F1254" s="48" t="s">
        <v>74</v>
      </c>
      <c r="G1254" s="11" t="s">
        <v>65</v>
      </c>
      <c r="H1254" s="11" t="s">
        <v>1339</v>
      </c>
      <c r="I1254" s="11">
        <v>1181</v>
      </c>
      <c r="J1254" s="49" t="s">
        <v>39</v>
      </c>
      <c r="K1254" s="49" t="s">
        <v>76</v>
      </c>
      <c r="L1254" s="49" t="s">
        <v>85</v>
      </c>
      <c r="M1254" s="49" t="s">
        <v>88</v>
      </c>
      <c r="N1254" s="48" t="s">
        <v>89</v>
      </c>
      <c r="O1254" s="49" t="s">
        <v>68</v>
      </c>
      <c r="P1254" s="11" t="s">
        <v>80</v>
      </c>
      <c r="Q1254" s="11" t="s">
        <v>90</v>
      </c>
      <c r="R1254" s="11" t="s">
        <v>2736</v>
      </c>
      <c r="S1254" s="11" t="s">
        <v>2737</v>
      </c>
      <c r="T1254" s="90" t="s">
        <v>10</v>
      </c>
      <c r="U1254" s="90"/>
      <c r="V1254" s="51">
        <v>45796</v>
      </c>
      <c r="W1254" s="49" t="s">
        <v>68</v>
      </c>
    </row>
    <row r="1255" spans="1:23" ht="13" customHeight="1" x14ac:dyDescent="0.35">
      <c r="A1255" s="11">
        <v>1249</v>
      </c>
      <c r="B1255" s="47">
        <v>102205690</v>
      </c>
      <c r="C1255" s="94" t="s">
        <v>1427</v>
      </c>
      <c r="D1255" s="11" t="s">
        <v>1428</v>
      </c>
      <c r="E1255" s="48" t="s">
        <v>34</v>
      </c>
      <c r="F1255" s="48" t="s">
        <v>74</v>
      </c>
      <c r="G1255" s="11" t="s">
        <v>65</v>
      </c>
      <c r="H1255" s="11" t="s">
        <v>1339</v>
      </c>
      <c r="I1255" s="11">
        <v>1182</v>
      </c>
      <c r="J1255" s="49" t="s">
        <v>39</v>
      </c>
      <c r="K1255" s="49" t="s">
        <v>76</v>
      </c>
      <c r="L1255" s="49" t="s">
        <v>92</v>
      </c>
      <c r="M1255" s="49" t="s">
        <v>84</v>
      </c>
      <c r="N1255" s="48" t="s">
        <v>108</v>
      </c>
      <c r="O1255" s="49" t="s">
        <v>68</v>
      </c>
      <c r="P1255" s="11" t="s">
        <v>80</v>
      </c>
      <c r="Q1255" s="11" t="s">
        <v>98</v>
      </c>
      <c r="R1255" s="11" t="s">
        <v>2736</v>
      </c>
      <c r="S1255" s="11" t="s">
        <v>2737</v>
      </c>
      <c r="T1255" s="90" t="s">
        <v>1</v>
      </c>
      <c r="U1255" s="91"/>
      <c r="V1255" s="51">
        <v>42868</v>
      </c>
      <c r="W1255" s="49" t="s">
        <v>68</v>
      </c>
    </row>
    <row r="1256" spans="1:23" ht="13" customHeight="1" x14ac:dyDescent="0.35">
      <c r="A1256" s="11">
        <v>1250</v>
      </c>
      <c r="B1256" s="47">
        <v>102582357</v>
      </c>
      <c r="C1256" s="94" t="s">
        <v>1429</v>
      </c>
      <c r="D1256" s="11" t="s">
        <v>1430</v>
      </c>
      <c r="E1256" s="48" t="s">
        <v>34</v>
      </c>
      <c r="F1256" s="48" t="s">
        <v>74</v>
      </c>
      <c r="G1256" s="11" t="s">
        <v>65</v>
      </c>
      <c r="H1256" s="11" t="s">
        <v>1339</v>
      </c>
      <c r="I1256" s="11">
        <v>1182</v>
      </c>
      <c r="J1256" s="49" t="s">
        <v>39</v>
      </c>
      <c r="K1256" s="49" t="s">
        <v>76</v>
      </c>
      <c r="L1256" s="49" t="s">
        <v>88</v>
      </c>
      <c r="M1256" s="49" t="s">
        <v>95</v>
      </c>
      <c r="N1256" s="48" t="s">
        <v>1340</v>
      </c>
      <c r="O1256" s="49" t="s">
        <v>68</v>
      </c>
      <c r="P1256" s="11" t="s">
        <v>80</v>
      </c>
      <c r="Q1256" s="11" t="s">
        <v>98</v>
      </c>
      <c r="R1256" s="11" t="s">
        <v>2736</v>
      </c>
      <c r="S1256" s="11" t="s">
        <v>2737</v>
      </c>
      <c r="T1256" s="90" t="s">
        <v>10</v>
      </c>
      <c r="U1256" s="90"/>
      <c r="V1256" s="51">
        <v>42962</v>
      </c>
      <c r="W1256" s="49" t="s">
        <v>68</v>
      </c>
    </row>
    <row r="1257" spans="1:23" ht="13" customHeight="1" x14ac:dyDescent="0.35">
      <c r="A1257" s="11">
        <v>1251</v>
      </c>
      <c r="B1257" s="47">
        <v>205845551</v>
      </c>
      <c r="C1257" s="94" t="s">
        <v>1431</v>
      </c>
      <c r="D1257" s="11" t="s">
        <v>1432</v>
      </c>
      <c r="E1257" s="48" t="s">
        <v>31</v>
      </c>
      <c r="F1257" s="48" t="s">
        <v>74</v>
      </c>
      <c r="G1257" s="11" t="s">
        <v>65</v>
      </c>
      <c r="H1257" s="11" t="s">
        <v>1339</v>
      </c>
      <c r="I1257" s="11">
        <v>1181</v>
      </c>
      <c r="J1257" s="49" t="s">
        <v>39</v>
      </c>
      <c r="K1257" s="49" t="s">
        <v>76</v>
      </c>
      <c r="L1257" s="49" t="s">
        <v>92</v>
      </c>
      <c r="M1257" s="49" t="s">
        <v>84</v>
      </c>
      <c r="N1257" s="49" t="s">
        <v>89</v>
      </c>
      <c r="O1257" s="49" t="s">
        <v>68</v>
      </c>
      <c r="P1257" s="11" t="s">
        <v>80</v>
      </c>
      <c r="Q1257" s="11" t="s">
        <v>90</v>
      </c>
      <c r="R1257" s="11" t="s">
        <v>2736</v>
      </c>
      <c r="S1257" s="11" t="s">
        <v>2737</v>
      </c>
      <c r="T1257" s="90" t="s">
        <v>1</v>
      </c>
      <c r="U1257" s="91"/>
      <c r="V1257" s="51">
        <v>45894</v>
      </c>
      <c r="W1257" s="49" t="s">
        <v>68</v>
      </c>
    </row>
    <row r="1258" spans="1:23" ht="13" customHeight="1" x14ac:dyDescent="0.35">
      <c r="A1258" s="11">
        <v>1252</v>
      </c>
      <c r="B1258" s="47">
        <v>206296204</v>
      </c>
      <c r="C1258" s="94" t="s">
        <v>1665</v>
      </c>
      <c r="D1258" s="11" t="s">
        <v>1978</v>
      </c>
      <c r="E1258" s="48" t="s">
        <v>31</v>
      </c>
      <c r="F1258" s="48" t="s">
        <v>74</v>
      </c>
      <c r="G1258" s="11" t="s">
        <v>65</v>
      </c>
      <c r="H1258" s="11" t="s">
        <v>1339</v>
      </c>
      <c r="I1258" s="11">
        <v>1299</v>
      </c>
      <c r="J1258" s="49" t="s">
        <v>39</v>
      </c>
      <c r="K1258" s="49" t="s">
        <v>76</v>
      </c>
      <c r="L1258" s="49" t="s">
        <v>84</v>
      </c>
      <c r="M1258" s="49" t="s">
        <v>85</v>
      </c>
      <c r="N1258" s="49" t="s">
        <v>89</v>
      </c>
      <c r="O1258" s="49" t="s">
        <v>68</v>
      </c>
      <c r="P1258" s="11" t="s">
        <v>80</v>
      </c>
      <c r="Q1258" s="11" t="s">
        <v>96</v>
      </c>
      <c r="R1258" s="11" t="s">
        <v>2736</v>
      </c>
      <c r="S1258" s="11" t="s">
        <v>2737</v>
      </c>
      <c r="T1258" s="90" t="s">
        <v>1</v>
      </c>
      <c r="U1258" s="89"/>
      <c r="V1258" s="51">
        <v>45950</v>
      </c>
      <c r="W1258" s="49" t="s">
        <v>68</v>
      </c>
    </row>
    <row r="1259" spans="1:23" ht="13" customHeight="1" x14ac:dyDescent="0.35">
      <c r="A1259" s="11">
        <v>1253</v>
      </c>
      <c r="B1259" s="47">
        <v>206958074</v>
      </c>
      <c r="C1259" s="94" t="s">
        <v>2189</v>
      </c>
      <c r="D1259" s="11" t="s">
        <v>2190</v>
      </c>
      <c r="E1259" s="112" t="s">
        <v>31</v>
      </c>
      <c r="F1259" s="48" t="s">
        <v>74</v>
      </c>
      <c r="G1259" s="11" t="s">
        <v>65</v>
      </c>
      <c r="H1259" s="11" t="s">
        <v>1339</v>
      </c>
      <c r="I1259" s="11">
        <v>1181</v>
      </c>
      <c r="J1259" s="49" t="s">
        <v>39</v>
      </c>
      <c r="K1259" s="49" t="s">
        <v>76</v>
      </c>
      <c r="L1259" s="49" t="s">
        <v>88</v>
      </c>
      <c r="M1259" s="49" t="s">
        <v>95</v>
      </c>
      <c r="N1259" s="49" t="s">
        <v>79</v>
      </c>
      <c r="O1259" s="49" t="s">
        <v>68</v>
      </c>
      <c r="P1259" s="49" t="s">
        <v>80</v>
      </c>
      <c r="Q1259" s="49" t="s">
        <v>96</v>
      </c>
      <c r="R1259" s="49" t="s">
        <v>2736</v>
      </c>
      <c r="S1259" s="49" t="s">
        <v>2737</v>
      </c>
      <c r="T1259" s="90" t="s">
        <v>10</v>
      </c>
      <c r="U1259" s="89"/>
      <c r="V1259" s="51">
        <v>46048</v>
      </c>
      <c r="W1259" s="49" t="s">
        <v>68</v>
      </c>
    </row>
    <row r="1260" spans="1:23" ht="13" customHeight="1" x14ac:dyDescent="0.35">
      <c r="A1260" s="11">
        <v>1254</v>
      </c>
      <c r="B1260" s="47">
        <v>206348052</v>
      </c>
      <c r="C1260" s="94" t="s">
        <v>1703</v>
      </c>
      <c r="D1260" s="11" t="s">
        <v>1704</v>
      </c>
      <c r="E1260" s="48" t="s">
        <v>31</v>
      </c>
      <c r="F1260" s="48" t="s">
        <v>74</v>
      </c>
      <c r="G1260" s="11" t="s">
        <v>65</v>
      </c>
      <c r="H1260" s="11" t="s">
        <v>1339</v>
      </c>
      <c r="I1260" s="11">
        <v>1181</v>
      </c>
      <c r="J1260" s="49" t="s">
        <v>32</v>
      </c>
      <c r="K1260" s="49" t="s">
        <v>76</v>
      </c>
      <c r="L1260" s="49" t="s">
        <v>84</v>
      </c>
      <c r="M1260" s="49" t="s">
        <v>85</v>
      </c>
      <c r="N1260" s="49" t="s">
        <v>89</v>
      </c>
      <c r="O1260" s="49" t="s">
        <v>68</v>
      </c>
      <c r="P1260" s="11" t="s">
        <v>80</v>
      </c>
      <c r="Q1260" s="11" t="s">
        <v>90</v>
      </c>
      <c r="R1260" s="11" t="s">
        <v>1343</v>
      </c>
      <c r="S1260" s="11" t="s">
        <v>1344</v>
      </c>
      <c r="T1260" s="90" t="s">
        <v>7</v>
      </c>
      <c r="U1260" s="89"/>
      <c r="V1260" s="51">
        <v>45957</v>
      </c>
      <c r="W1260" s="49" t="s">
        <v>68</v>
      </c>
    </row>
    <row r="1261" spans="1:23" ht="13" customHeight="1" x14ac:dyDescent="0.35">
      <c r="A1261" s="11">
        <v>1255</v>
      </c>
      <c r="B1261" s="47">
        <v>203513498</v>
      </c>
      <c r="C1261" s="94" t="s">
        <v>1433</v>
      </c>
      <c r="D1261" s="11" t="s">
        <v>1434</v>
      </c>
      <c r="E1261" s="48" t="s">
        <v>31</v>
      </c>
      <c r="F1261" s="48" t="s">
        <v>74</v>
      </c>
      <c r="G1261" s="11" t="s">
        <v>65</v>
      </c>
      <c r="H1261" s="11" t="s">
        <v>1339</v>
      </c>
      <c r="I1261" s="11">
        <v>1181</v>
      </c>
      <c r="J1261" s="49" t="s">
        <v>39</v>
      </c>
      <c r="K1261" s="49" t="s">
        <v>76</v>
      </c>
      <c r="L1261" s="49" t="s">
        <v>84</v>
      </c>
      <c r="M1261" s="49" t="s">
        <v>85</v>
      </c>
      <c r="N1261" s="48" t="s">
        <v>79</v>
      </c>
      <c r="O1261" s="49" t="s">
        <v>68</v>
      </c>
      <c r="P1261" s="11" t="s">
        <v>80</v>
      </c>
      <c r="Q1261" s="11" t="s">
        <v>81</v>
      </c>
      <c r="R1261" s="11" t="s">
        <v>2736</v>
      </c>
      <c r="S1261" s="11" t="s">
        <v>2737</v>
      </c>
      <c r="T1261" s="90" t="s">
        <v>1</v>
      </c>
      <c r="U1261" s="89"/>
      <c r="V1261" s="51">
        <v>45463</v>
      </c>
      <c r="W1261" s="49" t="s">
        <v>68</v>
      </c>
    </row>
    <row r="1262" spans="1:23" ht="13" customHeight="1" x14ac:dyDescent="0.35">
      <c r="A1262" s="11">
        <v>1256</v>
      </c>
      <c r="B1262" s="47">
        <v>206958090</v>
      </c>
      <c r="C1262" s="94" t="s">
        <v>2191</v>
      </c>
      <c r="D1262" s="11" t="s">
        <v>2192</v>
      </c>
      <c r="E1262" s="112" t="s">
        <v>31</v>
      </c>
      <c r="F1262" s="48" t="s">
        <v>74</v>
      </c>
      <c r="G1262" s="11" t="s">
        <v>65</v>
      </c>
      <c r="H1262" s="11" t="s">
        <v>1339</v>
      </c>
      <c r="I1262" s="11">
        <v>1181</v>
      </c>
      <c r="J1262" s="49" t="s">
        <v>39</v>
      </c>
      <c r="K1262" s="49" t="s">
        <v>76</v>
      </c>
      <c r="L1262" s="49" t="s">
        <v>78</v>
      </c>
      <c r="M1262" s="49" t="s">
        <v>92</v>
      </c>
      <c r="N1262" s="49" t="s">
        <v>89</v>
      </c>
      <c r="O1262" s="49" t="s">
        <v>68</v>
      </c>
      <c r="P1262" s="49" t="s">
        <v>80</v>
      </c>
      <c r="Q1262" s="49" t="s">
        <v>96</v>
      </c>
      <c r="R1262" s="49" t="s">
        <v>2736</v>
      </c>
      <c r="S1262" s="49" t="s">
        <v>2737</v>
      </c>
      <c r="T1262" s="90" t="s">
        <v>1</v>
      </c>
      <c r="U1262" s="91"/>
      <c r="V1262" s="51">
        <v>46048</v>
      </c>
      <c r="W1262" s="49" t="s">
        <v>68</v>
      </c>
    </row>
    <row r="1263" spans="1:23" ht="13" customHeight="1" x14ac:dyDescent="0.35">
      <c r="A1263" s="11">
        <v>1257</v>
      </c>
      <c r="B1263" s="47">
        <v>203513399</v>
      </c>
      <c r="C1263" s="94" t="s">
        <v>1435</v>
      </c>
      <c r="D1263" s="11" t="s">
        <v>1436</v>
      </c>
      <c r="E1263" s="48" t="s">
        <v>31</v>
      </c>
      <c r="F1263" s="48" t="s">
        <v>74</v>
      </c>
      <c r="G1263" s="11" t="s">
        <v>65</v>
      </c>
      <c r="H1263" s="11" t="s">
        <v>1339</v>
      </c>
      <c r="I1263" s="11">
        <v>1181</v>
      </c>
      <c r="J1263" s="49" t="s">
        <v>32</v>
      </c>
      <c r="K1263" s="49" t="s">
        <v>76</v>
      </c>
      <c r="L1263" s="49" t="s">
        <v>85</v>
      </c>
      <c r="M1263" s="49" t="s">
        <v>88</v>
      </c>
      <c r="N1263" s="48" t="s">
        <v>79</v>
      </c>
      <c r="O1263" s="49" t="s">
        <v>68</v>
      </c>
      <c r="P1263" s="11" t="s">
        <v>80</v>
      </c>
      <c r="Q1263" s="11" t="s">
        <v>81</v>
      </c>
      <c r="R1263" s="11" t="s">
        <v>1343</v>
      </c>
      <c r="S1263" s="11" t="s">
        <v>1344</v>
      </c>
      <c r="T1263" s="90" t="s">
        <v>10</v>
      </c>
      <c r="U1263" s="89"/>
      <c r="V1263" s="51">
        <v>45463</v>
      </c>
      <c r="W1263" s="49" t="s">
        <v>68</v>
      </c>
    </row>
    <row r="1264" spans="1:23" ht="13" customHeight="1" x14ac:dyDescent="0.35">
      <c r="A1264" s="11">
        <v>1258</v>
      </c>
      <c r="B1264" s="47">
        <v>204115629</v>
      </c>
      <c r="C1264" s="94" t="s">
        <v>1437</v>
      </c>
      <c r="D1264" s="11" t="s">
        <v>1438</v>
      </c>
      <c r="E1264" s="48" t="s">
        <v>31</v>
      </c>
      <c r="F1264" s="48" t="s">
        <v>74</v>
      </c>
      <c r="G1264" s="11" t="s">
        <v>65</v>
      </c>
      <c r="H1264" s="11" t="s">
        <v>1339</v>
      </c>
      <c r="I1264" s="11">
        <v>1181</v>
      </c>
      <c r="J1264" s="49" t="s">
        <v>32</v>
      </c>
      <c r="K1264" s="49" t="s">
        <v>76</v>
      </c>
      <c r="L1264" s="49" t="s">
        <v>77</v>
      </c>
      <c r="M1264" s="49" t="s">
        <v>78</v>
      </c>
      <c r="N1264" s="48" t="s">
        <v>86</v>
      </c>
      <c r="O1264" s="49" t="s">
        <v>68</v>
      </c>
      <c r="P1264" s="11" t="s">
        <v>80</v>
      </c>
      <c r="Q1264" s="11" t="s">
        <v>87</v>
      </c>
      <c r="R1264" s="11" t="s">
        <v>1343</v>
      </c>
      <c r="S1264" s="11" t="s">
        <v>1344</v>
      </c>
      <c r="T1264" s="90" t="s">
        <v>1</v>
      </c>
      <c r="U1264" s="89"/>
      <c r="V1264" s="51">
        <v>45561</v>
      </c>
      <c r="W1264" s="49" t="s">
        <v>68</v>
      </c>
    </row>
    <row r="1265" spans="1:23" ht="13" customHeight="1" x14ac:dyDescent="0.35">
      <c r="A1265" s="11">
        <v>1259</v>
      </c>
      <c r="B1265" s="47">
        <v>206958297</v>
      </c>
      <c r="C1265" s="94" t="s">
        <v>2193</v>
      </c>
      <c r="D1265" s="11" t="s">
        <v>2194</v>
      </c>
      <c r="E1265" s="112" t="s">
        <v>31</v>
      </c>
      <c r="F1265" s="48" t="s">
        <v>74</v>
      </c>
      <c r="G1265" s="11" t="s">
        <v>65</v>
      </c>
      <c r="H1265" s="11" t="s">
        <v>1339</v>
      </c>
      <c r="I1265" s="11">
        <v>1181</v>
      </c>
      <c r="J1265" s="49" t="s">
        <v>39</v>
      </c>
      <c r="K1265" s="49" t="s">
        <v>76</v>
      </c>
      <c r="L1265" s="49" t="s">
        <v>88</v>
      </c>
      <c r="M1265" s="49" t="s">
        <v>95</v>
      </c>
      <c r="N1265" s="49" t="s">
        <v>79</v>
      </c>
      <c r="O1265" s="49" t="s">
        <v>68</v>
      </c>
      <c r="P1265" s="49" t="s">
        <v>80</v>
      </c>
      <c r="Q1265" s="49" t="s">
        <v>96</v>
      </c>
      <c r="R1265" s="49" t="s">
        <v>2736</v>
      </c>
      <c r="S1265" s="49" t="s">
        <v>2737</v>
      </c>
      <c r="T1265" s="90" t="s">
        <v>10</v>
      </c>
      <c r="U1265" s="91"/>
      <c r="V1265" s="51">
        <v>46048</v>
      </c>
      <c r="W1265" s="49" t="s">
        <v>68</v>
      </c>
    </row>
    <row r="1266" spans="1:23" ht="13" customHeight="1" x14ac:dyDescent="0.35">
      <c r="A1266" s="11">
        <v>1260</v>
      </c>
      <c r="B1266" s="47">
        <v>206348054</v>
      </c>
      <c r="C1266" s="94" t="s">
        <v>2462</v>
      </c>
      <c r="D1266" s="11" t="s">
        <v>2463</v>
      </c>
      <c r="E1266" s="48" t="s">
        <v>31</v>
      </c>
      <c r="F1266" s="48" t="s">
        <v>74</v>
      </c>
      <c r="G1266" s="11" t="s">
        <v>65</v>
      </c>
      <c r="H1266" s="11" t="s">
        <v>1339</v>
      </c>
      <c r="I1266" s="11">
        <v>1181</v>
      </c>
      <c r="J1266" s="49" t="s">
        <v>32</v>
      </c>
      <c r="K1266" s="49" t="s">
        <v>76</v>
      </c>
      <c r="L1266" s="49" t="s">
        <v>85</v>
      </c>
      <c r="M1266" s="49" t="s">
        <v>88</v>
      </c>
      <c r="N1266" s="49" t="s">
        <v>89</v>
      </c>
      <c r="O1266" s="49" t="s">
        <v>68</v>
      </c>
      <c r="P1266" s="11" t="s">
        <v>80</v>
      </c>
      <c r="Q1266" s="11" t="s">
        <v>90</v>
      </c>
      <c r="R1266" s="11" t="s">
        <v>1343</v>
      </c>
      <c r="S1266" s="11" t="s">
        <v>1344</v>
      </c>
      <c r="T1266" s="90" t="s">
        <v>10</v>
      </c>
      <c r="U1266" s="89"/>
      <c r="V1266" s="51">
        <v>45957</v>
      </c>
      <c r="W1266" s="49" t="s">
        <v>68</v>
      </c>
    </row>
    <row r="1267" spans="1:23" ht="13" customHeight="1" x14ac:dyDescent="0.35">
      <c r="A1267" s="11">
        <v>1261</v>
      </c>
      <c r="B1267" s="47">
        <v>204013739</v>
      </c>
      <c r="C1267" s="94" t="s">
        <v>1439</v>
      </c>
      <c r="D1267" s="11" t="s">
        <v>1440</v>
      </c>
      <c r="E1267" s="48" t="s">
        <v>31</v>
      </c>
      <c r="F1267" s="48" t="s">
        <v>74</v>
      </c>
      <c r="G1267" s="11" t="s">
        <v>65</v>
      </c>
      <c r="H1267" s="11" t="s">
        <v>1339</v>
      </c>
      <c r="I1267" s="11">
        <v>1181</v>
      </c>
      <c r="J1267" s="49" t="s">
        <v>39</v>
      </c>
      <c r="K1267" s="49" t="s">
        <v>76</v>
      </c>
      <c r="L1267" s="49" t="s">
        <v>92</v>
      </c>
      <c r="M1267" s="49" t="s">
        <v>84</v>
      </c>
      <c r="N1267" s="48" t="s">
        <v>79</v>
      </c>
      <c r="O1267" s="49" t="s">
        <v>68</v>
      </c>
      <c r="P1267" s="11" t="s">
        <v>80</v>
      </c>
      <c r="Q1267" s="11" t="s">
        <v>81</v>
      </c>
      <c r="R1267" s="11" t="s">
        <v>2736</v>
      </c>
      <c r="S1267" s="11" t="s">
        <v>2737</v>
      </c>
      <c r="T1267" s="90" t="s">
        <v>1</v>
      </c>
      <c r="U1267" s="90"/>
      <c r="V1267" s="51">
        <v>45551</v>
      </c>
      <c r="W1267" s="49" t="s">
        <v>68</v>
      </c>
    </row>
    <row r="1268" spans="1:23" ht="13" customHeight="1" x14ac:dyDescent="0.35">
      <c r="A1268" s="11">
        <v>1262</v>
      </c>
      <c r="B1268" s="47">
        <v>102205553</v>
      </c>
      <c r="C1268" s="94" t="s">
        <v>1442</v>
      </c>
      <c r="D1268" s="11" t="s">
        <v>1443</v>
      </c>
      <c r="E1268" s="48" t="s">
        <v>34</v>
      </c>
      <c r="F1268" s="48" t="s">
        <v>74</v>
      </c>
      <c r="G1268" s="11" t="s">
        <v>65</v>
      </c>
      <c r="H1268" s="11" t="s">
        <v>1339</v>
      </c>
      <c r="I1268" s="11">
        <v>1182</v>
      </c>
      <c r="J1268" s="49" t="s">
        <v>39</v>
      </c>
      <c r="K1268" s="49" t="s">
        <v>76</v>
      </c>
      <c r="L1268" s="49" t="s">
        <v>95</v>
      </c>
      <c r="M1268" s="49" t="s">
        <v>77</v>
      </c>
      <c r="N1268" s="48" t="s">
        <v>108</v>
      </c>
      <c r="O1268" s="49" t="s">
        <v>68</v>
      </c>
      <c r="P1268" s="11" t="s">
        <v>80</v>
      </c>
      <c r="Q1268" s="11" t="s">
        <v>98</v>
      </c>
      <c r="R1268" s="11" t="s">
        <v>2736</v>
      </c>
      <c r="S1268" s="11" t="s">
        <v>2737</v>
      </c>
      <c r="T1268" s="90" t="s">
        <v>1</v>
      </c>
      <c r="U1268" s="90"/>
      <c r="V1268" s="51">
        <v>42868</v>
      </c>
      <c r="W1268" s="49" t="s">
        <v>68</v>
      </c>
    </row>
    <row r="1269" spans="1:23" ht="13" customHeight="1" x14ac:dyDescent="0.35">
      <c r="A1269" s="11">
        <v>1263</v>
      </c>
      <c r="B1269" s="47">
        <v>206958449</v>
      </c>
      <c r="C1269" s="94" t="s">
        <v>2195</v>
      </c>
      <c r="D1269" s="11" t="s">
        <v>2196</v>
      </c>
      <c r="E1269" s="112" t="s">
        <v>31</v>
      </c>
      <c r="F1269" s="48" t="s">
        <v>74</v>
      </c>
      <c r="G1269" s="11" t="s">
        <v>65</v>
      </c>
      <c r="H1269" s="11" t="s">
        <v>1339</v>
      </c>
      <c r="I1269" s="11">
        <v>1181</v>
      </c>
      <c r="J1269" s="49" t="s">
        <v>39</v>
      </c>
      <c r="K1269" s="49" t="s">
        <v>76</v>
      </c>
      <c r="L1269" s="49" t="s">
        <v>88</v>
      </c>
      <c r="M1269" s="49" t="s">
        <v>95</v>
      </c>
      <c r="N1269" s="49" t="s">
        <v>79</v>
      </c>
      <c r="O1269" s="49" t="s">
        <v>68</v>
      </c>
      <c r="P1269" s="49" t="s">
        <v>80</v>
      </c>
      <c r="Q1269" s="49" t="s">
        <v>96</v>
      </c>
      <c r="R1269" s="49" t="s">
        <v>2736</v>
      </c>
      <c r="S1269" s="49" t="s">
        <v>2737</v>
      </c>
      <c r="T1269" s="90" t="s">
        <v>10</v>
      </c>
      <c r="U1269" s="89"/>
      <c r="V1269" s="51">
        <v>46048</v>
      </c>
      <c r="W1269" s="49" t="s">
        <v>68</v>
      </c>
    </row>
    <row r="1270" spans="1:23" ht="13" customHeight="1" x14ac:dyDescent="0.35">
      <c r="A1270" s="11">
        <v>1264</v>
      </c>
      <c r="B1270" s="112">
        <v>206851162</v>
      </c>
      <c r="C1270" s="94" t="s">
        <v>1744</v>
      </c>
      <c r="D1270" s="11" t="s">
        <v>1745</v>
      </c>
      <c r="E1270" s="48" t="s">
        <v>31</v>
      </c>
      <c r="F1270" s="48" t="s">
        <v>74</v>
      </c>
      <c r="G1270" s="48" t="s">
        <v>65</v>
      </c>
      <c r="H1270" s="48" t="s">
        <v>1339</v>
      </c>
      <c r="I1270" s="11">
        <v>1299</v>
      </c>
      <c r="J1270" s="49" t="s">
        <v>39</v>
      </c>
      <c r="K1270" s="49" t="s">
        <v>76</v>
      </c>
      <c r="L1270" s="49" t="s">
        <v>84</v>
      </c>
      <c r="M1270" s="49" t="s">
        <v>85</v>
      </c>
      <c r="N1270" s="49" t="s">
        <v>89</v>
      </c>
      <c r="O1270" s="49" t="s">
        <v>68</v>
      </c>
      <c r="P1270" s="48" t="s">
        <v>80</v>
      </c>
      <c r="Q1270" s="11" t="s">
        <v>90</v>
      </c>
      <c r="R1270" s="11" t="s">
        <v>2736</v>
      </c>
      <c r="S1270" s="11" t="s">
        <v>2737</v>
      </c>
      <c r="T1270" s="90" t="s">
        <v>1</v>
      </c>
      <c r="U1270" s="91"/>
      <c r="V1270" s="51">
        <v>46020</v>
      </c>
      <c r="W1270" s="49" t="s">
        <v>68</v>
      </c>
    </row>
    <row r="1271" spans="1:23" ht="13" customHeight="1" x14ac:dyDescent="0.35">
      <c r="A1271" s="11">
        <v>1265</v>
      </c>
      <c r="B1271" s="47">
        <v>104042345</v>
      </c>
      <c r="C1271" s="94" t="s">
        <v>1444</v>
      </c>
      <c r="D1271" s="11" t="s">
        <v>1445</v>
      </c>
      <c r="E1271" s="48" t="s">
        <v>34</v>
      </c>
      <c r="F1271" s="48" t="s">
        <v>74</v>
      </c>
      <c r="G1271" s="11" t="s">
        <v>65</v>
      </c>
      <c r="H1271" s="11" t="s">
        <v>1339</v>
      </c>
      <c r="I1271" s="11">
        <v>1182</v>
      </c>
      <c r="J1271" s="49" t="s">
        <v>32</v>
      </c>
      <c r="K1271" s="49" t="s">
        <v>76</v>
      </c>
      <c r="L1271" s="49" t="s">
        <v>85</v>
      </c>
      <c r="M1271" s="49" t="s">
        <v>88</v>
      </c>
      <c r="N1271" s="48" t="s">
        <v>1340</v>
      </c>
      <c r="O1271" s="49" t="s">
        <v>68</v>
      </c>
      <c r="P1271" s="11" t="s">
        <v>80</v>
      </c>
      <c r="Q1271" s="11" t="s">
        <v>98</v>
      </c>
      <c r="R1271" s="11" t="s">
        <v>1343</v>
      </c>
      <c r="S1271" s="11" t="s">
        <v>1344</v>
      </c>
      <c r="T1271" s="90" t="s">
        <v>10</v>
      </c>
      <c r="U1271" s="89"/>
      <c r="V1271" s="51">
        <v>44724</v>
      </c>
      <c r="W1271" s="49" t="s">
        <v>68</v>
      </c>
    </row>
    <row r="1272" spans="1:23" ht="13" customHeight="1" x14ac:dyDescent="0.35">
      <c r="A1272" s="11">
        <v>1266</v>
      </c>
      <c r="B1272" s="47">
        <v>205609755</v>
      </c>
      <c r="C1272" s="94" t="s">
        <v>2331</v>
      </c>
      <c r="D1272" s="11" t="s">
        <v>2332</v>
      </c>
      <c r="E1272" s="48" t="s">
        <v>31</v>
      </c>
      <c r="F1272" s="48" t="s">
        <v>74</v>
      </c>
      <c r="G1272" s="11" t="s">
        <v>65</v>
      </c>
      <c r="H1272" s="11" t="s">
        <v>1339</v>
      </c>
      <c r="I1272" s="11">
        <v>1299</v>
      </c>
      <c r="J1272" s="49" t="s">
        <v>39</v>
      </c>
      <c r="K1272" s="49" t="s">
        <v>76</v>
      </c>
      <c r="L1272" s="49" t="s">
        <v>78</v>
      </c>
      <c r="M1272" s="49" t="s">
        <v>92</v>
      </c>
      <c r="N1272" s="49" t="s">
        <v>89</v>
      </c>
      <c r="O1272" s="49" t="s">
        <v>68</v>
      </c>
      <c r="P1272" s="11" t="s">
        <v>80</v>
      </c>
      <c r="Q1272" s="11" t="s">
        <v>90</v>
      </c>
      <c r="R1272" s="11" t="s">
        <v>2736</v>
      </c>
      <c r="S1272" s="11" t="s">
        <v>2737</v>
      </c>
      <c r="T1272" s="90" t="s">
        <v>1</v>
      </c>
      <c r="U1272" s="90"/>
      <c r="V1272" s="51">
        <v>45845</v>
      </c>
      <c r="W1272" s="49" t="s">
        <v>68</v>
      </c>
    </row>
    <row r="1273" spans="1:23" ht="13" customHeight="1" x14ac:dyDescent="0.35">
      <c r="A1273" s="11">
        <v>1267</v>
      </c>
      <c r="B1273" s="47">
        <v>205285507</v>
      </c>
      <c r="C1273" s="94" t="s">
        <v>1446</v>
      </c>
      <c r="D1273" s="11" t="s">
        <v>2002</v>
      </c>
      <c r="E1273" s="48" t="s">
        <v>31</v>
      </c>
      <c r="F1273" s="48" t="s">
        <v>74</v>
      </c>
      <c r="G1273" s="11" t="s">
        <v>65</v>
      </c>
      <c r="H1273" s="11" t="s">
        <v>1339</v>
      </c>
      <c r="I1273" s="11">
        <v>1299</v>
      </c>
      <c r="J1273" s="49" t="s">
        <v>39</v>
      </c>
      <c r="K1273" s="49" t="s">
        <v>76</v>
      </c>
      <c r="L1273" s="49" t="s">
        <v>95</v>
      </c>
      <c r="M1273" s="49" t="s">
        <v>77</v>
      </c>
      <c r="N1273" s="48" t="s">
        <v>89</v>
      </c>
      <c r="O1273" s="49" t="s">
        <v>68</v>
      </c>
      <c r="P1273" s="11" t="s">
        <v>80</v>
      </c>
      <c r="Q1273" s="11" t="s">
        <v>90</v>
      </c>
      <c r="R1273" s="11" t="s">
        <v>2736</v>
      </c>
      <c r="S1273" s="11" t="s">
        <v>2737</v>
      </c>
      <c r="T1273" s="90" t="s">
        <v>1</v>
      </c>
      <c r="U1273" s="89"/>
      <c r="V1273" s="51">
        <v>45796</v>
      </c>
      <c r="W1273" s="49" t="s">
        <v>68</v>
      </c>
    </row>
    <row r="1274" spans="1:23" ht="13" customHeight="1" x14ac:dyDescent="0.35">
      <c r="A1274" s="11">
        <v>1268</v>
      </c>
      <c r="B1274" s="47">
        <v>102207631</v>
      </c>
      <c r="C1274" s="94" t="s">
        <v>1447</v>
      </c>
      <c r="D1274" s="11" t="s">
        <v>1448</v>
      </c>
      <c r="E1274" s="48" t="s">
        <v>34</v>
      </c>
      <c r="F1274" s="48" t="s">
        <v>74</v>
      </c>
      <c r="G1274" s="11" t="s">
        <v>64</v>
      </c>
      <c r="H1274" s="11" t="s">
        <v>75</v>
      </c>
      <c r="I1274" s="11">
        <v>1299</v>
      </c>
      <c r="J1274" s="49" t="s">
        <v>32</v>
      </c>
      <c r="K1274" s="49" t="s">
        <v>76</v>
      </c>
      <c r="L1274" s="49" t="s">
        <v>77</v>
      </c>
      <c r="M1274" s="49" t="s">
        <v>78</v>
      </c>
      <c r="N1274" s="48" t="s">
        <v>1449</v>
      </c>
      <c r="O1274" s="49" t="s">
        <v>67</v>
      </c>
      <c r="P1274" s="11" t="s">
        <v>1450</v>
      </c>
      <c r="Q1274" s="11" t="s">
        <v>98</v>
      </c>
      <c r="R1274" s="11" t="s">
        <v>2738</v>
      </c>
      <c r="S1274" s="11" t="s">
        <v>2739</v>
      </c>
      <c r="T1274" s="90" t="s">
        <v>1</v>
      </c>
      <c r="U1274" s="89"/>
      <c r="V1274" s="51">
        <v>42868</v>
      </c>
      <c r="W1274" s="11" t="s">
        <v>1575</v>
      </c>
    </row>
    <row r="1275" spans="1:23" ht="13" customHeight="1" x14ac:dyDescent="0.35">
      <c r="A1275" s="11">
        <v>1269</v>
      </c>
      <c r="B1275" s="47">
        <v>203073699</v>
      </c>
      <c r="C1275" s="94" t="s">
        <v>1451</v>
      </c>
      <c r="D1275" s="11" t="s">
        <v>1452</v>
      </c>
      <c r="E1275" s="48" t="s">
        <v>34</v>
      </c>
      <c r="F1275" s="48" t="s">
        <v>74</v>
      </c>
      <c r="G1275" s="11" t="s">
        <v>64</v>
      </c>
      <c r="H1275" s="11" t="s">
        <v>75</v>
      </c>
      <c r="I1275" s="11">
        <v>1712</v>
      </c>
      <c r="J1275" s="88" t="s">
        <v>38</v>
      </c>
      <c r="K1275" s="49" t="s">
        <v>76</v>
      </c>
      <c r="L1275" s="49" t="s">
        <v>95</v>
      </c>
      <c r="M1275" s="49" t="s">
        <v>77</v>
      </c>
      <c r="N1275" s="48" t="s">
        <v>1453</v>
      </c>
      <c r="O1275" s="49" t="s">
        <v>1454</v>
      </c>
      <c r="P1275" s="11" t="s">
        <v>1450</v>
      </c>
      <c r="Q1275" s="11" t="s">
        <v>98</v>
      </c>
      <c r="R1275" s="11" t="s">
        <v>1455</v>
      </c>
      <c r="S1275" s="11" t="s">
        <v>1456</v>
      </c>
      <c r="T1275" s="90" t="s">
        <v>1</v>
      </c>
      <c r="U1275" s="90"/>
      <c r="V1275" s="51">
        <v>45397</v>
      </c>
      <c r="W1275" s="49" t="s">
        <v>1589</v>
      </c>
    </row>
    <row r="1276" spans="1:23" ht="13" customHeight="1" x14ac:dyDescent="0.35">
      <c r="A1276" s="11">
        <v>1270</v>
      </c>
      <c r="B1276" s="47">
        <v>203160008</v>
      </c>
      <c r="C1276" s="94" t="s">
        <v>1457</v>
      </c>
      <c r="D1276" s="11" t="s">
        <v>1458</v>
      </c>
      <c r="E1276" s="48" t="s">
        <v>34</v>
      </c>
      <c r="F1276" s="48" t="s">
        <v>74</v>
      </c>
      <c r="G1276" s="11" t="s">
        <v>64</v>
      </c>
      <c r="H1276" s="11" t="s">
        <v>75</v>
      </c>
      <c r="I1276" s="11">
        <v>1712</v>
      </c>
      <c r="J1276" s="88" t="s">
        <v>39</v>
      </c>
      <c r="K1276" s="49" t="s">
        <v>76</v>
      </c>
      <c r="L1276" s="49" t="s">
        <v>85</v>
      </c>
      <c r="M1276" s="49" t="s">
        <v>88</v>
      </c>
      <c r="N1276" s="48" t="s">
        <v>1453</v>
      </c>
      <c r="O1276" s="49" t="s">
        <v>1454</v>
      </c>
      <c r="P1276" s="11" t="s">
        <v>1450</v>
      </c>
      <c r="Q1276" s="11" t="s">
        <v>98</v>
      </c>
      <c r="R1276" s="11" t="s">
        <v>1455</v>
      </c>
      <c r="S1276" s="11" t="s">
        <v>1456</v>
      </c>
      <c r="T1276" s="90" t="s">
        <v>10</v>
      </c>
      <c r="U1276" s="89"/>
      <c r="V1276" s="51">
        <v>45435</v>
      </c>
      <c r="W1276" s="49" t="s">
        <v>1589</v>
      </c>
    </row>
    <row r="1277" spans="1:23" ht="13" customHeight="1" x14ac:dyDescent="0.35">
      <c r="A1277" s="11">
        <v>1271</v>
      </c>
      <c r="B1277" s="47">
        <v>203118578</v>
      </c>
      <c r="C1277" s="94" t="s">
        <v>1459</v>
      </c>
      <c r="D1277" s="11" t="s">
        <v>1460</v>
      </c>
      <c r="E1277" s="48" t="s">
        <v>34</v>
      </c>
      <c r="F1277" s="48" t="s">
        <v>74</v>
      </c>
      <c r="G1277" s="11" t="s">
        <v>64</v>
      </c>
      <c r="H1277" s="11" t="s">
        <v>75</v>
      </c>
      <c r="I1277" s="11">
        <v>1712</v>
      </c>
      <c r="J1277" s="49" t="s">
        <v>32</v>
      </c>
      <c r="K1277" s="49" t="s">
        <v>76</v>
      </c>
      <c r="L1277" s="49" t="s">
        <v>85</v>
      </c>
      <c r="M1277" s="49" t="s">
        <v>88</v>
      </c>
      <c r="N1277" s="48" t="s">
        <v>1453</v>
      </c>
      <c r="O1277" s="49" t="s">
        <v>1454</v>
      </c>
      <c r="P1277" s="11" t="s">
        <v>1450</v>
      </c>
      <c r="Q1277" s="11" t="s">
        <v>98</v>
      </c>
      <c r="R1277" s="11" t="s">
        <v>1455</v>
      </c>
      <c r="S1277" s="11" t="s">
        <v>1456</v>
      </c>
      <c r="T1277" s="90" t="s">
        <v>10</v>
      </c>
      <c r="U1277" s="89"/>
      <c r="V1277" s="51">
        <v>45383</v>
      </c>
      <c r="W1277" s="49" t="s">
        <v>1589</v>
      </c>
    </row>
    <row r="1278" spans="1:23" ht="13" customHeight="1" x14ac:dyDescent="0.35">
      <c r="A1278" s="11">
        <v>1272</v>
      </c>
      <c r="B1278" s="47">
        <v>204043092</v>
      </c>
      <c r="C1278" s="94" t="s">
        <v>1461</v>
      </c>
      <c r="D1278" s="11" t="s">
        <v>1462</v>
      </c>
      <c r="E1278" s="48" t="s">
        <v>34</v>
      </c>
      <c r="F1278" s="48" t="s">
        <v>74</v>
      </c>
      <c r="G1278" s="11" t="s">
        <v>64</v>
      </c>
      <c r="H1278" s="11" t="s">
        <v>75</v>
      </c>
      <c r="I1278" s="11">
        <v>1712</v>
      </c>
      <c r="J1278" s="49" t="s">
        <v>39</v>
      </c>
      <c r="K1278" s="49" t="s">
        <v>76</v>
      </c>
      <c r="L1278" s="49" t="s">
        <v>84</v>
      </c>
      <c r="M1278" s="49" t="s">
        <v>85</v>
      </c>
      <c r="N1278" s="48" t="s">
        <v>1453</v>
      </c>
      <c r="O1278" s="49" t="s">
        <v>1454</v>
      </c>
      <c r="P1278" s="11" t="s">
        <v>1450</v>
      </c>
      <c r="Q1278" s="11" t="s">
        <v>98</v>
      </c>
      <c r="R1278" s="11" t="s">
        <v>1455</v>
      </c>
      <c r="S1278" s="11" t="s">
        <v>1456</v>
      </c>
      <c r="T1278" s="90" t="s">
        <v>1</v>
      </c>
      <c r="U1278" s="89"/>
      <c r="V1278" s="51">
        <v>45607</v>
      </c>
      <c r="W1278" s="49" t="s">
        <v>1589</v>
      </c>
    </row>
    <row r="1279" spans="1:23" ht="13" customHeight="1" x14ac:dyDescent="0.35">
      <c r="A1279" s="11">
        <v>1273</v>
      </c>
      <c r="B1279" s="47">
        <v>203052485</v>
      </c>
      <c r="C1279" s="94" t="s">
        <v>1463</v>
      </c>
      <c r="D1279" s="11" t="s">
        <v>1464</v>
      </c>
      <c r="E1279" s="48" t="s">
        <v>34</v>
      </c>
      <c r="F1279" s="48" t="s">
        <v>74</v>
      </c>
      <c r="G1279" s="11" t="s">
        <v>64</v>
      </c>
      <c r="H1279" s="11" t="s">
        <v>75</v>
      </c>
      <c r="I1279" s="11">
        <v>1712</v>
      </c>
      <c r="J1279" s="49" t="s">
        <v>32</v>
      </c>
      <c r="K1279" s="49" t="s">
        <v>76</v>
      </c>
      <c r="L1279" s="49" t="s">
        <v>77</v>
      </c>
      <c r="M1279" s="49" t="s">
        <v>78</v>
      </c>
      <c r="N1279" s="48" t="s">
        <v>1453</v>
      </c>
      <c r="O1279" s="49" t="s">
        <v>1454</v>
      </c>
      <c r="P1279" s="11" t="s">
        <v>1450</v>
      </c>
      <c r="Q1279" s="11" t="s">
        <v>98</v>
      </c>
      <c r="R1279" s="11" t="s">
        <v>1455</v>
      </c>
      <c r="S1279" s="11" t="s">
        <v>1456</v>
      </c>
      <c r="T1279" s="90" t="s">
        <v>1</v>
      </c>
      <c r="U1279" s="89"/>
      <c r="V1279" s="51">
        <v>45397</v>
      </c>
      <c r="W1279" s="49" t="s">
        <v>1589</v>
      </c>
    </row>
    <row r="1280" spans="1:23" ht="13" customHeight="1" x14ac:dyDescent="0.35">
      <c r="A1280" s="11">
        <v>1274</v>
      </c>
      <c r="B1280" s="47">
        <v>203160007</v>
      </c>
      <c r="C1280" s="94" t="s">
        <v>1465</v>
      </c>
      <c r="D1280" s="11" t="s">
        <v>1466</v>
      </c>
      <c r="E1280" s="48" t="s">
        <v>34</v>
      </c>
      <c r="F1280" s="48" t="s">
        <v>74</v>
      </c>
      <c r="G1280" s="11" t="s">
        <v>64</v>
      </c>
      <c r="H1280" s="11" t="s">
        <v>75</v>
      </c>
      <c r="I1280" s="11">
        <v>1712</v>
      </c>
      <c r="J1280" s="88" t="s">
        <v>39</v>
      </c>
      <c r="K1280" s="49" t="s">
        <v>76</v>
      </c>
      <c r="L1280" s="49" t="s">
        <v>88</v>
      </c>
      <c r="M1280" s="49" t="s">
        <v>95</v>
      </c>
      <c r="N1280" s="48" t="s">
        <v>1453</v>
      </c>
      <c r="O1280" s="49" t="s">
        <v>1454</v>
      </c>
      <c r="P1280" s="11" t="s">
        <v>1450</v>
      </c>
      <c r="Q1280" s="11" t="s">
        <v>98</v>
      </c>
      <c r="R1280" s="11" t="s">
        <v>1455</v>
      </c>
      <c r="S1280" s="11" t="s">
        <v>1456</v>
      </c>
      <c r="T1280" s="90" t="s">
        <v>10</v>
      </c>
      <c r="U1280" s="90"/>
      <c r="V1280" s="51">
        <v>45453</v>
      </c>
      <c r="W1280" s="49" t="s">
        <v>1589</v>
      </c>
    </row>
    <row r="1281" spans="1:23" ht="13" customHeight="1" x14ac:dyDescent="0.35">
      <c r="A1281" s="11">
        <v>1275</v>
      </c>
      <c r="B1281" s="47">
        <v>113015344</v>
      </c>
      <c r="C1281" s="94" t="s">
        <v>1467</v>
      </c>
      <c r="D1281" s="11" t="s">
        <v>1468</v>
      </c>
      <c r="E1281" s="48" t="s">
        <v>34</v>
      </c>
      <c r="F1281" s="48" t="s">
        <v>74</v>
      </c>
      <c r="G1281" s="11" t="s">
        <v>64</v>
      </c>
      <c r="H1281" s="11" t="s">
        <v>75</v>
      </c>
      <c r="I1281" s="11">
        <v>1712</v>
      </c>
      <c r="J1281" s="49" t="s">
        <v>39</v>
      </c>
      <c r="K1281" s="49" t="s">
        <v>76</v>
      </c>
      <c r="L1281" s="49" t="s">
        <v>77</v>
      </c>
      <c r="M1281" s="49" t="s">
        <v>78</v>
      </c>
      <c r="N1281" s="48" t="s">
        <v>1453</v>
      </c>
      <c r="O1281" s="49" t="s">
        <v>1454</v>
      </c>
      <c r="P1281" s="11" t="s">
        <v>1450</v>
      </c>
      <c r="Q1281" s="11" t="s">
        <v>98</v>
      </c>
      <c r="R1281" s="11" t="s">
        <v>1455</v>
      </c>
      <c r="S1281" s="11" t="s">
        <v>1456</v>
      </c>
      <c r="T1281" s="90" t="s">
        <v>1</v>
      </c>
      <c r="U1281" s="91"/>
      <c r="V1281" s="51">
        <v>44823</v>
      </c>
      <c r="W1281" s="49" t="s">
        <v>1589</v>
      </c>
    </row>
    <row r="1282" spans="1:23" ht="13" customHeight="1" x14ac:dyDescent="0.35">
      <c r="A1282" s="11">
        <v>1276</v>
      </c>
      <c r="B1282" s="47">
        <v>203160009</v>
      </c>
      <c r="C1282" s="94" t="s">
        <v>1469</v>
      </c>
      <c r="D1282" s="11" t="s">
        <v>1470</v>
      </c>
      <c r="E1282" s="48" t="s">
        <v>34</v>
      </c>
      <c r="F1282" s="48" t="s">
        <v>74</v>
      </c>
      <c r="G1282" s="11" t="s">
        <v>64</v>
      </c>
      <c r="H1282" s="11" t="s">
        <v>75</v>
      </c>
      <c r="I1282" s="11">
        <v>1712</v>
      </c>
      <c r="J1282" s="88" t="s">
        <v>38</v>
      </c>
      <c r="K1282" s="49" t="s">
        <v>76</v>
      </c>
      <c r="L1282" s="49" t="s">
        <v>78</v>
      </c>
      <c r="M1282" s="49" t="s">
        <v>92</v>
      </c>
      <c r="N1282" s="48" t="s">
        <v>1453</v>
      </c>
      <c r="O1282" s="49" t="s">
        <v>1454</v>
      </c>
      <c r="P1282" s="11" t="s">
        <v>1450</v>
      </c>
      <c r="Q1282" s="11" t="s">
        <v>98</v>
      </c>
      <c r="R1282" s="11" t="s">
        <v>1455</v>
      </c>
      <c r="S1282" s="11" t="s">
        <v>1456</v>
      </c>
      <c r="T1282" s="90" t="s">
        <v>1</v>
      </c>
      <c r="U1282" s="90"/>
      <c r="V1282" s="51">
        <v>45446</v>
      </c>
      <c r="W1282" s="49" t="s">
        <v>1589</v>
      </c>
    </row>
    <row r="1283" spans="1:23" ht="13" customHeight="1" x14ac:dyDescent="0.35">
      <c r="A1283" s="11">
        <v>1277</v>
      </c>
      <c r="B1283" s="47">
        <v>203118579</v>
      </c>
      <c r="C1283" s="94" t="s">
        <v>1471</v>
      </c>
      <c r="D1283" s="11" t="s">
        <v>1472</v>
      </c>
      <c r="E1283" s="48" t="s">
        <v>34</v>
      </c>
      <c r="F1283" s="48" t="s">
        <v>74</v>
      </c>
      <c r="G1283" s="11" t="s">
        <v>64</v>
      </c>
      <c r="H1283" s="11" t="s">
        <v>75</v>
      </c>
      <c r="I1283" s="11">
        <v>1712</v>
      </c>
      <c r="J1283" s="49" t="s">
        <v>32</v>
      </c>
      <c r="K1283" s="49" t="s">
        <v>76</v>
      </c>
      <c r="L1283" s="49" t="s">
        <v>88</v>
      </c>
      <c r="M1283" s="49" t="s">
        <v>95</v>
      </c>
      <c r="N1283" s="48" t="s">
        <v>1453</v>
      </c>
      <c r="O1283" s="49" t="s">
        <v>1454</v>
      </c>
      <c r="P1283" s="11" t="s">
        <v>1450</v>
      </c>
      <c r="Q1283" s="11" t="s">
        <v>98</v>
      </c>
      <c r="R1283" s="11" t="s">
        <v>1455</v>
      </c>
      <c r="S1283" s="11" t="s">
        <v>1456</v>
      </c>
      <c r="T1283" s="90" t="s">
        <v>10</v>
      </c>
      <c r="U1283" s="90"/>
      <c r="V1283" s="51">
        <v>45378</v>
      </c>
      <c r="W1283" s="49" t="s">
        <v>1589</v>
      </c>
    </row>
    <row r="1284" spans="1:23" ht="13" customHeight="1" x14ac:dyDescent="0.35">
      <c r="A1284" s="11">
        <v>1278</v>
      </c>
      <c r="B1284" s="47">
        <v>203073561</v>
      </c>
      <c r="C1284" s="94" t="s">
        <v>1473</v>
      </c>
      <c r="D1284" s="11" t="s">
        <v>1474</v>
      </c>
      <c r="E1284" s="48" t="s">
        <v>34</v>
      </c>
      <c r="F1284" s="48" t="s">
        <v>74</v>
      </c>
      <c r="G1284" s="11" t="s">
        <v>64</v>
      </c>
      <c r="H1284" s="11" t="s">
        <v>75</v>
      </c>
      <c r="I1284" s="11">
        <v>1712</v>
      </c>
      <c r="J1284" s="49" t="s">
        <v>38</v>
      </c>
      <c r="K1284" s="49" t="s">
        <v>76</v>
      </c>
      <c r="L1284" s="49" t="s">
        <v>85</v>
      </c>
      <c r="M1284" s="49" t="s">
        <v>88</v>
      </c>
      <c r="N1284" s="48" t="s">
        <v>1453</v>
      </c>
      <c r="O1284" s="49" t="s">
        <v>1454</v>
      </c>
      <c r="P1284" s="11" t="s">
        <v>1450</v>
      </c>
      <c r="Q1284" s="11" t="s">
        <v>98</v>
      </c>
      <c r="R1284" s="11" t="s">
        <v>1455</v>
      </c>
      <c r="S1284" s="11" t="s">
        <v>1456</v>
      </c>
      <c r="T1284" s="90" t="s">
        <v>10</v>
      </c>
      <c r="U1284" s="89"/>
      <c r="V1284" s="51">
        <v>45397</v>
      </c>
      <c r="W1284" s="49" t="s">
        <v>1589</v>
      </c>
    </row>
    <row r="1285" spans="1:23" ht="13" customHeight="1" x14ac:dyDescent="0.35">
      <c r="A1285" s="11">
        <v>1279</v>
      </c>
      <c r="B1285" s="47">
        <v>203052856</v>
      </c>
      <c r="C1285" s="94" t="s">
        <v>1475</v>
      </c>
      <c r="D1285" s="11" t="s">
        <v>1476</v>
      </c>
      <c r="E1285" s="48" t="s">
        <v>34</v>
      </c>
      <c r="F1285" s="48" t="s">
        <v>74</v>
      </c>
      <c r="G1285" s="11" t="s">
        <v>64</v>
      </c>
      <c r="H1285" s="11" t="s">
        <v>75</v>
      </c>
      <c r="I1285" s="11">
        <v>1712</v>
      </c>
      <c r="J1285" s="49" t="s">
        <v>32</v>
      </c>
      <c r="K1285" s="49" t="s">
        <v>76</v>
      </c>
      <c r="L1285" s="49" t="s">
        <v>95</v>
      </c>
      <c r="M1285" s="49" t="s">
        <v>77</v>
      </c>
      <c r="N1285" s="48" t="s">
        <v>1453</v>
      </c>
      <c r="O1285" s="49" t="s">
        <v>1454</v>
      </c>
      <c r="P1285" s="11" t="s">
        <v>1450</v>
      </c>
      <c r="Q1285" s="11" t="s">
        <v>98</v>
      </c>
      <c r="R1285" s="11" t="s">
        <v>1455</v>
      </c>
      <c r="S1285" s="11" t="s">
        <v>1456</v>
      </c>
      <c r="T1285" s="90" t="s">
        <v>1</v>
      </c>
      <c r="U1285" s="91"/>
      <c r="V1285" s="51">
        <v>45411</v>
      </c>
      <c r="W1285" s="49" t="s">
        <v>1589</v>
      </c>
    </row>
    <row r="1286" spans="1:23" ht="13" customHeight="1" x14ac:dyDescent="0.35">
      <c r="A1286" s="11">
        <v>1280</v>
      </c>
      <c r="B1286" s="47">
        <v>203073425</v>
      </c>
      <c r="C1286" s="94" t="s">
        <v>1477</v>
      </c>
      <c r="D1286" s="11" t="s">
        <v>1478</v>
      </c>
      <c r="E1286" s="48" t="s">
        <v>34</v>
      </c>
      <c r="F1286" s="48" t="s">
        <v>74</v>
      </c>
      <c r="G1286" s="11" t="s">
        <v>64</v>
      </c>
      <c r="H1286" s="11" t="s">
        <v>75</v>
      </c>
      <c r="I1286" s="11">
        <v>1712</v>
      </c>
      <c r="J1286" s="88" t="s">
        <v>38</v>
      </c>
      <c r="K1286" s="49" t="s">
        <v>76</v>
      </c>
      <c r="L1286" s="49" t="s">
        <v>77</v>
      </c>
      <c r="M1286" s="49" t="s">
        <v>78</v>
      </c>
      <c r="N1286" s="48" t="s">
        <v>1453</v>
      </c>
      <c r="O1286" s="49" t="s">
        <v>1454</v>
      </c>
      <c r="P1286" s="11" t="s">
        <v>1450</v>
      </c>
      <c r="Q1286" s="11" t="s">
        <v>98</v>
      </c>
      <c r="R1286" s="11" t="s">
        <v>1455</v>
      </c>
      <c r="S1286" s="11" t="s">
        <v>1456</v>
      </c>
      <c r="T1286" s="90" t="s">
        <v>1</v>
      </c>
      <c r="U1286" s="89"/>
      <c r="V1286" s="51">
        <v>45411</v>
      </c>
      <c r="W1286" s="49" t="s">
        <v>1589</v>
      </c>
    </row>
    <row r="1287" spans="1:23" ht="13" customHeight="1" x14ac:dyDescent="0.35">
      <c r="A1287" s="11">
        <v>1281</v>
      </c>
      <c r="B1287" s="47">
        <v>207574273</v>
      </c>
      <c r="C1287" s="94" t="s">
        <v>2867</v>
      </c>
      <c r="D1287" s="11" t="s">
        <v>2868</v>
      </c>
      <c r="E1287" s="48" t="s">
        <v>34</v>
      </c>
      <c r="F1287" s="48" t="s">
        <v>74</v>
      </c>
      <c r="G1287" s="11" t="s">
        <v>64</v>
      </c>
      <c r="H1287" s="11" t="s">
        <v>75</v>
      </c>
      <c r="I1287" s="11">
        <v>1712</v>
      </c>
      <c r="J1287" s="88" t="s">
        <v>32</v>
      </c>
      <c r="K1287" s="49" t="s">
        <v>76</v>
      </c>
      <c r="L1287" s="49" t="s">
        <v>77</v>
      </c>
      <c r="M1287" s="49" t="s">
        <v>78</v>
      </c>
      <c r="N1287" s="48" t="s">
        <v>1453</v>
      </c>
      <c r="O1287" s="49" t="s">
        <v>1454</v>
      </c>
      <c r="P1287" s="11" t="s">
        <v>1450</v>
      </c>
      <c r="Q1287" s="11" t="s">
        <v>98</v>
      </c>
      <c r="R1287" s="11" t="s">
        <v>1455</v>
      </c>
      <c r="S1287" s="11" t="s">
        <v>1456</v>
      </c>
      <c r="T1287" s="90" t="s">
        <v>1</v>
      </c>
      <c r="U1287" s="89"/>
      <c r="V1287" s="51">
        <v>46230</v>
      </c>
      <c r="W1287" s="49" t="s">
        <v>1589</v>
      </c>
    </row>
    <row r="1288" spans="1:23" ht="13" customHeight="1" x14ac:dyDescent="0.35">
      <c r="A1288" s="11">
        <v>1282</v>
      </c>
      <c r="B1288" s="47">
        <v>203940975</v>
      </c>
      <c r="C1288" s="94" t="s">
        <v>1479</v>
      </c>
      <c r="D1288" s="11" t="s">
        <v>1480</v>
      </c>
      <c r="E1288" s="48" t="s">
        <v>31</v>
      </c>
      <c r="F1288" s="48" t="s">
        <v>74</v>
      </c>
      <c r="G1288" s="11" t="s">
        <v>64</v>
      </c>
      <c r="H1288" s="11" t="s">
        <v>75</v>
      </c>
      <c r="I1288" s="11">
        <v>1299</v>
      </c>
      <c r="J1288" s="49" t="s">
        <v>32</v>
      </c>
      <c r="K1288" s="49" t="s">
        <v>76</v>
      </c>
      <c r="L1288" s="49" t="s">
        <v>77</v>
      </c>
      <c r="M1288" s="49" t="s">
        <v>78</v>
      </c>
      <c r="N1288" s="48" t="s">
        <v>2748</v>
      </c>
      <c r="O1288" s="49" t="s">
        <v>1482</v>
      </c>
      <c r="P1288" s="11" t="s">
        <v>1450</v>
      </c>
      <c r="Q1288" s="11" t="s">
        <v>99</v>
      </c>
      <c r="R1288" s="11" t="s">
        <v>2740</v>
      </c>
      <c r="S1288" s="11" t="s">
        <v>2741</v>
      </c>
      <c r="T1288" s="90" t="s">
        <v>1</v>
      </c>
      <c r="U1288" s="90"/>
      <c r="V1288" s="51">
        <v>45540</v>
      </c>
      <c r="W1288" s="49" t="s">
        <v>1590</v>
      </c>
    </row>
    <row r="1289" spans="1:23" ht="13" customHeight="1" x14ac:dyDescent="0.35">
      <c r="A1289" s="11">
        <v>1283</v>
      </c>
      <c r="B1289" s="47">
        <v>207383780</v>
      </c>
      <c r="C1289" s="94" t="s">
        <v>2335</v>
      </c>
      <c r="D1289" s="11" t="s">
        <v>2336</v>
      </c>
      <c r="E1289" s="48" t="s">
        <v>31</v>
      </c>
      <c r="F1289" s="48" t="s">
        <v>74</v>
      </c>
      <c r="G1289" s="11" t="s">
        <v>64</v>
      </c>
      <c r="H1289" s="11" t="s">
        <v>75</v>
      </c>
      <c r="I1289" s="11">
        <v>1299</v>
      </c>
      <c r="J1289" s="49" t="s">
        <v>39</v>
      </c>
      <c r="K1289" s="49" t="s">
        <v>76</v>
      </c>
      <c r="L1289" s="49" t="s">
        <v>85</v>
      </c>
      <c r="M1289" s="49" t="s">
        <v>88</v>
      </c>
      <c r="N1289" s="48" t="s">
        <v>2217</v>
      </c>
      <c r="O1289" s="49" t="s">
        <v>1482</v>
      </c>
      <c r="P1289" s="11" t="s">
        <v>1450</v>
      </c>
      <c r="Q1289" s="11" t="s">
        <v>96</v>
      </c>
      <c r="R1289" s="11" t="s">
        <v>2210</v>
      </c>
      <c r="S1289" s="11" t="s">
        <v>2742</v>
      </c>
      <c r="T1289" s="90" t="s">
        <v>10</v>
      </c>
      <c r="U1289" s="90"/>
      <c r="V1289" s="51">
        <v>46141</v>
      </c>
      <c r="W1289" s="49" t="s">
        <v>1590</v>
      </c>
    </row>
    <row r="1290" spans="1:23" ht="13" customHeight="1" x14ac:dyDescent="0.35">
      <c r="A1290" s="11">
        <v>1284</v>
      </c>
      <c r="B1290" s="47">
        <v>112875012</v>
      </c>
      <c r="C1290" s="94" t="s">
        <v>2355</v>
      </c>
      <c r="D1290" s="11" t="s">
        <v>2356</v>
      </c>
      <c r="E1290" s="48" t="s">
        <v>34</v>
      </c>
      <c r="F1290" s="48" t="s">
        <v>74</v>
      </c>
      <c r="G1290" s="11" t="s">
        <v>64</v>
      </c>
      <c r="H1290" s="11" t="s">
        <v>75</v>
      </c>
      <c r="I1290" s="11">
        <v>1299</v>
      </c>
      <c r="J1290" s="49" t="s">
        <v>32</v>
      </c>
      <c r="K1290" s="49" t="s">
        <v>76</v>
      </c>
      <c r="L1290" s="49" t="s">
        <v>78</v>
      </c>
      <c r="M1290" s="49" t="s">
        <v>92</v>
      </c>
      <c r="N1290" s="48" t="s">
        <v>1483</v>
      </c>
      <c r="O1290" s="49" t="s">
        <v>1482</v>
      </c>
      <c r="P1290" s="11" t="s">
        <v>1450</v>
      </c>
      <c r="Q1290" s="11" t="s">
        <v>98</v>
      </c>
      <c r="R1290" s="11" t="s">
        <v>2210</v>
      </c>
      <c r="S1290" s="11" t="s">
        <v>2742</v>
      </c>
      <c r="T1290" s="90" t="s">
        <v>1</v>
      </c>
      <c r="U1290" s="89"/>
      <c r="V1290" s="51">
        <v>45250</v>
      </c>
      <c r="W1290" s="49" t="s">
        <v>1590</v>
      </c>
    </row>
    <row r="1291" spans="1:23" ht="13" customHeight="1" x14ac:dyDescent="0.35">
      <c r="A1291" s="11">
        <v>1285</v>
      </c>
      <c r="B1291" s="47">
        <v>204341339</v>
      </c>
      <c r="C1291" s="94" t="s">
        <v>1484</v>
      </c>
      <c r="D1291" s="11" t="s">
        <v>1485</v>
      </c>
      <c r="E1291" s="48" t="s">
        <v>31</v>
      </c>
      <c r="F1291" s="48" t="s">
        <v>74</v>
      </c>
      <c r="G1291" s="11" t="s">
        <v>64</v>
      </c>
      <c r="H1291" s="11" t="s">
        <v>75</v>
      </c>
      <c r="I1291" s="11">
        <v>1299</v>
      </c>
      <c r="J1291" s="49" t="s">
        <v>32</v>
      </c>
      <c r="K1291" s="49" t="s">
        <v>76</v>
      </c>
      <c r="L1291" s="49" t="s">
        <v>85</v>
      </c>
      <c r="M1291" s="49" t="s">
        <v>88</v>
      </c>
      <c r="N1291" s="48" t="s">
        <v>1486</v>
      </c>
      <c r="O1291" s="49" t="s">
        <v>1482</v>
      </c>
      <c r="P1291" s="11" t="s">
        <v>1450</v>
      </c>
      <c r="Q1291" s="11" t="s">
        <v>90</v>
      </c>
      <c r="R1291" s="11" t="s">
        <v>2210</v>
      </c>
      <c r="S1291" s="11" t="s">
        <v>2742</v>
      </c>
      <c r="T1291" s="90" t="s">
        <v>10</v>
      </c>
      <c r="U1291" s="89"/>
      <c r="V1291" s="51">
        <v>45589</v>
      </c>
      <c r="W1291" s="49" t="s">
        <v>1590</v>
      </c>
    </row>
    <row r="1292" spans="1:23" ht="13" customHeight="1" x14ac:dyDescent="0.35">
      <c r="A1292" s="11">
        <v>1286</v>
      </c>
      <c r="B1292" s="47">
        <v>203090005</v>
      </c>
      <c r="C1292" s="94" t="s">
        <v>1487</v>
      </c>
      <c r="D1292" s="11" t="s">
        <v>1488</v>
      </c>
      <c r="E1292" s="48" t="s">
        <v>34</v>
      </c>
      <c r="F1292" s="48" t="s">
        <v>74</v>
      </c>
      <c r="G1292" s="11" t="s">
        <v>64</v>
      </c>
      <c r="H1292" s="11" t="s">
        <v>75</v>
      </c>
      <c r="I1292" s="11">
        <v>1299</v>
      </c>
      <c r="J1292" s="49" t="s">
        <v>32</v>
      </c>
      <c r="K1292" s="49" t="s">
        <v>76</v>
      </c>
      <c r="L1292" s="49" t="s">
        <v>77</v>
      </c>
      <c r="M1292" s="49" t="s">
        <v>78</v>
      </c>
      <c r="N1292" s="48" t="s">
        <v>2749</v>
      </c>
      <c r="O1292" s="49" t="s">
        <v>1482</v>
      </c>
      <c r="P1292" s="11" t="s">
        <v>1450</v>
      </c>
      <c r="Q1292" s="11" t="s">
        <v>98</v>
      </c>
      <c r="R1292" s="11" t="s">
        <v>2743</v>
      </c>
      <c r="S1292" s="11" t="s">
        <v>2903</v>
      </c>
      <c r="T1292" s="90" t="s">
        <v>1</v>
      </c>
      <c r="U1292" s="90"/>
      <c r="V1292" s="51">
        <v>45377</v>
      </c>
      <c r="W1292" s="49" t="s">
        <v>1590</v>
      </c>
    </row>
    <row r="1293" spans="1:23" ht="13" customHeight="1" x14ac:dyDescent="0.35">
      <c r="A1293" s="11">
        <v>1287</v>
      </c>
      <c r="B1293" s="47">
        <v>204155451</v>
      </c>
      <c r="C1293" s="94" t="s">
        <v>1489</v>
      </c>
      <c r="D1293" s="11" t="s">
        <v>1490</v>
      </c>
      <c r="E1293" s="48" t="s">
        <v>31</v>
      </c>
      <c r="F1293" s="48" t="s">
        <v>74</v>
      </c>
      <c r="G1293" s="11" t="s">
        <v>64</v>
      </c>
      <c r="H1293" s="11" t="s">
        <v>75</v>
      </c>
      <c r="I1293" s="11">
        <v>1299</v>
      </c>
      <c r="J1293" s="49" t="s">
        <v>32</v>
      </c>
      <c r="K1293" s="49" t="s">
        <v>76</v>
      </c>
      <c r="L1293" s="49" t="s">
        <v>92</v>
      </c>
      <c r="M1293" s="49" t="s">
        <v>84</v>
      </c>
      <c r="N1293" s="48" t="s">
        <v>1486</v>
      </c>
      <c r="O1293" s="49" t="s">
        <v>1482</v>
      </c>
      <c r="P1293" s="11" t="s">
        <v>1450</v>
      </c>
      <c r="Q1293" s="11" t="s">
        <v>90</v>
      </c>
      <c r="R1293" s="11" t="s">
        <v>2210</v>
      </c>
      <c r="S1293" s="11" t="s">
        <v>2742</v>
      </c>
      <c r="T1293" s="90" t="s">
        <v>1</v>
      </c>
      <c r="U1293" s="90"/>
      <c r="V1293" s="51">
        <v>45567</v>
      </c>
      <c r="W1293" s="49" t="s">
        <v>1590</v>
      </c>
    </row>
    <row r="1294" spans="1:23" ht="13" customHeight="1" x14ac:dyDescent="0.35">
      <c r="A1294" s="11">
        <v>1288</v>
      </c>
      <c r="B1294" s="47">
        <v>204469338</v>
      </c>
      <c r="C1294" s="94" t="s">
        <v>1491</v>
      </c>
      <c r="D1294" s="11" t="s">
        <v>1492</v>
      </c>
      <c r="E1294" s="48" t="s">
        <v>31</v>
      </c>
      <c r="F1294" s="48" t="s">
        <v>74</v>
      </c>
      <c r="G1294" s="11" t="s">
        <v>64</v>
      </c>
      <c r="H1294" s="11" t="s">
        <v>75</v>
      </c>
      <c r="I1294" s="11">
        <v>1299</v>
      </c>
      <c r="J1294" s="49" t="s">
        <v>32</v>
      </c>
      <c r="K1294" s="49" t="s">
        <v>76</v>
      </c>
      <c r="L1294" s="49" t="s">
        <v>95</v>
      </c>
      <c r="M1294" s="49" t="s">
        <v>77</v>
      </c>
      <c r="N1294" s="48" t="s">
        <v>1493</v>
      </c>
      <c r="O1294" s="49" t="s">
        <v>1482</v>
      </c>
      <c r="P1294" s="11" t="s">
        <v>1450</v>
      </c>
      <c r="Q1294" s="11" t="s">
        <v>81</v>
      </c>
      <c r="R1294" s="11" t="s">
        <v>2210</v>
      </c>
      <c r="S1294" s="11" t="s">
        <v>2742</v>
      </c>
      <c r="T1294" s="90" t="s">
        <v>1</v>
      </c>
      <c r="U1294" s="90"/>
      <c r="V1294" s="51">
        <v>45603</v>
      </c>
      <c r="W1294" s="49" t="s">
        <v>1590</v>
      </c>
    </row>
    <row r="1295" spans="1:23" ht="13" customHeight="1" x14ac:dyDescent="0.35">
      <c r="A1295" s="11">
        <v>1289</v>
      </c>
      <c r="B1295" s="47">
        <v>205837449</v>
      </c>
      <c r="C1295" s="94" t="s">
        <v>2215</v>
      </c>
      <c r="D1295" s="11" t="s">
        <v>2216</v>
      </c>
      <c r="E1295" s="48" t="s">
        <v>31</v>
      </c>
      <c r="F1295" s="48" t="s">
        <v>74</v>
      </c>
      <c r="G1295" s="11" t="s">
        <v>64</v>
      </c>
      <c r="H1295" s="11" t="s">
        <v>75</v>
      </c>
      <c r="I1295" s="11">
        <v>1299</v>
      </c>
      <c r="J1295" s="49" t="s">
        <v>32</v>
      </c>
      <c r="K1295" s="49" t="s">
        <v>76</v>
      </c>
      <c r="L1295" s="49" t="s">
        <v>95</v>
      </c>
      <c r="M1295" s="49" t="s">
        <v>77</v>
      </c>
      <c r="N1295" s="48" t="s">
        <v>2217</v>
      </c>
      <c r="O1295" s="49" t="s">
        <v>1482</v>
      </c>
      <c r="P1295" s="11" t="s">
        <v>1450</v>
      </c>
      <c r="Q1295" s="11" t="s">
        <v>96</v>
      </c>
      <c r="R1295" s="11" t="s">
        <v>2210</v>
      </c>
      <c r="S1295" s="11" t="s">
        <v>2742</v>
      </c>
      <c r="T1295" s="90" t="s">
        <v>1</v>
      </c>
      <c r="U1295" s="90"/>
      <c r="V1295" s="51">
        <v>45890</v>
      </c>
      <c r="W1295" s="49" t="s">
        <v>1590</v>
      </c>
    </row>
    <row r="1296" spans="1:23" ht="13" customHeight="1" x14ac:dyDescent="0.35">
      <c r="A1296" s="11">
        <v>1290</v>
      </c>
      <c r="B1296" s="47">
        <v>203174504</v>
      </c>
      <c r="C1296" s="94" t="s">
        <v>2476</v>
      </c>
      <c r="D1296" s="11" t="s">
        <v>2477</v>
      </c>
      <c r="E1296" s="48" t="s">
        <v>34</v>
      </c>
      <c r="F1296" s="48" t="s">
        <v>74</v>
      </c>
      <c r="G1296" s="11" t="s">
        <v>64</v>
      </c>
      <c r="H1296" s="11" t="s">
        <v>75</v>
      </c>
      <c r="I1296" s="11">
        <v>1299</v>
      </c>
      <c r="J1296" s="49" t="s">
        <v>32</v>
      </c>
      <c r="K1296" s="49" t="s">
        <v>76</v>
      </c>
      <c r="L1296" s="49" t="s">
        <v>88</v>
      </c>
      <c r="M1296" s="49" t="s">
        <v>95</v>
      </c>
      <c r="N1296" s="48" t="s">
        <v>1483</v>
      </c>
      <c r="O1296" s="49" t="s">
        <v>1482</v>
      </c>
      <c r="P1296" s="11" t="s">
        <v>1450</v>
      </c>
      <c r="Q1296" s="11" t="s">
        <v>98</v>
      </c>
      <c r="R1296" s="11" t="s">
        <v>2210</v>
      </c>
      <c r="S1296" s="11" t="s">
        <v>2742</v>
      </c>
      <c r="T1296" s="90" t="s">
        <v>10</v>
      </c>
      <c r="U1296" s="89"/>
      <c r="V1296" s="51">
        <v>46076</v>
      </c>
      <c r="W1296" s="49" t="s">
        <v>1590</v>
      </c>
    </row>
    <row r="1297" spans="1:23" ht="13" customHeight="1" x14ac:dyDescent="0.35">
      <c r="A1297" s="11">
        <v>1291</v>
      </c>
      <c r="B1297" s="47">
        <v>204033425</v>
      </c>
      <c r="C1297" s="94" t="s">
        <v>1494</v>
      </c>
      <c r="D1297" s="11" t="s">
        <v>1495</v>
      </c>
      <c r="E1297" s="48" t="s">
        <v>31</v>
      </c>
      <c r="F1297" s="48" t="s">
        <v>74</v>
      </c>
      <c r="G1297" s="11" t="s">
        <v>64</v>
      </c>
      <c r="H1297" s="11" t="s">
        <v>75</v>
      </c>
      <c r="I1297" s="11">
        <v>1299</v>
      </c>
      <c r="J1297" s="49" t="s">
        <v>39</v>
      </c>
      <c r="K1297" s="49" t="s">
        <v>76</v>
      </c>
      <c r="L1297" s="49" t="s">
        <v>92</v>
      </c>
      <c r="M1297" s="49" t="s">
        <v>84</v>
      </c>
      <c r="N1297" s="48" t="s">
        <v>1493</v>
      </c>
      <c r="O1297" s="49" t="s">
        <v>1482</v>
      </c>
      <c r="P1297" s="11" t="s">
        <v>1450</v>
      </c>
      <c r="Q1297" s="11" t="s">
        <v>81</v>
      </c>
      <c r="R1297" s="11" t="s">
        <v>2210</v>
      </c>
      <c r="S1297" s="11" t="s">
        <v>2742</v>
      </c>
      <c r="T1297" s="90" t="s">
        <v>7</v>
      </c>
      <c r="U1297" s="90" t="s">
        <v>2914</v>
      </c>
      <c r="V1297" s="51">
        <v>45553</v>
      </c>
      <c r="W1297" s="49" t="s">
        <v>1590</v>
      </c>
    </row>
    <row r="1298" spans="1:23" ht="13" customHeight="1" x14ac:dyDescent="0.35">
      <c r="A1298" s="11">
        <v>1292</v>
      </c>
      <c r="B1298" s="47">
        <v>207282341</v>
      </c>
      <c r="C1298" s="94" t="s">
        <v>2337</v>
      </c>
      <c r="D1298" s="11" t="s">
        <v>2338</v>
      </c>
      <c r="E1298" s="48" t="s">
        <v>31</v>
      </c>
      <c r="F1298" s="48" t="s">
        <v>74</v>
      </c>
      <c r="G1298" s="11" t="s">
        <v>64</v>
      </c>
      <c r="H1298" s="11" t="s">
        <v>75</v>
      </c>
      <c r="I1298" s="11">
        <v>1299</v>
      </c>
      <c r="J1298" s="49" t="s">
        <v>39</v>
      </c>
      <c r="K1298" s="49" t="s">
        <v>76</v>
      </c>
      <c r="L1298" s="49" t="s">
        <v>85</v>
      </c>
      <c r="M1298" s="49" t="s">
        <v>88</v>
      </c>
      <c r="N1298" s="48" t="s">
        <v>2217</v>
      </c>
      <c r="O1298" s="49" t="s">
        <v>1482</v>
      </c>
      <c r="P1298" s="11" t="s">
        <v>1450</v>
      </c>
      <c r="Q1298" s="11" t="s">
        <v>96</v>
      </c>
      <c r="R1298" s="11" t="s">
        <v>2210</v>
      </c>
      <c r="S1298" s="11" t="s">
        <v>2742</v>
      </c>
      <c r="T1298" s="90" t="s">
        <v>10</v>
      </c>
      <c r="U1298" s="89"/>
      <c r="V1298" s="51">
        <v>46123</v>
      </c>
      <c r="W1298" s="49" t="s">
        <v>1590</v>
      </c>
    </row>
    <row r="1299" spans="1:23" ht="13" customHeight="1" x14ac:dyDescent="0.35">
      <c r="A1299" s="11">
        <v>1293</v>
      </c>
      <c r="B1299" s="47">
        <v>203555938</v>
      </c>
      <c r="C1299" s="94" t="s">
        <v>2472</v>
      </c>
      <c r="D1299" s="11" t="s">
        <v>2473</v>
      </c>
      <c r="E1299" s="48" t="s">
        <v>31</v>
      </c>
      <c r="F1299" s="48" t="s">
        <v>74</v>
      </c>
      <c r="G1299" s="11" t="s">
        <v>64</v>
      </c>
      <c r="H1299" s="11" t="s">
        <v>75</v>
      </c>
      <c r="I1299" s="11">
        <v>1299</v>
      </c>
      <c r="J1299" s="49" t="s">
        <v>32</v>
      </c>
      <c r="K1299" s="49" t="s">
        <v>76</v>
      </c>
      <c r="L1299" s="49" t="s">
        <v>84</v>
      </c>
      <c r="M1299" s="49" t="s">
        <v>85</v>
      </c>
      <c r="N1299" s="48" t="s">
        <v>1481</v>
      </c>
      <c r="O1299" s="49" t="s">
        <v>1482</v>
      </c>
      <c r="P1299" s="11" t="s">
        <v>1450</v>
      </c>
      <c r="Q1299" s="11" t="s">
        <v>99</v>
      </c>
      <c r="R1299" s="11" t="s">
        <v>2210</v>
      </c>
      <c r="S1299" s="11" t="s">
        <v>2742</v>
      </c>
      <c r="T1299" s="90" t="s">
        <v>1</v>
      </c>
      <c r="U1299" s="90"/>
      <c r="V1299" s="51">
        <v>45469</v>
      </c>
      <c r="W1299" s="49" t="s">
        <v>1590</v>
      </c>
    </row>
    <row r="1300" spans="1:23" ht="13" customHeight="1" x14ac:dyDescent="0.35">
      <c r="A1300" s="11">
        <v>1294</v>
      </c>
      <c r="B1300" s="47">
        <v>203815279</v>
      </c>
      <c r="C1300" s="94" t="s">
        <v>2696</v>
      </c>
      <c r="D1300" s="11" t="s">
        <v>2697</v>
      </c>
      <c r="E1300" s="48" t="s">
        <v>31</v>
      </c>
      <c r="F1300" s="48" t="s">
        <v>74</v>
      </c>
      <c r="G1300" s="11" t="s">
        <v>64</v>
      </c>
      <c r="H1300" s="11" t="s">
        <v>75</v>
      </c>
      <c r="I1300" s="11">
        <v>1299</v>
      </c>
      <c r="J1300" s="49" t="s">
        <v>32</v>
      </c>
      <c r="K1300" s="49" t="s">
        <v>76</v>
      </c>
      <c r="L1300" s="49" t="s">
        <v>84</v>
      </c>
      <c r="M1300" s="49" t="s">
        <v>85</v>
      </c>
      <c r="N1300" s="48" t="s">
        <v>1493</v>
      </c>
      <c r="O1300" s="49" t="s">
        <v>1482</v>
      </c>
      <c r="P1300" s="11" t="s">
        <v>1450</v>
      </c>
      <c r="Q1300" s="11" t="s">
        <v>81</v>
      </c>
      <c r="R1300" s="11" t="s">
        <v>2210</v>
      </c>
      <c r="S1300" s="11" t="s">
        <v>2742</v>
      </c>
      <c r="T1300" s="90" t="s">
        <v>7</v>
      </c>
      <c r="U1300" s="89"/>
      <c r="V1300" s="51">
        <v>45516</v>
      </c>
      <c r="W1300" s="49" t="s">
        <v>1590</v>
      </c>
    </row>
    <row r="1301" spans="1:23" ht="13" customHeight="1" x14ac:dyDescent="0.35">
      <c r="A1301" s="11">
        <v>1295</v>
      </c>
      <c r="B1301" s="47">
        <v>203750137</v>
      </c>
      <c r="C1301" s="94" t="s">
        <v>1496</v>
      </c>
      <c r="D1301" s="11" t="s">
        <v>1497</v>
      </c>
      <c r="E1301" s="48" t="s">
        <v>31</v>
      </c>
      <c r="F1301" s="48" t="s">
        <v>74</v>
      </c>
      <c r="G1301" s="11" t="s">
        <v>64</v>
      </c>
      <c r="H1301" s="11" t="s">
        <v>75</v>
      </c>
      <c r="I1301" s="11">
        <v>1299</v>
      </c>
      <c r="J1301" s="49" t="s">
        <v>39</v>
      </c>
      <c r="K1301" s="49" t="s">
        <v>76</v>
      </c>
      <c r="L1301" s="49" t="s">
        <v>85</v>
      </c>
      <c r="M1301" s="49" t="s">
        <v>88</v>
      </c>
      <c r="N1301" s="48" t="s">
        <v>1493</v>
      </c>
      <c r="O1301" s="49" t="s">
        <v>1482</v>
      </c>
      <c r="P1301" s="11" t="s">
        <v>1450</v>
      </c>
      <c r="Q1301" s="11" t="s">
        <v>81</v>
      </c>
      <c r="R1301" s="11" t="s">
        <v>2210</v>
      </c>
      <c r="S1301" s="11" t="s">
        <v>2742</v>
      </c>
      <c r="T1301" s="90" t="s">
        <v>10</v>
      </c>
      <c r="U1301" s="89"/>
      <c r="V1301" s="51">
        <v>45503</v>
      </c>
      <c r="W1301" s="49" t="s">
        <v>1590</v>
      </c>
    </row>
    <row r="1302" spans="1:23" ht="13" customHeight="1" x14ac:dyDescent="0.35">
      <c r="A1302" s="11">
        <v>1296</v>
      </c>
      <c r="B1302" s="47">
        <v>203974084</v>
      </c>
      <c r="C1302" s="94" t="s">
        <v>1498</v>
      </c>
      <c r="D1302" s="11" t="s">
        <v>1499</v>
      </c>
      <c r="E1302" s="48" t="s">
        <v>31</v>
      </c>
      <c r="F1302" s="48" t="s">
        <v>74</v>
      </c>
      <c r="G1302" s="11" t="s">
        <v>64</v>
      </c>
      <c r="H1302" s="11" t="s">
        <v>75</v>
      </c>
      <c r="I1302" s="11">
        <v>1299</v>
      </c>
      <c r="J1302" s="49" t="s">
        <v>39</v>
      </c>
      <c r="K1302" s="49" t="s">
        <v>76</v>
      </c>
      <c r="L1302" s="49" t="s">
        <v>84</v>
      </c>
      <c r="M1302" s="49" t="s">
        <v>85</v>
      </c>
      <c r="N1302" s="48" t="s">
        <v>1486</v>
      </c>
      <c r="O1302" s="49" t="s">
        <v>1482</v>
      </c>
      <c r="P1302" s="11" t="s">
        <v>1450</v>
      </c>
      <c r="Q1302" s="11" t="s">
        <v>90</v>
      </c>
      <c r="R1302" s="11" t="s">
        <v>2210</v>
      </c>
      <c r="S1302" s="11" t="s">
        <v>2742</v>
      </c>
      <c r="T1302" s="90" t="s">
        <v>1</v>
      </c>
      <c r="U1302" s="89"/>
      <c r="V1302" s="51">
        <v>45545</v>
      </c>
      <c r="W1302" s="49" t="s">
        <v>1590</v>
      </c>
    </row>
    <row r="1303" spans="1:23" ht="13" customHeight="1" x14ac:dyDescent="0.35">
      <c r="A1303" s="11">
        <v>1297</v>
      </c>
      <c r="B1303" s="47">
        <v>206332542</v>
      </c>
      <c r="C1303" s="94" t="s">
        <v>1705</v>
      </c>
      <c r="D1303" s="11" t="s">
        <v>1706</v>
      </c>
      <c r="E1303" s="48" t="s">
        <v>31</v>
      </c>
      <c r="F1303" s="48" t="s">
        <v>74</v>
      </c>
      <c r="G1303" s="11" t="s">
        <v>64</v>
      </c>
      <c r="H1303" s="11" t="s">
        <v>75</v>
      </c>
      <c r="I1303" s="11">
        <v>1299</v>
      </c>
      <c r="J1303" s="49" t="s">
        <v>39</v>
      </c>
      <c r="K1303" s="49" t="s">
        <v>76</v>
      </c>
      <c r="L1303" s="49" t="s">
        <v>78</v>
      </c>
      <c r="M1303" s="49" t="s">
        <v>92</v>
      </c>
      <c r="N1303" s="48" t="s">
        <v>1486</v>
      </c>
      <c r="O1303" s="49" t="s">
        <v>1482</v>
      </c>
      <c r="P1303" s="11" t="s">
        <v>1450</v>
      </c>
      <c r="Q1303" s="11" t="s">
        <v>90</v>
      </c>
      <c r="R1303" s="11" t="s">
        <v>2210</v>
      </c>
      <c r="S1303" s="11" t="s">
        <v>2742</v>
      </c>
      <c r="T1303" s="90" t="s">
        <v>1</v>
      </c>
      <c r="U1303" s="89"/>
      <c r="V1303" s="51">
        <v>45957</v>
      </c>
      <c r="W1303" s="49" t="s">
        <v>1590</v>
      </c>
    </row>
    <row r="1304" spans="1:23" ht="13" customHeight="1" x14ac:dyDescent="0.35">
      <c r="A1304" s="11">
        <v>1298</v>
      </c>
      <c r="B1304" s="47">
        <v>205247340</v>
      </c>
      <c r="C1304" s="94" t="s">
        <v>2698</v>
      </c>
      <c r="D1304" s="11" t="s">
        <v>2699</v>
      </c>
      <c r="E1304" s="48" t="s">
        <v>31</v>
      </c>
      <c r="F1304" s="48" t="s">
        <v>74</v>
      </c>
      <c r="G1304" s="11" t="s">
        <v>64</v>
      </c>
      <c r="H1304" s="11" t="s">
        <v>75</v>
      </c>
      <c r="I1304" s="11">
        <v>1299</v>
      </c>
      <c r="J1304" s="49" t="s">
        <v>32</v>
      </c>
      <c r="K1304" s="49" t="s">
        <v>76</v>
      </c>
      <c r="L1304" s="49" t="s">
        <v>78</v>
      </c>
      <c r="M1304" s="49" t="s">
        <v>92</v>
      </c>
      <c r="N1304" s="48" t="s">
        <v>1500</v>
      </c>
      <c r="O1304" s="49" t="s">
        <v>1482</v>
      </c>
      <c r="P1304" s="11" t="s">
        <v>1450</v>
      </c>
      <c r="Q1304" s="11" t="s">
        <v>87</v>
      </c>
      <c r="R1304" s="11" t="s">
        <v>2210</v>
      </c>
      <c r="S1304" s="11" t="s">
        <v>2742</v>
      </c>
      <c r="T1304" s="90" t="s">
        <v>7</v>
      </c>
      <c r="U1304" s="89"/>
      <c r="V1304" s="51">
        <v>45784</v>
      </c>
      <c r="W1304" s="49" t="s">
        <v>1590</v>
      </c>
    </row>
    <row r="1305" spans="1:23" ht="13" customHeight="1" x14ac:dyDescent="0.35">
      <c r="A1305" s="11">
        <v>1299</v>
      </c>
      <c r="B1305" s="47">
        <v>204886250</v>
      </c>
      <c r="C1305" s="94" t="s">
        <v>1501</v>
      </c>
      <c r="D1305" s="11" t="s">
        <v>1502</v>
      </c>
      <c r="E1305" s="48" t="s">
        <v>31</v>
      </c>
      <c r="F1305" s="48" t="s">
        <v>74</v>
      </c>
      <c r="G1305" s="11" t="s">
        <v>64</v>
      </c>
      <c r="H1305" s="11" t="s">
        <v>75</v>
      </c>
      <c r="I1305" s="11">
        <v>1299</v>
      </c>
      <c r="J1305" s="49" t="s">
        <v>39</v>
      </c>
      <c r="K1305" s="49" t="s">
        <v>76</v>
      </c>
      <c r="L1305" s="49" t="s">
        <v>95</v>
      </c>
      <c r="M1305" s="49" t="s">
        <v>77</v>
      </c>
      <c r="N1305" s="48" t="s">
        <v>1500</v>
      </c>
      <c r="O1305" s="49" t="s">
        <v>1482</v>
      </c>
      <c r="P1305" s="11" t="s">
        <v>1450</v>
      </c>
      <c r="Q1305" s="11" t="s">
        <v>87</v>
      </c>
      <c r="R1305" s="11" t="s">
        <v>2210</v>
      </c>
      <c r="S1305" s="11" t="s">
        <v>2742</v>
      </c>
      <c r="T1305" s="90" t="s">
        <v>1</v>
      </c>
      <c r="U1305" s="89"/>
      <c r="V1305" s="51">
        <v>45691</v>
      </c>
      <c r="W1305" s="49" t="s">
        <v>1590</v>
      </c>
    </row>
    <row r="1306" spans="1:23" ht="13" customHeight="1" x14ac:dyDescent="0.35">
      <c r="A1306" s="11">
        <v>1300</v>
      </c>
      <c r="B1306" s="47">
        <v>207283258</v>
      </c>
      <c r="C1306" s="94" t="s">
        <v>2339</v>
      </c>
      <c r="D1306" s="11" t="s">
        <v>2340</v>
      </c>
      <c r="E1306" s="48" t="s">
        <v>31</v>
      </c>
      <c r="F1306" s="48" t="s">
        <v>74</v>
      </c>
      <c r="G1306" s="11" t="s">
        <v>64</v>
      </c>
      <c r="H1306" s="11" t="s">
        <v>75</v>
      </c>
      <c r="I1306" s="11">
        <v>1299</v>
      </c>
      <c r="J1306" s="49" t="s">
        <v>39</v>
      </c>
      <c r="K1306" s="49" t="s">
        <v>76</v>
      </c>
      <c r="L1306" s="49" t="s">
        <v>88</v>
      </c>
      <c r="M1306" s="49" t="s">
        <v>95</v>
      </c>
      <c r="N1306" s="48" t="s">
        <v>1486</v>
      </c>
      <c r="O1306" s="49" t="s">
        <v>1482</v>
      </c>
      <c r="P1306" s="11" t="s">
        <v>1450</v>
      </c>
      <c r="Q1306" s="11" t="s">
        <v>90</v>
      </c>
      <c r="R1306" s="11" t="s">
        <v>2210</v>
      </c>
      <c r="S1306" s="11" t="s">
        <v>2742</v>
      </c>
      <c r="T1306" s="90" t="s">
        <v>10</v>
      </c>
      <c r="U1306" s="89"/>
      <c r="V1306" s="51">
        <v>46123</v>
      </c>
      <c r="W1306" s="49" t="s">
        <v>1590</v>
      </c>
    </row>
    <row r="1307" spans="1:23" ht="13" customHeight="1" x14ac:dyDescent="0.35">
      <c r="A1307" s="11">
        <v>1301</v>
      </c>
      <c r="B1307" s="47">
        <v>202383469</v>
      </c>
      <c r="C1307" s="94" t="s">
        <v>1503</v>
      </c>
      <c r="D1307" s="11" t="s">
        <v>1504</v>
      </c>
      <c r="E1307" s="48" t="s">
        <v>31</v>
      </c>
      <c r="F1307" s="48" t="s">
        <v>74</v>
      </c>
      <c r="G1307" s="11" t="s">
        <v>64</v>
      </c>
      <c r="H1307" s="11" t="s">
        <v>75</v>
      </c>
      <c r="I1307" s="11">
        <v>1299</v>
      </c>
      <c r="J1307" s="49" t="s">
        <v>39</v>
      </c>
      <c r="K1307" s="49" t="s">
        <v>76</v>
      </c>
      <c r="L1307" s="49" t="s">
        <v>84</v>
      </c>
      <c r="M1307" s="49" t="s">
        <v>85</v>
      </c>
      <c r="N1307" s="48" t="s">
        <v>1500</v>
      </c>
      <c r="O1307" s="49" t="s">
        <v>1482</v>
      </c>
      <c r="P1307" s="11" t="s">
        <v>1450</v>
      </c>
      <c r="Q1307" s="11" t="s">
        <v>87</v>
      </c>
      <c r="R1307" s="11" t="s">
        <v>2210</v>
      </c>
      <c r="S1307" s="11" t="s">
        <v>2742</v>
      </c>
      <c r="T1307" s="90" t="s">
        <v>1</v>
      </c>
      <c r="U1307" s="89"/>
      <c r="V1307" s="51">
        <v>45596</v>
      </c>
      <c r="W1307" s="49" t="s">
        <v>1590</v>
      </c>
    </row>
    <row r="1308" spans="1:23" ht="13" customHeight="1" x14ac:dyDescent="0.35">
      <c r="A1308" s="11">
        <v>1302</v>
      </c>
      <c r="B1308" s="47">
        <v>106495539</v>
      </c>
      <c r="C1308" s="94" t="s">
        <v>1505</v>
      </c>
      <c r="D1308" s="11" t="s">
        <v>1506</v>
      </c>
      <c r="E1308" s="48" t="s">
        <v>34</v>
      </c>
      <c r="F1308" s="48" t="s">
        <v>74</v>
      </c>
      <c r="G1308" s="11" t="s">
        <v>64</v>
      </c>
      <c r="H1308" s="11" t="s">
        <v>75</v>
      </c>
      <c r="I1308" s="11">
        <v>1728</v>
      </c>
      <c r="J1308" s="49" t="s">
        <v>39</v>
      </c>
      <c r="K1308" s="49" t="s">
        <v>76</v>
      </c>
      <c r="L1308" s="49" t="s">
        <v>95</v>
      </c>
      <c r="M1308" s="49" t="s">
        <v>77</v>
      </c>
      <c r="N1308" s="48" t="s">
        <v>1483</v>
      </c>
      <c r="O1308" s="49" t="s">
        <v>1482</v>
      </c>
      <c r="P1308" s="11" t="s">
        <v>1450</v>
      </c>
      <c r="Q1308" s="11" t="s">
        <v>98</v>
      </c>
      <c r="R1308" s="11" t="s">
        <v>2210</v>
      </c>
      <c r="S1308" s="11" t="s">
        <v>2742</v>
      </c>
      <c r="T1308" s="90" t="s">
        <v>1</v>
      </c>
      <c r="U1308" s="90"/>
      <c r="V1308" s="51">
        <v>45502</v>
      </c>
      <c r="W1308" s="49" t="s">
        <v>1590</v>
      </c>
    </row>
    <row r="1309" spans="1:23" ht="13" customHeight="1" x14ac:dyDescent="0.35">
      <c r="A1309" s="11">
        <v>1303</v>
      </c>
      <c r="B1309" s="47">
        <v>203737146</v>
      </c>
      <c r="C1309" s="94" t="s">
        <v>1507</v>
      </c>
      <c r="D1309" s="11" t="s">
        <v>1508</v>
      </c>
      <c r="E1309" s="48" t="s">
        <v>31</v>
      </c>
      <c r="F1309" s="48" t="s">
        <v>74</v>
      </c>
      <c r="G1309" s="11" t="s">
        <v>64</v>
      </c>
      <c r="H1309" s="11" t="s">
        <v>75</v>
      </c>
      <c r="I1309" s="11">
        <v>1299</v>
      </c>
      <c r="J1309" s="49" t="s">
        <v>32</v>
      </c>
      <c r="K1309" s="49" t="s">
        <v>76</v>
      </c>
      <c r="L1309" s="49" t="s">
        <v>78</v>
      </c>
      <c r="M1309" s="49" t="s">
        <v>92</v>
      </c>
      <c r="N1309" s="48" t="s">
        <v>79</v>
      </c>
      <c r="O1309" s="49" t="s">
        <v>35</v>
      </c>
      <c r="P1309" s="11" t="s">
        <v>1450</v>
      </c>
      <c r="Q1309" s="11" t="s">
        <v>81</v>
      </c>
      <c r="R1309" s="49" t="s">
        <v>648</v>
      </c>
      <c r="S1309" s="11" t="s">
        <v>1805</v>
      </c>
      <c r="T1309" s="90" t="s">
        <v>1</v>
      </c>
      <c r="U1309" s="89"/>
      <c r="V1309" s="51">
        <v>45502</v>
      </c>
      <c r="W1309" s="49" t="s">
        <v>1590</v>
      </c>
    </row>
    <row r="1310" spans="1:23" ht="13" customHeight="1" x14ac:dyDescent="0.35">
      <c r="A1310" s="11">
        <v>1304</v>
      </c>
      <c r="B1310" s="47">
        <v>102865829</v>
      </c>
      <c r="C1310" s="94" t="s">
        <v>1509</v>
      </c>
      <c r="D1310" s="11" t="s">
        <v>1510</v>
      </c>
      <c r="E1310" s="48" t="s">
        <v>34</v>
      </c>
      <c r="F1310" s="48" t="s">
        <v>74</v>
      </c>
      <c r="G1310" s="11" t="s">
        <v>64</v>
      </c>
      <c r="H1310" s="11" t="s">
        <v>75</v>
      </c>
      <c r="I1310" s="11">
        <v>1299</v>
      </c>
      <c r="J1310" s="49" t="s">
        <v>32</v>
      </c>
      <c r="K1310" s="49" t="s">
        <v>76</v>
      </c>
      <c r="L1310" s="49" t="s">
        <v>84</v>
      </c>
      <c r="M1310" s="49" t="s">
        <v>85</v>
      </c>
      <c r="N1310" s="48" t="s">
        <v>108</v>
      </c>
      <c r="O1310" s="49" t="s">
        <v>35</v>
      </c>
      <c r="P1310" s="11" t="s">
        <v>1450</v>
      </c>
      <c r="Q1310" s="11" t="s">
        <v>98</v>
      </c>
      <c r="R1310" s="11" t="s">
        <v>2865</v>
      </c>
      <c r="S1310" s="11" t="s">
        <v>2866</v>
      </c>
      <c r="T1310" s="90" t="s">
        <v>1</v>
      </c>
      <c r="U1310" s="90"/>
      <c r="V1310" s="51">
        <v>43012</v>
      </c>
      <c r="W1310" s="49" t="s">
        <v>1590</v>
      </c>
    </row>
    <row r="1311" spans="1:23" ht="13" customHeight="1" x14ac:dyDescent="0.35">
      <c r="A1311" s="11">
        <v>1305</v>
      </c>
      <c r="B1311" s="47">
        <v>203183500</v>
      </c>
      <c r="C1311" s="94" t="s">
        <v>1511</v>
      </c>
      <c r="D1311" s="11" t="s">
        <v>1512</v>
      </c>
      <c r="E1311" s="48" t="s">
        <v>34</v>
      </c>
      <c r="F1311" s="48" t="s">
        <v>74</v>
      </c>
      <c r="G1311" s="11" t="s">
        <v>64</v>
      </c>
      <c r="H1311" s="11" t="s">
        <v>75</v>
      </c>
      <c r="I1311" s="11">
        <v>1230</v>
      </c>
      <c r="J1311" s="49" t="s">
        <v>32</v>
      </c>
      <c r="K1311" s="49" t="s">
        <v>76</v>
      </c>
      <c r="L1311" s="49" t="s">
        <v>78</v>
      </c>
      <c r="M1311" s="49" t="s">
        <v>92</v>
      </c>
      <c r="N1311" s="48" t="s">
        <v>1513</v>
      </c>
      <c r="O1311" s="49" t="s">
        <v>1514</v>
      </c>
      <c r="P1311" s="11" t="s">
        <v>1450</v>
      </c>
      <c r="Q1311" s="11" t="s">
        <v>98</v>
      </c>
      <c r="R1311" s="11" t="s">
        <v>1515</v>
      </c>
      <c r="S1311" s="11" t="s">
        <v>1516</v>
      </c>
      <c r="T1311" s="90" t="s">
        <v>1</v>
      </c>
      <c r="U1311" s="90"/>
      <c r="V1311" s="51">
        <v>45439</v>
      </c>
      <c r="W1311" s="49" t="s">
        <v>1590</v>
      </c>
    </row>
    <row r="1312" spans="1:23" ht="13" customHeight="1" x14ac:dyDescent="0.35">
      <c r="A1312" s="11">
        <v>1306</v>
      </c>
      <c r="B1312" s="47">
        <v>203183769</v>
      </c>
      <c r="C1312" s="94" t="s">
        <v>1517</v>
      </c>
      <c r="D1312" s="11" t="s">
        <v>1518</v>
      </c>
      <c r="E1312" s="48" t="s">
        <v>34</v>
      </c>
      <c r="F1312" s="48" t="s">
        <v>74</v>
      </c>
      <c r="G1312" s="11" t="s">
        <v>64</v>
      </c>
      <c r="H1312" s="11" t="s">
        <v>75</v>
      </c>
      <c r="I1312" s="11">
        <v>1230</v>
      </c>
      <c r="J1312" s="49" t="s">
        <v>39</v>
      </c>
      <c r="K1312" s="49" t="s">
        <v>76</v>
      </c>
      <c r="L1312" s="49" t="s">
        <v>78</v>
      </c>
      <c r="M1312" s="49" t="s">
        <v>92</v>
      </c>
      <c r="N1312" s="48" t="s">
        <v>1513</v>
      </c>
      <c r="O1312" s="49" t="s">
        <v>1514</v>
      </c>
      <c r="P1312" s="11" t="s">
        <v>1450</v>
      </c>
      <c r="Q1312" s="11" t="s">
        <v>98</v>
      </c>
      <c r="R1312" s="11" t="s">
        <v>1515</v>
      </c>
      <c r="S1312" s="11" t="s">
        <v>1516</v>
      </c>
      <c r="T1312" s="90" t="s">
        <v>1</v>
      </c>
      <c r="U1312" s="90"/>
      <c r="V1312" s="51">
        <v>45439</v>
      </c>
      <c r="W1312" s="49" t="s">
        <v>1590</v>
      </c>
    </row>
    <row r="1313" spans="1:23" ht="13" customHeight="1" x14ac:dyDescent="0.35">
      <c r="A1313" s="11">
        <v>1307</v>
      </c>
      <c r="B1313" s="47">
        <v>205280740</v>
      </c>
      <c r="C1313" s="94" t="s">
        <v>1519</v>
      </c>
      <c r="D1313" s="11" t="s">
        <v>1520</v>
      </c>
      <c r="E1313" s="48" t="s">
        <v>34</v>
      </c>
      <c r="F1313" s="48" t="s">
        <v>74</v>
      </c>
      <c r="G1313" s="11" t="s">
        <v>64</v>
      </c>
      <c r="H1313" s="11" t="s">
        <v>75</v>
      </c>
      <c r="I1313" s="11">
        <v>1230</v>
      </c>
      <c r="J1313" s="49" t="s">
        <v>32</v>
      </c>
      <c r="K1313" s="49" t="s">
        <v>76</v>
      </c>
      <c r="L1313" s="49" t="s">
        <v>95</v>
      </c>
      <c r="M1313" s="49" t="s">
        <v>77</v>
      </c>
      <c r="N1313" s="48" t="s">
        <v>1513</v>
      </c>
      <c r="O1313" s="49" t="s">
        <v>1514</v>
      </c>
      <c r="P1313" s="11" t="s">
        <v>1450</v>
      </c>
      <c r="Q1313" s="11" t="s">
        <v>98</v>
      </c>
      <c r="R1313" s="11" t="s">
        <v>1515</v>
      </c>
      <c r="S1313" s="11" t="s">
        <v>1516</v>
      </c>
      <c r="T1313" s="90" t="s">
        <v>1</v>
      </c>
      <c r="U1313" s="90"/>
      <c r="V1313" s="51">
        <v>45859</v>
      </c>
      <c r="W1313" s="49" t="s">
        <v>1590</v>
      </c>
    </row>
    <row r="1314" spans="1:23" ht="13" customHeight="1" x14ac:dyDescent="0.35">
      <c r="A1314" s="11">
        <v>1308</v>
      </c>
      <c r="B1314" s="47">
        <v>205665079</v>
      </c>
      <c r="C1314" s="94" t="s">
        <v>1521</v>
      </c>
      <c r="D1314" s="11" t="s">
        <v>1522</v>
      </c>
      <c r="E1314" s="48" t="s">
        <v>34</v>
      </c>
      <c r="F1314" s="48" t="s">
        <v>74</v>
      </c>
      <c r="G1314" s="11" t="s">
        <v>64</v>
      </c>
      <c r="H1314" s="11" t="s">
        <v>75</v>
      </c>
      <c r="I1314" s="11">
        <v>1299</v>
      </c>
      <c r="J1314" s="49" t="s">
        <v>39</v>
      </c>
      <c r="K1314" s="49" t="s">
        <v>76</v>
      </c>
      <c r="L1314" s="49" t="s">
        <v>95</v>
      </c>
      <c r="M1314" s="49" t="s">
        <v>77</v>
      </c>
      <c r="N1314" s="48" t="s">
        <v>1523</v>
      </c>
      <c r="O1314" s="49" t="s">
        <v>1524</v>
      </c>
      <c r="P1314" s="11" t="s">
        <v>1450</v>
      </c>
      <c r="Q1314" s="11" t="s">
        <v>98</v>
      </c>
      <c r="R1314" s="11" t="s">
        <v>1525</v>
      </c>
      <c r="S1314" s="11" t="s">
        <v>2744</v>
      </c>
      <c r="T1314" s="90" t="s">
        <v>1</v>
      </c>
      <c r="U1314" s="90"/>
      <c r="V1314" s="51">
        <v>45908</v>
      </c>
      <c r="W1314" s="49" t="s">
        <v>1591</v>
      </c>
    </row>
    <row r="1315" spans="1:23" ht="13" customHeight="1" x14ac:dyDescent="0.35">
      <c r="A1315" s="11">
        <v>1309</v>
      </c>
      <c r="B1315" s="47">
        <v>205537427</v>
      </c>
      <c r="C1315" s="94" t="s">
        <v>1639</v>
      </c>
      <c r="D1315" s="11" t="s">
        <v>1640</v>
      </c>
      <c r="E1315" s="48" t="s">
        <v>34</v>
      </c>
      <c r="F1315" s="48" t="s">
        <v>74</v>
      </c>
      <c r="G1315" s="11" t="s">
        <v>64</v>
      </c>
      <c r="H1315" s="11" t="s">
        <v>75</v>
      </c>
      <c r="I1315" s="11">
        <v>1299</v>
      </c>
      <c r="J1315" s="49" t="s">
        <v>32</v>
      </c>
      <c r="K1315" s="49" t="s">
        <v>76</v>
      </c>
      <c r="L1315" s="49" t="s">
        <v>95</v>
      </c>
      <c r="M1315" s="49" t="s">
        <v>77</v>
      </c>
      <c r="N1315" s="48" t="s">
        <v>1523</v>
      </c>
      <c r="O1315" s="49" t="s">
        <v>1524</v>
      </c>
      <c r="P1315" s="11" t="s">
        <v>1450</v>
      </c>
      <c r="Q1315" s="11" t="s">
        <v>98</v>
      </c>
      <c r="R1315" s="11" t="s">
        <v>1525</v>
      </c>
      <c r="S1315" s="11" t="s">
        <v>2744</v>
      </c>
      <c r="T1315" s="90" t="s">
        <v>1</v>
      </c>
      <c r="U1315" s="90"/>
      <c r="V1315" s="51">
        <v>45943</v>
      </c>
      <c r="W1315" s="49" t="s">
        <v>1591</v>
      </c>
    </row>
    <row r="1316" spans="1:23" ht="13" customHeight="1" x14ac:dyDescent="0.35">
      <c r="A1316" s="11">
        <v>1310</v>
      </c>
      <c r="B1316" s="47">
        <v>205079247</v>
      </c>
      <c r="C1316" s="94" t="s">
        <v>1526</v>
      </c>
      <c r="D1316" s="11" t="s">
        <v>1527</v>
      </c>
      <c r="E1316" s="48" t="s">
        <v>34</v>
      </c>
      <c r="F1316" s="48" t="s">
        <v>74</v>
      </c>
      <c r="G1316" s="11" t="s">
        <v>64</v>
      </c>
      <c r="H1316" s="11" t="s">
        <v>75</v>
      </c>
      <c r="I1316" s="11">
        <v>1299</v>
      </c>
      <c r="J1316" s="49" t="s">
        <v>32</v>
      </c>
      <c r="K1316" s="49" t="s">
        <v>76</v>
      </c>
      <c r="L1316" s="49" t="s">
        <v>95</v>
      </c>
      <c r="M1316" s="49" t="s">
        <v>77</v>
      </c>
      <c r="N1316" s="48" t="s">
        <v>1523</v>
      </c>
      <c r="O1316" s="49" t="s">
        <v>1524</v>
      </c>
      <c r="P1316" s="11" t="s">
        <v>1450</v>
      </c>
      <c r="Q1316" s="11" t="s">
        <v>98</v>
      </c>
      <c r="R1316" s="11" t="s">
        <v>1525</v>
      </c>
      <c r="S1316" s="11" t="s">
        <v>2744</v>
      </c>
      <c r="T1316" s="90" t="s">
        <v>1</v>
      </c>
      <c r="U1316" s="91"/>
      <c r="V1316" s="51">
        <v>45789</v>
      </c>
      <c r="W1316" s="49" t="s">
        <v>1591</v>
      </c>
    </row>
    <row r="1317" spans="1:23" ht="13" customHeight="1" x14ac:dyDescent="0.35">
      <c r="A1317" s="11">
        <v>1311</v>
      </c>
      <c r="B1317" s="47">
        <v>205001264</v>
      </c>
      <c r="C1317" s="94" t="s">
        <v>1528</v>
      </c>
      <c r="D1317" s="11" t="s">
        <v>1529</v>
      </c>
      <c r="E1317" s="48" t="s">
        <v>34</v>
      </c>
      <c r="F1317" s="48" t="s">
        <v>74</v>
      </c>
      <c r="G1317" s="11" t="s">
        <v>64</v>
      </c>
      <c r="H1317" s="11" t="s">
        <v>75</v>
      </c>
      <c r="I1317" s="11">
        <v>1299</v>
      </c>
      <c r="J1317" s="49" t="s">
        <v>39</v>
      </c>
      <c r="K1317" s="49" t="s">
        <v>76</v>
      </c>
      <c r="L1317" s="49" t="s">
        <v>78</v>
      </c>
      <c r="M1317" s="49" t="s">
        <v>92</v>
      </c>
      <c r="N1317" s="48" t="s">
        <v>1523</v>
      </c>
      <c r="O1317" s="49" t="s">
        <v>1524</v>
      </c>
      <c r="P1317" s="11" t="s">
        <v>1450</v>
      </c>
      <c r="Q1317" s="11" t="s">
        <v>98</v>
      </c>
      <c r="R1317" s="11" t="s">
        <v>1525</v>
      </c>
      <c r="S1317" s="11" t="s">
        <v>2744</v>
      </c>
      <c r="T1317" s="90" t="s">
        <v>1</v>
      </c>
      <c r="U1317" s="90"/>
      <c r="V1317" s="51">
        <v>45754</v>
      </c>
      <c r="W1317" s="49" t="s">
        <v>1591</v>
      </c>
    </row>
    <row r="1318" spans="1:23" ht="13" customHeight="1" x14ac:dyDescent="0.35">
      <c r="A1318" s="11">
        <v>1312</v>
      </c>
      <c r="B1318" s="47">
        <v>205024343</v>
      </c>
      <c r="C1318" s="94" t="s">
        <v>1530</v>
      </c>
      <c r="D1318" s="11" t="s">
        <v>1531</v>
      </c>
      <c r="E1318" s="48" t="s">
        <v>34</v>
      </c>
      <c r="F1318" s="48" t="s">
        <v>74</v>
      </c>
      <c r="G1318" s="11" t="s">
        <v>64</v>
      </c>
      <c r="H1318" s="11" t="s">
        <v>75</v>
      </c>
      <c r="I1318" s="11">
        <v>1299</v>
      </c>
      <c r="J1318" s="49" t="s">
        <v>32</v>
      </c>
      <c r="K1318" s="49" t="s">
        <v>76</v>
      </c>
      <c r="L1318" s="49" t="s">
        <v>78</v>
      </c>
      <c r="M1318" s="49" t="s">
        <v>92</v>
      </c>
      <c r="N1318" s="48" t="s">
        <v>1523</v>
      </c>
      <c r="O1318" s="49" t="s">
        <v>1524</v>
      </c>
      <c r="P1318" s="11" t="s">
        <v>1450</v>
      </c>
      <c r="Q1318" s="11" t="s">
        <v>98</v>
      </c>
      <c r="R1318" s="11" t="s">
        <v>1525</v>
      </c>
      <c r="S1318" s="11" t="s">
        <v>2744</v>
      </c>
      <c r="T1318" s="90" t="s">
        <v>1</v>
      </c>
      <c r="U1318" s="89"/>
      <c r="V1318" s="51">
        <v>45775</v>
      </c>
      <c r="W1318" s="49" t="s">
        <v>1591</v>
      </c>
    </row>
    <row r="1319" spans="1:23" ht="13" customHeight="1" x14ac:dyDescent="0.35">
      <c r="A1319" s="11">
        <v>1313</v>
      </c>
      <c r="B1319" s="47">
        <v>203794558</v>
      </c>
      <c r="C1319" s="94" t="s">
        <v>1532</v>
      </c>
      <c r="D1319" s="11" t="s">
        <v>1533</v>
      </c>
      <c r="E1319" s="48" t="s">
        <v>34</v>
      </c>
      <c r="F1319" s="48" t="s">
        <v>74</v>
      </c>
      <c r="G1319" s="11" t="s">
        <v>64</v>
      </c>
      <c r="H1319" s="11" t="s">
        <v>75</v>
      </c>
      <c r="I1319" s="11">
        <v>1299</v>
      </c>
      <c r="J1319" s="49" t="s">
        <v>32</v>
      </c>
      <c r="K1319" s="49" t="s">
        <v>76</v>
      </c>
      <c r="L1319" s="49" t="s">
        <v>95</v>
      </c>
      <c r="M1319" s="49" t="s">
        <v>77</v>
      </c>
      <c r="N1319" s="48" t="s">
        <v>1523</v>
      </c>
      <c r="O1319" s="49" t="s">
        <v>1524</v>
      </c>
      <c r="P1319" s="11" t="s">
        <v>1450</v>
      </c>
      <c r="Q1319" s="11" t="s">
        <v>98</v>
      </c>
      <c r="R1319" s="11" t="s">
        <v>1525</v>
      </c>
      <c r="S1319" s="11" t="s">
        <v>2744</v>
      </c>
      <c r="T1319" s="90" t="s">
        <v>7</v>
      </c>
      <c r="U1319" s="90" t="s">
        <v>2914</v>
      </c>
      <c r="V1319" s="51">
        <v>45593</v>
      </c>
      <c r="W1319" s="49" t="s">
        <v>1591</v>
      </c>
    </row>
    <row r="1320" spans="1:23" ht="13" customHeight="1" x14ac:dyDescent="0.35">
      <c r="A1320" s="11">
        <v>1314</v>
      </c>
      <c r="B1320" s="47">
        <v>203927111</v>
      </c>
      <c r="C1320" s="94" t="s">
        <v>1534</v>
      </c>
      <c r="D1320" s="11" t="s">
        <v>1535</v>
      </c>
      <c r="E1320" s="48" t="s">
        <v>34</v>
      </c>
      <c r="F1320" s="48" t="s">
        <v>74</v>
      </c>
      <c r="G1320" s="11" t="s">
        <v>64</v>
      </c>
      <c r="H1320" s="11" t="s">
        <v>75</v>
      </c>
      <c r="I1320" s="11">
        <v>1299</v>
      </c>
      <c r="J1320" s="49" t="s">
        <v>32</v>
      </c>
      <c r="K1320" s="49" t="s">
        <v>76</v>
      </c>
      <c r="L1320" s="49" t="s">
        <v>78</v>
      </c>
      <c r="M1320" s="49" t="s">
        <v>92</v>
      </c>
      <c r="N1320" s="48" t="s">
        <v>1523</v>
      </c>
      <c r="O1320" s="49" t="s">
        <v>1524</v>
      </c>
      <c r="P1320" s="11" t="s">
        <v>1450</v>
      </c>
      <c r="Q1320" s="11" t="s">
        <v>98</v>
      </c>
      <c r="R1320" s="11" t="s">
        <v>1525</v>
      </c>
      <c r="S1320" s="11" t="s">
        <v>2744</v>
      </c>
      <c r="T1320" s="90" t="s">
        <v>1</v>
      </c>
      <c r="U1320" s="89"/>
      <c r="V1320" s="51">
        <v>45908</v>
      </c>
      <c r="W1320" s="49" t="s">
        <v>1591</v>
      </c>
    </row>
    <row r="1321" spans="1:23" ht="13" customHeight="1" x14ac:dyDescent="0.35">
      <c r="A1321" s="11">
        <v>1315</v>
      </c>
      <c r="B1321" s="47">
        <v>205207923</v>
      </c>
      <c r="C1321" s="94" t="s">
        <v>1536</v>
      </c>
      <c r="D1321" s="11" t="s">
        <v>1537</v>
      </c>
      <c r="E1321" s="48" t="s">
        <v>34</v>
      </c>
      <c r="F1321" s="48" t="s">
        <v>74</v>
      </c>
      <c r="G1321" s="11" t="s">
        <v>64</v>
      </c>
      <c r="H1321" s="11" t="s">
        <v>75</v>
      </c>
      <c r="I1321" s="11">
        <v>1299</v>
      </c>
      <c r="J1321" s="49" t="s">
        <v>32</v>
      </c>
      <c r="K1321" s="49" t="s">
        <v>76</v>
      </c>
      <c r="L1321" s="49" t="s">
        <v>95</v>
      </c>
      <c r="M1321" s="49" t="s">
        <v>77</v>
      </c>
      <c r="N1321" s="48" t="s">
        <v>1523</v>
      </c>
      <c r="O1321" s="49" t="s">
        <v>1524</v>
      </c>
      <c r="P1321" s="11" t="s">
        <v>1450</v>
      </c>
      <c r="Q1321" s="11" t="s">
        <v>98</v>
      </c>
      <c r="R1321" s="11" t="s">
        <v>1525</v>
      </c>
      <c r="S1321" s="11" t="s">
        <v>2744</v>
      </c>
      <c r="T1321" s="90" t="s">
        <v>1</v>
      </c>
      <c r="U1321" s="89"/>
      <c r="V1321" s="51">
        <v>45831</v>
      </c>
      <c r="W1321" s="49" t="s">
        <v>1591</v>
      </c>
    </row>
    <row r="1322" spans="1:23" ht="13" customHeight="1" x14ac:dyDescent="0.35">
      <c r="A1322" s="11">
        <v>1316</v>
      </c>
      <c r="B1322" s="47">
        <v>112836630</v>
      </c>
      <c r="C1322" s="94" t="s">
        <v>1538</v>
      </c>
      <c r="D1322" s="11" t="s">
        <v>1539</v>
      </c>
      <c r="E1322" s="48" t="s">
        <v>34</v>
      </c>
      <c r="F1322" s="48" t="s">
        <v>74</v>
      </c>
      <c r="G1322" s="11" t="s">
        <v>64</v>
      </c>
      <c r="H1322" s="11" t="s">
        <v>75</v>
      </c>
      <c r="I1322" s="11">
        <v>1299</v>
      </c>
      <c r="J1322" s="49" t="s">
        <v>32</v>
      </c>
      <c r="K1322" s="49" t="s">
        <v>76</v>
      </c>
      <c r="L1322" s="49" t="s">
        <v>78</v>
      </c>
      <c r="M1322" s="49" t="s">
        <v>92</v>
      </c>
      <c r="N1322" s="48" t="s">
        <v>1540</v>
      </c>
      <c r="O1322" s="49" t="s">
        <v>1541</v>
      </c>
      <c r="P1322" s="11" t="s">
        <v>1450</v>
      </c>
      <c r="Q1322" s="11" t="s">
        <v>98</v>
      </c>
      <c r="R1322" s="11" t="s">
        <v>2745</v>
      </c>
      <c r="S1322" s="11" t="s">
        <v>2746</v>
      </c>
      <c r="T1322" s="90" t="s">
        <v>1</v>
      </c>
      <c r="U1322" s="89"/>
      <c r="V1322" s="51">
        <v>44767</v>
      </c>
      <c r="W1322" s="49" t="s">
        <v>1590</v>
      </c>
    </row>
    <row r="1323" spans="1:23" ht="13" customHeight="1" x14ac:dyDescent="0.35">
      <c r="A1323" s="11">
        <v>1317</v>
      </c>
      <c r="B1323" s="47">
        <v>102865821</v>
      </c>
      <c r="C1323" s="94" t="s">
        <v>1542</v>
      </c>
      <c r="D1323" s="11" t="s">
        <v>1543</v>
      </c>
      <c r="E1323" s="48" t="s">
        <v>34</v>
      </c>
      <c r="F1323" s="48" t="s">
        <v>74</v>
      </c>
      <c r="G1323" s="11" t="s">
        <v>64</v>
      </c>
      <c r="H1323" s="11" t="s">
        <v>75</v>
      </c>
      <c r="I1323" s="11">
        <v>1299</v>
      </c>
      <c r="J1323" s="49" t="s">
        <v>32</v>
      </c>
      <c r="K1323" s="49" t="s">
        <v>76</v>
      </c>
      <c r="L1323" s="49" t="s">
        <v>77</v>
      </c>
      <c r="M1323" s="49" t="s">
        <v>78</v>
      </c>
      <c r="N1323" s="48" t="s">
        <v>2750</v>
      </c>
      <c r="O1323" s="49" t="s">
        <v>1544</v>
      </c>
      <c r="P1323" s="11" t="s">
        <v>1450</v>
      </c>
      <c r="Q1323" s="11" t="s">
        <v>98</v>
      </c>
      <c r="R1323" s="11" t="s">
        <v>1545</v>
      </c>
      <c r="S1323" s="11" t="s">
        <v>1546</v>
      </c>
      <c r="T1323" s="90" t="s">
        <v>1</v>
      </c>
      <c r="U1323" s="91"/>
      <c r="V1323" s="51">
        <v>43012</v>
      </c>
      <c r="W1323" s="49" t="s">
        <v>1590</v>
      </c>
    </row>
    <row r="1324" spans="1:23" ht="13" customHeight="1" x14ac:dyDescent="0.35">
      <c r="A1324" s="11">
        <v>1318</v>
      </c>
      <c r="B1324" s="47">
        <v>206884114</v>
      </c>
      <c r="C1324" s="94" t="s">
        <v>2219</v>
      </c>
      <c r="D1324" s="11" t="s">
        <v>2220</v>
      </c>
      <c r="E1324" s="48" t="s">
        <v>34</v>
      </c>
      <c r="F1324" s="48" t="s">
        <v>74</v>
      </c>
      <c r="G1324" s="11" t="s">
        <v>64</v>
      </c>
      <c r="H1324" s="11" t="s">
        <v>75</v>
      </c>
      <c r="I1324" s="11">
        <v>1299</v>
      </c>
      <c r="J1324" s="49" t="s">
        <v>39</v>
      </c>
      <c r="K1324" s="49" t="s">
        <v>76</v>
      </c>
      <c r="L1324" s="49" t="s">
        <v>78</v>
      </c>
      <c r="M1324" s="49" t="s">
        <v>92</v>
      </c>
      <c r="N1324" s="48" t="s">
        <v>2747</v>
      </c>
      <c r="O1324" s="49" t="s">
        <v>1547</v>
      </c>
      <c r="P1324" s="11" t="s">
        <v>1450</v>
      </c>
      <c r="Q1324" s="11" t="s">
        <v>98</v>
      </c>
      <c r="R1324" s="11" t="s">
        <v>1548</v>
      </c>
      <c r="S1324" s="11" t="s">
        <v>1549</v>
      </c>
      <c r="T1324" s="90" t="s">
        <v>1</v>
      </c>
      <c r="U1324" s="91"/>
      <c r="V1324" s="51">
        <v>46069</v>
      </c>
      <c r="W1324" s="80" t="s">
        <v>1590</v>
      </c>
    </row>
    <row r="1325" spans="1:23" ht="13" customHeight="1" x14ac:dyDescent="0.35">
      <c r="A1325" s="11">
        <v>1319</v>
      </c>
      <c r="B1325" s="47">
        <v>206980506</v>
      </c>
      <c r="C1325" s="94" t="s">
        <v>2211</v>
      </c>
      <c r="D1325" s="11" t="s">
        <v>2212</v>
      </c>
      <c r="E1325" s="48" t="s">
        <v>34</v>
      </c>
      <c r="F1325" s="48" t="s">
        <v>74</v>
      </c>
      <c r="G1325" s="11" t="s">
        <v>64</v>
      </c>
      <c r="H1325" s="11" t="s">
        <v>75</v>
      </c>
      <c r="I1325" s="11">
        <v>1299</v>
      </c>
      <c r="J1325" s="49" t="s">
        <v>32</v>
      </c>
      <c r="K1325" s="49" t="s">
        <v>76</v>
      </c>
      <c r="L1325" s="49" t="s">
        <v>95</v>
      </c>
      <c r="M1325" s="49" t="s">
        <v>77</v>
      </c>
      <c r="N1325" s="48" t="s">
        <v>2747</v>
      </c>
      <c r="O1325" s="49" t="s">
        <v>1547</v>
      </c>
      <c r="P1325" s="11" t="s">
        <v>1450</v>
      </c>
      <c r="Q1325" s="11" t="s">
        <v>98</v>
      </c>
      <c r="R1325" s="11" t="s">
        <v>1548</v>
      </c>
      <c r="S1325" s="11" t="s">
        <v>1549</v>
      </c>
      <c r="T1325" s="90" t="s">
        <v>10</v>
      </c>
      <c r="U1325" s="89"/>
      <c r="V1325" s="51">
        <v>46125</v>
      </c>
      <c r="W1325" s="49" t="s">
        <v>1590</v>
      </c>
    </row>
    <row r="1326" spans="1:23" ht="13" customHeight="1" x14ac:dyDescent="0.35">
      <c r="A1326" s="11">
        <v>1320</v>
      </c>
      <c r="B1326" s="47">
        <v>206930467</v>
      </c>
      <c r="C1326" s="94" t="s">
        <v>2221</v>
      </c>
      <c r="D1326" s="11" t="s">
        <v>2222</v>
      </c>
      <c r="E1326" s="48" t="s">
        <v>34</v>
      </c>
      <c r="F1326" s="48" t="s">
        <v>74</v>
      </c>
      <c r="G1326" s="11" t="s">
        <v>64</v>
      </c>
      <c r="H1326" s="11" t="s">
        <v>75</v>
      </c>
      <c r="I1326" s="11">
        <v>1299</v>
      </c>
      <c r="J1326" s="49" t="s">
        <v>39</v>
      </c>
      <c r="K1326" s="49" t="s">
        <v>76</v>
      </c>
      <c r="L1326" s="49" t="s">
        <v>95</v>
      </c>
      <c r="M1326" s="49" t="s">
        <v>77</v>
      </c>
      <c r="N1326" s="48" t="s">
        <v>2747</v>
      </c>
      <c r="O1326" s="49" t="s">
        <v>1547</v>
      </c>
      <c r="P1326" s="11" t="s">
        <v>1450</v>
      </c>
      <c r="Q1326" s="11" t="s">
        <v>98</v>
      </c>
      <c r="R1326" s="11" t="s">
        <v>1548</v>
      </c>
      <c r="S1326" s="11" t="s">
        <v>1549</v>
      </c>
      <c r="T1326" s="90" t="s">
        <v>1</v>
      </c>
      <c r="U1326" s="89"/>
      <c r="V1326" s="51">
        <v>46069</v>
      </c>
      <c r="W1326" s="80" t="s">
        <v>1590</v>
      </c>
    </row>
    <row r="1327" spans="1:23" ht="13" customHeight="1" x14ac:dyDescent="0.35">
      <c r="A1327" s="11">
        <v>1321</v>
      </c>
      <c r="B1327" s="77">
        <v>113239078</v>
      </c>
      <c r="C1327" s="96" t="s">
        <v>1709</v>
      </c>
      <c r="D1327" s="75" t="s">
        <v>1550</v>
      </c>
      <c r="E1327" s="76" t="s">
        <v>34</v>
      </c>
      <c r="F1327" s="76" t="s">
        <v>74</v>
      </c>
      <c r="G1327" s="75" t="s">
        <v>64</v>
      </c>
      <c r="H1327" s="75" t="s">
        <v>75</v>
      </c>
      <c r="I1327" s="75">
        <v>1299</v>
      </c>
      <c r="J1327" s="73" t="s">
        <v>39</v>
      </c>
      <c r="K1327" s="73" t="s">
        <v>76</v>
      </c>
      <c r="L1327" s="49" t="s">
        <v>85</v>
      </c>
      <c r="M1327" s="49" t="s">
        <v>88</v>
      </c>
      <c r="N1327" s="76" t="s">
        <v>2747</v>
      </c>
      <c r="O1327" s="73" t="s">
        <v>1547</v>
      </c>
      <c r="P1327" s="75" t="s">
        <v>1450</v>
      </c>
      <c r="Q1327" s="75" t="s">
        <v>98</v>
      </c>
      <c r="R1327" s="75" t="s">
        <v>1548</v>
      </c>
      <c r="S1327" s="75" t="s">
        <v>1549</v>
      </c>
      <c r="T1327" s="90" t="s">
        <v>10</v>
      </c>
      <c r="U1327" s="91"/>
      <c r="V1327" s="103">
        <v>44935</v>
      </c>
      <c r="W1327" s="73" t="s">
        <v>1590</v>
      </c>
    </row>
    <row r="1328" spans="1:23" ht="13" customHeight="1" x14ac:dyDescent="0.35">
      <c r="A1328" s="11">
        <v>1322</v>
      </c>
      <c r="B1328" s="47">
        <v>203875181</v>
      </c>
      <c r="C1328" s="94" t="s">
        <v>1551</v>
      </c>
      <c r="D1328" s="11" t="s">
        <v>1552</v>
      </c>
      <c r="E1328" s="48" t="s">
        <v>31</v>
      </c>
      <c r="F1328" s="48" t="s">
        <v>74</v>
      </c>
      <c r="G1328" s="11" t="s">
        <v>66</v>
      </c>
      <c r="H1328" s="11" t="s">
        <v>1339</v>
      </c>
      <c r="I1328" s="11">
        <v>1181</v>
      </c>
      <c r="J1328" s="49" t="s">
        <v>39</v>
      </c>
      <c r="K1328" s="49" t="s">
        <v>76</v>
      </c>
      <c r="L1328" s="49" t="s">
        <v>85</v>
      </c>
      <c r="M1328" s="49" t="s">
        <v>88</v>
      </c>
      <c r="N1328" s="48" t="s">
        <v>79</v>
      </c>
      <c r="O1328" s="49" t="s">
        <v>68</v>
      </c>
      <c r="P1328" s="11" t="s">
        <v>1450</v>
      </c>
      <c r="Q1328" s="11" t="s">
        <v>81</v>
      </c>
      <c r="R1328" s="11" t="s">
        <v>2736</v>
      </c>
      <c r="S1328" s="11" t="s">
        <v>2737</v>
      </c>
      <c r="T1328" s="90" t="s">
        <v>10</v>
      </c>
      <c r="U1328" s="91"/>
      <c r="V1328" s="51">
        <v>45530</v>
      </c>
      <c r="W1328" s="49" t="s">
        <v>68</v>
      </c>
    </row>
    <row r="1329" spans="1:23" ht="13" customHeight="1" x14ac:dyDescent="0.35">
      <c r="A1329" s="11">
        <v>1323</v>
      </c>
      <c r="B1329" s="47">
        <v>203875184</v>
      </c>
      <c r="C1329" s="94" t="s">
        <v>1553</v>
      </c>
      <c r="D1329" s="11" t="s">
        <v>1554</v>
      </c>
      <c r="E1329" s="48" t="s">
        <v>31</v>
      </c>
      <c r="F1329" s="48" t="s">
        <v>74</v>
      </c>
      <c r="G1329" s="11" t="s">
        <v>66</v>
      </c>
      <c r="H1329" s="11" t="s">
        <v>1339</v>
      </c>
      <c r="I1329" s="11">
        <v>1181</v>
      </c>
      <c r="J1329" s="49" t="s">
        <v>39</v>
      </c>
      <c r="K1329" s="49" t="s">
        <v>76</v>
      </c>
      <c r="L1329" s="49" t="s">
        <v>88</v>
      </c>
      <c r="M1329" s="49" t="s">
        <v>95</v>
      </c>
      <c r="N1329" s="48" t="s">
        <v>79</v>
      </c>
      <c r="O1329" s="49" t="s">
        <v>68</v>
      </c>
      <c r="P1329" s="11" t="s">
        <v>1450</v>
      </c>
      <c r="Q1329" s="11" t="s">
        <v>81</v>
      </c>
      <c r="R1329" s="11" t="s">
        <v>2736</v>
      </c>
      <c r="S1329" s="11" t="s">
        <v>2737</v>
      </c>
      <c r="T1329" s="90" t="s">
        <v>10</v>
      </c>
      <c r="U1329" s="90"/>
      <c r="V1329" s="51">
        <v>45530</v>
      </c>
      <c r="W1329" s="49" t="s">
        <v>68</v>
      </c>
    </row>
    <row r="1330" spans="1:23" ht="13" customHeight="1" x14ac:dyDescent="0.35">
      <c r="A1330" s="11">
        <v>1324</v>
      </c>
      <c r="B1330" s="47">
        <v>203875092</v>
      </c>
      <c r="C1330" s="94" t="s">
        <v>1555</v>
      </c>
      <c r="D1330" s="11" t="s">
        <v>1556</v>
      </c>
      <c r="E1330" s="48" t="s">
        <v>31</v>
      </c>
      <c r="F1330" s="48" t="s">
        <v>74</v>
      </c>
      <c r="G1330" s="11" t="s">
        <v>66</v>
      </c>
      <c r="H1330" s="11" t="s">
        <v>1339</v>
      </c>
      <c r="I1330" s="11">
        <v>1181</v>
      </c>
      <c r="J1330" s="49" t="s">
        <v>39</v>
      </c>
      <c r="K1330" s="49" t="s">
        <v>76</v>
      </c>
      <c r="L1330" s="49" t="s">
        <v>84</v>
      </c>
      <c r="M1330" s="49" t="s">
        <v>85</v>
      </c>
      <c r="N1330" s="48" t="s">
        <v>79</v>
      </c>
      <c r="O1330" s="49" t="s">
        <v>68</v>
      </c>
      <c r="P1330" s="11" t="s">
        <v>1450</v>
      </c>
      <c r="Q1330" s="11" t="s">
        <v>81</v>
      </c>
      <c r="R1330" s="11" t="s">
        <v>2736</v>
      </c>
      <c r="S1330" s="11" t="s">
        <v>2737</v>
      </c>
      <c r="T1330" s="90" t="s">
        <v>1</v>
      </c>
      <c r="U1330" s="90"/>
      <c r="V1330" s="51">
        <v>45530</v>
      </c>
      <c r="W1330" s="49" t="s">
        <v>68</v>
      </c>
    </row>
    <row r="1331" spans="1:23" ht="13" customHeight="1" x14ac:dyDescent="0.35">
      <c r="A1331" s="11">
        <v>1325</v>
      </c>
      <c r="B1331" s="47">
        <v>203875089</v>
      </c>
      <c r="C1331" s="94" t="s">
        <v>1557</v>
      </c>
      <c r="D1331" s="11" t="s">
        <v>1558</v>
      </c>
      <c r="E1331" s="48" t="s">
        <v>31</v>
      </c>
      <c r="F1331" s="48" t="s">
        <v>74</v>
      </c>
      <c r="G1331" s="11" t="s">
        <v>66</v>
      </c>
      <c r="H1331" s="11" t="s">
        <v>1339</v>
      </c>
      <c r="I1331" s="11">
        <v>1181</v>
      </c>
      <c r="J1331" s="49" t="s">
        <v>39</v>
      </c>
      <c r="K1331" s="49" t="s">
        <v>76</v>
      </c>
      <c r="L1331" s="49" t="s">
        <v>88</v>
      </c>
      <c r="M1331" s="49" t="s">
        <v>95</v>
      </c>
      <c r="N1331" s="48" t="s">
        <v>79</v>
      </c>
      <c r="O1331" s="49" t="s">
        <v>68</v>
      </c>
      <c r="P1331" s="11" t="s">
        <v>1450</v>
      </c>
      <c r="Q1331" s="11" t="s">
        <v>81</v>
      </c>
      <c r="R1331" s="11" t="s">
        <v>2736</v>
      </c>
      <c r="S1331" s="11" t="s">
        <v>2737</v>
      </c>
      <c r="T1331" s="90" t="s">
        <v>10</v>
      </c>
      <c r="U1331" s="90"/>
      <c r="V1331" s="51">
        <v>45530</v>
      </c>
      <c r="W1331" s="49" t="s">
        <v>68</v>
      </c>
    </row>
    <row r="1332" spans="1:23" ht="13" customHeight="1" x14ac:dyDescent="0.35">
      <c r="A1332" s="11">
        <v>1326</v>
      </c>
      <c r="B1332" s="47">
        <v>203875090</v>
      </c>
      <c r="C1332" s="94" t="s">
        <v>1559</v>
      </c>
      <c r="D1332" s="11" t="s">
        <v>1560</v>
      </c>
      <c r="E1332" s="48" t="s">
        <v>31</v>
      </c>
      <c r="F1332" s="48" t="s">
        <v>74</v>
      </c>
      <c r="G1332" s="11" t="s">
        <v>66</v>
      </c>
      <c r="H1332" s="11" t="s">
        <v>1339</v>
      </c>
      <c r="I1332" s="11">
        <v>1181</v>
      </c>
      <c r="J1332" s="49" t="s">
        <v>39</v>
      </c>
      <c r="K1332" s="49" t="s">
        <v>76</v>
      </c>
      <c r="L1332" s="49" t="s">
        <v>95</v>
      </c>
      <c r="M1332" s="49" t="s">
        <v>77</v>
      </c>
      <c r="N1332" s="48" t="s">
        <v>79</v>
      </c>
      <c r="O1332" s="49" t="s">
        <v>68</v>
      </c>
      <c r="P1332" s="11" t="s">
        <v>1450</v>
      </c>
      <c r="Q1332" s="11" t="s">
        <v>81</v>
      </c>
      <c r="R1332" s="11" t="s">
        <v>2736</v>
      </c>
      <c r="S1332" s="11" t="s">
        <v>2737</v>
      </c>
      <c r="T1332" s="90" t="s">
        <v>1</v>
      </c>
      <c r="U1332" s="91"/>
      <c r="V1332" s="51">
        <v>45530</v>
      </c>
      <c r="W1332" s="49" t="s">
        <v>68</v>
      </c>
    </row>
    <row r="1333" spans="1:23" ht="13" customHeight="1" x14ac:dyDescent="0.35">
      <c r="A1333" s="11">
        <v>1327</v>
      </c>
      <c r="B1333" s="47">
        <v>203875180</v>
      </c>
      <c r="C1333" s="94" t="s">
        <v>1561</v>
      </c>
      <c r="D1333" s="11" t="s">
        <v>1562</v>
      </c>
      <c r="E1333" s="48" t="s">
        <v>31</v>
      </c>
      <c r="F1333" s="48" t="s">
        <v>74</v>
      </c>
      <c r="G1333" s="11" t="s">
        <v>66</v>
      </c>
      <c r="H1333" s="11" t="s">
        <v>1339</v>
      </c>
      <c r="I1333" s="11">
        <v>1181</v>
      </c>
      <c r="J1333" s="49" t="s">
        <v>39</v>
      </c>
      <c r="K1333" s="49" t="s">
        <v>76</v>
      </c>
      <c r="L1333" s="49" t="s">
        <v>78</v>
      </c>
      <c r="M1333" s="49" t="s">
        <v>92</v>
      </c>
      <c r="N1333" s="48" t="s">
        <v>79</v>
      </c>
      <c r="O1333" s="49" t="s">
        <v>68</v>
      </c>
      <c r="P1333" s="11" t="s">
        <v>1450</v>
      </c>
      <c r="Q1333" s="11" t="s">
        <v>81</v>
      </c>
      <c r="R1333" s="11" t="s">
        <v>2736</v>
      </c>
      <c r="S1333" s="11" t="s">
        <v>2737</v>
      </c>
      <c r="T1333" s="90" t="s">
        <v>1</v>
      </c>
      <c r="U1333" s="90"/>
      <c r="V1333" s="51">
        <v>45530</v>
      </c>
      <c r="W1333" s="49" t="s">
        <v>68</v>
      </c>
    </row>
    <row r="1334" spans="1:23" ht="13" customHeight="1" x14ac:dyDescent="0.35">
      <c r="A1334" s="11">
        <v>1328</v>
      </c>
      <c r="B1334" s="47">
        <v>203875183</v>
      </c>
      <c r="C1334" s="94" t="s">
        <v>1563</v>
      </c>
      <c r="D1334" s="11" t="s">
        <v>1564</v>
      </c>
      <c r="E1334" s="48" t="s">
        <v>31</v>
      </c>
      <c r="F1334" s="48" t="s">
        <v>74</v>
      </c>
      <c r="G1334" s="11" t="s">
        <v>66</v>
      </c>
      <c r="H1334" s="11" t="s">
        <v>1339</v>
      </c>
      <c r="I1334" s="11">
        <v>1181</v>
      </c>
      <c r="J1334" s="49" t="s">
        <v>39</v>
      </c>
      <c r="K1334" s="49" t="s">
        <v>76</v>
      </c>
      <c r="L1334" s="49" t="s">
        <v>85</v>
      </c>
      <c r="M1334" s="49" t="s">
        <v>88</v>
      </c>
      <c r="N1334" s="48" t="s">
        <v>79</v>
      </c>
      <c r="O1334" s="49" t="s">
        <v>68</v>
      </c>
      <c r="P1334" s="11" t="s">
        <v>1450</v>
      </c>
      <c r="Q1334" s="11" t="s">
        <v>81</v>
      </c>
      <c r="R1334" s="11" t="s">
        <v>2736</v>
      </c>
      <c r="S1334" s="11" t="s">
        <v>2737</v>
      </c>
      <c r="T1334" s="90" t="s">
        <v>10</v>
      </c>
      <c r="U1334" s="91"/>
      <c r="V1334" s="51">
        <v>45530</v>
      </c>
      <c r="W1334" s="49" t="s">
        <v>68</v>
      </c>
    </row>
    <row r="1335" spans="1:23" ht="13" customHeight="1" x14ac:dyDescent="0.35">
      <c r="A1335" s="11">
        <v>1329</v>
      </c>
      <c r="B1335" s="47">
        <v>112463068</v>
      </c>
      <c r="C1335" s="94" t="s">
        <v>1565</v>
      </c>
      <c r="D1335" s="11" t="s">
        <v>1566</v>
      </c>
      <c r="E1335" s="48" t="s">
        <v>31</v>
      </c>
      <c r="F1335" s="48" t="s">
        <v>74</v>
      </c>
      <c r="G1335" s="11" t="s">
        <v>66</v>
      </c>
      <c r="H1335" s="11" t="s">
        <v>1339</v>
      </c>
      <c r="I1335" s="11">
        <v>1181</v>
      </c>
      <c r="J1335" s="49" t="s">
        <v>39</v>
      </c>
      <c r="K1335" s="49" t="s">
        <v>76</v>
      </c>
      <c r="L1335" s="49" t="s">
        <v>88</v>
      </c>
      <c r="M1335" s="49" t="s">
        <v>95</v>
      </c>
      <c r="N1335" s="48" t="s">
        <v>79</v>
      </c>
      <c r="O1335" s="49" t="s">
        <v>68</v>
      </c>
      <c r="P1335" s="11" t="s">
        <v>1450</v>
      </c>
      <c r="Q1335" s="11" t="s">
        <v>81</v>
      </c>
      <c r="R1335" s="11" t="s">
        <v>2736</v>
      </c>
      <c r="S1335" s="11" t="s">
        <v>2737</v>
      </c>
      <c r="T1335" s="90" t="s">
        <v>10</v>
      </c>
      <c r="U1335" s="91"/>
      <c r="V1335" s="51">
        <v>45530</v>
      </c>
      <c r="W1335" s="49" t="s">
        <v>68</v>
      </c>
    </row>
    <row r="1336" spans="1:23" ht="13" customHeight="1" x14ac:dyDescent="0.35">
      <c r="A1336" s="11">
        <v>1330</v>
      </c>
      <c r="B1336" s="47">
        <v>203875088</v>
      </c>
      <c r="C1336" s="94" t="s">
        <v>1567</v>
      </c>
      <c r="D1336" s="11" t="s">
        <v>1568</v>
      </c>
      <c r="E1336" s="48" t="s">
        <v>31</v>
      </c>
      <c r="F1336" s="48" t="s">
        <v>74</v>
      </c>
      <c r="G1336" s="11" t="s">
        <v>66</v>
      </c>
      <c r="H1336" s="11" t="s">
        <v>1339</v>
      </c>
      <c r="I1336" s="11">
        <v>1181</v>
      </c>
      <c r="J1336" s="49" t="s">
        <v>39</v>
      </c>
      <c r="K1336" s="49" t="s">
        <v>76</v>
      </c>
      <c r="L1336" s="49" t="s">
        <v>92</v>
      </c>
      <c r="M1336" s="49" t="s">
        <v>84</v>
      </c>
      <c r="N1336" s="48" t="s">
        <v>79</v>
      </c>
      <c r="O1336" s="49" t="s">
        <v>68</v>
      </c>
      <c r="P1336" s="11" t="s">
        <v>1450</v>
      </c>
      <c r="Q1336" s="11" t="s">
        <v>81</v>
      </c>
      <c r="R1336" s="11" t="s">
        <v>2736</v>
      </c>
      <c r="S1336" s="11" t="s">
        <v>2737</v>
      </c>
      <c r="T1336" s="90" t="s">
        <v>7</v>
      </c>
      <c r="U1336" s="91" t="s">
        <v>2914</v>
      </c>
      <c r="V1336" s="51">
        <v>45530</v>
      </c>
      <c r="W1336" s="49" t="s">
        <v>68</v>
      </c>
    </row>
    <row r="1337" spans="1:23" ht="13" customHeight="1" x14ac:dyDescent="0.35">
      <c r="A1337" s="11">
        <v>1331</v>
      </c>
      <c r="B1337" s="47">
        <v>203875091</v>
      </c>
      <c r="C1337" s="94" t="s">
        <v>1569</v>
      </c>
      <c r="D1337" s="11" t="s">
        <v>1570</v>
      </c>
      <c r="E1337" s="48" t="s">
        <v>31</v>
      </c>
      <c r="F1337" s="48" t="s">
        <v>74</v>
      </c>
      <c r="G1337" s="11" t="s">
        <v>66</v>
      </c>
      <c r="H1337" s="11" t="s">
        <v>1339</v>
      </c>
      <c r="I1337" s="11">
        <v>1181</v>
      </c>
      <c r="J1337" s="49" t="s">
        <v>39</v>
      </c>
      <c r="K1337" s="49" t="s">
        <v>76</v>
      </c>
      <c r="L1337" s="49" t="s">
        <v>84</v>
      </c>
      <c r="M1337" s="49" t="s">
        <v>85</v>
      </c>
      <c r="N1337" s="48" t="s">
        <v>79</v>
      </c>
      <c r="O1337" s="49" t="s">
        <v>68</v>
      </c>
      <c r="P1337" s="11" t="s">
        <v>1450</v>
      </c>
      <c r="Q1337" s="11" t="s">
        <v>81</v>
      </c>
      <c r="R1337" s="11" t="s">
        <v>2736</v>
      </c>
      <c r="S1337" s="11" t="s">
        <v>2737</v>
      </c>
      <c r="T1337" s="90" t="s">
        <v>1</v>
      </c>
      <c r="U1337" s="89"/>
      <c r="V1337" s="51">
        <v>45530</v>
      </c>
      <c r="W1337" s="49" t="s">
        <v>68</v>
      </c>
    </row>
    <row r="1338" spans="1:23" ht="13" customHeight="1" x14ac:dyDescent="0.35">
      <c r="A1338" s="11">
        <v>1332</v>
      </c>
      <c r="B1338" s="47">
        <v>203875185</v>
      </c>
      <c r="C1338" s="94" t="s">
        <v>1571</v>
      </c>
      <c r="D1338" s="11" t="s">
        <v>1572</v>
      </c>
      <c r="E1338" s="48" t="s">
        <v>31</v>
      </c>
      <c r="F1338" s="48" t="s">
        <v>74</v>
      </c>
      <c r="G1338" s="11" t="s">
        <v>66</v>
      </c>
      <c r="H1338" s="11" t="s">
        <v>1339</v>
      </c>
      <c r="I1338" s="11">
        <v>1181</v>
      </c>
      <c r="J1338" s="49" t="s">
        <v>39</v>
      </c>
      <c r="K1338" s="49" t="s">
        <v>76</v>
      </c>
      <c r="L1338" s="49" t="s">
        <v>95</v>
      </c>
      <c r="M1338" s="49" t="s">
        <v>77</v>
      </c>
      <c r="N1338" s="48" t="s">
        <v>79</v>
      </c>
      <c r="O1338" s="49" t="s">
        <v>68</v>
      </c>
      <c r="P1338" s="11" t="s">
        <v>1450</v>
      </c>
      <c r="Q1338" s="11" t="s">
        <v>81</v>
      </c>
      <c r="R1338" s="11" t="s">
        <v>2736</v>
      </c>
      <c r="S1338" s="11" t="s">
        <v>2737</v>
      </c>
      <c r="T1338" s="90" t="s">
        <v>1</v>
      </c>
      <c r="U1338" s="90"/>
      <c r="V1338" s="51">
        <v>45530</v>
      </c>
      <c r="W1338" s="49" t="s">
        <v>68</v>
      </c>
    </row>
    <row r="1339" spans="1:23" ht="13" customHeight="1" x14ac:dyDescent="0.35">
      <c r="A1339" s="11">
        <v>1333</v>
      </c>
      <c r="B1339" s="47">
        <v>203875186</v>
      </c>
      <c r="C1339" s="94" t="s">
        <v>1573</v>
      </c>
      <c r="D1339" s="11" t="s">
        <v>1574</v>
      </c>
      <c r="E1339" s="48" t="s">
        <v>31</v>
      </c>
      <c r="F1339" s="48" t="s">
        <v>74</v>
      </c>
      <c r="G1339" s="11" t="s">
        <v>66</v>
      </c>
      <c r="H1339" s="11" t="s">
        <v>1339</v>
      </c>
      <c r="I1339" s="11">
        <v>1181</v>
      </c>
      <c r="J1339" s="49" t="s">
        <v>39</v>
      </c>
      <c r="K1339" s="49" t="s">
        <v>76</v>
      </c>
      <c r="L1339" s="49" t="s">
        <v>77</v>
      </c>
      <c r="M1339" s="49" t="s">
        <v>78</v>
      </c>
      <c r="N1339" s="48" t="s">
        <v>79</v>
      </c>
      <c r="O1339" s="49" t="s">
        <v>68</v>
      </c>
      <c r="P1339" s="11" t="s">
        <v>1450</v>
      </c>
      <c r="Q1339" s="11" t="s">
        <v>81</v>
      </c>
      <c r="R1339" s="11" t="s">
        <v>2736</v>
      </c>
      <c r="S1339" s="11" t="s">
        <v>2737</v>
      </c>
      <c r="T1339" s="90" t="s">
        <v>1</v>
      </c>
      <c r="U1339" s="90"/>
      <c r="V1339" s="51">
        <v>45528</v>
      </c>
      <c r="W1339" s="49" t="s">
        <v>68</v>
      </c>
    </row>
    <row r="1340" spans="1:23" ht="13" customHeight="1" x14ac:dyDescent="0.35">
      <c r="A1340" s="11">
        <v>1334</v>
      </c>
      <c r="B1340" s="47">
        <v>206868000</v>
      </c>
      <c r="C1340" s="94" t="s">
        <v>2869</v>
      </c>
      <c r="D1340" s="11" t="s">
        <v>2870</v>
      </c>
      <c r="E1340" s="48" t="s">
        <v>31</v>
      </c>
      <c r="F1340" s="48" t="s">
        <v>74</v>
      </c>
      <c r="G1340" s="11" t="s">
        <v>64</v>
      </c>
      <c r="H1340" s="11" t="s">
        <v>75</v>
      </c>
      <c r="I1340" s="11">
        <v>1299</v>
      </c>
      <c r="J1340" s="11" t="s">
        <v>39</v>
      </c>
      <c r="K1340" s="11" t="s">
        <v>76</v>
      </c>
      <c r="L1340" s="11" t="s">
        <v>78</v>
      </c>
      <c r="M1340" s="11" t="s">
        <v>92</v>
      </c>
      <c r="N1340" s="11" t="s">
        <v>89</v>
      </c>
      <c r="O1340" s="11" t="s">
        <v>37</v>
      </c>
      <c r="P1340" s="11" t="s">
        <v>80</v>
      </c>
      <c r="Q1340" s="11" t="s">
        <v>81</v>
      </c>
      <c r="R1340" s="11" t="s">
        <v>632</v>
      </c>
      <c r="S1340" s="11" t="s">
        <v>633</v>
      </c>
      <c r="T1340" s="90" t="s">
        <v>1</v>
      </c>
      <c r="U1340" s="89"/>
      <c r="V1340" s="51">
        <v>46238</v>
      </c>
      <c r="W1340" s="11" t="s">
        <v>1586</v>
      </c>
    </row>
    <row r="1341" spans="1:23" ht="13" customHeight="1" x14ac:dyDescent="0.35">
      <c r="A1341" s="11">
        <v>1335</v>
      </c>
      <c r="B1341" s="47">
        <v>206897671</v>
      </c>
      <c r="C1341" s="94" t="s">
        <v>2871</v>
      </c>
      <c r="D1341" s="11" t="s">
        <v>2872</v>
      </c>
      <c r="E1341" s="48" t="s">
        <v>31</v>
      </c>
      <c r="F1341" s="48" t="s">
        <v>74</v>
      </c>
      <c r="G1341" s="11" t="s">
        <v>64</v>
      </c>
      <c r="H1341" s="11" t="s">
        <v>75</v>
      </c>
      <c r="I1341" s="11">
        <v>1299</v>
      </c>
      <c r="J1341" s="11" t="s">
        <v>39</v>
      </c>
      <c r="K1341" s="11" t="s">
        <v>76</v>
      </c>
      <c r="L1341" s="11" t="s">
        <v>92</v>
      </c>
      <c r="M1341" s="11" t="s">
        <v>84</v>
      </c>
      <c r="N1341" s="11" t="s">
        <v>89</v>
      </c>
      <c r="O1341" s="11" t="s">
        <v>37</v>
      </c>
      <c r="P1341" s="11" t="s">
        <v>80</v>
      </c>
      <c r="Q1341" s="11" t="s">
        <v>81</v>
      </c>
      <c r="R1341" s="11" t="s">
        <v>632</v>
      </c>
      <c r="S1341" s="11" t="s">
        <v>633</v>
      </c>
      <c r="T1341" s="90" t="s">
        <v>1</v>
      </c>
      <c r="U1341" s="89"/>
      <c r="V1341" s="51">
        <v>46238</v>
      </c>
      <c r="W1341" s="11" t="s">
        <v>1586</v>
      </c>
    </row>
    <row r="1342" spans="1:23" ht="13" customHeight="1" x14ac:dyDescent="0.35">
      <c r="A1342" s="11">
        <v>1336</v>
      </c>
      <c r="B1342" s="47">
        <v>206897640</v>
      </c>
      <c r="C1342" s="94" t="s">
        <v>2873</v>
      </c>
      <c r="D1342" s="11" t="s">
        <v>2874</v>
      </c>
      <c r="E1342" s="48" t="s">
        <v>31</v>
      </c>
      <c r="F1342" s="48" t="s">
        <v>74</v>
      </c>
      <c r="G1342" s="11" t="s">
        <v>64</v>
      </c>
      <c r="H1342" s="11" t="s">
        <v>75</v>
      </c>
      <c r="I1342" s="11">
        <v>1299</v>
      </c>
      <c r="J1342" s="11" t="s">
        <v>39</v>
      </c>
      <c r="K1342" s="11" t="s">
        <v>76</v>
      </c>
      <c r="L1342" s="11" t="s">
        <v>78</v>
      </c>
      <c r="M1342" s="11" t="s">
        <v>92</v>
      </c>
      <c r="N1342" s="11" t="s">
        <v>89</v>
      </c>
      <c r="O1342" s="11" t="s">
        <v>37</v>
      </c>
      <c r="P1342" s="11" t="s">
        <v>80</v>
      </c>
      <c r="Q1342" s="11" t="s">
        <v>81</v>
      </c>
      <c r="R1342" s="11" t="s">
        <v>632</v>
      </c>
      <c r="S1342" s="11" t="s">
        <v>633</v>
      </c>
      <c r="T1342" s="90" t="s">
        <v>1</v>
      </c>
      <c r="U1342" s="89"/>
      <c r="V1342" s="51">
        <v>46238</v>
      </c>
      <c r="W1342" s="11" t="s">
        <v>1586</v>
      </c>
    </row>
    <row r="1343" spans="1:23" ht="13" customHeight="1" x14ac:dyDescent="0.35">
      <c r="A1343" s="11">
        <v>1337</v>
      </c>
      <c r="B1343" s="47">
        <v>206136735</v>
      </c>
      <c r="C1343" s="94" t="s">
        <v>2875</v>
      </c>
      <c r="D1343" s="11" t="s">
        <v>2876</v>
      </c>
      <c r="E1343" s="48" t="s">
        <v>31</v>
      </c>
      <c r="F1343" s="48" t="s">
        <v>74</v>
      </c>
      <c r="G1343" s="11" t="s">
        <v>64</v>
      </c>
      <c r="H1343" s="11" t="s">
        <v>75</v>
      </c>
      <c r="I1343" s="11">
        <v>1299</v>
      </c>
      <c r="J1343" s="11" t="s">
        <v>39</v>
      </c>
      <c r="K1343" s="11" t="s">
        <v>76</v>
      </c>
      <c r="L1343" s="11" t="s">
        <v>92</v>
      </c>
      <c r="M1343" s="11" t="s">
        <v>84</v>
      </c>
      <c r="N1343" s="11" t="s">
        <v>89</v>
      </c>
      <c r="O1343" s="11" t="s">
        <v>37</v>
      </c>
      <c r="P1343" s="11" t="s">
        <v>80</v>
      </c>
      <c r="Q1343" s="11" t="s">
        <v>96</v>
      </c>
      <c r="R1343" s="11" t="s">
        <v>1069</v>
      </c>
      <c r="S1343" s="11" t="s">
        <v>2733</v>
      </c>
      <c r="T1343" s="90" t="s">
        <v>1</v>
      </c>
      <c r="U1343" s="90"/>
      <c r="V1343" s="51">
        <v>46238</v>
      </c>
      <c r="W1343" s="11" t="s">
        <v>1586</v>
      </c>
    </row>
    <row r="1344" spans="1:23" ht="13" customHeight="1" x14ac:dyDescent="0.35">
      <c r="A1344" s="11">
        <v>1338</v>
      </c>
      <c r="B1344" s="47">
        <v>205231290</v>
      </c>
      <c r="C1344" s="94" t="s">
        <v>2877</v>
      </c>
      <c r="D1344" s="11" t="s">
        <v>2878</v>
      </c>
      <c r="E1344" s="48" t="s">
        <v>31</v>
      </c>
      <c r="F1344" s="48" t="s">
        <v>74</v>
      </c>
      <c r="G1344" s="11" t="s">
        <v>64</v>
      </c>
      <c r="H1344" s="11" t="s">
        <v>75</v>
      </c>
      <c r="I1344" s="11">
        <v>1299</v>
      </c>
      <c r="J1344" s="11" t="s">
        <v>39</v>
      </c>
      <c r="K1344" s="11" t="s">
        <v>76</v>
      </c>
      <c r="L1344" s="11" t="s">
        <v>88</v>
      </c>
      <c r="M1344" s="11" t="s">
        <v>95</v>
      </c>
      <c r="N1344" s="11" t="s">
        <v>89</v>
      </c>
      <c r="O1344" s="11" t="s">
        <v>37</v>
      </c>
      <c r="P1344" s="11" t="s">
        <v>80</v>
      </c>
      <c r="Q1344" s="11" t="s">
        <v>96</v>
      </c>
      <c r="R1344" s="11" t="s">
        <v>1069</v>
      </c>
      <c r="S1344" s="11" t="s">
        <v>2733</v>
      </c>
      <c r="T1344" s="90" t="s">
        <v>10</v>
      </c>
      <c r="U1344" s="89"/>
      <c r="V1344" s="51">
        <v>46238</v>
      </c>
      <c r="W1344" s="11" t="s">
        <v>1585</v>
      </c>
    </row>
    <row r="1345" spans="1:23" ht="13" customHeight="1" x14ac:dyDescent="0.35">
      <c r="A1345" s="11">
        <v>1339</v>
      </c>
      <c r="B1345" s="47">
        <v>205252357</v>
      </c>
      <c r="C1345" s="94" t="s">
        <v>2879</v>
      </c>
      <c r="D1345" s="11" t="s">
        <v>2880</v>
      </c>
      <c r="E1345" s="48" t="s">
        <v>31</v>
      </c>
      <c r="F1345" s="48" t="s">
        <v>74</v>
      </c>
      <c r="G1345" s="11" t="s">
        <v>64</v>
      </c>
      <c r="H1345" s="11" t="s">
        <v>75</v>
      </c>
      <c r="I1345" s="11">
        <v>1299</v>
      </c>
      <c r="J1345" s="11" t="s">
        <v>39</v>
      </c>
      <c r="K1345" s="11" t="s">
        <v>76</v>
      </c>
      <c r="L1345" s="11" t="s">
        <v>77</v>
      </c>
      <c r="M1345" s="11" t="s">
        <v>78</v>
      </c>
      <c r="N1345" s="11" t="s">
        <v>89</v>
      </c>
      <c r="O1345" s="11" t="s">
        <v>37</v>
      </c>
      <c r="P1345" s="11" t="s">
        <v>80</v>
      </c>
      <c r="Q1345" s="11" t="s">
        <v>96</v>
      </c>
      <c r="R1345" s="11" t="s">
        <v>1069</v>
      </c>
      <c r="S1345" s="11" t="s">
        <v>2733</v>
      </c>
      <c r="T1345" s="90" t="s">
        <v>1</v>
      </c>
      <c r="U1345" s="89"/>
      <c r="V1345" s="51">
        <v>46238</v>
      </c>
      <c r="W1345" s="11" t="s">
        <v>1585</v>
      </c>
    </row>
    <row r="1346" spans="1:23" ht="13" customHeight="1" x14ac:dyDescent="0.35">
      <c r="A1346" s="11">
        <v>1340</v>
      </c>
      <c r="B1346" s="47">
        <v>206192232</v>
      </c>
      <c r="C1346" s="94" t="s">
        <v>2881</v>
      </c>
      <c r="D1346" s="11" t="s">
        <v>2882</v>
      </c>
      <c r="E1346" s="48" t="s">
        <v>31</v>
      </c>
      <c r="F1346" s="48" t="s">
        <v>74</v>
      </c>
      <c r="G1346" s="11" t="s">
        <v>64</v>
      </c>
      <c r="H1346" s="11" t="s">
        <v>75</v>
      </c>
      <c r="I1346" s="11">
        <v>1299</v>
      </c>
      <c r="J1346" s="11" t="s">
        <v>39</v>
      </c>
      <c r="K1346" s="11" t="s">
        <v>76</v>
      </c>
      <c r="L1346" s="11" t="s">
        <v>78</v>
      </c>
      <c r="M1346" s="11" t="s">
        <v>92</v>
      </c>
      <c r="N1346" s="11" t="s">
        <v>89</v>
      </c>
      <c r="O1346" s="11" t="s">
        <v>37</v>
      </c>
      <c r="P1346" s="11" t="s">
        <v>80</v>
      </c>
      <c r="Q1346" s="11" t="s">
        <v>96</v>
      </c>
      <c r="R1346" s="11" t="s">
        <v>1069</v>
      </c>
      <c r="S1346" s="11" t="s">
        <v>2733</v>
      </c>
      <c r="T1346" s="90" t="s">
        <v>1</v>
      </c>
      <c r="U1346" s="91"/>
      <c r="V1346" s="51">
        <v>46238</v>
      </c>
      <c r="W1346" s="11" t="s">
        <v>1585</v>
      </c>
    </row>
    <row r="1347" spans="1:23" ht="13" customHeight="1" x14ac:dyDescent="0.35">
      <c r="A1347" s="11">
        <v>1341</v>
      </c>
      <c r="B1347" s="47">
        <v>206491343</v>
      </c>
      <c r="C1347" s="94" t="s">
        <v>2883</v>
      </c>
      <c r="D1347" s="11" t="s">
        <v>2884</v>
      </c>
      <c r="E1347" s="48" t="s">
        <v>31</v>
      </c>
      <c r="F1347" s="48" t="s">
        <v>74</v>
      </c>
      <c r="G1347" s="11" t="s">
        <v>64</v>
      </c>
      <c r="H1347" s="11" t="s">
        <v>75</v>
      </c>
      <c r="I1347" s="11">
        <v>1299</v>
      </c>
      <c r="J1347" s="11" t="s">
        <v>39</v>
      </c>
      <c r="K1347" s="11" t="s">
        <v>76</v>
      </c>
      <c r="L1347" s="11" t="s">
        <v>92</v>
      </c>
      <c r="M1347" s="11" t="s">
        <v>84</v>
      </c>
      <c r="N1347" s="11" t="s">
        <v>89</v>
      </c>
      <c r="O1347" s="11" t="s">
        <v>37</v>
      </c>
      <c r="P1347" s="11" t="s">
        <v>80</v>
      </c>
      <c r="Q1347" s="11" t="s">
        <v>96</v>
      </c>
      <c r="R1347" s="11" t="s">
        <v>1069</v>
      </c>
      <c r="S1347" s="11" t="s">
        <v>2733</v>
      </c>
      <c r="T1347" s="90" t="s">
        <v>1</v>
      </c>
      <c r="U1347" s="90"/>
      <c r="V1347" s="51">
        <v>46238</v>
      </c>
      <c r="W1347" s="11" t="s">
        <v>1585</v>
      </c>
    </row>
    <row r="1348" spans="1:23" ht="13" customHeight="1" x14ac:dyDescent="0.35">
      <c r="A1348" s="11">
        <v>1342</v>
      </c>
      <c r="B1348" s="47">
        <v>206128578</v>
      </c>
      <c r="C1348" s="94" t="s">
        <v>2885</v>
      </c>
      <c r="D1348" s="11" t="s">
        <v>2886</v>
      </c>
      <c r="E1348" s="48" t="s">
        <v>31</v>
      </c>
      <c r="F1348" s="48" t="s">
        <v>74</v>
      </c>
      <c r="G1348" s="11" t="s">
        <v>64</v>
      </c>
      <c r="H1348" s="11" t="s">
        <v>75</v>
      </c>
      <c r="I1348" s="11">
        <v>1299</v>
      </c>
      <c r="J1348" s="11" t="s">
        <v>39</v>
      </c>
      <c r="K1348" s="11" t="s">
        <v>76</v>
      </c>
      <c r="L1348" s="11" t="s">
        <v>84</v>
      </c>
      <c r="M1348" s="11" t="s">
        <v>85</v>
      </c>
      <c r="N1348" s="11" t="s">
        <v>89</v>
      </c>
      <c r="O1348" s="11" t="s">
        <v>37</v>
      </c>
      <c r="P1348" s="11" t="s">
        <v>80</v>
      </c>
      <c r="Q1348" s="11" t="s">
        <v>96</v>
      </c>
      <c r="R1348" s="11" t="s">
        <v>1069</v>
      </c>
      <c r="S1348" s="11" t="s">
        <v>2733</v>
      </c>
      <c r="T1348" s="90" t="s">
        <v>1</v>
      </c>
      <c r="U1348" s="89"/>
      <c r="V1348" s="51">
        <v>46238</v>
      </c>
      <c r="W1348" s="11" t="s">
        <v>1585</v>
      </c>
    </row>
    <row r="1349" spans="1:23" ht="13" customHeight="1" x14ac:dyDescent="0.35">
      <c r="A1349" s="11">
        <v>1343</v>
      </c>
      <c r="B1349" s="47">
        <v>206136722</v>
      </c>
      <c r="C1349" s="94" t="s">
        <v>2887</v>
      </c>
      <c r="D1349" s="11" t="s">
        <v>2888</v>
      </c>
      <c r="E1349" s="48" t="s">
        <v>31</v>
      </c>
      <c r="F1349" s="48" t="s">
        <v>74</v>
      </c>
      <c r="G1349" s="11" t="s">
        <v>64</v>
      </c>
      <c r="H1349" s="11" t="s">
        <v>75</v>
      </c>
      <c r="I1349" s="11">
        <v>1299</v>
      </c>
      <c r="J1349" s="11" t="s">
        <v>39</v>
      </c>
      <c r="K1349" s="11" t="s">
        <v>76</v>
      </c>
      <c r="L1349" s="11" t="s">
        <v>85</v>
      </c>
      <c r="M1349" s="11" t="s">
        <v>88</v>
      </c>
      <c r="N1349" s="11" t="s">
        <v>89</v>
      </c>
      <c r="O1349" s="11" t="s">
        <v>37</v>
      </c>
      <c r="P1349" s="11" t="s">
        <v>80</v>
      </c>
      <c r="Q1349" s="11" t="s">
        <v>96</v>
      </c>
      <c r="R1349" s="11" t="s">
        <v>1069</v>
      </c>
      <c r="S1349" s="11" t="s">
        <v>2733</v>
      </c>
      <c r="T1349" s="90" t="s">
        <v>10</v>
      </c>
      <c r="U1349" s="91"/>
      <c r="V1349" s="51">
        <v>46238</v>
      </c>
      <c r="W1349" s="11" t="s">
        <v>1585</v>
      </c>
    </row>
    <row r="1350" spans="1:23" ht="13" customHeight="1" x14ac:dyDescent="0.35">
      <c r="A1350" s="11">
        <v>1344</v>
      </c>
      <c r="B1350" s="47">
        <v>205252356</v>
      </c>
      <c r="C1350" s="94" t="s">
        <v>2889</v>
      </c>
      <c r="D1350" s="11" t="s">
        <v>2890</v>
      </c>
      <c r="E1350" s="48" t="s">
        <v>31</v>
      </c>
      <c r="F1350" s="48" t="s">
        <v>74</v>
      </c>
      <c r="G1350" s="11" t="s">
        <v>64</v>
      </c>
      <c r="H1350" s="11" t="s">
        <v>75</v>
      </c>
      <c r="I1350" s="11">
        <v>1299</v>
      </c>
      <c r="J1350" s="11" t="s">
        <v>39</v>
      </c>
      <c r="K1350" s="11" t="s">
        <v>76</v>
      </c>
      <c r="L1350" s="11" t="s">
        <v>78</v>
      </c>
      <c r="M1350" s="11" t="s">
        <v>92</v>
      </c>
      <c r="N1350" s="11" t="s">
        <v>89</v>
      </c>
      <c r="O1350" s="11" t="s">
        <v>37</v>
      </c>
      <c r="P1350" s="11" t="s">
        <v>80</v>
      </c>
      <c r="Q1350" s="11" t="s">
        <v>96</v>
      </c>
      <c r="R1350" s="11" t="s">
        <v>1069</v>
      </c>
      <c r="S1350" s="11" t="s">
        <v>2733</v>
      </c>
      <c r="T1350" s="90" t="s">
        <v>1</v>
      </c>
      <c r="U1350" s="90"/>
      <c r="V1350" s="51">
        <v>46238</v>
      </c>
      <c r="W1350" s="11" t="s">
        <v>1584</v>
      </c>
    </row>
    <row r="1351" spans="1:23" ht="13" customHeight="1" x14ac:dyDescent="0.35">
      <c r="A1351" s="11">
        <v>1345</v>
      </c>
      <c r="B1351" s="47">
        <v>205252538</v>
      </c>
      <c r="C1351" s="94" t="s">
        <v>2891</v>
      </c>
      <c r="D1351" s="11" t="s">
        <v>2892</v>
      </c>
      <c r="E1351" s="48" t="s">
        <v>31</v>
      </c>
      <c r="F1351" s="48" t="s">
        <v>74</v>
      </c>
      <c r="G1351" s="11" t="s">
        <v>64</v>
      </c>
      <c r="H1351" s="11" t="s">
        <v>75</v>
      </c>
      <c r="I1351" s="11">
        <v>1299</v>
      </c>
      <c r="J1351" s="11" t="s">
        <v>39</v>
      </c>
      <c r="K1351" s="11" t="s">
        <v>76</v>
      </c>
      <c r="L1351" s="11" t="s">
        <v>92</v>
      </c>
      <c r="M1351" s="11" t="s">
        <v>84</v>
      </c>
      <c r="N1351" s="11" t="s">
        <v>89</v>
      </c>
      <c r="O1351" s="11" t="s">
        <v>37</v>
      </c>
      <c r="P1351" s="11" t="s">
        <v>80</v>
      </c>
      <c r="Q1351" s="11" t="s">
        <v>96</v>
      </c>
      <c r="R1351" s="11" t="s">
        <v>1069</v>
      </c>
      <c r="S1351" s="11" t="s">
        <v>2733</v>
      </c>
      <c r="T1351" s="90" t="s">
        <v>1</v>
      </c>
      <c r="U1351" s="91"/>
      <c r="V1351" s="51">
        <v>46238</v>
      </c>
      <c r="W1351" s="11" t="s">
        <v>1584</v>
      </c>
    </row>
    <row r="1352" spans="1:23" ht="13" customHeight="1" x14ac:dyDescent="0.35">
      <c r="A1352" s="11">
        <v>1346</v>
      </c>
      <c r="B1352" s="47">
        <v>205199356</v>
      </c>
      <c r="C1352" s="94" t="s">
        <v>2893</v>
      </c>
      <c r="D1352" s="11" t="s">
        <v>2894</v>
      </c>
      <c r="E1352" s="48" t="s">
        <v>31</v>
      </c>
      <c r="F1352" s="48" t="s">
        <v>74</v>
      </c>
      <c r="G1352" s="11" t="s">
        <v>64</v>
      </c>
      <c r="H1352" s="11" t="s">
        <v>75</v>
      </c>
      <c r="I1352" s="11">
        <v>1299</v>
      </c>
      <c r="J1352" s="11" t="s">
        <v>39</v>
      </c>
      <c r="K1352" s="11" t="s">
        <v>76</v>
      </c>
      <c r="L1352" s="11" t="s">
        <v>84</v>
      </c>
      <c r="M1352" s="11" t="s">
        <v>85</v>
      </c>
      <c r="N1352" s="11" t="s">
        <v>89</v>
      </c>
      <c r="O1352" s="11" t="s">
        <v>37</v>
      </c>
      <c r="P1352" s="11" t="s">
        <v>80</v>
      </c>
      <c r="Q1352" s="11" t="s">
        <v>96</v>
      </c>
      <c r="R1352" s="11" t="s">
        <v>1069</v>
      </c>
      <c r="S1352" s="11" t="s">
        <v>2733</v>
      </c>
      <c r="T1352" s="90" t="s">
        <v>1</v>
      </c>
      <c r="U1352" s="90"/>
      <c r="V1352" s="51">
        <v>46238</v>
      </c>
      <c r="W1352" s="11" t="s">
        <v>1584</v>
      </c>
    </row>
    <row r="1353" spans="1:23" ht="13" customHeight="1" x14ac:dyDescent="0.35">
      <c r="A1353" s="11">
        <v>1347</v>
      </c>
      <c r="B1353" s="47">
        <v>206230579</v>
      </c>
      <c r="C1353" s="94" t="s">
        <v>2895</v>
      </c>
      <c r="D1353" s="11" t="s">
        <v>2896</v>
      </c>
      <c r="E1353" s="48" t="s">
        <v>31</v>
      </c>
      <c r="F1353" s="48" t="s">
        <v>74</v>
      </c>
      <c r="G1353" s="11" t="s">
        <v>64</v>
      </c>
      <c r="H1353" s="11" t="s">
        <v>75</v>
      </c>
      <c r="I1353" s="11">
        <v>1299</v>
      </c>
      <c r="J1353" s="11" t="s">
        <v>39</v>
      </c>
      <c r="K1353" s="11" t="s">
        <v>76</v>
      </c>
      <c r="L1353" s="11" t="s">
        <v>85</v>
      </c>
      <c r="M1353" s="11" t="s">
        <v>88</v>
      </c>
      <c r="N1353" s="11" t="s">
        <v>89</v>
      </c>
      <c r="O1353" s="11" t="s">
        <v>37</v>
      </c>
      <c r="P1353" s="11" t="s">
        <v>80</v>
      </c>
      <c r="Q1353" s="11" t="s">
        <v>96</v>
      </c>
      <c r="R1353" s="11" t="s">
        <v>1069</v>
      </c>
      <c r="S1353" s="11" t="s">
        <v>2733</v>
      </c>
      <c r="T1353" s="90" t="s">
        <v>10</v>
      </c>
      <c r="U1353" s="89"/>
      <c r="V1353" s="51">
        <v>46238</v>
      </c>
      <c r="W1353" s="11" t="s">
        <v>1584</v>
      </c>
    </row>
    <row r="1354" spans="1:23" ht="13" customHeight="1" x14ac:dyDescent="0.35">
      <c r="A1354" s="11">
        <v>1348</v>
      </c>
      <c r="B1354" s="47">
        <v>206491328</v>
      </c>
      <c r="C1354" s="94" t="s">
        <v>2897</v>
      </c>
      <c r="D1354" s="11" t="s">
        <v>2898</v>
      </c>
      <c r="E1354" s="48" t="s">
        <v>31</v>
      </c>
      <c r="F1354" s="48" t="s">
        <v>74</v>
      </c>
      <c r="G1354" s="11" t="s">
        <v>64</v>
      </c>
      <c r="H1354" s="11" t="s">
        <v>75</v>
      </c>
      <c r="I1354" s="11">
        <v>1299</v>
      </c>
      <c r="J1354" s="11" t="s">
        <v>39</v>
      </c>
      <c r="K1354" s="11" t="s">
        <v>76</v>
      </c>
      <c r="L1354" s="11" t="s">
        <v>88</v>
      </c>
      <c r="M1354" s="11" t="s">
        <v>95</v>
      </c>
      <c r="N1354" s="11" t="s">
        <v>89</v>
      </c>
      <c r="O1354" s="11" t="s">
        <v>37</v>
      </c>
      <c r="P1354" s="11" t="s">
        <v>80</v>
      </c>
      <c r="Q1354" s="11" t="s">
        <v>96</v>
      </c>
      <c r="R1354" s="11" t="s">
        <v>1069</v>
      </c>
      <c r="S1354" s="11" t="s">
        <v>2733</v>
      </c>
      <c r="T1354" s="90" t="s">
        <v>10</v>
      </c>
      <c r="U1354" s="89"/>
      <c r="V1354" s="51">
        <v>46238</v>
      </c>
      <c r="W1354" s="11" t="s">
        <v>1584</v>
      </c>
    </row>
    <row r="1355" spans="1:23" ht="13" customHeight="1" x14ac:dyDescent="0.35">
      <c r="A1355" s="11">
        <v>1349</v>
      </c>
      <c r="B1355" s="47">
        <v>206240253</v>
      </c>
      <c r="C1355" s="94" t="s">
        <v>2899</v>
      </c>
      <c r="D1355" s="11" t="s">
        <v>2900</v>
      </c>
      <c r="E1355" s="48" t="s">
        <v>31</v>
      </c>
      <c r="F1355" s="48" t="s">
        <v>74</v>
      </c>
      <c r="G1355" s="11" t="s">
        <v>64</v>
      </c>
      <c r="H1355" s="11" t="s">
        <v>75</v>
      </c>
      <c r="I1355" s="11">
        <v>1299</v>
      </c>
      <c r="J1355" s="11" t="s">
        <v>39</v>
      </c>
      <c r="K1355" s="11" t="s">
        <v>76</v>
      </c>
      <c r="L1355" s="11" t="s">
        <v>77</v>
      </c>
      <c r="M1355" s="11" t="s">
        <v>78</v>
      </c>
      <c r="N1355" s="11" t="s">
        <v>89</v>
      </c>
      <c r="O1355" s="11" t="s">
        <v>37</v>
      </c>
      <c r="P1355" s="11" t="s">
        <v>80</v>
      </c>
      <c r="Q1355" s="11" t="s">
        <v>96</v>
      </c>
      <c r="R1355" s="11" t="s">
        <v>1069</v>
      </c>
      <c r="S1355" s="11" t="s">
        <v>2733</v>
      </c>
      <c r="T1355" s="90" t="s">
        <v>1</v>
      </c>
      <c r="U1355" s="91"/>
      <c r="V1355" s="51">
        <v>46238</v>
      </c>
      <c r="W1355" s="11" t="s">
        <v>1584</v>
      </c>
    </row>
    <row r="1356" spans="1:23" ht="13" customHeight="1" x14ac:dyDescent="0.35">
      <c r="A1356" s="11">
        <v>1350</v>
      </c>
      <c r="B1356" s="47">
        <v>206930331</v>
      </c>
      <c r="C1356" s="94" t="s">
        <v>2901</v>
      </c>
      <c r="D1356" s="11" t="s">
        <v>2902</v>
      </c>
      <c r="E1356" s="48" t="s">
        <v>31</v>
      </c>
      <c r="F1356" s="48" t="s">
        <v>74</v>
      </c>
      <c r="G1356" s="11" t="s">
        <v>64</v>
      </c>
      <c r="H1356" s="11" t="s">
        <v>75</v>
      </c>
      <c r="I1356" s="11">
        <v>1299</v>
      </c>
      <c r="J1356" s="11" t="s">
        <v>39</v>
      </c>
      <c r="K1356" s="11" t="s">
        <v>76</v>
      </c>
      <c r="L1356" s="11" t="s">
        <v>78</v>
      </c>
      <c r="M1356" s="11" t="s">
        <v>92</v>
      </c>
      <c r="N1356" s="11" t="s">
        <v>89</v>
      </c>
      <c r="O1356" s="11" t="s">
        <v>37</v>
      </c>
      <c r="P1356" s="11" t="s">
        <v>80</v>
      </c>
      <c r="Q1356" s="11" t="s">
        <v>96</v>
      </c>
      <c r="R1356" s="11" t="s">
        <v>1069</v>
      </c>
      <c r="S1356" s="11" t="s">
        <v>2733</v>
      </c>
      <c r="T1356" s="90" t="s">
        <v>1</v>
      </c>
      <c r="U1356" s="90"/>
      <c r="V1356" s="51">
        <v>46238</v>
      </c>
      <c r="W1356" s="11" t="s">
        <v>1584</v>
      </c>
    </row>
    <row r="1357" spans="1:23" ht="13" customHeight="1" x14ac:dyDescent="0.35">
      <c r="A1357" s="11">
        <v>1351</v>
      </c>
      <c r="B1357" s="47">
        <v>206868288</v>
      </c>
      <c r="C1357" s="94" t="s">
        <v>2909</v>
      </c>
      <c r="D1357" s="11" t="s">
        <v>2904</v>
      </c>
      <c r="E1357" s="48" t="s">
        <v>31</v>
      </c>
      <c r="F1357" s="48" t="s">
        <v>74</v>
      </c>
      <c r="G1357" s="11" t="s">
        <v>64</v>
      </c>
      <c r="H1357" s="11" t="s">
        <v>75</v>
      </c>
      <c r="I1357" s="11">
        <v>1299</v>
      </c>
      <c r="J1357" s="11" t="s">
        <v>39</v>
      </c>
      <c r="K1357" s="11" t="s">
        <v>76</v>
      </c>
      <c r="L1357" s="11" t="s">
        <v>84</v>
      </c>
      <c r="M1357" s="11" t="s">
        <v>85</v>
      </c>
      <c r="N1357" s="11" t="s">
        <v>89</v>
      </c>
      <c r="O1357" s="11" t="s">
        <v>37</v>
      </c>
      <c r="P1357" s="11" t="s">
        <v>80</v>
      </c>
      <c r="Q1357" s="11" t="s">
        <v>81</v>
      </c>
      <c r="R1357" s="11" t="s">
        <v>632</v>
      </c>
      <c r="S1357" s="11" t="s">
        <v>633</v>
      </c>
      <c r="T1357" s="90" t="s">
        <v>1</v>
      </c>
      <c r="U1357" s="89"/>
      <c r="V1357" s="51">
        <v>46239</v>
      </c>
      <c r="W1357" s="11" t="s">
        <v>1586</v>
      </c>
    </row>
    <row r="1358" spans="1:23" ht="13" customHeight="1" x14ac:dyDescent="0.35">
      <c r="A1358" s="11">
        <v>1352</v>
      </c>
      <c r="B1358" s="47">
        <v>206897649</v>
      </c>
      <c r="C1358" s="94" t="s">
        <v>2910</v>
      </c>
      <c r="D1358" s="11" t="s">
        <v>2905</v>
      </c>
      <c r="E1358" s="48" t="s">
        <v>31</v>
      </c>
      <c r="F1358" s="48" t="s">
        <v>74</v>
      </c>
      <c r="G1358" s="11" t="s">
        <v>64</v>
      </c>
      <c r="H1358" s="11" t="s">
        <v>75</v>
      </c>
      <c r="I1358" s="11">
        <v>1299</v>
      </c>
      <c r="J1358" s="11" t="s">
        <v>39</v>
      </c>
      <c r="K1358" s="11" t="s">
        <v>76</v>
      </c>
      <c r="L1358" s="11" t="s">
        <v>85</v>
      </c>
      <c r="M1358" s="11" t="s">
        <v>88</v>
      </c>
      <c r="N1358" s="11" t="s">
        <v>89</v>
      </c>
      <c r="O1358" s="11" t="s">
        <v>37</v>
      </c>
      <c r="P1358" s="11" t="s">
        <v>80</v>
      </c>
      <c r="Q1358" s="11" t="s">
        <v>81</v>
      </c>
      <c r="R1358" s="11" t="s">
        <v>632</v>
      </c>
      <c r="S1358" s="11" t="s">
        <v>633</v>
      </c>
      <c r="T1358" s="90" t="s">
        <v>10</v>
      </c>
      <c r="U1358" s="91"/>
      <c r="V1358" s="51">
        <v>46239</v>
      </c>
      <c r="W1358" s="11" t="s">
        <v>1586</v>
      </c>
    </row>
    <row r="1359" spans="1:23" ht="13" customHeight="1" x14ac:dyDescent="0.35">
      <c r="A1359" s="11">
        <v>1353</v>
      </c>
      <c r="B1359" s="47">
        <v>206868005</v>
      </c>
      <c r="C1359" s="94" t="s">
        <v>2911</v>
      </c>
      <c r="D1359" s="11" t="s">
        <v>2906</v>
      </c>
      <c r="E1359" s="48" t="s">
        <v>31</v>
      </c>
      <c r="F1359" s="48" t="s">
        <v>74</v>
      </c>
      <c r="G1359" s="11" t="s">
        <v>64</v>
      </c>
      <c r="H1359" s="11" t="s">
        <v>75</v>
      </c>
      <c r="I1359" s="11">
        <v>1299</v>
      </c>
      <c r="J1359" s="11" t="s">
        <v>39</v>
      </c>
      <c r="K1359" s="11" t="s">
        <v>76</v>
      </c>
      <c r="L1359" s="11" t="s">
        <v>88</v>
      </c>
      <c r="M1359" s="11" t="s">
        <v>95</v>
      </c>
      <c r="N1359" s="11" t="s">
        <v>89</v>
      </c>
      <c r="O1359" s="11" t="s">
        <v>37</v>
      </c>
      <c r="P1359" s="11" t="s">
        <v>80</v>
      </c>
      <c r="Q1359" s="11" t="s">
        <v>81</v>
      </c>
      <c r="R1359" s="11" t="s">
        <v>632</v>
      </c>
      <c r="S1359" s="11" t="s">
        <v>633</v>
      </c>
      <c r="T1359" s="90" t="s">
        <v>10</v>
      </c>
      <c r="U1359" s="90"/>
      <c r="V1359" s="51">
        <v>46239</v>
      </c>
      <c r="W1359" s="11" t="s">
        <v>1586</v>
      </c>
    </row>
    <row r="1360" spans="1:23" ht="13" customHeight="1" x14ac:dyDescent="0.35">
      <c r="A1360" s="11">
        <v>1354</v>
      </c>
      <c r="B1360" s="47">
        <v>206239524</v>
      </c>
      <c r="C1360" s="94" t="s">
        <v>2912</v>
      </c>
      <c r="D1360" s="11" t="s">
        <v>2907</v>
      </c>
      <c r="E1360" s="48" t="s">
        <v>31</v>
      </c>
      <c r="F1360" s="48" t="s">
        <v>74</v>
      </c>
      <c r="G1360" s="11" t="s">
        <v>64</v>
      </c>
      <c r="H1360" s="11" t="s">
        <v>75</v>
      </c>
      <c r="I1360" s="11">
        <v>1299</v>
      </c>
      <c r="J1360" s="11" t="s">
        <v>39</v>
      </c>
      <c r="K1360" s="11" t="s">
        <v>76</v>
      </c>
      <c r="L1360" s="11" t="s">
        <v>95</v>
      </c>
      <c r="M1360" s="11" t="s">
        <v>77</v>
      </c>
      <c r="N1360" s="11" t="s">
        <v>89</v>
      </c>
      <c r="O1360" s="11" t="s">
        <v>37</v>
      </c>
      <c r="P1360" s="11" t="s">
        <v>80</v>
      </c>
      <c r="Q1360" s="11" t="s">
        <v>81</v>
      </c>
      <c r="R1360" s="11" t="s">
        <v>632</v>
      </c>
      <c r="S1360" s="11" t="s">
        <v>633</v>
      </c>
      <c r="T1360" s="90" t="s">
        <v>1</v>
      </c>
      <c r="U1360" s="90"/>
      <c r="V1360" s="51">
        <v>46239</v>
      </c>
      <c r="W1360" s="11" t="s">
        <v>1586</v>
      </c>
    </row>
    <row r="1361" spans="1:23" ht="13" customHeight="1" x14ac:dyDescent="0.35">
      <c r="A1361" s="11">
        <v>1355</v>
      </c>
      <c r="B1361" s="47">
        <v>206136718</v>
      </c>
      <c r="C1361" s="94" t="s">
        <v>2913</v>
      </c>
      <c r="D1361" s="11" t="s">
        <v>2908</v>
      </c>
      <c r="E1361" s="48" t="s">
        <v>31</v>
      </c>
      <c r="F1361" s="48" t="s">
        <v>74</v>
      </c>
      <c r="G1361" s="11" t="s">
        <v>64</v>
      </c>
      <c r="H1361" s="11" t="s">
        <v>75</v>
      </c>
      <c r="I1361" s="11">
        <v>1299</v>
      </c>
      <c r="J1361" s="11" t="s">
        <v>39</v>
      </c>
      <c r="K1361" s="11" t="s">
        <v>76</v>
      </c>
      <c r="L1361" s="11" t="s">
        <v>84</v>
      </c>
      <c r="M1361" s="11" t="s">
        <v>85</v>
      </c>
      <c r="N1361" s="11" t="s">
        <v>89</v>
      </c>
      <c r="O1361" s="11" t="s">
        <v>37</v>
      </c>
      <c r="P1361" s="11" t="s">
        <v>80</v>
      </c>
      <c r="Q1361" s="11" t="s">
        <v>96</v>
      </c>
      <c r="R1361" s="11" t="s">
        <v>1069</v>
      </c>
      <c r="S1361" s="11" t="s">
        <v>2733</v>
      </c>
      <c r="T1361" s="90" t="s">
        <v>1</v>
      </c>
      <c r="U1361" s="90"/>
      <c r="V1361" s="51">
        <v>46239</v>
      </c>
      <c r="W1361" s="11" t="s">
        <v>1586</v>
      </c>
    </row>
    <row r="1362" spans="1:23" ht="13" customHeight="1" x14ac:dyDescent="0.35">
      <c r="A1362" s="11">
        <v>1356</v>
      </c>
      <c r="B1362" s="121">
        <v>205852635</v>
      </c>
      <c r="C1362" s="122" t="s">
        <v>2915</v>
      </c>
      <c r="D1362" s="11" t="s">
        <v>2916</v>
      </c>
      <c r="E1362" s="113" t="s">
        <v>31</v>
      </c>
      <c r="F1362" s="113" t="s">
        <v>74</v>
      </c>
      <c r="G1362" s="114" t="s">
        <v>64</v>
      </c>
      <c r="H1362" s="114" t="s">
        <v>75</v>
      </c>
      <c r="I1362" s="11">
        <v>1299</v>
      </c>
      <c r="J1362" s="11" t="s">
        <v>39</v>
      </c>
      <c r="K1362" s="115" t="s">
        <v>76</v>
      </c>
      <c r="L1362" s="115" t="s">
        <v>85</v>
      </c>
      <c r="M1362" s="115" t="s">
        <v>88</v>
      </c>
      <c r="N1362" s="113" t="s">
        <v>89</v>
      </c>
      <c r="O1362" s="115" t="s">
        <v>37</v>
      </c>
      <c r="P1362" s="114" t="s">
        <v>80</v>
      </c>
      <c r="Q1362" s="114" t="s">
        <v>96</v>
      </c>
      <c r="R1362" s="114" t="s">
        <v>1069</v>
      </c>
      <c r="S1362" s="114" t="s">
        <v>2733</v>
      </c>
      <c r="T1362" s="90" t="s">
        <v>10</v>
      </c>
      <c r="U1362" s="114"/>
      <c r="V1362" s="116">
        <v>46239</v>
      </c>
      <c r="W1362" s="117" t="s">
        <v>1586</v>
      </c>
    </row>
    <row r="1363" spans="1:23" ht="13" customHeight="1" x14ac:dyDescent="0.35">
      <c r="A1363" s="11">
        <v>1357</v>
      </c>
      <c r="B1363" s="123">
        <v>206238934</v>
      </c>
      <c r="C1363" s="124" t="s">
        <v>2917</v>
      </c>
      <c r="D1363" s="11" t="s">
        <v>2918</v>
      </c>
      <c r="E1363" s="118" t="s">
        <v>34</v>
      </c>
      <c r="F1363" s="118" t="s">
        <v>74</v>
      </c>
      <c r="G1363" s="114" t="s">
        <v>64</v>
      </c>
      <c r="H1363" s="114" t="s">
        <v>75</v>
      </c>
      <c r="I1363" s="11">
        <v>1299</v>
      </c>
      <c r="J1363" s="49" t="s">
        <v>32</v>
      </c>
      <c r="K1363" s="49" t="s">
        <v>76</v>
      </c>
      <c r="L1363" s="119" t="s">
        <v>77</v>
      </c>
      <c r="M1363" s="119" t="s">
        <v>78</v>
      </c>
      <c r="N1363" s="48" t="s">
        <v>1453</v>
      </c>
      <c r="O1363" s="49" t="s">
        <v>1454</v>
      </c>
      <c r="P1363" s="11" t="s">
        <v>1450</v>
      </c>
      <c r="Q1363" s="11" t="s">
        <v>98</v>
      </c>
      <c r="R1363" s="11" t="s">
        <v>1455</v>
      </c>
      <c r="S1363" s="11" t="s">
        <v>1456</v>
      </c>
      <c r="T1363" s="90" t="s">
        <v>1</v>
      </c>
      <c r="U1363" s="104"/>
      <c r="V1363" s="120">
        <v>46244</v>
      </c>
      <c r="W1363" s="49" t="s">
        <v>1589</v>
      </c>
    </row>
    <row r="1364" spans="1:23" ht="13" customHeight="1" x14ac:dyDescent="0.35">
      <c r="A1364" s="11">
        <v>1358</v>
      </c>
      <c r="B1364" s="127">
        <v>205853574</v>
      </c>
      <c r="C1364" s="128" t="s">
        <v>2922</v>
      </c>
      <c r="D1364" s="129" t="s">
        <v>2923</v>
      </c>
      <c r="E1364" s="113" t="s">
        <v>31</v>
      </c>
      <c r="F1364" s="118" t="s">
        <v>74</v>
      </c>
      <c r="G1364" s="114" t="s">
        <v>64</v>
      </c>
      <c r="H1364" s="114" t="s">
        <v>75</v>
      </c>
      <c r="I1364" s="11">
        <v>1299</v>
      </c>
      <c r="J1364" s="11" t="s">
        <v>39</v>
      </c>
      <c r="K1364" s="49" t="s">
        <v>76</v>
      </c>
      <c r="L1364" s="119" t="s">
        <v>95</v>
      </c>
      <c r="M1364" s="119" t="s">
        <v>77</v>
      </c>
      <c r="N1364" s="113" t="s">
        <v>89</v>
      </c>
      <c r="O1364" s="115" t="s">
        <v>37</v>
      </c>
      <c r="P1364" s="11" t="s">
        <v>80</v>
      </c>
      <c r="Q1364" s="104" t="s">
        <v>96</v>
      </c>
      <c r="R1364" s="104" t="s">
        <v>1069</v>
      </c>
      <c r="S1364" s="114" t="s">
        <v>2733</v>
      </c>
      <c r="T1364" s="105" t="s">
        <v>1</v>
      </c>
      <c r="U1364" s="104" t="s">
        <v>2938</v>
      </c>
      <c r="V1364" s="120">
        <v>46247</v>
      </c>
      <c r="W1364" s="126" t="s">
        <v>1584</v>
      </c>
    </row>
    <row r="1365" spans="1:23" ht="13" customHeight="1" x14ac:dyDescent="0.35">
      <c r="A1365" s="11">
        <v>1359</v>
      </c>
      <c r="B1365" s="127">
        <v>206926977</v>
      </c>
      <c r="C1365" s="128" t="str">
        <f>VLOOKUP(B1365,[1]Roster!$C$2:$D$1415,2,0)</f>
        <v>aliokorw</v>
      </c>
      <c r="D1365" s="129" t="s">
        <v>2924</v>
      </c>
      <c r="E1365" s="113" t="s">
        <v>31</v>
      </c>
      <c r="F1365" s="118" t="s">
        <v>74</v>
      </c>
      <c r="G1365" s="114" t="s">
        <v>64</v>
      </c>
      <c r="H1365" s="114" t="s">
        <v>75</v>
      </c>
      <c r="I1365" s="11">
        <v>1299</v>
      </c>
      <c r="J1365" s="11" t="s">
        <v>39</v>
      </c>
      <c r="K1365" s="49" t="s">
        <v>76</v>
      </c>
      <c r="L1365" s="119" t="s">
        <v>92</v>
      </c>
      <c r="M1365" s="119" t="s">
        <v>84</v>
      </c>
      <c r="N1365" s="113" t="s">
        <v>89</v>
      </c>
      <c r="O1365" s="115" t="s">
        <v>37</v>
      </c>
      <c r="P1365" s="11" t="s">
        <v>80</v>
      </c>
      <c r="Q1365" s="104" t="s">
        <v>81</v>
      </c>
      <c r="R1365" s="104" t="s">
        <v>2735</v>
      </c>
      <c r="S1365" s="11" t="s">
        <v>643</v>
      </c>
      <c r="T1365" s="105" t="s">
        <v>1</v>
      </c>
      <c r="U1365" s="104" t="s">
        <v>2938</v>
      </c>
      <c r="V1365" s="120">
        <v>46247</v>
      </c>
      <c r="W1365" s="126" t="s">
        <v>1583</v>
      </c>
    </row>
    <row r="1366" spans="1:23" ht="13" customHeight="1" x14ac:dyDescent="0.35">
      <c r="A1366" s="11">
        <v>1360</v>
      </c>
      <c r="B1366" s="127">
        <v>206897639</v>
      </c>
      <c r="C1366" s="128" t="str">
        <f>VLOOKUP(B1366,[1]Roster!$C$2:$D$1415,2,0)</f>
        <v>batefrid</v>
      </c>
      <c r="D1366" s="129" t="s">
        <v>2925</v>
      </c>
      <c r="E1366" s="113" t="s">
        <v>31</v>
      </c>
      <c r="F1366" s="118" t="s">
        <v>74</v>
      </c>
      <c r="G1366" s="114" t="s">
        <v>64</v>
      </c>
      <c r="H1366" s="114" t="s">
        <v>75</v>
      </c>
      <c r="I1366" s="11">
        <v>1299</v>
      </c>
      <c r="J1366" s="11" t="s">
        <v>39</v>
      </c>
      <c r="K1366" s="49" t="s">
        <v>76</v>
      </c>
      <c r="L1366" s="119" t="s">
        <v>85</v>
      </c>
      <c r="M1366" s="119" t="s">
        <v>88</v>
      </c>
      <c r="N1366" s="113" t="s">
        <v>89</v>
      </c>
      <c r="O1366" s="115" t="s">
        <v>37</v>
      </c>
      <c r="P1366" s="11" t="s">
        <v>80</v>
      </c>
      <c r="Q1366" s="104" t="s">
        <v>81</v>
      </c>
      <c r="R1366" s="104" t="s">
        <v>1069</v>
      </c>
      <c r="S1366" s="114" t="s">
        <v>2733</v>
      </c>
      <c r="T1366" s="105" t="s">
        <v>1</v>
      </c>
      <c r="U1366" s="104" t="s">
        <v>2938</v>
      </c>
      <c r="V1366" s="120">
        <v>46247</v>
      </c>
      <c r="W1366" s="126" t="s">
        <v>1583</v>
      </c>
    </row>
    <row r="1367" spans="1:23" ht="13" customHeight="1" x14ac:dyDescent="0.35">
      <c r="A1367" s="11">
        <v>1361</v>
      </c>
      <c r="B1367" s="127">
        <v>206239217</v>
      </c>
      <c r="C1367" s="128" t="str">
        <f>VLOOKUP(B1367,[1]Roster!$C$2:$D$1415,2,0)</f>
        <v>garvmark</v>
      </c>
      <c r="D1367" s="129" t="s">
        <v>2926</v>
      </c>
      <c r="E1367" s="113" t="s">
        <v>31</v>
      </c>
      <c r="F1367" s="118" t="s">
        <v>74</v>
      </c>
      <c r="G1367" s="114" t="s">
        <v>64</v>
      </c>
      <c r="H1367" s="114" t="s">
        <v>75</v>
      </c>
      <c r="I1367" s="11">
        <v>1299</v>
      </c>
      <c r="J1367" s="11" t="s">
        <v>39</v>
      </c>
      <c r="K1367" s="49" t="s">
        <v>76</v>
      </c>
      <c r="L1367" s="119" t="s">
        <v>88</v>
      </c>
      <c r="M1367" s="119" t="s">
        <v>95</v>
      </c>
      <c r="N1367" s="113" t="s">
        <v>89</v>
      </c>
      <c r="O1367" s="115" t="s">
        <v>37</v>
      </c>
      <c r="P1367" s="11" t="s">
        <v>80</v>
      </c>
      <c r="Q1367" s="104" t="s">
        <v>81</v>
      </c>
      <c r="R1367" s="104" t="s">
        <v>2735</v>
      </c>
      <c r="S1367" s="11" t="s">
        <v>643</v>
      </c>
      <c r="T1367" s="105" t="s">
        <v>1</v>
      </c>
      <c r="U1367" s="104" t="s">
        <v>2938</v>
      </c>
      <c r="V1367" s="120">
        <v>46247</v>
      </c>
      <c r="W1367" s="126" t="s">
        <v>1583</v>
      </c>
    </row>
    <row r="1368" spans="1:23" ht="13" customHeight="1" x14ac:dyDescent="0.35">
      <c r="A1368" s="11">
        <v>1362</v>
      </c>
      <c r="B1368" s="127">
        <v>206926985</v>
      </c>
      <c r="C1368" s="128" t="str">
        <f>VLOOKUP(B1368,[1]Roster!$C$2:$D$1415,2,0)</f>
        <v>osaeasam</v>
      </c>
      <c r="D1368" s="129" t="s">
        <v>2927</v>
      </c>
      <c r="E1368" s="113" t="s">
        <v>31</v>
      </c>
      <c r="F1368" s="118" t="s">
        <v>74</v>
      </c>
      <c r="G1368" s="114" t="s">
        <v>64</v>
      </c>
      <c r="H1368" s="114" t="s">
        <v>75</v>
      </c>
      <c r="I1368" s="11">
        <v>1299</v>
      </c>
      <c r="J1368" s="11" t="s">
        <v>39</v>
      </c>
      <c r="K1368" s="49" t="s">
        <v>76</v>
      </c>
      <c r="L1368" s="119" t="s">
        <v>95</v>
      </c>
      <c r="M1368" s="119" t="s">
        <v>77</v>
      </c>
      <c r="N1368" s="113" t="s">
        <v>89</v>
      </c>
      <c r="O1368" s="115" t="s">
        <v>37</v>
      </c>
      <c r="P1368" s="11" t="s">
        <v>80</v>
      </c>
      <c r="Q1368" s="104" t="s">
        <v>81</v>
      </c>
      <c r="R1368" s="104" t="s">
        <v>632</v>
      </c>
      <c r="S1368" s="11" t="s">
        <v>633</v>
      </c>
      <c r="T1368" s="105" t="s">
        <v>1</v>
      </c>
      <c r="U1368" s="104" t="s">
        <v>2938</v>
      </c>
      <c r="V1368" s="120">
        <v>46247</v>
      </c>
      <c r="W1368" s="126" t="s">
        <v>1583</v>
      </c>
    </row>
    <row r="1369" spans="1:23" ht="13" customHeight="1" x14ac:dyDescent="0.35">
      <c r="A1369" s="11">
        <v>1363</v>
      </c>
      <c r="B1369" s="127">
        <v>206868290</v>
      </c>
      <c r="C1369" s="128" t="str">
        <f>VLOOKUP(B1369,[1]Roster!$C$2:$D$1415,2,0)</f>
        <v>artigawi</v>
      </c>
      <c r="D1369" s="129" t="s">
        <v>2928</v>
      </c>
      <c r="E1369" s="113" t="s">
        <v>31</v>
      </c>
      <c r="F1369" s="118" t="s">
        <v>74</v>
      </c>
      <c r="G1369" s="114" t="s">
        <v>64</v>
      </c>
      <c r="H1369" s="114" t="s">
        <v>75</v>
      </c>
      <c r="I1369" s="11">
        <v>1299</v>
      </c>
      <c r="J1369" s="11" t="s">
        <v>39</v>
      </c>
      <c r="K1369" s="49" t="s">
        <v>76</v>
      </c>
      <c r="L1369" s="119" t="s">
        <v>77</v>
      </c>
      <c r="M1369" s="119" t="s">
        <v>78</v>
      </c>
      <c r="N1369" s="113" t="s">
        <v>89</v>
      </c>
      <c r="O1369" s="115" t="s">
        <v>37</v>
      </c>
      <c r="P1369" s="11" t="s">
        <v>80</v>
      </c>
      <c r="Q1369" s="104" t="s">
        <v>81</v>
      </c>
      <c r="R1369" s="104" t="s">
        <v>628</v>
      </c>
      <c r="S1369" s="11" t="s">
        <v>629</v>
      </c>
      <c r="T1369" s="105" t="s">
        <v>1</v>
      </c>
      <c r="U1369" s="104" t="s">
        <v>2938</v>
      </c>
      <c r="V1369" s="120">
        <v>46247</v>
      </c>
      <c r="W1369" s="126" t="s">
        <v>1583</v>
      </c>
    </row>
    <row r="1370" spans="1:23" ht="13" customHeight="1" x14ac:dyDescent="0.35">
      <c r="A1370" s="11">
        <v>1364</v>
      </c>
      <c r="B1370" s="127">
        <v>206191963</v>
      </c>
      <c r="C1370" s="128" t="str">
        <f>VLOOKUP(B1370,[1]Roster!$C$2:$D$1415,2,0)</f>
        <v>anolyatu</v>
      </c>
      <c r="D1370" s="129" t="s">
        <v>2929</v>
      </c>
      <c r="E1370" s="113" t="s">
        <v>31</v>
      </c>
      <c r="F1370" s="118" t="s">
        <v>74</v>
      </c>
      <c r="G1370" s="114" t="s">
        <v>64</v>
      </c>
      <c r="H1370" s="114" t="s">
        <v>75</v>
      </c>
      <c r="I1370" s="11">
        <v>1299</v>
      </c>
      <c r="J1370" s="11" t="s">
        <v>39</v>
      </c>
      <c r="K1370" s="49" t="s">
        <v>76</v>
      </c>
      <c r="L1370" s="119" t="s">
        <v>2937</v>
      </c>
      <c r="M1370" s="119" t="s">
        <v>92</v>
      </c>
      <c r="N1370" s="113" t="s">
        <v>89</v>
      </c>
      <c r="O1370" s="115" t="s">
        <v>37</v>
      </c>
      <c r="P1370" s="11" t="s">
        <v>80</v>
      </c>
      <c r="Q1370" s="104" t="s">
        <v>96</v>
      </c>
      <c r="R1370" s="104" t="s">
        <v>2865</v>
      </c>
      <c r="S1370" s="11" t="s">
        <v>2866</v>
      </c>
      <c r="T1370" s="105" t="s">
        <v>1</v>
      </c>
      <c r="U1370" s="104" t="s">
        <v>2938</v>
      </c>
      <c r="V1370" s="120">
        <v>46247</v>
      </c>
      <c r="W1370" s="126" t="s">
        <v>1585</v>
      </c>
    </row>
    <row r="1371" spans="1:23" ht="13" customHeight="1" x14ac:dyDescent="0.35">
      <c r="A1371" s="11">
        <v>1365</v>
      </c>
      <c r="B1371" s="127">
        <v>205275633</v>
      </c>
      <c r="C1371" s="128" t="str">
        <f>VLOOKUP(B1371,[1]Roster!$C$2:$D$1415,2,0)</f>
        <v>gchancel</v>
      </c>
      <c r="D1371" s="129" t="s">
        <v>2930</v>
      </c>
      <c r="E1371" s="113" t="s">
        <v>31</v>
      </c>
      <c r="F1371" s="118" t="s">
        <v>74</v>
      </c>
      <c r="G1371" s="114" t="s">
        <v>64</v>
      </c>
      <c r="H1371" s="114" t="s">
        <v>75</v>
      </c>
      <c r="I1371" s="11">
        <v>1299</v>
      </c>
      <c r="J1371" s="11" t="s">
        <v>39</v>
      </c>
      <c r="K1371" s="49" t="s">
        <v>76</v>
      </c>
      <c r="L1371" s="119" t="s">
        <v>92</v>
      </c>
      <c r="M1371" s="119" t="s">
        <v>84</v>
      </c>
      <c r="N1371" s="113" t="s">
        <v>89</v>
      </c>
      <c r="O1371" s="115" t="s">
        <v>37</v>
      </c>
      <c r="P1371" s="11" t="s">
        <v>80</v>
      </c>
      <c r="Q1371" s="104" t="s">
        <v>96</v>
      </c>
      <c r="R1371" s="104" t="s">
        <v>632</v>
      </c>
      <c r="S1371" s="11" t="s">
        <v>633</v>
      </c>
      <c r="T1371" s="105" t="s">
        <v>1</v>
      </c>
      <c r="U1371" s="104" t="s">
        <v>2938</v>
      </c>
      <c r="V1371" s="120">
        <v>46247</v>
      </c>
      <c r="W1371" s="126" t="s">
        <v>1585</v>
      </c>
    </row>
    <row r="1372" spans="1:23" ht="13" customHeight="1" x14ac:dyDescent="0.35">
      <c r="A1372" s="11">
        <v>1366</v>
      </c>
      <c r="B1372" s="127">
        <v>206606700</v>
      </c>
      <c r="C1372" s="128" t="str">
        <f>VLOOKUP(B1372,[1]Roster!$C$2:$D$1415,2,0)</f>
        <v>mautfra</v>
      </c>
      <c r="D1372" s="129" t="s">
        <v>2931</v>
      </c>
      <c r="E1372" s="113" t="s">
        <v>31</v>
      </c>
      <c r="F1372" s="118" t="s">
        <v>74</v>
      </c>
      <c r="G1372" s="114" t="s">
        <v>64</v>
      </c>
      <c r="H1372" s="114" t="s">
        <v>75</v>
      </c>
      <c r="I1372" s="11">
        <v>1299</v>
      </c>
      <c r="J1372" s="11" t="s">
        <v>39</v>
      </c>
      <c r="K1372" s="49" t="s">
        <v>76</v>
      </c>
      <c r="L1372" s="119" t="s">
        <v>84</v>
      </c>
      <c r="M1372" s="119" t="s">
        <v>85</v>
      </c>
      <c r="N1372" s="113" t="s">
        <v>89</v>
      </c>
      <c r="O1372" s="115" t="s">
        <v>37</v>
      </c>
      <c r="P1372" s="11" t="s">
        <v>80</v>
      </c>
      <c r="Q1372" s="104" t="s">
        <v>96</v>
      </c>
      <c r="R1372" s="104" t="s">
        <v>628</v>
      </c>
      <c r="S1372" s="11" t="s">
        <v>629</v>
      </c>
      <c r="T1372" s="105" t="s">
        <v>1</v>
      </c>
      <c r="U1372" s="104" t="s">
        <v>2938</v>
      </c>
      <c r="V1372" s="120">
        <v>46247</v>
      </c>
      <c r="W1372" s="126" t="s">
        <v>1584</v>
      </c>
    </row>
    <row r="1373" spans="1:23" ht="13" customHeight="1" x14ac:dyDescent="0.35">
      <c r="A1373" s="11">
        <v>1367</v>
      </c>
      <c r="B1373" s="127">
        <v>206128850</v>
      </c>
      <c r="C1373" s="128" t="str">
        <f>VLOOKUP(B1373,[1]Roster!$C$2:$D$1415,2,0)</f>
        <v>janengit</v>
      </c>
      <c r="D1373" s="129" t="s">
        <v>2932</v>
      </c>
      <c r="E1373" s="113" t="s">
        <v>31</v>
      </c>
      <c r="F1373" s="118" t="s">
        <v>74</v>
      </c>
      <c r="G1373" s="114" t="s">
        <v>64</v>
      </c>
      <c r="H1373" s="114" t="s">
        <v>75</v>
      </c>
      <c r="I1373" s="11">
        <v>1299</v>
      </c>
      <c r="J1373" s="11" t="s">
        <v>39</v>
      </c>
      <c r="K1373" s="49" t="s">
        <v>76</v>
      </c>
      <c r="L1373" s="119" t="s">
        <v>85</v>
      </c>
      <c r="M1373" s="119" t="s">
        <v>88</v>
      </c>
      <c r="N1373" s="113" t="s">
        <v>89</v>
      </c>
      <c r="O1373" s="115" t="s">
        <v>37</v>
      </c>
      <c r="P1373" s="11" t="s">
        <v>80</v>
      </c>
      <c r="Q1373" s="104" t="s">
        <v>96</v>
      </c>
      <c r="R1373" s="104" t="s">
        <v>648</v>
      </c>
      <c r="S1373" s="11" t="s">
        <v>1805</v>
      </c>
      <c r="T1373" s="105" t="s">
        <v>1</v>
      </c>
      <c r="U1373" s="104" t="s">
        <v>2938</v>
      </c>
      <c r="V1373" s="120">
        <v>46247</v>
      </c>
      <c r="W1373" s="126" t="s">
        <v>1583</v>
      </c>
    </row>
    <row r="1374" spans="1:23" ht="13" customHeight="1" x14ac:dyDescent="0.35">
      <c r="A1374" s="11">
        <v>1368</v>
      </c>
      <c r="B1374" s="127">
        <v>205853572</v>
      </c>
      <c r="C1374" s="128" t="str">
        <f>VLOOKUP(B1374,[1]Roster!$C$2:$D$1415,2,0)</f>
        <v>kibenanc</v>
      </c>
      <c r="D1374" s="129" t="s">
        <v>2933</v>
      </c>
      <c r="E1374" s="113" t="s">
        <v>31</v>
      </c>
      <c r="F1374" s="118" t="s">
        <v>74</v>
      </c>
      <c r="G1374" s="114" t="s">
        <v>64</v>
      </c>
      <c r="H1374" s="114" t="s">
        <v>75</v>
      </c>
      <c r="I1374" s="11">
        <v>1299</v>
      </c>
      <c r="J1374" s="11" t="s">
        <v>39</v>
      </c>
      <c r="K1374" s="49" t="s">
        <v>76</v>
      </c>
      <c r="L1374" s="119" t="s">
        <v>88</v>
      </c>
      <c r="M1374" s="119" t="s">
        <v>95</v>
      </c>
      <c r="N1374" s="113" t="s">
        <v>89</v>
      </c>
      <c r="O1374" s="115" t="s">
        <v>37</v>
      </c>
      <c r="P1374" s="11" t="s">
        <v>80</v>
      </c>
      <c r="Q1374" s="104" t="s">
        <v>96</v>
      </c>
      <c r="R1374" s="104" t="s">
        <v>1069</v>
      </c>
      <c r="S1374" s="114" t="s">
        <v>2733</v>
      </c>
      <c r="T1374" s="105" t="s">
        <v>1</v>
      </c>
      <c r="U1374" s="104" t="s">
        <v>2938</v>
      </c>
      <c r="V1374" s="120">
        <v>46247</v>
      </c>
      <c r="W1374" s="126" t="s">
        <v>1584</v>
      </c>
    </row>
    <row r="1375" spans="1:23" ht="13" customHeight="1" x14ac:dyDescent="0.35">
      <c r="A1375" s="11">
        <v>1369</v>
      </c>
      <c r="B1375" s="127">
        <v>205271087</v>
      </c>
      <c r="C1375" s="128" t="str">
        <f>VLOOKUP(B1375,[1]Roster!$C$2:$D$1415,2,0)</f>
        <v>chucopet</v>
      </c>
      <c r="D1375" s="129" t="s">
        <v>2934</v>
      </c>
      <c r="E1375" s="113" t="s">
        <v>31</v>
      </c>
      <c r="F1375" s="118" t="s">
        <v>74</v>
      </c>
      <c r="G1375" s="114" t="s">
        <v>64</v>
      </c>
      <c r="H1375" s="114" t="s">
        <v>75</v>
      </c>
      <c r="I1375" s="11">
        <v>1299</v>
      </c>
      <c r="J1375" s="11" t="s">
        <v>39</v>
      </c>
      <c r="K1375" s="49" t="s">
        <v>76</v>
      </c>
      <c r="L1375" s="119" t="s">
        <v>95</v>
      </c>
      <c r="M1375" s="119" t="s">
        <v>77</v>
      </c>
      <c r="N1375" s="113" t="s">
        <v>89</v>
      </c>
      <c r="O1375" s="115" t="s">
        <v>37</v>
      </c>
      <c r="P1375" s="11" t="s">
        <v>80</v>
      </c>
      <c r="Q1375" s="104" t="s">
        <v>96</v>
      </c>
      <c r="R1375" s="104" t="s">
        <v>632</v>
      </c>
      <c r="S1375" s="11" t="s">
        <v>633</v>
      </c>
      <c r="T1375" s="105" t="s">
        <v>1</v>
      </c>
      <c r="U1375" s="104" t="s">
        <v>2938</v>
      </c>
      <c r="V1375" s="120">
        <v>46247</v>
      </c>
      <c r="W1375" s="126" t="s">
        <v>1584</v>
      </c>
    </row>
    <row r="1376" spans="1:23" ht="13" customHeight="1" x14ac:dyDescent="0.35">
      <c r="A1376" s="11">
        <v>1370</v>
      </c>
      <c r="B1376" s="127">
        <v>206890214</v>
      </c>
      <c r="C1376" s="128" t="str">
        <f>VLOOKUP(B1376,[1]Roster!$C$2:$D$1415,2,0)</f>
        <v>sandrnam</v>
      </c>
      <c r="D1376" s="129" t="s">
        <v>2935</v>
      </c>
      <c r="E1376" s="113" t="s">
        <v>31</v>
      </c>
      <c r="F1376" s="118" t="s">
        <v>74</v>
      </c>
      <c r="G1376" s="114" t="s">
        <v>64</v>
      </c>
      <c r="H1376" s="114" t="s">
        <v>75</v>
      </c>
      <c r="I1376" s="11">
        <v>1299</v>
      </c>
      <c r="J1376" s="11" t="s">
        <v>39</v>
      </c>
      <c r="K1376" s="49" t="s">
        <v>76</v>
      </c>
      <c r="L1376" s="119" t="s">
        <v>77</v>
      </c>
      <c r="M1376" s="119" t="s">
        <v>78</v>
      </c>
      <c r="N1376" s="113" t="s">
        <v>89</v>
      </c>
      <c r="O1376" s="115" t="s">
        <v>37</v>
      </c>
      <c r="P1376" s="11" t="s">
        <v>80</v>
      </c>
      <c r="Q1376" s="104" t="s">
        <v>96</v>
      </c>
      <c r="R1376" s="104" t="s">
        <v>648</v>
      </c>
      <c r="S1376" s="11" t="s">
        <v>1805</v>
      </c>
      <c r="T1376" s="105" t="s">
        <v>1</v>
      </c>
      <c r="U1376" s="104" t="s">
        <v>2938</v>
      </c>
      <c r="V1376" s="120">
        <v>46247</v>
      </c>
      <c r="W1376" s="126" t="s">
        <v>1584</v>
      </c>
    </row>
    <row r="1377" spans="1:23" ht="13" customHeight="1" x14ac:dyDescent="0.35">
      <c r="A1377" s="11">
        <v>1371</v>
      </c>
      <c r="B1377" s="130">
        <v>206192238</v>
      </c>
      <c r="C1377" s="131" t="str">
        <f>VLOOKUP(B1377,[1]Roster!$C$2:$D$1415,2,0)</f>
        <v>chebesha</v>
      </c>
      <c r="D1377" s="132" t="s">
        <v>2936</v>
      </c>
      <c r="E1377" s="113" t="s">
        <v>31</v>
      </c>
      <c r="F1377" s="118" t="s">
        <v>74</v>
      </c>
      <c r="G1377" s="114" t="s">
        <v>64</v>
      </c>
      <c r="H1377" s="114" t="s">
        <v>75</v>
      </c>
      <c r="I1377" s="11">
        <v>1299</v>
      </c>
      <c r="J1377" s="11" t="s">
        <v>39</v>
      </c>
      <c r="K1377" s="49" t="s">
        <v>76</v>
      </c>
      <c r="L1377" s="115" t="s">
        <v>2937</v>
      </c>
      <c r="M1377" s="115" t="s">
        <v>92</v>
      </c>
      <c r="N1377" s="113" t="s">
        <v>89</v>
      </c>
      <c r="O1377" s="115" t="s">
        <v>37</v>
      </c>
      <c r="P1377" s="11" t="s">
        <v>80</v>
      </c>
      <c r="Q1377" s="104" t="s">
        <v>96</v>
      </c>
      <c r="R1377" s="104" t="s">
        <v>2865</v>
      </c>
      <c r="S1377" s="11" t="s">
        <v>2866</v>
      </c>
      <c r="T1377" s="105" t="s">
        <v>1</v>
      </c>
      <c r="U1377" s="104" t="s">
        <v>2938</v>
      </c>
      <c r="V1377" s="120">
        <v>46247</v>
      </c>
      <c r="W1377" s="126" t="s">
        <v>1585</v>
      </c>
    </row>
  </sheetData>
  <phoneticPr fontId="11" type="noConversion"/>
  <conditionalFormatting sqref="A6">
    <cfRule type="duplicateValues" dxfId="825" priority="44835"/>
  </conditionalFormatting>
  <conditionalFormatting sqref="B1:B1048576">
    <cfRule type="duplicateValues" dxfId="824" priority="232"/>
  </conditionalFormatting>
  <conditionalFormatting sqref="B6">
    <cfRule type="duplicateValues" dxfId="823" priority="46833"/>
    <cfRule type="duplicateValues" dxfId="822" priority="46834"/>
    <cfRule type="duplicateValues" dxfId="821" priority="46835"/>
  </conditionalFormatting>
  <conditionalFormatting sqref="B7:B1377">
    <cfRule type="duplicateValues" dxfId="820" priority="66308"/>
    <cfRule type="duplicateValues" dxfId="819" priority="66309"/>
  </conditionalFormatting>
  <conditionalFormatting sqref="B596">
    <cfRule type="duplicateValues" dxfId="818" priority="448"/>
  </conditionalFormatting>
  <conditionalFormatting sqref="B980">
    <cfRule type="duplicateValues" dxfId="817" priority="447"/>
  </conditionalFormatting>
  <conditionalFormatting sqref="B981 B942:B979">
    <cfRule type="duplicateValues" dxfId="816" priority="446"/>
  </conditionalFormatting>
  <conditionalFormatting sqref="B982:B1000">
    <cfRule type="duplicateValues" dxfId="815" priority="445"/>
  </conditionalFormatting>
  <conditionalFormatting sqref="B1001">
    <cfRule type="duplicateValues" dxfId="814" priority="444"/>
    <cfRule type="duplicateValues" dxfId="813" priority="454"/>
    <cfRule type="duplicateValues" dxfId="812" priority="455"/>
  </conditionalFormatting>
  <conditionalFormatting sqref="B1015">
    <cfRule type="duplicateValues" dxfId="811" priority="443"/>
  </conditionalFormatting>
  <conditionalFormatting sqref="B1016:B1058 B1002:B1014">
    <cfRule type="duplicateValues" dxfId="810" priority="65962"/>
  </conditionalFormatting>
  <conditionalFormatting sqref="B1059:B1102">
    <cfRule type="duplicateValues" dxfId="809" priority="441"/>
  </conditionalFormatting>
  <conditionalFormatting sqref="B1103:B1124">
    <cfRule type="duplicateValues" dxfId="808" priority="440"/>
  </conditionalFormatting>
  <conditionalFormatting sqref="B1125:B1138">
    <cfRule type="duplicateValues" dxfId="807" priority="439"/>
  </conditionalFormatting>
  <conditionalFormatting sqref="B1139:B1145">
    <cfRule type="duplicateValues" dxfId="806" priority="438"/>
  </conditionalFormatting>
  <conditionalFormatting sqref="B1146:B1170">
    <cfRule type="duplicateValues" dxfId="805" priority="65833"/>
  </conditionalFormatting>
  <conditionalFormatting sqref="B1171:B1180">
    <cfRule type="duplicateValues" dxfId="804" priority="436"/>
  </conditionalFormatting>
  <conditionalFormatting sqref="B1181:B1182">
    <cfRule type="duplicateValues" dxfId="803" priority="435"/>
  </conditionalFormatting>
  <conditionalFormatting sqref="B1183:B1210">
    <cfRule type="duplicateValues" dxfId="802" priority="434"/>
  </conditionalFormatting>
  <conditionalFormatting sqref="B1211">
    <cfRule type="duplicateValues" dxfId="801" priority="433"/>
  </conditionalFormatting>
  <conditionalFormatting sqref="B1212:B1230">
    <cfRule type="duplicateValues" dxfId="800" priority="432"/>
  </conditionalFormatting>
  <conditionalFormatting sqref="B1231:B1256">
    <cfRule type="duplicateValues" dxfId="799" priority="431"/>
  </conditionalFormatting>
  <conditionalFormatting sqref="B1257:B1258">
    <cfRule type="duplicateValues" dxfId="798" priority="430"/>
  </conditionalFormatting>
  <conditionalFormatting sqref="B1259:B1272">
    <cfRule type="duplicateValues" dxfId="797" priority="65931"/>
    <cfRule type="duplicateValues" dxfId="796" priority="65932"/>
    <cfRule type="duplicateValues" dxfId="795" priority="65933"/>
    <cfRule type="duplicateValues" dxfId="794" priority="65934"/>
    <cfRule type="duplicateValues" dxfId="793" priority="65935"/>
    <cfRule type="duplicateValues" dxfId="792" priority="65936"/>
    <cfRule type="duplicateValues" dxfId="791" priority="65937"/>
    <cfRule type="duplicateValues" dxfId="790" priority="65938"/>
  </conditionalFormatting>
  <conditionalFormatting sqref="B1273:B1274">
    <cfRule type="duplicateValues" dxfId="789" priority="421"/>
  </conditionalFormatting>
  <conditionalFormatting sqref="B1275">
    <cfRule type="duplicateValues" dxfId="788" priority="420"/>
  </conditionalFormatting>
  <conditionalFormatting sqref="B1276">
    <cfRule type="duplicateValues" dxfId="787" priority="419"/>
  </conditionalFormatting>
  <conditionalFormatting sqref="B1277:B1278">
    <cfRule type="duplicateValues" dxfId="786" priority="65984"/>
  </conditionalFormatting>
  <conditionalFormatting sqref="B1283:B1328">
    <cfRule type="duplicateValues" dxfId="785" priority="416"/>
    <cfRule type="duplicateValues" dxfId="784" priority="417"/>
  </conditionalFormatting>
  <conditionalFormatting sqref="B1362:B1048576 B1:B6">
    <cfRule type="duplicateValues" dxfId="783" priority="65819"/>
  </conditionalFormatting>
  <conditionalFormatting sqref="B627:C898 B597:B626 B517:B595 D627:D835 C517:D626 B7:D516">
    <cfRule type="duplicateValues" dxfId="782" priority="453"/>
  </conditionalFormatting>
  <conditionalFormatting sqref="B888:C898">
    <cfRule type="duplicateValues" dxfId="781" priority="415"/>
  </conditionalFormatting>
  <conditionalFormatting sqref="B899:C917">
    <cfRule type="duplicateValues" dxfId="780" priority="413"/>
    <cfRule type="duplicateValues" dxfId="779" priority="414"/>
  </conditionalFormatting>
  <conditionalFormatting sqref="B918:C934">
    <cfRule type="duplicateValues" dxfId="778" priority="451"/>
    <cfRule type="duplicateValues" dxfId="777" priority="452"/>
  </conditionalFormatting>
  <conditionalFormatting sqref="B935:C938">
    <cfRule type="duplicateValues" dxfId="776" priority="411"/>
    <cfRule type="duplicateValues" dxfId="775" priority="412"/>
  </conditionalFormatting>
  <conditionalFormatting sqref="B939:C941">
    <cfRule type="duplicateValues" dxfId="774" priority="409"/>
    <cfRule type="duplicateValues" dxfId="773" priority="410"/>
  </conditionalFormatting>
  <conditionalFormatting sqref="B1279:C1279">
    <cfRule type="duplicateValues" dxfId="772" priority="407"/>
    <cfRule type="duplicateValues" dxfId="771" priority="408"/>
  </conditionalFormatting>
  <conditionalFormatting sqref="B1280:C1280">
    <cfRule type="duplicateValues" dxfId="770" priority="405"/>
    <cfRule type="duplicateValues" dxfId="769" priority="406"/>
  </conditionalFormatting>
  <conditionalFormatting sqref="B1281:C1281">
    <cfRule type="duplicateValues" dxfId="768" priority="403"/>
    <cfRule type="duplicateValues" dxfId="767" priority="404"/>
  </conditionalFormatting>
  <conditionalFormatting sqref="B1282:C1282">
    <cfRule type="duplicateValues" dxfId="766" priority="401"/>
    <cfRule type="duplicateValues" dxfId="765" priority="402"/>
  </conditionalFormatting>
  <conditionalFormatting sqref="B2:D6 B1 D1">
    <cfRule type="duplicateValues" dxfId="764" priority="65275"/>
  </conditionalFormatting>
  <conditionalFormatting sqref="B1283:D1328">
    <cfRule type="duplicateValues" dxfId="763" priority="399"/>
    <cfRule type="duplicateValues" dxfId="762" priority="400"/>
  </conditionalFormatting>
  <conditionalFormatting sqref="C1">
    <cfRule type="duplicateValues" dxfId="761" priority="12782"/>
    <cfRule type="duplicateValues" dxfId="760" priority="12783"/>
    <cfRule type="duplicateValues" dxfId="759" priority="12784"/>
    <cfRule type="duplicateValues" dxfId="758" priority="12785"/>
    <cfRule type="duplicateValues" dxfId="757" priority="12786"/>
    <cfRule type="duplicateValues" dxfId="756" priority="12787"/>
    <cfRule type="duplicateValues" dxfId="755" priority="12788"/>
    <cfRule type="duplicateValues" dxfId="754" priority="12789"/>
    <cfRule type="duplicateValues" dxfId="753" priority="12790"/>
    <cfRule type="duplicateValues" dxfId="752" priority="12791"/>
    <cfRule type="duplicateValues" dxfId="751" priority="12792"/>
    <cfRule type="duplicateValues" dxfId="750" priority="12793"/>
    <cfRule type="duplicateValues" dxfId="749" priority="12794"/>
    <cfRule type="duplicateValues" dxfId="748" priority="12795"/>
    <cfRule type="duplicateValues" dxfId="747" priority="12796"/>
    <cfRule type="duplicateValues" dxfId="746" priority="12797"/>
    <cfRule type="duplicateValues" dxfId="745" priority="12798"/>
  </conditionalFormatting>
  <conditionalFormatting sqref="C2:C6">
    <cfRule type="duplicateValues" dxfId="744" priority="46841"/>
    <cfRule type="duplicateValues" dxfId="743" priority="46842"/>
    <cfRule type="duplicateValues" dxfId="742" priority="46843"/>
    <cfRule type="duplicateValues" dxfId="741" priority="46844"/>
    <cfRule type="duplicateValues" dxfId="740" priority="46935"/>
    <cfRule type="duplicateValues" dxfId="739" priority="46936"/>
    <cfRule type="duplicateValues" dxfId="738" priority="46937"/>
    <cfRule type="duplicateValues" dxfId="737" priority="46938"/>
    <cfRule type="duplicateValues" dxfId="736" priority="46939"/>
    <cfRule type="duplicateValues" dxfId="735" priority="46940"/>
    <cfRule type="duplicateValues" dxfId="734" priority="46941"/>
    <cfRule type="duplicateValues" dxfId="733" priority="46942"/>
    <cfRule type="duplicateValues" dxfId="732" priority="46952"/>
    <cfRule type="duplicateValues" dxfId="731" priority="47947"/>
    <cfRule type="duplicateValues" dxfId="730" priority="65278"/>
  </conditionalFormatting>
  <conditionalFormatting sqref="C6">
    <cfRule type="duplicateValues" dxfId="729" priority="46845"/>
    <cfRule type="duplicateValues" dxfId="728" priority="46846"/>
    <cfRule type="duplicateValues" dxfId="727" priority="46847"/>
  </conditionalFormatting>
  <conditionalFormatting sqref="C7:C1377">
    <cfRule type="duplicateValues" dxfId="726" priority="66310"/>
    <cfRule type="duplicateValues" dxfId="725" priority="66311"/>
  </conditionalFormatting>
  <conditionalFormatting sqref="C942:C981">
    <cfRule type="duplicateValues" dxfId="724" priority="395"/>
    <cfRule type="duplicateValues" dxfId="723" priority="396"/>
  </conditionalFormatting>
  <conditionalFormatting sqref="C982:C1000">
    <cfRule type="duplicateValues" dxfId="722" priority="391"/>
    <cfRule type="duplicateValues" dxfId="721" priority="392"/>
    <cfRule type="duplicateValues" dxfId="720" priority="393"/>
    <cfRule type="duplicateValues" dxfId="719" priority="394"/>
  </conditionalFormatting>
  <conditionalFormatting sqref="C1001">
    <cfRule type="duplicateValues" dxfId="718" priority="389"/>
    <cfRule type="duplicateValues" dxfId="717" priority="390"/>
  </conditionalFormatting>
  <conditionalFormatting sqref="C1004">
    <cfRule type="duplicateValues" dxfId="716" priority="385"/>
    <cfRule type="duplicateValues" dxfId="715" priority="386"/>
    <cfRule type="duplicateValues" dxfId="714" priority="387"/>
    <cfRule type="duplicateValues" dxfId="713" priority="388"/>
  </conditionalFormatting>
  <conditionalFormatting sqref="C1015">
    <cfRule type="duplicateValues" dxfId="712" priority="381"/>
    <cfRule type="duplicateValues" dxfId="711" priority="382"/>
    <cfRule type="duplicateValues" dxfId="710" priority="383"/>
    <cfRule type="duplicateValues" dxfId="709" priority="384"/>
  </conditionalFormatting>
  <conditionalFormatting sqref="C1018">
    <cfRule type="duplicateValues" dxfId="708" priority="377"/>
    <cfRule type="duplicateValues" dxfId="707" priority="378"/>
    <cfRule type="duplicateValues" dxfId="706" priority="379"/>
    <cfRule type="duplicateValues" dxfId="705" priority="380"/>
  </conditionalFormatting>
  <conditionalFormatting sqref="C1021">
    <cfRule type="duplicateValues" dxfId="704" priority="373"/>
    <cfRule type="duplicateValues" dxfId="703" priority="374"/>
    <cfRule type="duplicateValues" dxfId="702" priority="375"/>
    <cfRule type="duplicateValues" dxfId="701" priority="376"/>
  </conditionalFormatting>
  <conditionalFormatting sqref="C1027">
    <cfRule type="duplicateValues" dxfId="700" priority="369"/>
    <cfRule type="duplicateValues" dxfId="699" priority="370"/>
    <cfRule type="duplicateValues" dxfId="698" priority="371"/>
    <cfRule type="duplicateValues" dxfId="697" priority="372"/>
  </conditionalFormatting>
  <conditionalFormatting sqref="C1028:C1032 C1016:C1017 C1002:C1003 C1022:C1026 C1019:C1020 C1005:C1014">
    <cfRule type="duplicateValues" dxfId="696" priority="365"/>
    <cfRule type="duplicateValues" dxfId="695" priority="366"/>
    <cfRule type="duplicateValues" dxfId="694" priority="367"/>
    <cfRule type="duplicateValues" dxfId="693" priority="368"/>
  </conditionalFormatting>
  <conditionalFormatting sqref="C1263">
    <cfRule type="duplicateValues" dxfId="692" priority="358"/>
    <cfRule type="duplicateValues" dxfId="691" priority="359"/>
    <cfRule type="duplicateValues" dxfId="690" priority="360"/>
    <cfRule type="duplicateValues" dxfId="689" priority="361"/>
    <cfRule type="duplicateValues" dxfId="688" priority="362"/>
    <cfRule type="duplicateValues" dxfId="687" priority="363"/>
    <cfRule type="duplicateValues" dxfId="686" priority="364"/>
  </conditionalFormatting>
  <conditionalFormatting sqref="C1264:C1272 C7:C1262">
    <cfRule type="duplicateValues" dxfId="685" priority="355"/>
    <cfRule type="duplicateValues" dxfId="684" priority="356"/>
    <cfRule type="duplicateValues" dxfId="683" priority="357"/>
  </conditionalFormatting>
  <conditionalFormatting sqref="C1265:C1272 C7:C941">
    <cfRule type="duplicateValues" dxfId="682" priority="354"/>
  </conditionalFormatting>
  <conditionalFormatting sqref="C1265:C1272 C7:C981">
    <cfRule type="duplicateValues" dxfId="681" priority="352"/>
    <cfRule type="duplicateValues" dxfId="680" priority="353"/>
  </conditionalFormatting>
  <conditionalFormatting sqref="C1265:C1272">
    <cfRule type="duplicateValues" dxfId="679" priority="350"/>
    <cfRule type="duplicateValues" dxfId="678" priority="351"/>
  </conditionalFormatting>
  <conditionalFormatting sqref="C1273:C1274">
    <cfRule type="duplicateValues" dxfId="677" priority="342"/>
    <cfRule type="duplicateValues" dxfId="676" priority="343"/>
    <cfRule type="duplicateValues" dxfId="675" priority="344"/>
    <cfRule type="duplicateValues" dxfId="674" priority="345"/>
    <cfRule type="duplicateValues" dxfId="673" priority="346"/>
    <cfRule type="duplicateValues" dxfId="672" priority="347"/>
    <cfRule type="duplicateValues" dxfId="671" priority="348"/>
    <cfRule type="duplicateValues" dxfId="670" priority="349"/>
  </conditionalFormatting>
  <conditionalFormatting sqref="C1275">
    <cfRule type="duplicateValues" dxfId="669" priority="334"/>
    <cfRule type="duplicateValues" dxfId="668" priority="335"/>
    <cfRule type="duplicateValues" dxfId="667" priority="336"/>
    <cfRule type="duplicateValues" dxfId="666" priority="337"/>
    <cfRule type="duplicateValues" dxfId="665" priority="338"/>
    <cfRule type="duplicateValues" dxfId="664" priority="339"/>
    <cfRule type="duplicateValues" dxfId="663" priority="340"/>
    <cfRule type="duplicateValues" dxfId="662" priority="341"/>
  </conditionalFormatting>
  <conditionalFormatting sqref="C1276">
    <cfRule type="duplicateValues" dxfId="661" priority="326"/>
    <cfRule type="duplicateValues" dxfId="660" priority="327"/>
    <cfRule type="duplicateValues" dxfId="659" priority="328"/>
    <cfRule type="duplicateValues" dxfId="658" priority="329"/>
    <cfRule type="duplicateValues" dxfId="657" priority="330"/>
    <cfRule type="duplicateValues" dxfId="656" priority="331"/>
    <cfRule type="duplicateValues" dxfId="655" priority="332"/>
    <cfRule type="duplicateValues" dxfId="654" priority="333"/>
  </conditionalFormatting>
  <conditionalFormatting sqref="C1277:C1278">
    <cfRule type="duplicateValues" dxfId="653" priority="65987"/>
    <cfRule type="duplicateValues" dxfId="652" priority="65988"/>
    <cfRule type="duplicateValues" dxfId="651" priority="65989"/>
    <cfRule type="duplicateValues" dxfId="650" priority="65990"/>
    <cfRule type="duplicateValues" dxfId="649" priority="65991"/>
    <cfRule type="duplicateValues" dxfId="648" priority="65992"/>
    <cfRule type="duplicateValues" dxfId="647" priority="65993"/>
    <cfRule type="duplicateValues" dxfId="646" priority="65994"/>
  </conditionalFormatting>
  <conditionalFormatting sqref="C1279">
    <cfRule type="duplicateValues" dxfId="645" priority="312"/>
    <cfRule type="duplicateValues" dxfId="644" priority="313"/>
    <cfRule type="duplicateValues" dxfId="643" priority="314"/>
    <cfRule type="duplicateValues" dxfId="642" priority="315"/>
    <cfRule type="duplicateValues" dxfId="641" priority="316"/>
    <cfRule type="duplicateValues" dxfId="640" priority="317"/>
  </conditionalFormatting>
  <conditionalFormatting sqref="C1280:C1328">
    <cfRule type="duplicateValues" dxfId="639" priority="306"/>
    <cfRule type="duplicateValues" dxfId="638" priority="307"/>
    <cfRule type="duplicateValues" dxfId="637" priority="308"/>
    <cfRule type="duplicateValues" dxfId="636" priority="309"/>
    <cfRule type="duplicateValues" dxfId="635" priority="310"/>
    <cfRule type="duplicateValues" dxfId="634" priority="311"/>
  </conditionalFormatting>
  <conditionalFormatting sqref="C1283:C1328">
    <cfRule type="duplicateValues" dxfId="633" priority="305"/>
  </conditionalFormatting>
  <conditionalFormatting sqref="C1362:C1048576 C1:C6">
    <cfRule type="duplicateValues" dxfId="632" priority="65822"/>
  </conditionalFormatting>
  <conditionalFormatting sqref="C1362:C1048576">
    <cfRule type="duplicateValues" dxfId="631" priority="65825"/>
    <cfRule type="duplicateValues" dxfId="630" priority="65826"/>
    <cfRule type="duplicateValues" dxfId="629" priority="65827"/>
    <cfRule type="duplicateValues" dxfId="628" priority="65828"/>
  </conditionalFormatting>
  <conditionalFormatting sqref="C6:D6">
    <cfRule type="duplicateValues" dxfId="627" priority="46874"/>
  </conditionalFormatting>
  <conditionalFormatting sqref="D6">
    <cfRule type="duplicateValues" dxfId="626" priority="44833"/>
  </conditionalFormatting>
  <conditionalFormatting sqref="D7:D1261">
    <cfRule type="duplicateValues" dxfId="625" priority="65980"/>
  </conditionalFormatting>
  <conditionalFormatting sqref="D836:D981">
    <cfRule type="duplicateValues" dxfId="624" priority="303"/>
  </conditionalFormatting>
  <conditionalFormatting sqref="D982:D1000">
    <cfRule type="duplicateValues" dxfId="623" priority="302"/>
  </conditionalFormatting>
  <conditionalFormatting sqref="D1273:D1274">
    <cfRule type="duplicateValues" dxfId="622" priority="294"/>
    <cfRule type="duplicateValues" dxfId="621" priority="295"/>
    <cfRule type="duplicateValues" dxfId="620" priority="296"/>
    <cfRule type="duplicateValues" dxfId="619" priority="297"/>
    <cfRule type="duplicateValues" dxfId="618" priority="298"/>
    <cfRule type="duplicateValues" dxfId="617" priority="299"/>
    <cfRule type="duplicateValues" dxfId="616" priority="300"/>
    <cfRule type="duplicateValues" dxfId="615" priority="301"/>
  </conditionalFormatting>
  <conditionalFormatting sqref="D1275">
    <cfRule type="duplicateValues" dxfId="614" priority="286"/>
    <cfRule type="duplicateValues" dxfId="613" priority="287"/>
    <cfRule type="duplicateValues" dxfId="612" priority="288"/>
    <cfRule type="duplicateValues" dxfId="611" priority="289"/>
    <cfRule type="duplicateValues" dxfId="610" priority="290"/>
    <cfRule type="duplicateValues" dxfId="609" priority="291"/>
    <cfRule type="duplicateValues" dxfId="608" priority="292"/>
    <cfRule type="duplicateValues" dxfId="607" priority="293"/>
  </conditionalFormatting>
  <conditionalFormatting sqref="D1276">
    <cfRule type="duplicateValues" dxfId="606" priority="278"/>
    <cfRule type="duplicateValues" dxfId="605" priority="279"/>
    <cfRule type="duplicateValues" dxfId="604" priority="280"/>
    <cfRule type="duplicateValues" dxfId="603" priority="281"/>
    <cfRule type="duplicateValues" dxfId="602" priority="282"/>
    <cfRule type="duplicateValues" dxfId="601" priority="283"/>
    <cfRule type="duplicateValues" dxfId="600" priority="284"/>
    <cfRule type="duplicateValues" dxfId="599" priority="285"/>
  </conditionalFormatting>
  <conditionalFormatting sqref="D1277:D1278">
    <cfRule type="duplicateValues" dxfId="598" priority="66004"/>
    <cfRule type="duplicateValues" dxfId="597" priority="66005"/>
    <cfRule type="duplicateValues" dxfId="596" priority="66006"/>
    <cfRule type="duplicateValues" dxfId="595" priority="66007"/>
    <cfRule type="duplicateValues" dxfId="594" priority="66008"/>
    <cfRule type="duplicateValues" dxfId="593" priority="66009"/>
    <cfRule type="duplicateValues" dxfId="592" priority="66010"/>
    <cfRule type="duplicateValues" dxfId="591" priority="66011"/>
  </conditionalFormatting>
  <conditionalFormatting sqref="D1279">
    <cfRule type="duplicateValues" dxfId="590" priority="268"/>
    <cfRule type="duplicateValues" dxfId="589" priority="269"/>
  </conditionalFormatting>
  <conditionalFormatting sqref="D1280:D1328">
    <cfRule type="duplicateValues" dxfId="588" priority="266"/>
    <cfRule type="duplicateValues" dxfId="587" priority="267"/>
  </conditionalFormatting>
  <conditionalFormatting sqref="D1283:D1328">
    <cfRule type="duplicateValues" dxfId="586" priority="258"/>
    <cfRule type="duplicateValues" dxfId="585" priority="259"/>
    <cfRule type="duplicateValues" dxfId="584" priority="260"/>
    <cfRule type="duplicateValues" dxfId="583" priority="261"/>
    <cfRule type="duplicateValues" dxfId="582" priority="262"/>
    <cfRule type="duplicateValues" dxfId="581" priority="263"/>
    <cfRule type="duplicateValues" dxfId="580" priority="264"/>
    <cfRule type="duplicateValues" dxfId="579" priority="265"/>
  </conditionalFormatting>
  <conditionalFormatting sqref="S1:S3 T7:T1048576 U1012">
    <cfRule type="containsText" dxfId="578" priority="44809" operator="containsText" text="AB">
      <formula>NOT(ISERROR(SEARCH("AB",S1)))</formula>
    </cfRule>
    <cfRule type="containsText" dxfId="577" priority="44810" operator="containsText" text="SL">
      <formula>NOT(ISERROR(SEARCH("SL",S1)))</formula>
    </cfRule>
    <cfRule type="containsText" dxfId="576" priority="44811" operator="containsText" text="EL">
      <formula>NOT(ISERROR(SEARCH("EL",S1)))</formula>
    </cfRule>
    <cfRule type="containsText" dxfId="575" priority="44812" operator="containsText" text="PL">
      <formula>NOT(ISERROR(SEARCH("PL",S1)))</formula>
    </cfRule>
    <cfRule type="containsText" dxfId="574" priority="44813" operator="containsText" text="P">
      <formula>NOT(ISERROR(SEARCH("P",S1)))</formula>
    </cfRule>
  </conditionalFormatting>
  <conditionalFormatting sqref="T7:T1377">
    <cfRule type="containsText" dxfId="573" priority="2222" operator="containsText" text="OFF">
      <formula>NOT(ISERROR(SEARCH("OFF",T7)))</formula>
    </cfRule>
    <cfRule type="containsText" dxfId="572" priority="2229" operator="containsText" text="ABWI">
      <formula>NOT(ISERROR(SEARCH("ABWI",T7)))</formula>
    </cfRule>
  </conditionalFormatting>
  <conditionalFormatting sqref="T402 T410 T414 T454 T467 T505 T1344">
    <cfRule type="containsText" dxfId="571" priority="1644" operator="containsText" text="AB">
      <formula>NOT(ISERROR(SEARCH("AB",T402)))</formula>
    </cfRule>
    <cfRule type="containsText" dxfId="570" priority="1645" operator="containsText" text="SL">
      <formula>NOT(ISERROR(SEARCH("SL",T402)))</formula>
    </cfRule>
    <cfRule type="containsText" dxfId="569" priority="1646" operator="containsText" text="EL">
      <formula>NOT(ISERROR(SEARCH("EL",T402)))</formula>
    </cfRule>
    <cfRule type="containsText" dxfId="568" priority="1647" operator="containsText" text="PL">
      <formula>NOT(ISERROR(SEARCH("PL",T402)))</formula>
    </cfRule>
    <cfRule type="containsText" dxfId="567" priority="1648" operator="containsText" text="P">
      <formula>NOT(ISERROR(SEARCH("P",T402)))</formula>
    </cfRule>
  </conditionalFormatting>
  <conditionalFormatting sqref="T406">
    <cfRule type="containsText" dxfId="566" priority="1638" operator="containsText" text="AB">
      <formula>NOT(ISERROR(SEARCH("AB",T406)))</formula>
    </cfRule>
    <cfRule type="containsText" dxfId="565" priority="1639" operator="containsText" text="SL">
      <formula>NOT(ISERROR(SEARCH("SL",T406)))</formula>
    </cfRule>
    <cfRule type="containsText" dxfId="564" priority="1640" operator="containsText" text="EL">
      <formula>NOT(ISERROR(SEARCH("EL",T406)))</formula>
    </cfRule>
    <cfRule type="containsText" dxfId="563" priority="1641" operator="containsText" text="PL">
      <formula>NOT(ISERROR(SEARCH("PL",T406)))</formula>
    </cfRule>
    <cfRule type="containsText" dxfId="562" priority="1642" operator="containsText" text="P">
      <formula>NOT(ISERROR(SEARCH("P",T406)))</formula>
    </cfRule>
  </conditionalFormatting>
  <conditionalFormatting sqref="T420:T421 T423:T427 T429:T433 T435:T445 T447:T449 T452:T458 T461:T492 T494:T501 T503:T521 T523:T525 T527:T534 T537 T560 T1141 T1319:T1328 T1330:T1338 T1340:T1361">
    <cfRule type="containsText" dxfId="561" priority="2230" operator="containsText" text="AB">
      <formula>NOT(ISERROR(SEARCH("AB",T420)))</formula>
    </cfRule>
    <cfRule type="containsText" dxfId="560" priority="2231" operator="containsText" text="SL">
      <formula>NOT(ISERROR(SEARCH("SL",T420)))</formula>
    </cfRule>
    <cfRule type="containsText" dxfId="559" priority="2232" operator="containsText" text="EL">
      <formula>NOT(ISERROR(SEARCH("EL",T420)))</formula>
    </cfRule>
    <cfRule type="containsText" dxfId="558" priority="2233" operator="containsText" text="PL">
      <formula>NOT(ISERROR(SEARCH("PL",T420)))</formula>
    </cfRule>
    <cfRule type="containsText" dxfId="557" priority="2234" operator="containsText" text="P">
      <formula>NOT(ISERROR(SEARCH("P",T420)))</formula>
    </cfRule>
  </conditionalFormatting>
  <conditionalFormatting sqref="T439">
    <cfRule type="containsText" dxfId="556" priority="1633" operator="containsText" text="AB">
      <formula>NOT(ISERROR(SEARCH("AB",T439)))</formula>
    </cfRule>
    <cfRule type="containsText" dxfId="555" priority="1634" operator="containsText" text="SL">
      <formula>NOT(ISERROR(SEARCH("SL",T439)))</formula>
    </cfRule>
    <cfRule type="containsText" dxfId="554" priority="1635" operator="containsText" text="EL">
      <formula>NOT(ISERROR(SEARCH("EL",T439)))</formula>
    </cfRule>
    <cfRule type="containsText" dxfId="553" priority="1636" operator="containsText" text="PL">
      <formula>NOT(ISERROR(SEARCH("PL",T439)))</formula>
    </cfRule>
    <cfRule type="containsText" dxfId="552" priority="1637" operator="containsText" text="P">
      <formula>NOT(ISERROR(SEARCH("P",T439)))</formula>
    </cfRule>
  </conditionalFormatting>
  <conditionalFormatting sqref="T535 T596">
    <cfRule type="containsText" dxfId="551" priority="1615" operator="containsText" text="AB">
      <formula>NOT(ISERROR(SEARCH("AB",T535)))</formula>
    </cfRule>
    <cfRule type="containsText" dxfId="550" priority="1616" operator="containsText" text="SL">
      <formula>NOT(ISERROR(SEARCH("SL",T535)))</formula>
    </cfRule>
    <cfRule type="containsText" dxfId="549" priority="1617" operator="containsText" text="EL">
      <formula>NOT(ISERROR(SEARCH("EL",T535)))</formula>
    </cfRule>
    <cfRule type="containsText" dxfId="548" priority="1618" operator="containsText" text="PL">
      <formula>NOT(ISERROR(SEARCH("PL",T535)))</formula>
    </cfRule>
    <cfRule type="containsText" dxfId="547" priority="1619" operator="containsText" text="P">
      <formula>NOT(ISERROR(SEARCH("P",T535)))</formula>
    </cfRule>
  </conditionalFormatting>
  <conditionalFormatting sqref="T704 T794 T825">
    <cfRule type="containsText" dxfId="546" priority="1610" operator="containsText" text="AB">
      <formula>NOT(ISERROR(SEARCH("AB",T704)))</formula>
    </cfRule>
    <cfRule type="containsText" dxfId="545" priority="1611" operator="containsText" text="SL">
      <formula>NOT(ISERROR(SEARCH("SL",T704)))</formula>
    </cfRule>
    <cfRule type="containsText" dxfId="544" priority="1612" operator="containsText" text="EL">
      <formula>NOT(ISERROR(SEARCH("EL",T704)))</formula>
    </cfRule>
    <cfRule type="containsText" dxfId="543" priority="1613" operator="containsText" text="PL">
      <formula>NOT(ISERROR(SEARCH("PL",T704)))</formula>
    </cfRule>
    <cfRule type="containsText" dxfId="542" priority="1614" operator="containsText" text="P">
      <formula>NOT(ISERROR(SEARCH("P",T704)))</formula>
    </cfRule>
  </conditionalFormatting>
  <conditionalFormatting sqref="T923">
    <cfRule type="containsText" dxfId="541" priority="1605" operator="containsText" text="AB">
      <formula>NOT(ISERROR(SEARCH("AB",T923)))</formula>
    </cfRule>
    <cfRule type="containsText" dxfId="540" priority="1606" operator="containsText" text="SL">
      <formula>NOT(ISERROR(SEARCH("SL",T923)))</formula>
    </cfRule>
    <cfRule type="containsText" dxfId="539" priority="1607" operator="containsText" text="EL">
      <formula>NOT(ISERROR(SEARCH("EL",T923)))</formula>
    </cfRule>
    <cfRule type="containsText" dxfId="538" priority="1608" operator="containsText" text="PL">
      <formula>NOT(ISERROR(SEARCH("PL",T923)))</formula>
    </cfRule>
    <cfRule type="containsText" dxfId="537" priority="1609" operator="containsText" text="P">
      <formula>NOT(ISERROR(SEARCH("P",T923)))</formula>
    </cfRule>
  </conditionalFormatting>
  <conditionalFormatting sqref="T1038 T1061:T1062 T1074 T1076 T1086 T1091 T1146 T1204 T1229">
    <cfRule type="containsText" dxfId="536" priority="1600" operator="containsText" text="AB">
      <formula>NOT(ISERROR(SEARCH("AB",T1038)))</formula>
    </cfRule>
    <cfRule type="containsText" dxfId="535" priority="1601" operator="containsText" text="SL">
      <formula>NOT(ISERROR(SEARCH("SL",T1038)))</formula>
    </cfRule>
    <cfRule type="containsText" dxfId="534" priority="1602" operator="containsText" text="EL">
      <formula>NOT(ISERROR(SEARCH("EL",T1038)))</formula>
    </cfRule>
    <cfRule type="containsText" dxfId="533" priority="1603" operator="containsText" text="PL">
      <formula>NOT(ISERROR(SEARCH("PL",T1038)))</formula>
    </cfRule>
    <cfRule type="containsText" dxfId="532" priority="1604" operator="containsText" text="P">
      <formula>NOT(ISERROR(SEARCH("P",T1038)))</formula>
    </cfRule>
  </conditionalFormatting>
  <conditionalFormatting sqref="T1316">
    <cfRule type="containsText" dxfId="531" priority="926" operator="containsText" text="AB">
      <formula>NOT(ISERROR(SEARCH("AB",T1316)))</formula>
    </cfRule>
    <cfRule type="containsText" dxfId="530" priority="927" operator="containsText" text="SL">
      <formula>NOT(ISERROR(SEARCH("SL",T1316)))</formula>
    </cfRule>
    <cfRule type="containsText" dxfId="529" priority="928" operator="containsText" text="EL">
      <formula>NOT(ISERROR(SEARCH("EL",T1316)))</formula>
    </cfRule>
    <cfRule type="containsText" dxfId="528" priority="929" operator="containsText" text="PL">
      <formula>NOT(ISERROR(SEARCH("PL",T1316)))</formula>
    </cfRule>
    <cfRule type="containsText" dxfId="527" priority="930" operator="containsText" text="P">
      <formula>NOT(ISERROR(SEARCH("P",T1316)))</formula>
    </cfRule>
  </conditionalFormatting>
  <conditionalFormatting sqref="T1319 T1321:T1322">
    <cfRule type="containsText" dxfId="526" priority="660" operator="containsText" text="SL">
      <formula>NOT(ISERROR(SEARCH("SL",T1319)))</formula>
    </cfRule>
    <cfRule type="containsText" dxfId="525" priority="661" operator="containsText" text="EL">
      <formula>NOT(ISERROR(SEARCH("EL",T1319)))</formula>
    </cfRule>
    <cfRule type="containsText" dxfId="524" priority="662" operator="containsText" text="PL">
      <formula>NOT(ISERROR(SEARCH("PL",T1319)))</formula>
    </cfRule>
    <cfRule type="containsText" dxfId="523" priority="663" operator="containsText" text="P">
      <formula>NOT(ISERROR(SEARCH("P",T1319)))</formula>
    </cfRule>
  </conditionalFormatting>
  <conditionalFormatting sqref="T1320:T1322">
    <cfRule type="containsText" dxfId="522" priority="921" operator="containsText" text="AB">
      <formula>NOT(ISERROR(SEARCH("AB",T1320)))</formula>
    </cfRule>
    <cfRule type="containsText" dxfId="521" priority="922" operator="containsText" text="SL">
      <formula>NOT(ISERROR(SEARCH("SL",T1320)))</formula>
    </cfRule>
    <cfRule type="containsText" dxfId="520" priority="923" operator="containsText" text="EL">
      <formula>NOT(ISERROR(SEARCH("EL",T1320)))</formula>
    </cfRule>
    <cfRule type="containsText" dxfId="519" priority="924" operator="containsText" text="PL">
      <formula>NOT(ISERROR(SEARCH("PL",T1320)))</formula>
    </cfRule>
    <cfRule type="containsText" dxfId="518" priority="925" operator="containsText" text="P">
      <formula>NOT(ISERROR(SEARCH("P",T1320)))</formula>
    </cfRule>
  </conditionalFormatting>
  <conditionalFormatting sqref="T1320:T1323 T1330 T1357">
    <cfRule type="containsText" dxfId="517" priority="1586" operator="containsText" text="AB">
      <formula>NOT(ISERROR(SEARCH("AB",T1320)))</formula>
    </cfRule>
    <cfRule type="containsText" dxfId="516" priority="1587" operator="containsText" text="SL">
      <formula>NOT(ISERROR(SEARCH("SL",T1320)))</formula>
    </cfRule>
    <cfRule type="containsText" dxfId="515" priority="1588" operator="containsText" text="EL">
      <formula>NOT(ISERROR(SEARCH("EL",T1320)))</formula>
    </cfRule>
    <cfRule type="containsText" dxfId="514" priority="1589" operator="containsText" text="PL">
      <formula>NOT(ISERROR(SEARCH("PL",T1320)))</formula>
    </cfRule>
    <cfRule type="containsText" dxfId="513" priority="1590" operator="containsText" text="P">
      <formula>NOT(ISERROR(SEARCH("P",T1320)))</formula>
    </cfRule>
  </conditionalFormatting>
  <conditionalFormatting sqref="T1321">
    <cfRule type="containsText" dxfId="512" priority="654" operator="containsText" text="AB">
      <formula>NOT(ISERROR(SEARCH("AB",T1321)))</formula>
    </cfRule>
    <cfRule type="containsText" dxfId="511" priority="655" operator="containsText" text="SL">
      <formula>NOT(ISERROR(SEARCH("SL",T1321)))</formula>
    </cfRule>
    <cfRule type="containsText" dxfId="510" priority="656" operator="containsText" text="EL">
      <formula>NOT(ISERROR(SEARCH("EL",T1321)))</formula>
    </cfRule>
    <cfRule type="containsText" dxfId="509" priority="657" operator="containsText" text="PL">
      <formula>NOT(ISERROR(SEARCH("PL",T1321)))</formula>
    </cfRule>
    <cfRule type="containsText" dxfId="508" priority="658" operator="containsText" text="P">
      <formula>NOT(ISERROR(SEARCH("P",T1321)))</formula>
    </cfRule>
  </conditionalFormatting>
  <conditionalFormatting sqref="T1321:T1322 T1319">
    <cfRule type="containsText" dxfId="507" priority="659" operator="containsText" text="AB">
      <formula>NOT(ISERROR(SEARCH("AB",T1319)))</formula>
    </cfRule>
  </conditionalFormatting>
  <conditionalFormatting sqref="T1322">
    <cfRule type="containsText" dxfId="506" priority="1257" operator="containsText" text="AB">
      <formula>NOT(ISERROR(SEARCH("AB",T1322)))</formula>
    </cfRule>
    <cfRule type="containsText" dxfId="505" priority="1258" operator="containsText" text="SL">
      <formula>NOT(ISERROR(SEARCH("SL",T1322)))</formula>
    </cfRule>
    <cfRule type="containsText" dxfId="504" priority="1259" operator="containsText" text="EL">
      <formula>NOT(ISERROR(SEARCH("EL",T1322)))</formula>
    </cfRule>
    <cfRule type="containsText" dxfId="503" priority="1260" operator="containsText" text="PL">
      <formula>NOT(ISERROR(SEARCH("PL",T1322)))</formula>
    </cfRule>
    <cfRule type="containsText" dxfId="502" priority="1261" operator="containsText" text="P">
      <formula>NOT(ISERROR(SEARCH("P",T1322)))</formula>
    </cfRule>
  </conditionalFormatting>
  <conditionalFormatting sqref="T1330">
    <cfRule type="containsText" dxfId="501" priority="693" operator="containsText" text="AB">
      <formula>NOT(ISERROR(SEARCH("AB",T1330)))</formula>
    </cfRule>
    <cfRule type="containsText" dxfId="500" priority="694" operator="containsText" text="SL">
      <formula>NOT(ISERROR(SEARCH("SL",T1330)))</formula>
    </cfRule>
    <cfRule type="containsText" dxfId="499" priority="695" operator="containsText" text="EL">
      <formula>NOT(ISERROR(SEARCH("EL",T1330)))</formula>
    </cfRule>
    <cfRule type="containsText" dxfId="498" priority="696" operator="containsText" text="PL">
      <formula>NOT(ISERROR(SEARCH("PL",T1330)))</formula>
    </cfRule>
    <cfRule type="containsText" dxfId="497" priority="697" operator="containsText" text="P">
      <formula>NOT(ISERROR(SEARCH("P",T1330)))</formula>
    </cfRule>
    <cfRule type="containsText" dxfId="496" priority="1022" operator="containsText" text="AB">
      <formula>NOT(ISERROR(SEARCH("AB",T1330)))</formula>
    </cfRule>
    <cfRule type="containsText" dxfId="495" priority="1023" operator="containsText" text="SL">
      <formula>NOT(ISERROR(SEARCH("SL",T1330)))</formula>
    </cfRule>
    <cfRule type="containsText" dxfId="494" priority="1024" operator="containsText" text="EL">
      <formula>NOT(ISERROR(SEARCH("EL",T1330)))</formula>
    </cfRule>
    <cfRule type="containsText" dxfId="493" priority="1025" operator="containsText" text="PL">
      <formula>NOT(ISERROR(SEARCH("PL",T1330)))</formula>
    </cfRule>
    <cfRule type="containsText" dxfId="492" priority="1026" operator="containsText" text="P">
      <formula>NOT(ISERROR(SEARCH("P",T1330)))</formula>
    </cfRule>
  </conditionalFormatting>
  <conditionalFormatting sqref="T1333">
    <cfRule type="containsText" dxfId="491" priority="1628" operator="containsText" text="AB">
      <formula>NOT(ISERROR(SEARCH("AB",T1333)))</formula>
    </cfRule>
    <cfRule type="containsText" dxfId="490" priority="1629" operator="containsText" text="SL">
      <formula>NOT(ISERROR(SEARCH("SL",T1333)))</formula>
    </cfRule>
    <cfRule type="containsText" dxfId="489" priority="1630" operator="containsText" text="EL">
      <formula>NOT(ISERROR(SEARCH("EL",T1333)))</formula>
    </cfRule>
    <cfRule type="containsText" dxfId="488" priority="1631" operator="containsText" text="PL">
      <formula>NOT(ISERROR(SEARCH("PL",T1333)))</formula>
    </cfRule>
    <cfRule type="containsText" dxfId="487" priority="1632" operator="containsText" text="P">
      <formula>NOT(ISERROR(SEARCH("P",T1333)))</formula>
    </cfRule>
  </conditionalFormatting>
  <conditionalFormatting sqref="T1347:T1349">
    <cfRule type="containsText" dxfId="486" priority="916" operator="containsText" text="AB">
      <formula>NOT(ISERROR(SEARCH("AB",T1347)))</formula>
    </cfRule>
    <cfRule type="containsText" dxfId="485" priority="917" operator="containsText" text="SL">
      <formula>NOT(ISERROR(SEARCH("SL",T1347)))</formula>
    </cfRule>
    <cfRule type="containsText" dxfId="484" priority="918" operator="containsText" text="EL">
      <formula>NOT(ISERROR(SEARCH("EL",T1347)))</formula>
    </cfRule>
    <cfRule type="containsText" dxfId="483" priority="919" operator="containsText" text="PL">
      <formula>NOT(ISERROR(SEARCH("PL",T1347)))</formula>
    </cfRule>
    <cfRule type="containsText" dxfId="482" priority="920" operator="containsText" text="P">
      <formula>NOT(ISERROR(SEARCH("P",T1347)))</formula>
    </cfRule>
  </conditionalFormatting>
  <conditionalFormatting sqref="T1362:T1048576">
    <cfRule type="containsText" dxfId="481" priority="10700" operator="containsText" text="ABWI">
      <formula>NOT(ISERROR(SEARCH("ABWI",T1362)))</formula>
    </cfRule>
    <cfRule type="containsText" dxfId="480" priority="10924" operator="containsText" text="OFF">
      <formula>NOT(ISERROR(SEARCH("OFF",T1362)))</formula>
    </cfRule>
  </conditionalFormatting>
  <conditionalFormatting sqref="U7:U82 U273:U288 U304:U328 U347:U360 U391:U414 U450:U460 U493 U502 U526:U529 U553:U557 U659:U663 U728:U734 U800:U810 U812:U817 U903:U909 U924:U931 U1107:U1112 U1149:U1172 U223:U247 U266:U269 U426:U435 U631 U667 U709:U715 U769:U772 U845:U849 U854:U865 U895 U1187 U93:U114 U522:U523 U718:U725 U1006:U1027 U1055:U1074 U1140:U1142 U1252:U1290 U1312:U1048576 U1085:U1091 U118 U335 U417 U422 U446:U447 U484:U485 U545:U546 U605 U607 U672:U675 U678 U779 U949 U959 U962 U1101:U1102">
    <cfRule type="containsText" dxfId="479" priority="249" operator="containsText" text="Miss SOS">
      <formula>NOT(ISERROR(SEARCH("Miss SOS",U7)))</formula>
    </cfRule>
  </conditionalFormatting>
  <conditionalFormatting sqref="U13:U42 U44:U55 U57:U63 U65:U68 U70 U72:U78 U80 U84 U86 U96 U102 U111 U118 U133:U134 U136 U141:U142 U146 U148 U150 U152 U162 U167:U169 U172 U206 U210 U228 U237 U245:U247 U249 U255 U258 U264 U266:U271 U273 U275 U284:U285 U293:U296 U298:U299 U303:U305 U308 U314 U319:U322 U327:U330 U335:U336 U349 U353 U359:U360 U366 U371:U372 U380 U391:U393 U398:U399 U403 U408 U412 U417:U422 U426:U428 U432 U434:U435 U441 U446:U448 U453 U459:U460 U466 U475:U476 U479 U485 U487:U488 U506 U508:U509 U522:U524 U535:U538 U545:U546 U553 U603 U605:U607 U614 U617 U621:U623 U626 U631 U647:U648 U651:U653 U659 U667 U671:U673 U676 U687 U703:U707 U709:U710 U713:U717 U733:U735 U739 U741:U742 U747 U758:U759 U764:U767 U769:U770 U772 U774 U777 U779:U783 U791:U795 U819 U825:U826 U842 U845 U862 U865 U868:U870 U876 U893 U895 U899 U907:U908 U919:U920 U922 U932:U933 U949 U957 U959 U962 U978 U981 U988 U992:U993 U996:U998 U1005:U1008 U1010 U1026:U1027 U1032 U1038:U1039 U1044 U1053:U1054 U1072:U1078 U1080 U1082:U1083 U1087 U1091 U1094 U1096:U1097 U1101:U1102 U1107 U1120:U1122 U1136:U1138 U1144:U1147 U1158 U1162 U1165 U1172 U1180 U1184:U1185 U1187:U1188 U1192 U1196:U1197 U1204 U1216 U1222 U1225 U1247 U1252:U1254 U1261:U1262 U1280 U1289:U1291 U1293 U1308:U1309 U1329:U1330 U1334">
    <cfRule type="containsText" dxfId="478" priority="4080" operator="containsText" text="AB">
      <formula>NOT(ISERROR(SEARCH("AB",U13)))</formula>
    </cfRule>
    <cfRule type="containsText" dxfId="477" priority="4081" operator="containsText" text="SL">
      <formula>NOT(ISERROR(SEARCH("SL",U13)))</formula>
    </cfRule>
    <cfRule type="containsText" dxfId="476" priority="4082" operator="containsText" text="EL">
      <formula>NOT(ISERROR(SEARCH("EL",U13)))</formula>
    </cfRule>
    <cfRule type="containsText" dxfId="475" priority="4083" operator="containsText" text="PL">
      <formula>NOT(ISERROR(SEARCH("PL",U13)))</formula>
    </cfRule>
    <cfRule type="containsText" dxfId="474" priority="4084" operator="containsText" text="P">
      <formula>NOT(ISERROR(SEARCH("P",U13)))</formula>
    </cfRule>
  </conditionalFormatting>
  <conditionalFormatting sqref="U13:U42 U44:U55 U57:U63 U65:U68 U84 U86 U96 U102 U111 U118 U133:U134 U136 U141:U142 U146 U148 U150 U152 U162 U167:U169 U172 U206 U210 U228 U237 U245:U247 U249 U255 U258 U264 U266:U271 U275 U293:U296 U298:U299 U303:U305 U308 U314 U319:U322 U327:U330 U335:U336 U349 U359:U360 U366 U371:U372 U380 U398:U399 U403 U408 U412 U417:U422 U426:U428 U441 U446:U448 U459:U460 U479 U485 U487:U488 U506 U508:U509 U535:U538 U545:U546 U553 U603 U605:U607 U614 U617 U621:U623 U626 U631 U647:U648 U651:U653 U659 U667 U671:U673 U687 U703:U707 U709:U710 U739 U741:U742 U758:U759 U764:U767 U769:U770 U772 U774 U777 U779:U783 U791:U795 U842 U845 U862 U865 U876 U893 U895 U907:U908 U919:U920 U922 U949 U957 U959 U962 U978 U981 U988 U992:U993 U1010 U1026:U1027 U1032 U1072:U1078 U1080 U1082:U1083 U1087 U1091 U1094 U1096:U1097 U1101:U1102 U1120:U1122 U1136:U1138 U1144:U1147 U1158 U1162 U1165 U1172 U1180 U1187:U1188 U1192 U1204 U1222 U1225 U1247 U1252:U1254 U1261:U1262 U1308:U1309 U1334 U522:U524 U252:U253 U475:U476 U676 U713:U717 U733:U735 U819 U868:U870 U899 U1030 U1038:U1039 U1184:U1185 U391:U393 U434:U435 U747 U825:U826 U1044 U1196:U1197 U1216 U1289:U1291 U1293 U1329:U1330 U1005:U1008 U1012:U1013 U1107 U70 U72:U78 U80 U273 U284:U285 U353 U453 U466 U1280 U432 U932:U933 U996:U998 U1053:U1054">
    <cfRule type="containsText" dxfId="473" priority="4079" operator="containsText" text="OFF">
      <formula>NOT(ISERROR(SEARCH("OFF",U13)))</formula>
    </cfRule>
  </conditionalFormatting>
  <conditionalFormatting sqref="U33:U42 U72:U73 U84 U96 U102 U111 U142 U152 U167:U169 U249 U258 U268:U270 T393:U393 U417:U419 U448 U459:U460 U476 U524 T535:U536 T538:U538 U545:U546 U605:U606 U647 U671 U676 U705 U716:U717 U735 U758 U766 U777 U791 U793:U795 U819 U870 U899 U919 U957 U992 U1007 U1026:U1027 U1032 U1039 U1044 U1072 U1075 U1077 U1082 U1094 U1096 U1101:U1102 U1136 U1144:U1145 U1147 U1185 U1197 U1216 U1222 U1225 U1247 U1261 U1291 U1329:U1330 U252:U253 U1012:U1013 U1030 U1059 U497 U692:U693 U695 U1341 U464 U1212 S1:S3">
    <cfRule type="containsText" dxfId="472" priority="44808" operator="containsText" text="ABWI">
      <formula>NOT(ISERROR(SEARCH("ABWI",S1)))</formula>
    </cfRule>
  </conditionalFormatting>
  <conditionalFormatting sqref="U70:U71 U453:U454 U721 U810 U849:U850 U889:U890 U292:U293 U707 U353:U354 U466:U467 U812 U886 U944 U73:U74 U76:U78 U80 U99:U114 U267 U269 U273 U284:U285 U335:U336 U421:U422 U779 U924 U1280">
    <cfRule type="containsText" dxfId="471" priority="1250" operator="containsText" text="ABWI">
      <formula>NOT(ISERROR(SEARCH("ABWI",U70)))</formula>
    </cfRule>
  </conditionalFormatting>
  <conditionalFormatting sqref="U71 U454 U693 U695 U721 U810 U849 U889:U890">
    <cfRule type="containsText" dxfId="470" priority="1245" operator="containsText" text="AB">
      <formula>NOT(ISERROR(SEARCH("AB",U71)))</formula>
    </cfRule>
    <cfRule type="containsText" dxfId="469" priority="1246" operator="containsText" text="SL">
      <formula>NOT(ISERROR(SEARCH("SL",U71)))</formula>
    </cfRule>
    <cfRule type="containsText" dxfId="468" priority="1247" operator="containsText" text="EL">
      <formula>NOT(ISERROR(SEARCH("EL",U71)))</formula>
    </cfRule>
    <cfRule type="containsText" dxfId="467" priority="1248" operator="containsText" text="PL">
      <formula>NOT(ISERROR(SEARCH("PL",U71)))</formula>
    </cfRule>
    <cfRule type="containsText" dxfId="466" priority="1249" operator="containsText" text="P">
      <formula>NOT(ISERROR(SEARCH("P",U71)))</formula>
    </cfRule>
  </conditionalFormatting>
  <conditionalFormatting sqref="U71 U695 U721 U889:U890 U454 U810 U849 U693">
    <cfRule type="containsText" dxfId="465" priority="1244" operator="containsText" text="OFF">
      <formula>NOT(ISERROR(SEARCH("OFF",U71)))</formula>
    </cfRule>
  </conditionalFormatting>
  <conditionalFormatting sqref="U78 U453 U713">
    <cfRule type="containsText" dxfId="464" priority="229" operator="containsText" text="ABWI">
      <formula>NOT(ISERROR(SEARCH("ABWI",U78)))</formula>
    </cfRule>
  </conditionalFormatting>
  <conditionalFormatting sqref="U89:U97">
    <cfRule type="containsText" dxfId="463" priority="4071" operator="containsText" text="ABWI">
      <formula>NOT(ISERROR(SEARCH("ABWI",U89)))</formula>
    </cfRule>
    <cfRule type="containsText" dxfId="462" priority="4072" operator="containsText" text="OFF">
      <formula>NOT(ISERROR(SEARCH("OFF",U89)))</formula>
    </cfRule>
    <cfRule type="containsText" dxfId="461" priority="4073" operator="containsText" text="AB">
      <formula>NOT(ISERROR(SEARCH("AB",U89)))</formula>
    </cfRule>
    <cfRule type="containsText" dxfId="460" priority="4074" operator="containsText" text="SL">
      <formula>NOT(ISERROR(SEARCH("SL",U89)))</formula>
    </cfRule>
    <cfRule type="containsText" dxfId="459" priority="4075" operator="containsText" text="EL">
      <formula>NOT(ISERROR(SEARCH("EL",U89)))</formula>
    </cfRule>
    <cfRule type="containsText" dxfId="458" priority="4076" operator="containsText" text="PL">
      <formula>NOT(ISERROR(SEARCH("PL",U89)))</formula>
    </cfRule>
    <cfRule type="containsText" dxfId="457" priority="4077" operator="containsText" text="P">
      <formula>NOT(ISERROR(SEARCH("P",U89)))</formula>
    </cfRule>
  </conditionalFormatting>
  <conditionalFormatting sqref="U93 U189 U252:U253 U277 U283 U288 U451 U493 U502 U526 U556 U641 U662 U669 U692 U725 U728 U801 U814 U903 U1003 U1013 U1016 U1042 U1057 U1059 U1064 U1111:U1112 U1140 U1142 U1154 U1267 U1272 U1297 U1347">
    <cfRule type="containsText" dxfId="456" priority="236" operator="containsText" text="SL">
      <formula>NOT(ISERROR(SEARCH("SL",U93)))</formula>
    </cfRule>
    <cfRule type="containsText" dxfId="455" priority="237" operator="containsText" text="EL">
      <formula>NOT(ISERROR(SEARCH("EL",U93)))</formula>
    </cfRule>
    <cfRule type="containsText" dxfId="454" priority="238" operator="containsText" text="PL">
      <formula>NOT(ISERROR(SEARCH("PL",U93)))</formula>
    </cfRule>
    <cfRule type="containsText" dxfId="453" priority="239" operator="containsText" text="P">
      <formula>NOT(ISERROR(SEARCH("P",U93)))</formula>
    </cfRule>
  </conditionalFormatting>
  <conditionalFormatting sqref="U93 U189 U253 U277 U283 U288 U451 U493 U502 U526 U556 U641 U662 U669:U670 U692:U693 U725 U728 U801 U814 U903 U1003 U1013 U1016 U1042 U1057 U1059 U1064 U1111:U1112 U1140 U1142 U1154 U1267 U1272:U1273 U1297 U1347 U716:U717 U72 U434 U522 U1329">
    <cfRule type="containsText" dxfId="452" priority="240" operator="containsText" text="ABWI">
      <formula>NOT(ISERROR(SEARCH("ABWI",U72)))</formula>
    </cfRule>
  </conditionalFormatting>
  <conditionalFormatting sqref="U93 U189 U277 U283 U288 U451 U493 U502 U526 U556 U641 U662 U669 U692 U725 U728 U801 U814 U903 U1003 U1016 U1042 U1057 U1059 U1064 U1111:U1112 U1140 U1142 U1154 U1267 U1272 U1297 U1347 U252:U253 U1013">
    <cfRule type="containsText" dxfId="451" priority="235" operator="containsText" text="AB">
      <formula>NOT(ISERROR(SEARCH("AB",U93)))</formula>
    </cfRule>
  </conditionalFormatting>
  <conditionalFormatting sqref="U93">
    <cfRule type="containsText" dxfId="450" priority="205" operator="containsText" text="OFF">
      <formula>NOT(ISERROR(SEARCH("OFF",U93)))</formula>
    </cfRule>
    <cfRule type="containsText" dxfId="449" priority="206" operator="containsText" text="AB">
      <formula>NOT(ISERROR(SEARCH("AB",U93)))</formula>
    </cfRule>
    <cfRule type="containsText" dxfId="448" priority="207" operator="containsText" text="SL">
      <formula>NOT(ISERROR(SEARCH("SL",U93)))</formula>
    </cfRule>
    <cfRule type="containsText" dxfId="447" priority="208" operator="containsText" text="EL">
      <formula>NOT(ISERROR(SEARCH("EL",U93)))</formula>
    </cfRule>
    <cfRule type="containsText" dxfId="446" priority="209" operator="containsText" text="PL">
      <formula>NOT(ISERROR(SEARCH("PL",U93)))</formula>
    </cfRule>
    <cfRule type="containsText" dxfId="445" priority="210" operator="containsText" text="P">
      <formula>NOT(ISERROR(SEARCH("P",U93)))</formula>
    </cfRule>
  </conditionalFormatting>
  <conditionalFormatting sqref="U96 U1082:U1083 U651:U654 U102 U111 U249 U380:U381 U535 U545:U546 U686:U688 U992:U993 U172 U774:U775 U1072:U1074 U1096:U1097 U293:U296 U298:U299 U303:U305 U327:U330 U335:U336 U359:U360 U366 U371:U372 U426:U428 U441 U446:U447 U459:U460 U479 U485 U487:U488 U506 U508:U509 U767 U777 U791:U795 U876 U893 U1026:U1027 U1032 U1078 U1080 U1094 U1101:U1102 U1120:U1122 U1146:U1147 U1187:U1188 U1192 U1222 U1225 U1252:U1254 U1308:U1309 U84 U86 U118 U133:U134 U136 U141:U142 U146 U148 U150 U152 U162 U167:U169 U417:U422 U603 U605:U607 U614 U617 U621:U623 U626 U631 U647:U648 U667 U671:U673 U703:U707 U758:U759 U780:U783 U919:U920 U922 U949 U957 U959 U962 U978 U981 U988 U1136:U1138 U1204 U1247 U1261:U1262 U842 U258 U264 U266:U271 U1091 U1087:U1088 U739 U741:U742 U1180 U13:U32 U35 U37:U38 U40 U44:U55 U57:U63 U65:U68 U228 U237 U245:U247 U275 U308 U314 U319:U322 U349 U398:U399 U403 U408 U412 U553 U659 U709:U710 U769:U770 U772 U845 U862 U865 U895 U907:U908 U1010 U1158 U1162 U1165 U1172 U1334 U206 U210 U255">
    <cfRule type="containsText" dxfId="444" priority="4078" operator="containsText" text="ABWI">
      <formula>NOT(ISERROR(SEARCH("ABWI",U13)))</formula>
    </cfRule>
  </conditionalFormatting>
  <conditionalFormatting sqref="U99:U115 U194 U204 U216 U219 U223:U225 U243 U249 U341 U356 U381:U382 U389 U483 U494:U496 U501 U524 U535 U546 U557:U559 U583:U584 U586 U596:U597 U610 U628 U678:U679 U693:U695 U798:U801 U805 U815:U817 U986 U1151 U1230 U1234 U1273 U1339:U1341">
    <cfRule type="containsText" dxfId="443" priority="3178" operator="containsText" text="AB">
      <formula>NOT(ISERROR(SEARCH("AB",U99)))</formula>
    </cfRule>
    <cfRule type="containsText" dxfId="442" priority="3179" operator="containsText" text="SL">
      <formula>NOT(ISERROR(SEARCH("SL",U99)))</formula>
    </cfRule>
    <cfRule type="containsText" dxfId="441" priority="3180" operator="containsText" text="EL">
      <formula>NOT(ISERROR(SEARCH("EL",U99)))</formula>
    </cfRule>
    <cfRule type="containsText" dxfId="440" priority="3181" operator="containsText" text="PL">
      <formula>NOT(ISERROR(SEARCH("PL",U99)))</formula>
    </cfRule>
    <cfRule type="containsText" dxfId="439" priority="3182" operator="containsText" text="P">
      <formula>NOT(ISERROR(SEARCH("P",U99)))</formula>
    </cfRule>
  </conditionalFormatting>
  <conditionalFormatting sqref="U99:U115 U194 U204 U216 U219 U243 U249 U341 U356 U381:U382 U389 U483 U494:U496 U501 U524 U535 U546 U557:U559 U583:U584 U586 U596:U597 U610 U628 U678:U679 U693:U695 U798:U801 U805 U815:U817 U986 U1151 U1234 U223:U225 U1230 U1339:U1341 U1273">
    <cfRule type="containsText" dxfId="438" priority="3177" operator="containsText" text="OFF">
      <formula>NOT(ISERROR(SEARCH("OFF",U99)))</formula>
    </cfRule>
  </conditionalFormatting>
  <conditionalFormatting sqref="U134 U167:U169 U189:U217 U253:U255 U270:U271 U295 U419:U420 U635:U641 U669 U692 U703:U705 U717 U795 U932:U935 U981 U996:U1003 U1026 U1042 U1046:U1054 U1297">
    <cfRule type="containsText" dxfId="437" priority="233" operator="containsText" text="Miss SOS">
      <formula>NOT(ISERROR(SEARCH("Miss SOS",U134)))</formula>
    </cfRule>
  </conditionalFormatting>
  <conditionalFormatting sqref="U134 U295 U703 U932:U933 U981 U996:U998 U1053:U1054 U44 U49 U52 U60 U63 U245 U266 U303:U304 U319:U320 U327 U359 U428 U631 U659 U667 U709 U772 U816 U845 U865 U895 U907 U1158 U1172 U1187:U1189">
    <cfRule type="containsText" dxfId="436" priority="241" operator="containsText" text="ABWI">
      <formula>NOT(ISERROR(SEARCH("ABWI",U44)))</formula>
    </cfRule>
  </conditionalFormatting>
  <conditionalFormatting sqref="U168 U381">
    <cfRule type="containsText" dxfId="435" priority="1901" operator="containsText" text="AB">
      <formula>NOT(ISERROR(SEARCH("AB",U168)))</formula>
    </cfRule>
    <cfRule type="containsText" dxfId="434" priority="1902" operator="containsText" text="SL">
      <formula>NOT(ISERROR(SEARCH("SL",U168)))</formula>
    </cfRule>
    <cfRule type="containsText" dxfId="433" priority="1903" operator="containsText" text="EL">
      <formula>NOT(ISERROR(SEARCH("EL",U168)))</formula>
    </cfRule>
    <cfRule type="containsText" dxfId="432" priority="1904" operator="containsText" text="PL">
      <formula>NOT(ISERROR(SEARCH("PL",U168)))</formula>
    </cfRule>
    <cfRule type="containsText" dxfId="431" priority="1905" operator="containsText" text="P">
      <formula>NOT(ISERROR(SEARCH("P",U168)))</formula>
    </cfRule>
  </conditionalFormatting>
  <conditionalFormatting sqref="U171:U172 U774:U775 U880 U891 U917 U1047:U1049 U1073 U1097">
    <cfRule type="containsText" dxfId="430" priority="2729" operator="containsText" text="AB">
      <formula>NOT(ISERROR(SEARCH("AB",U171)))</formula>
    </cfRule>
    <cfRule type="containsText" dxfId="429" priority="2730" operator="containsText" text="SL">
      <formula>NOT(ISERROR(SEARCH("SL",U171)))</formula>
    </cfRule>
    <cfRule type="containsText" dxfId="428" priority="2731" operator="containsText" text="EL">
      <formula>NOT(ISERROR(SEARCH("EL",U171)))</formula>
    </cfRule>
    <cfRule type="containsText" dxfId="427" priority="2732" operator="containsText" text="PL">
      <formula>NOT(ISERROR(SEARCH("PL",U171)))</formula>
    </cfRule>
    <cfRule type="containsText" dxfId="426" priority="2733" operator="containsText" text="P">
      <formula>NOT(ISERROR(SEARCH("P",U171)))</formula>
    </cfRule>
  </conditionalFormatting>
  <conditionalFormatting sqref="U171:U172 U774:U775 U880 U891 U1097 U1073 U1047:U1049 U917">
    <cfRule type="containsText" dxfId="425" priority="2728" operator="containsText" text="OFF">
      <formula>NOT(ISERROR(SEARCH("OFF",U171)))</formula>
    </cfRule>
  </conditionalFormatting>
  <conditionalFormatting sqref="U175 U177 U231 U278:U279 U449 U463:U464 U471:U472 U744 U753:U754 U903 U935:U936 U938 U955 U976 U1001 U1111:U1112 U1125 U1209 U1212:U1213 U1232 U1321">
    <cfRule type="containsText" dxfId="424" priority="2958" operator="containsText" text="OFF">
      <formula>NOT(ISERROR(SEARCH("OFF",U175)))</formula>
    </cfRule>
    <cfRule type="containsText" dxfId="423" priority="2959" operator="containsText" text="AB">
      <formula>NOT(ISERROR(SEARCH("AB",U175)))</formula>
    </cfRule>
    <cfRule type="containsText" dxfId="422" priority="2960" operator="containsText" text="SL">
      <formula>NOT(ISERROR(SEARCH("SL",U175)))</formula>
    </cfRule>
    <cfRule type="containsText" dxfId="421" priority="2961" operator="containsText" text="EL">
      <formula>NOT(ISERROR(SEARCH("EL",U175)))</formula>
    </cfRule>
    <cfRule type="containsText" dxfId="420" priority="2962" operator="containsText" text="PL">
      <formula>NOT(ISERROR(SEARCH("PL",U175)))</formula>
    </cfRule>
    <cfRule type="containsText" dxfId="419" priority="2963" operator="containsText" text="P">
      <formula>NOT(ISERROR(SEARCH("P",U175)))</formula>
    </cfRule>
  </conditionalFormatting>
  <conditionalFormatting sqref="U189 U641 U669 U692 U1003 U1042 U1297 U728 U801 U903 U1064 U1142 U93 U1059 U1111:U1112 U1140 U277 U283 U288 U451 U493 U502 U526 U556 U662 U725 U814 U1016 U1057 U1154 U1267 U1272 U1347">
    <cfRule type="containsText" dxfId="418" priority="234" operator="containsText" text="OFF">
      <formula>NOT(ISERROR(SEARCH("OFF",U93)))</formula>
    </cfRule>
  </conditionalFormatting>
  <conditionalFormatting sqref="U201:U202 U654">
    <cfRule type="containsText" dxfId="417" priority="3396" operator="containsText" text="OFF">
      <formula>NOT(ISERROR(SEARCH("OFF",U201)))</formula>
    </cfRule>
    <cfRule type="containsText" dxfId="416" priority="3397" operator="containsText" text="AB">
      <formula>NOT(ISERROR(SEARCH("AB",U201)))</formula>
    </cfRule>
    <cfRule type="containsText" dxfId="415" priority="3398" operator="containsText" text="SL">
      <formula>NOT(ISERROR(SEARCH("SL",U201)))</formula>
    </cfRule>
    <cfRule type="containsText" dxfId="414" priority="3399" operator="containsText" text="EL">
      <formula>NOT(ISERROR(SEARCH("EL",U201)))</formula>
    </cfRule>
    <cfRule type="containsText" dxfId="413" priority="3400" operator="containsText" text="PL">
      <formula>NOT(ISERROR(SEARCH("PL",U201)))</formula>
    </cfRule>
    <cfRule type="containsText" dxfId="412" priority="3401" operator="containsText" text="P">
      <formula>NOT(ISERROR(SEARCH("P",U201)))</formula>
    </cfRule>
  </conditionalFormatting>
  <conditionalFormatting sqref="U201:U202">
    <cfRule type="containsText" dxfId="411" priority="3395" operator="containsText" text="ABWI">
      <formula>NOT(ISERROR(SEARCH("ABWI",U201)))</formula>
    </cfRule>
  </conditionalFormatting>
  <conditionalFormatting sqref="U219 U249 U341 U382 U389 U483 U494:U496 U501 U523:U524 U535 U546 U557:U559 U583:U584 U586 U798:U801 U115 U596:U597 U610 U628 U693:U695 U986 U1234 U678:U679 U243 U356 U805 U815:U817 U1151 U194 U204 U216">
    <cfRule type="containsText" dxfId="410" priority="3176" operator="containsText" text="ABWI">
      <formula>NOT(ISERROR(SEARCH("ABWI",U115)))</formula>
    </cfRule>
  </conditionalFormatting>
  <conditionalFormatting sqref="U222 U249 U292 U393 U436 U448 U464 U476 U486 U497 U505 U524 U535:U536 U538 U546 U583 U654 U676 U716 U735 U766 U777 U793:U795 U819 U870 U899 U1027 U1039 U1043 U1075 U1077 U1185 U1197 U1291">
    <cfRule type="containsText" dxfId="409" priority="2194" operator="containsText" text="AB">
      <formula>NOT(ISERROR(SEARCH("AB",U222)))</formula>
    </cfRule>
    <cfRule type="containsText" dxfId="408" priority="2195" operator="containsText" text="SL">
      <formula>NOT(ISERROR(SEARCH("SL",U222)))</formula>
    </cfRule>
    <cfRule type="containsText" dxfId="407" priority="2196" operator="containsText" text="EL">
      <formula>NOT(ISERROR(SEARCH("EL",U222)))</formula>
    </cfRule>
    <cfRule type="containsText" dxfId="406" priority="2197" operator="containsText" text="PL">
      <formula>NOT(ISERROR(SEARCH("PL",U222)))</formula>
    </cfRule>
    <cfRule type="containsText" dxfId="405" priority="2198" operator="containsText" text="P">
      <formula>NOT(ISERROR(SEARCH("P",U222)))</formula>
    </cfRule>
  </conditionalFormatting>
  <conditionalFormatting sqref="U222 U249">
    <cfRule type="containsText" dxfId="404" priority="2170" operator="containsText" text="AB">
      <formula>NOT(ISERROR(SEARCH("AB",U222)))</formula>
    </cfRule>
    <cfRule type="containsText" dxfId="403" priority="2171" operator="containsText" text="SL">
      <formula>NOT(ISERROR(SEARCH("SL",U222)))</formula>
    </cfRule>
    <cfRule type="containsText" dxfId="402" priority="2172" operator="containsText" text="EL">
      <formula>NOT(ISERROR(SEARCH("EL",U222)))</formula>
    </cfRule>
    <cfRule type="containsText" dxfId="401" priority="2173" operator="containsText" text="PL">
      <formula>NOT(ISERROR(SEARCH("PL",U222)))</formula>
    </cfRule>
    <cfRule type="containsText" dxfId="400" priority="2174" operator="containsText" text="P">
      <formula>NOT(ISERROR(SEARCH("P",U222)))</formula>
    </cfRule>
    <cfRule type="containsText" dxfId="399" priority="2175" operator="containsText" text="ABWI">
      <formula>NOT(ISERROR(SEARCH("ABWI",U222)))</formula>
    </cfRule>
  </conditionalFormatting>
  <conditionalFormatting sqref="U222:U225 U249 U292 U392:U393 U435:U436 U448 U464 U475:U476 U485:U486 U497 U505 U524 U535:U538 U546 U583 U654 U676 U713:U716 U733:U735 U763:U766 U777 U793:U795 U819 U868:U870 U899 U1026:U1027 U1038:U1039 U1043:U1044 U1075:U1077 U1185 U1196:U1197 U1289:U1291 U1216 U1293 U1097 U381 U1144:U1147 U825:U826 U558 U747:U748 U1058:U1059 U1329:U1330 U299">
    <cfRule type="containsText" dxfId="398" priority="2199" operator="containsText" text="ABWI">
      <formula>NOT(ISERROR(SEARCH("ABWI",U222)))</formula>
    </cfRule>
  </conditionalFormatting>
  <conditionalFormatting sqref="U249 U222">
    <cfRule type="containsText" dxfId="397" priority="2169" operator="containsText" text="OFF">
      <formula>NOT(ISERROR(SEARCH("OFF",U222)))</formula>
    </cfRule>
  </conditionalFormatting>
  <conditionalFormatting sqref="U249 U381">
    <cfRule type="containsText" dxfId="396" priority="1899" operator="containsText" text="ABWI">
      <formula>NOT(ISERROR(SEARCH("ABWI",U249)))</formula>
    </cfRule>
  </conditionalFormatting>
  <conditionalFormatting sqref="U249 U838:U844 U1044:U1045 U1082:U1084 U1004:U1006 U1219">
    <cfRule type="containsText" dxfId="395" priority="2104" operator="containsText" text="Miss SOS">
      <formula>NOT(ISERROR(SEARCH("Miss SOS",U249)))</formula>
    </cfRule>
  </conditionalFormatting>
  <conditionalFormatting sqref="U283 U288 U317 U346:U347 U450:U451 U493:U494 U501:U502 U526 U556 U662 U679 U728 U801 U808 U814 U903 U928 U1112 U1154 U1172 U75 U391">
    <cfRule type="containsText" dxfId="394" priority="248" operator="containsText" text="ABWI">
      <formula>NOT(ISERROR(SEARCH("ABWI",U75)))</formula>
    </cfRule>
  </conditionalFormatting>
  <conditionalFormatting sqref="U283 U288 U317 U347 U450:U451 U493 U501:U502 U526 U556 U662 U679 U728 U801 U808 U814 U903 U928 U1112 U1154 U1172">
    <cfRule type="containsText" dxfId="393" priority="243" operator="containsText" text="AB">
      <formula>NOT(ISERROR(SEARCH("AB",U283)))</formula>
    </cfRule>
    <cfRule type="containsText" dxfId="392" priority="244" operator="containsText" text="SL">
      <formula>NOT(ISERROR(SEARCH("SL",U283)))</formula>
    </cfRule>
    <cfRule type="containsText" dxfId="391" priority="245" operator="containsText" text="EL">
      <formula>NOT(ISERROR(SEARCH("EL",U283)))</formula>
    </cfRule>
    <cfRule type="containsText" dxfId="390" priority="246" operator="containsText" text="PL">
      <formula>NOT(ISERROR(SEARCH("PL",U283)))</formula>
    </cfRule>
    <cfRule type="containsText" dxfId="389" priority="247" operator="containsText" text="P">
      <formula>NOT(ISERROR(SEARCH("P",U283)))</formula>
    </cfRule>
  </conditionalFormatting>
  <conditionalFormatting sqref="U293 U612 U707 U819">
    <cfRule type="containsText" dxfId="388" priority="1242" operator="containsText" text="Miss SOS">
      <formula>NOT(ISERROR(SEARCH("Miss SOS",U293)))</formula>
    </cfRule>
  </conditionalFormatting>
  <conditionalFormatting sqref="U346">
    <cfRule type="containsText" dxfId="387" priority="2515" operator="containsText" text="OFF">
      <formula>NOT(ISERROR(SEARCH("OFF",U346)))</formula>
    </cfRule>
    <cfRule type="containsText" dxfId="386" priority="2516" operator="containsText" text="AB">
      <formula>NOT(ISERROR(SEARCH("AB",U346)))</formula>
    </cfRule>
    <cfRule type="containsText" dxfId="385" priority="2517" operator="containsText" text="SL">
      <formula>NOT(ISERROR(SEARCH("SL",U346)))</formula>
    </cfRule>
    <cfRule type="containsText" dxfId="384" priority="2518" operator="containsText" text="EL">
      <formula>NOT(ISERROR(SEARCH("EL",U346)))</formula>
    </cfRule>
    <cfRule type="containsText" dxfId="383" priority="2519" operator="containsText" text="PL">
      <formula>NOT(ISERROR(SEARCH("PL",U346)))</formula>
    </cfRule>
    <cfRule type="containsText" dxfId="382" priority="2520" operator="containsText" text="P">
      <formula>NOT(ISERROR(SEARCH("P",U346)))</formula>
    </cfRule>
  </conditionalFormatting>
  <conditionalFormatting sqref="U354 U467 U632:U633 U646">
    <cfRule type="containsText" dxfId="381" priority="965" operator="containsText" text="OFF">
      <formula>NOT(ISERROR(SEARCH("OFF",U354)))</formula>
    </cfRule>
    <cfRule type="containsText" dxfId="380" priority="966" operator="containsText" text="AB">
      <formula>NOT(ISERROR(SEARCH("AB",U354)))</formula>
    </cfRule>
    <cfRule type="containsText" dxfId="379" priority="967" operator="containsText" text="SL">
      <formula>NOT(ISERROR(SEARCH("SL",U354)))</formula>
    </cfRule>
    <cfRule type="containsText" dxfId="378" priority="968" operator="containsText" text="EL">
      <formula>NOT(ISERROR(SEARCH("EL",U354)))</formula>
    </cfRule>
    <cfRule type="containsText" dxfId="377" priority="969" operator="containsText" text="PL">
      <formula>NOT(ISERROR(SEARCH("PL",U354)))</formula>
    </cfRule>
    <cfRule type="containsText" dxfId="376" priority="970" operator="containsText" text="P">
      <formula>NOT(ISERROR(SEARCH("P",U354)))</formula>
    </cfRule>
  </conditionalFormatting>
  <conditionalFormatting sqref="U371">
    <cfRule type="containsText" dxfId="375" priority="1875" operator="containsText" text="ABWI">
      <formula>NOT(ISERROR(SEARCH("ABWI",U371)))</formula>
    </cfRule>
  </conditionalFormatting>
  <conditionalFormatting sqref="U373:U375">
    <cfRule type="containsText" dxfId="374" priority="2200" operator="containsText" text="ABWI">
      <formula>NOT(ISERROR(SEARCH("ABWI",U373)))</formula>
    </cfRule>
    <cfRule type="containsText" dxfId="373" priority="2201" operator="containsText" text="OFF">
      <formula>NOT(ISERROR(SEARCH("OFF",U373)))</formula>
    </cfRule>
    <cfRule type="containsText" dxfId="372" priority="2202" operator="containsText" text="AB">
      <formula>NOT(ISERROR(SEARCH("AB",U373)))</formula>
    </cfRule>
    <cfRule type="containsText" dxfId="371" priority="2203" operator="containsText" text="SL">
      <formula>NOT(ISERROR(SEARCH("SL",U373)))</formula>
    </cfRule>
    <cfRule type="containsText" dxfId="370" priority="2204" operator="containsText" text="EL">
      <formula>NOT(ISERROR(SEARCH("EL",U373)))</formula>
    </cfRule>
    <cfRule type="containsText" dxfId="369" priority="2205" operator="containsText" text="PL">
      <formula>NOT(ISERROR(SEARCH("PL",U373)))</formula>
    </cfRule>
    <cfRule type="containsText" dxfId="368" priority="2206" operator="containsText" text="P">
      <formula>NOT(ISERROR(SEARCH("P",U373)))</formula>
    </cfRule>
  </conditionalFormatting>
  <conditionalFormatting sqref="U381 U168">
    <cfRule type="containsText" dxfId="367" priority="1900" operator="containsText" text="OFF">
      <formula>NOT(ISERROR(SEARCH("OFF",U168)))</formula>
    </cfRule>
  </conditionalFormatting>
  <conditionalFormatting sqref="U393 U436 U464 U497 U505 U583 U654 U735 U766 U777 U819 U1027 U1197 U1291 U793:U795 U222 U249 U448 U1043 U476 U524 U535:U536 U538 U1075 U1077 U870 U899 U1039 U292 U486 U546 U1185 U676 U716">
    <cfRule type="containsText" dxfId="366" priority="2193" operator="containsText" text="OFF">
      <formula>NOT(ISERROR(SEARCH("OFF",U222)))</formula>
    </cfRule>
  </conditionalFormatting>
  <conditionalFormatting sqref="U424">
    <cfRule type="containsText" dxfId="365" priority="2207" operator="containsText" text="ABWI">
      <formula>NOT(ISERROR(SEARCH("ABWI",U424)))</formula>
    </cfRule>
    <cfRule type="containsText" dxfId="364" priority="2208" operator="containsText" text="OFF">
      <formula>NOT(ISERROR(SEARCH("OFF",U424)))</formula>
    </cfRule>
    <cfRule type="containsText" dxfId="363" priority="2209" operator="containsText" text="AB">
      <formula>NOT(ISERROR(SEARCH("AB",U424)))</formula>
    </cfRule>
    <cfRule type="containsText" dxfId="362" priority="2210" operator="containsText" text="SL">
      <formula>NOT(ISERROR(SEARCH("SL",U424)))</formula>
    </cfRule>
    <cfRule type="containsText" dxfId="361" priority="2211" operator="containsText" text="EL">
      <formula>NOT(ISERROR(SEARCH("EL",U424)))</formula>
    </cfRule>
    <cfRule type="containsText" dxfId="360" priority="2212" operator="containsText" text="PL">
      <formula>NOT(ISERROR(SEARCH("PL",U424)))</formula>
    </cfRule>
    <cfRule type="containsText" dxfId="359" priority="2213" operator="containsText" text="P">
      <formula>NOT(ISERROR(SEARCH("P",U424)))</formula>
    </cfRule>
  </conditionalFormatting>
  <conditionalFormatting sqref="U432:U433">
    <cfRule type="containsText" dxfId="358" priority="1007" operator="containsText" text="ABWI">
      <formula>NOT(ISERROR(SEARCH("ABWI",U432)))</formula>
    </cfRule>
  </conditionalFormatting>
  <conditionalFormatting sqref="U433">
    <cfRule type="containsText" dxfId="357" priority="1000" operator="containsText" text="ABWI">
      <formula>NOT(ISERROR(SEARCH("ABWI",U433)))</formula>
    </cfRule>
    <cfRule type="containsText" dxfId="356" priority="1001" operator="containsText" text="OFF">
      <formula>NOT(ISERROR(SEARCH("OFF",U433)))</formula>
    </cfRule>
    <cfRule type="containsText" dxfId="355" priority="1002" operator="containsText" text="AB">
      <formula>NOT(ISERROR(SEARCH("AB",U433)))</formula>
    </cfRule>
    <cfRule type="containsText" dxfId="354" priority="1003" operator="containsText" text="SL">
      <formula>NOT(ISERROR(SEARCH("SL",U433)))</formula>
    </cfRule>
    <cfRule type="containsText" dxfId="353" priority="1004" operator="containsText" text="EL">
      <formula>NOT(ISERROR(SEARCH("EL",U433)))</formula>
    </cfRule>
    <cfRule type="containsText" dxfId="352" priority="1005" operator="containsText" text="PL">
      <formula>NOT(ISERROR(SEARCH("PL",U433)))</formula>
    </cfRule>
    <cfRule type="containsText" dxfId="351" priority="1006" operator="containsText" text="P">
      <formula>NOT(ISERROR(SEARCH("P",U433)))</formula>
    </cfRule>
  </conditionalFormatting>
  <conditionalFormatting sqref="U447 U461 U489 U622 U626 U648 U706">
    <cfRule type="containsText" dxfId="350" priority="2148" operator="containsText" text="AB">
      <formula>NOT(ISERROR(SEARCH("AB",U447)))</formula>
    </cfRule>
    <cfRule type="containsText" dxfId="349" priority="2149" operator="containsText" text="SL">
      <formula>NOT(ISERROR(SEARCH("SL",U447)))</formula>
    </cfRule>
    <cfRule type="containsText" dxfId="348" priority="2150" operator="containsText" text="EL">
      <formula>NOT(ISERROR(SEARCH("EL",U447)))</formula>
    </cfRule>
    <cfRule type="containsText" dxfId="347" priority="2151" operator="containsText" text="PL">
      <formula>NOT(ISERROR(SEARCH("PL",U447)))</formula>
    </cfRule>
    <cfRule type="containsText" dxfId="346" priority="2152" operator="containsText" text="P">
      <formula>NOT(ISERROR(SEARCH("P",U447)))</formula>
    </cfRule>
  </conditionalFormatting>
  <conditionalFormatting sqref="U447:U448 U460:U461 U489 U622 U626 U647:U648 U705:U706 U686 U688 U693 U1225 U84 U152 U418 U1247">
    <cfRule type="containsText" dxfId="345" priority="2153" operator="containsText" text="ABWI">
      <formula>NOT(ISERROR(SEARCH("ABWI",U84)))</formula>
    </cfRule>
  </conditionalFormatting>
  <conditionalFormatting sqref="U449 U463 U1125 U175 U177 U753:U754 U935:U936 U938 U955 U976 U1209 U1212:U1213 U471:U472 U1232 U744 U231 U278:U279 U903 U1111:U1112 U1321 U1001">
    <cfRule type="containsText" dxfId="344" priority="2957" operator="containsText" text="ABWI">
      <formula>NOT(ISERROR(SEARCH("ABWI",U175)))</formula>
    </cfRule>
  </conditionalFormatting>
  <conditionalFormatting sqref="U452 U484 U494 U527:U528 U764 U966 U1059:U1064 U1203 U1213:U1215 U1330:U1331">
    <cfRule type="containsText" dxfId="343" priority="1030" operator="containsText" text="AB">
      <formula>NOT(ISERROR(SEARCH("AB",U452)))</formula>
    </cfRule>
    <cfRule type="containsText" dxfId="342" priority="1031" operator="containsText" text="SL">
      <formula>NOT(ISERROR(SEARCH("SL",U452)))</formula>
    </cfRule>
    <cfRule type="containsText" dxfId="341" priority="1032" operator="containsText" text="EL">
      <formula>NOT(ISERROR(SEARCH("EL",U452)))</formula>
    </cfRule>
    <cfRule type="containsText" dxfId="340" priority="1033" operator="containsText" text="PL">
      <formula>NOT(ISERROR(SEARCH("PL",U452)))</formula>
    </cfRule>
    <cfRule type="containsText" dxfId="339" priority="1034" operator="containsText" text="P">
      <formula>NOT(ISERROR(SEARCH("P",U452)))</formula>
    </cfRule>
  </conditionalFormatting>
  <conditionalFormatting sqref="U466 U93">
    <cfRule type="containsText" dxfId="338" priority="204" operator="containsText" text="ABWI">
      <formula>NOT(ISERROR(SEARCH("ABWI",U93)))</formula>
    </cfRule>
  </conditionalFormatting>
  <conditionalFormatting sqref="U466">
    <cfRule type="containsText" dxfId="337" priority="203" operator="containsText" text="Miss SOS">
      <formula>NOT(ISERROR(SEARCH("Miss SOS",U466)))</formula>
    </cfRule>
  </conditionalFormatting>
  <conditionalFormatting sqref="U467 U633 U646 U354 U360">
    <cfRule type="containsText" dxfId="336" priority="964" operator="containsText" text="ABWI">
      <formula>NOT(ISERROR(SEARCH("ABWI",U354)))</formula>
    </cfRule>
  </conditionalFormatting>
  <conditionalFormatting sqref="U484 U527:U528 U764 U966 U1059:U1064 U1203 U1213:U1215 U1330:U1331 U452 U494">
    <cfRule type="containsText" dxfId="335" priority="1029" operator="containsText" text="OFF">
      <formula>NOT(ISERROR(SEARCH("OFF",U452)))</formula>
    </cfRule>
  </conditionalFormatting>
  <conditionalFormatting sqref="U497:U498 U569 U634:U635 U663 U761 U763">
    <cfRule type="containsText" dxfId="334" priority="3826" operator="containsText" text="AB">
      <formula>NOT(ISERROR(SEARCH("AB",U497)))</formula>
    </cfRule>
    <cfRule type="containsText" dxfId="333" priority="3827" operator="containsText" text="SL">
      <formula>NOT(ISERROR(SEARCH("SL",U497)))</formula>
    </cfRule>
    <cfRule type="containsText" dxfId="332" priority="3828" operator="containsText" text="EL">
      <formula>NOT(ISERROR(SEARCH("EL",U497)))</formula>
    </cfRule>
    <cfRule type="containsText" dxfId="331" priority="3829" operator="containsText" text="PL">
      <formula>NOT(ISERROR(SEARCH("PL",U497)))</formula>
    </cfRule>
    <cfRule type="containsText" dxfId="330" priority="3830" operator="containsText" text="P">
      <formula>NOT(ISERROR(SEARCH("P",U497)))</formula>
    </cfRule>
  </conditionalFormatting>
  <conditionalFormatting sqref="U497:U498 U569 U634:U635 U761 U763 U663">
    <cfRule type="containsText" dxfId="329" priority="3825" operator="containsText" text="OFF">
      <formula>NOT(ISERROR(SEARCH("OFF",U497)))</formula>
    </cfRule>
  </conditionalFormatting>
  <conditionalFormatting sqref="U498 U569 U634:U635 U761">
    <cfRule type="containsText" dxfId="328" priority="3824" operator="containsText" text="ABWI">
      <formula>NOT(ISERROR(SEARCH("ABWI",U498)))</formula>
    </cfRule>
  </conditionalFormatting>
  <conditionalFormatting sqref="U516">
    <cfRule type="containsText" dxfId="327" priority="2214" operator="containsText" text="ABWI">
      <formula>NOT(ISERROR(SEARCH("ABWI",U516)))</formula>
    </cfRule>
    <cfRule type="containsText" dxfId="326" priority="2215" operator="containsText" text="OFF">
      <formula>NOT(ISERROR(SEARCH("OFF",U516)))</formula>
    </cfRule>
    <cfRule type="containsText" dxfId="325" priority="2216" operator="containsText" text="AB">
      <formula>NOT(ISERROR(SEARCH("AB",U516)))</formula>
    </cfRule>
    <cfRule type="containsText" dxfId="324" priority="2217" operator="containsText" text="SL">
      <formula>NOT(ISERROR(SEARCH("SL",U516)))</formula>
    </cfRule>
    <cfRule type="containsText" dxfId="323" priority="2218" operator="containsText" text="EL">
      <formula>NOT(ISERROR(SEARCH("EL",U516)))</formula>
    </cfRule>
    <cfRule type="containsText" dxfId="322" priority="2219" operator="containsText" text="PL">
      <formula>NOT(ISERROR(SEARCH("PL",U516)))</formula>
    </cfRule>
    <cfRule type="containsText" dxfId="321" priority="2220" operator="containsText" text="P">
      <formula>NOT(ISERROR(SEARCH("P",U516)))</formula>
    </cfRule>
  </conditionalFormatting>
  <conditionalFormatting sqref="U558 U664 U686 U688 U693 U695:U696 U724:U726 U748 U751:U752 U889:U890 U944">
    <cfRule type="containsText" dxfId="320" priority="1576" operator="containsText" text="OFF">
      <formula>NOT(ISERROR(SEARCH("OFF",U558)))</formula>
    </cfRule>
    <cfRule type="containsText" dxfId="319" priority="1577" operator="containsText" text="AB">
      <formula>NOT(ISERROR(SEARCH("AB",U558)))</formula>
    </cfRule>
    <cfRule type="containsText" dxfId="318" priority="1578" operator="containsText" text="SL">
      <formula>NOT(ISERROR(SEARCH("SL",U558)))</formula>
    </cfRule>
    <cfRule type="containsText" dxfId="317" priority="1579" operator="containsText" text="EL">
      <formula>NOT(ISERROR(SEARCH("EL",U558)))</formula>
    </cfRule>
    <cfRule type="containsText" dxfId="316" priority="1580" operator="containsText" text="PL">
      <formula>NOT(ISERROR(SEARCH("PL",U558)))</formula>
    </cfRule>
    <cfRule type="containsText" dxfId="315" priority="1581" operator="containsText" text="P">
      <formula>NOT(ISERROR(SEARCH("P",U558)))</formula>
    </cfRule>
  </conditionalFormatting>
  <conditionalFormatting sqref="U591:U595">
    <cfRule type="containsText" dxfId="314" priority="196" operator="containsText" text="ABWI">
      <formula>NOT(ISERROR(SEARCH("ABWI",U591)))</formula>
    </cfRule>
    <cfRule type="containsText" dxfId="313" priority="197" operator="containsText" text="OFF">
      <formula>NOT(ISERROR(SEARCH("OFF",U591)))</formula>
    </cfRule>
    <cfRule type="containsText" dxfId="312" priority="198" operator="containsText" text="AB">
      <formula>NOT(ISERROR(SEARCH("AB",U591)))</formula>
    </cfRule>
    <cfRule type="containsText" dxfId="311" priority="199" operator="containsText" text="SL">
      <formula>NOT(ISERROR(SEARCH("SL",U591)))</formula>
    </cfRule>
    <cfRule type="containsText" dxfId="310" priority="200" operator="containsText" text="EL">
      <formula>NOT(ISERROR(SEARCH("EL",U591)))</formula>
    </cfRule>
    <cfRule type="containsText" dxfId="309" priority="201" operator="containsText" text="PL">
      <formula>NOT(ISERROR(SEARCH("PL",U591)))</formula>
    </cfRule>
    <cfRule type="containsText" dxfId="308" priority="202" operator="containsText" text="P">
      <formula>NOT(ISERROR(SEARCH("P",U591)))</formula>
    </cfRule>
  </conditionalFormatting>
  <conditionalFormatting sqref="U591:U596">
    <cfRule type="containsText" dxfId="307" priority="195" operator="containsText" text="Miss SOS">
      <formula>NOT(ISERROR(SEARCH("Miss SOS",U591)))</formula>
    </cfRule>
  </conditionalFormatting>
  <conditionalFormatting sqref="U597:U622 U624:U634 U83:U92 U115:U188 U415:U422 U642:U652 U682:U691 U693:U702 U704:U706 U1237:U1251 U751:U764 U783:U785 U787:U791 U793 U919:U922 U949:U995 U1136:U1139 U1204:U1214 U1216:U1218 U1293:U1296 U664:U668 U887:U890 U936:U946 U1298:U1311 U670:U672 U1291 U1289 U777">
    <cfRule type="containsText" dxfId="306" priority="2191" operator="containsText" text="Miss SOS">
      <formula>NOT(ISERROR(SEARCH("Miss SOS",U83)))</formula>
    </cfRule>
  </conditionalFormatting>
  <conditionalFormatting sqref="U622 U648 U706 U447 U461 U489 U626">
    <cfRule type="containsText" dxfId="305" priority="2147" operator="containsText" text="OFF">
      <formula>NOT(ISERROR(SEARCH("OFF",U447)))</formula>
    </cfRule>
  </conditionalFormatting>
  <conditionalFormatting sqref="U622 U648">
    <cfRule type="containsText" dxfId="304" priority="1874" operator="containsText" text="ABWI">
      <formula>NOT(ISERROR(SEARCH("ABWI",U622)))</formula>
    </cfRule>
  </conditionalFormatting>
  <conditionalFormatting sqref="U632 U614">
    <cfRule type="containsText" dxfId="303" priority="2168" operator="containsText" text="ABWI">
      <formula>NOT(ISERROR(SEARCH("ABWI",U614)))</formula>
    </cfRule>
  </conditionalFormatting>
  <conditionalFormatting sqref="U633 U646 U670 U681 U885 U889 U943 U963 U978 U1105:U1106 U1135 U1174">
    <cfRule type="containsText" dxfId="302" priority="667" operator="containsText" text="AB">
      <formula>NOT(ISERROR(SEARCH("AB",U633)))</formula>
    </cfRule>
    <cfRule type="containsText" dxfId="301" priority="668" operator="containsText" text="SL">
      <formula>NOT(ISERROR(SEARCH("SL",U633)))</formula>
    </cfRule>
    <cfRule type="containsText" dxfId="300" priority="669" operator="containsText" text="EL">
      <formula>NOT(ISERROR(SEARCH("EL",U633)))</formula>
    </cfRule>
    <cfRule type="containsText" dxfId="299" priority="670" operator="containsText" text="PL">
      <formula>NOT(ISERROR(SEARCH("PL",U633)))</formula>
    </cfRule>
    <cfRule type="containsText" dxfId="298" priority="671" operator="containsText" text="P">
      <formula>NOT(ISERROR(SEARCH("P",U633)))</formula>
    </cfRule>
  </conditionalFormatting>
  <conditionalFormatting sqref="U633 U646 U681 U885 U889 U943 U963 U978 U1174 U670 U1135 U1105:U1106">
    <cfRule type="containsText" dxfId="297" priority="666" operator="containsText" text="OFF">
      <formula>NOT(ISERROR(SEARCH("OFF",U633)))</formula>
    </cfRule>
  </conditionalFormatting>
  <conditionalFormatting sqref="U633 U646 U681 U885 U889 U943 U963 U978 U1174">
    <cfRule type="containsText" dxfId="296" priority="665" operator="containsText" text="ABWI">
      <formula>NOT(ISERROR(SEARCH("ABWI",U633)))</formula>
    </cfRule>
  </conditionalFormatting>
  <conditionalFormatting sqref="U642:U643 U807 U1117:U1118">
    <cfRule type="containsText" dxfId="295" priority="3185" operator="containsText" text="AB">
      <formula>NOT(ISERROR(SEARCH("AB",U642)))</formula>
    </cfRule>
    <cfRule type="containsText" dxfId="294" priority="3186" operator="containsText" text="SL">
      <formula>NOT(ISERROR(SEARCH("SL",U642)))</formula>
    </cfRule>
    <cfRule type="containsText" dxfId="293" priority="3187" operator="containsText" text="EL">
      <formula>NOT(ISERROR(SEARCH("EL",U642)))</formula>
    </cfRule>
    <cfRule type="containsText" dxfId="292" priority="3188" operator="containsText" text="PL">
      <formula>NOT(ISERROR(SEARCH("PL",U642)))</formula>
    </cfRule>
    <cfRule type="containsText" dxfId="291" priority="3189" operator="containsText" text="P">
      <formula>NOT(ISERROR(SEARCH("P",U642)))</formula>
    </cfRule>
  </conditionalFormatting>
  <conditionalFormatting sqref="U642:U643 U1117:U1118 U807">
    <cfRule type="containsText" dxfId="290" priority="3184" operator="containsText" text="OFF">
      <formula>NOT(ISERROR(SEARCH("OFF",U642)))</formula>
    </cfRule>
  </conditionalFormatting>
  <conditionalFormatting sqref="U642:U643 U1117:U1118">
    <cfRule type="containsText" dxfId="289" priority="3183" operator="containsText" text="ABWI">
      <formula>NOT(ISERROR(SEARCH("ABWI",U642)))</formula>
    </cfRule>
  </conditionalFormatting>
  <conditionalFormatting sqref="U663:U664">
    <cfRule type="containsText" dxfId="288" priority="1898" operator="containsText" text="ABWI">
      <formula>NOT(ISERROR(SEARCH("ABWI",U663)))</formula>
    </cfRule>
  </conditionalFormatting>
  <conditionalFormatting sqref="U670 U751 U785 U812 U886">
    <cfRule type="containsText" dxfId="287" priority="958" operator="containsText" text="AB">
      <formula>NOT(ISERROR(SEARCH("AB",U670)))</formula>
    </cfRule>
    <cfRule type="containsText" dxfId="286" priority="959" operator="containsText" text="SL">
      <formula>NOT(ISERROR(SEARCH("SL",U670)))</formula>
    </cfRule>
    <cfRule type="containsText" dxfId="285" priority="960" operator="containsText" text="EL">
      <formula>NOT(ISERROR(SEARCH("EL",U670)))</formula>
    </cfRule>
    <cfRule type="containsText" dxfId="284" priority="961" operator="containsText" text="PL">
      <formula>NOT(ISERROR(SEARCH("PL",U670)))</formula>
    </cfRule>
    <cfRule type="containsText" dxfId="283" priority="962" operator="containsText" text="P">
      <formula>NOT(ISERROR(SEARCH("P",U670)))</formula>
    </cfRule>
  </conditionalFormatting>
  <conditionalFormatting sqref="U670 U785 U812 U886 U751">
    <cfRule type="containsText" dxfId="282" priority="957" operator="containsText" text="OFF">
      <formula>NOT(ISERROR(SEARCH("OFF",U670)))</formula>
    </cfRule>
  </conditionalFormatting>
  <conditionalFormatting sqref="U675 U737 U751 U809 U848 U988 U991 U1176 U1338">
    <cfRule type="containsText" dxfId="281" priority="675" operator="containsText" text="OFF">
      <formula>NOT(ISERROR(SEARCH("OFF",U675)))</formula>
    </cfRule>
    <cfRule type="containsText" dxfId="280" priority="676" operator="containsText" text="AB">
      <formula>NOT(ISERROR(SEARCH("AB",U675)))</formula>
    </cfRule>
    <cfRule type="containsText" dxfId="279" priority="677" operator="containsText" text="SL">
      <formula>NOT(ISERROR(SEARCH("SL",U675)))</formula>
    </cfRule>
    <cfRule type="containsText" dxfId="278" priority="678" operator="containsText" text="EL">
      <formula>NOT(ISERROR(SEARCH("EL",U675)))</formula>
    </cfRule>
    <cfRule type="containsText" dxfId="277" priority="679" operator="containsText" text="PL">
      <formula>NOT(ISERROR(SEARCH("PL",U675)))</formula>
    </cfRule>
    <cfRule type="containsText" dxfId="276" priority="680" operator="containsText" text="P">
      <formula>NOT(ISERROR(SEARCH("P",U675)))</formula>
    </cfRule>
  </conditionalFormatting>
  <conditionalFormatting sqref="U675:U676 U737 U751 U809:U810 U848:U849 U988 U991 U1176 U1338:U1340 U781 U1120:U1122 U452 U454 U606:U607 U807">
    <cfRule type="containsText" dxfId="275" priority="681" operator="containsText" text="ABWI">
      <formula>NOT(ISERROR(SEARCH("ABWI",U452)))</formula>
    </cfRule>
  </conditionalFormatting>
  <conditionalFormatting sqref="U679:U681 U885:U886 U1105 U1135:U1137 U1173:U1184 U466:U467">
    <cfRule type="containsText" dxfId="274" priority="672" operator="containsText" text="Miss SOS">
      <formula>NOT(ISERROR(SEARCH("Miss SOS",U466)))</formula>
    </cfRule>
  </conditionalFormatting>
  <conditionalFormatting sqref="U686 U688:U691 U942 U993">
    <cfRule type="containsText" dxfId="273" priority="2734" operator="containsText" text="ABWI">
      <formula>NOT(ISERROR(SEARCH("ABWI",U686)))</formula>
    </cfRule>
    <cfRule type="containsText" dxfId="272" priority="2735" operator="containsText" text="OFF">
      <formula>NOT(ISERROR(SEARCH("OFF",U686)))</formula>
    </cfRule>
    <cfRule type="containsText" dxfId="271" priority="2736" operator="containsText" text="AB">
      <formula>NOT(ISERROR(SEARCH("AB",U686)))</formula>
    </cfRule>
    <cfRule type="containsText" dxfId="270" priority="2737" operator="containsText" text="SL">
      <formula>NOT(ISERROR(SEARCH("SL",U686)))</formula>
    </cfRule>
    <cfRule type="containsText" dxfId="269" priority="2738" operator="containsText" text="EL">
      <formula>NOT(ISERROR(SEARCH("EL",U686)))</formula>
    </cfRule>
    <cfRule type="containsText" dxfId="268" priority="2739" operator="containsText" text="PL">
      <formula>NOT(ISERROR(SEARCH("PL",U686)))</formula>
    </cfRule>
    <cfRule type="containsText" dxfId="267" priority="2740" operator="containsText" text="P">
      <formula>NOT(ISERROR(SEARCH("P",U686)))</formula>
    </cfRule>
  </conditionalFormatting>
  <conditionalFormatting sqref="U686 U695">
    <cfRule type="containsText" dxfId="266" priority="1552" operator="containsText" text="OFF">
      <formula>NOT(ISERROR(SEARCH("OFF",U686)))</formula>
    </cfRule>
    <cfRule type="containsText" dxfId="265" priority="1553" operator="containsText" text="AB">
      <formula>NOT(ISERROR(SEARCH("AB",U686)))</formula>
    </cfRule>
    <cfRule type="containsText" dxfId="264" priority="1554" operator="containsText" text="SL">
      <formula>NOT(ISERROR(SEARCH("SL",U686)))</formula>
    </cfRule>
    <cfRule type="containsText" dxfId="263" priority="1555" operator="containsText" text="EL">
      <formula>NOT(ISERROR(SEARCH("EL",U686)))</formula>
    </cfRule>
    <cfRule type="containsText" dxfId="262" priority="1556" operator="containsText" text="PL">
      <formula>NOT(ISERROR(SEARCH("PL",U686)))</formula>
    </cfRule>
    <cfRule type="containsText" dxfId="261" priority="1557" operator="containsText" text="P">
      <formula>NOT(ISERROR(SEARCH("P",U686)))</formula>
    </cfRule>
  </conditionalFormatting>
  <conditionalFormatting sqref="U686 U695:U696 U475:U476 U535:U538 U688 U693 U751:U753 U523:U524 U724:U726 U168:U169 U558 U664 U748 U1075:U1077 U1196">
    <cfRule type="containsText" dxfId="260" priority="1575" operator="containsText" text="ABWI">
      <formula>NOT(ISERROR(SEARCH("ABWI",U168)))</formula>
    </cfRule>
  </conditionalFormatting>
  <conditionalFormatting sqref="U686">
    <cfRule type="containsText" dxfId="259" priority="1551" operator="containsText" text="ABWI">
      <formula>NOT(ISERROR(SEARCH("ABWI",U686)))</formula>
    </cfRule>
  </conditionalFormatting>
  <conditionalFormatting sqref="U688 U693">
    <cfRule type="containsText" dxfId="258" priority="1530" operator="containsText" text="OFF">
      <formula>NOT(ISERROR(SEARCH("OFF",U688)))</formula>
    </cfRule>
    <cfRule type="containsText" dxfId="257" priority="1531" operator="containsText" text="AB">
      <formula>NOT(ISERROR(SEARCH("AB",U688)))</formula>
    </cfRule>
    <cfRule type="containsText" dxfId="256" priority="1532" operator="containsText" text="SL">
      <formula>NOT(ISERROR(SEARCH("SL",U688)))</formula>
    </cfRule>
    <cfRule type="containsText" dxfId="255" priority="1533" operator="containsText" text="EL">
      <formula>NOT(ISERROR(SEARCH("EL",U688)))</formula>
    </cfRule>
    <cfRule type="containsText" dxfId="254" priority="1534" operator="containsText" text="PL">
      <formula>NOT(ISERROR(SEARCH("PL",U688)))</formula>
    </cfRule>
    <cfRule type="containsText" dxfId="253" priority="1535" operator="containsText" text="P">
      <formula>NOT(ISERROR(SEARCH("P",U688)))</formula>
    </cfRule>
  </conditionalFormatting>
  <conditionalFormatting sqref="U693 U688">
    <cfRule type="containsText" dxfId="252" priority="1529" operator="containsText" text="ABWI">
      <formula>NOT(ISERROR(SEARCH("ABWI",U688)))</formula>
    </cfRule>
  </conditionalFormatting>
  <conditionalFormatting sqref="U695:U696">
    <cfRule type="containsText" dxfId="251" priority="1873" operator="containsText" text="ABWI">
      <formula>NOT(ISERROR(SEARCH("ABWI",U695)))</formula>
    </cfRule>
  </conditionalFormatting>
  <conditionalFormatting sqref="U706:U707 U1047:U1049">
    <cfRule type="containsText" dxfId="250" priority="1549" operator="containsText" text="ABWI">
      <formula>NOT(ISERROR(SEARCH("ABWI",U706)))</formula>
    </cfRule>
  </conditionalFormatting>
  <conditionalFormatting sqref="U707 U819 U1048:U1049 U1044 U1147">
    <cfRule type="containsText" dxfId="249" priority="1548" operator="containsText" text="Miss SOS">
      <formula>NOT(ISERROR(SEARCH("Miss SOS",U707)))</formula>
    </cfRule>
  </conditionalFormatting>
  <conditionalFormatting sqref="U726:U727 U468:U475 U523 U537 U1076 U1196:U1202 U819 U1044 U1082 U1145:U1147 U707:U708 U866:U869 U1038 U850:U852 U494 U825 U1136 U1184 U249 U479 U1222">
    <cfRule type="containsText" dxfId="248" priority="1582" operator="containsText" text="Miss SOS">
      <formula>NOT(ISERROR(SEARCH("Miss SOS",U249)))</formula>
    </cfRule>
  </conditionalFormatting>
  <conditionalFormatting sqref="U727:U728">
    <cfRule type="containsText" dxfId="247" priority="4050" operator="containsText" text="ABWI">
      <formula>NOT(ISERROR(SEARCH("ABWI",U727)))</formula>
    </cfRule>
    <cfRule type="containsText" dxfId="246" priority="4051" operator="containsText" text="OFF">
      <formula>NOT(ISERROR(SEARCH("OFF",U727)))</formula>
    </cfRule>
    <cfRule type="containsText" dxfId="245" priority="4052" operator="containsText" text="AB">
      <formula>NOT(ISERROR(SEARCH("AB",U727)))</formula>
    </cfRule>
    <cfRule type="containsText" dxfId="244" priority="4053" operator="containsText" text="SL">
      <formula>NOT(ISERROR(SEARCH("SL",U727)))</formula>
    </cfRule>
    <cfRule type="containsText" dxfId="243" priority="4054" operator="containsText" text="EL">
      <formula>NOT(ISERROR(SEARCH("EL",U727)))</formula>
    </cfRule>
    <cfRule type="containsText" dxfId="242" priority="4055" operator="containsText" text="PL">
      <formula>NOT(ISERROR(SEARCH("PL",U727)))</formula>
    </cfRule>
    <cfRule type="containsText" dxfId="241" priority="4056" operator="containsText" text="P">
      <formula>NOT(ISERROR(SEARCH("P",U727)))</formula>
    </cfRule>
  </conditionalFormatting>
  <conditionalFormatting sqref="U728 U801 U900 U903 U769:U770">
    <cfRule type="containsText" dxfId="240" priority="228" operator="containsText" text="ABWI">
      <formula>NOT(ISERROR(SEARCH("ABWI",U728)))</formula>
    </cfRule>
  </conditionalFormatting>
  <conditionalFormatting sqref="U728 U801 U900 U903">
    <cfRule type="containsText" dxfId="239" priority="222" operator="containsText" text="OFF">
      <formula>NOT(ISERROR(SEARCH("OFF",U728)))</formula>
    </cfRule>
    <cfRule type="containsText" dxfId="238" priority="223" operator="containsText" text="AB">
      <formula>NOT(ISERROR(SEARCH("AB",U728)))</formula>
    </cfRule>
    <cfRule type="containsText" dxfId="237" priority="224" operator="containsText" text="SL">
      <formula>NOT(ISERROR(SEARCH("SL",U728)))</formula>
    </cfRule>
    <cfRule type="containsText" dxfId="236" priority="225" operator="containsText" text="EL">
      <formula>NOT(ISERROR(SEARCH("EL",U728)))</formula>
    </cfRule>
    <cfRule type="containsText" dxfId="235" priority="226" operator="containsText" text="PL">
      <formula>NOT(ISERROR(SEARCH("PL",U728)))</formula>
    </cfRule>
    <cfRule type="containsText" dxfId="234" priority="227" operator="containsText" text="P">
      <formula>NOT(ISERROR(SEARCH("P",U728)))</formula>
    </cfRule>
  </conditionalFormatting>
  <conditionalFormatting sqref="U737 U1176 U675 U809 U848 U1338 U751 U988 U991">
    <cfRule type="containsText" dxfId="233" priority="674" operator="containsText" text="ABWI">
      <formula>NOT(ISERROR(SEARCH("ABWI",U675)))</formula>
    </cfRule>
  </conditionalFormatting>
  <conditionalFormatting sqref="U737:U747 U781 U1120:U1121">
    <cfRule type="containsText" dxfId="232" priority="673" operator="containsText" text="Miss SOS">
      <formula>NOT(ISERROR(SEARCH("Miss SOS",U737)))</formula>
    </cfRule>
  </conditionalFormatting>
  <conditionalFormatting sqref="U758:U759 U783 U791:U795">
    <cfRule type="containsText" dxfId="231" priority="2146" operator="containsText" text="ABWI">
      <formula>NOT(ISERROR(SEARCH("ABWI",U758)))</formula>
    </cfRule>
  </conditionalFormatting>
  <conditionalFormatting sqref="U759 U783 U792">
    <cfRule type="containsText" dxfId="230" priority="2141" operator="containsText" text="AB">
      <formula>NOT(ISERROR(SEARCH("AB",U759)))</formula>
    </cfRule>
    <cfRule type="containsText" dxfId="229" priority="2142" operator="containsText" text="SL">
      <formula>NOT(ISERROR(SEARCH("SL",U759)))</formula>
    </cfRule>
    <cfRule type="containsText" dxfId="228" priority="2143" operator="containsText" text="EL">
      <formula>NOT(ISERROR(SEARCH("EL",U759)))</formula>
    </cfRule>
    <cfRule type="containsText" dxfId="227" priority="2144" operator="containsText" text="PL">
      <formula>NOT(ISERROR(SEARCH("PL",U759)))</formula>
    </cfRule>
    <cfRule type="containsText" dxfId="226" priority="2145" operator="containsText" text="P">
      <formula>NOT(ISERROR(SEARCH("P",U759)))</formula>
    </cfRule>
  </conditionalFormatting>
  <conditionalFormatting sqref="U759 U792 U783">
    <cfRule type="containsText" dxfId="225" priority="2140" operator="containsText" text="OFF">
      <formula>NOT(ISERROR(SEARCH("OFF",U759)))</formula>
    </cfRule>
  </conditionalFormatting>
  <conditionalFormatting sqref="U774 U880 U891 U171:U172">
    <cfRule type="containsText" dxfId="224" priority="2727" operator="containsText" text="ABWI">
      <formula>NOT(ISERROR(SEARCH("ABWI",U171)))</formula>
    </cfRule>
  </conditionalFormatting>
  <conditionalFormatting sqref="U777 U1291 U819 U1197 U393 U1027 U436 U464 U497 U505 U583 U654 U735 U766">
    <cfRule type="containsText" dxfId="223" priority="2192" operator="containsText" text="ABWI">
      <formula>NOT(ISERROR(SEARCH("ABWI",U393)))</formula>
    </cfRule>
  </conditionalFormatting>
  <conditionalFormatting sqref="U781:U782">
    <cfRule type="containsText" dxfId="222" priority="997" operator="containsText" text="Miss SOS">
      <formula>NOT(ISERROR(SEARCH("Miss SOS",U781)))</formula>
    </cfRule>
  </conditionalFormatting>
  <conditionalFormatting sqref="U781:U783 U988 U991">
    <cfRule type="containsText" dxfId="221" priority="998" operator="containsText" text="ABWI">
      <formula>NOT(ISERROR(SEARCH("ABWI",U781)))</formula>
    </cfRule>
  </conditionalFormatting>
  <conditionalFormatting sqref="U785:U786 U811 U913:U915">
    <cfRule type="containsText" dxfId="220" priority="188" operator="containsText" text="ABWI">
      <formula>NOT(ISERROR(SEARCH("ABWI",U785)))</formula>
    </cfRule>
    <cfRule type="containsText" dxfId="219" priority="189" operator="containsText" text="OFF">
      <formula>NOT(ISERROR(SEARCH("OFF",U785)))</formula>
    </cfRule>
    <cfRule type="containsText" dxfId="218" priority="190" operator="containsText" text="AB">
      <formula>NOT(ISERROR(SEARCH("AB",U785)))</formula>
    </cfRule>
    <cfRule type="containsText" dxfId="217" priority="191" operator="containsText" text="SL">
      <formula>NOT(ISERROR(SEARCH("SL",U785)))</formula>
    </cfRule>
    <cfRule type="containsText" dxfId="216" priority="192" operator="containsText" text="EL">
      <formula>NOT(ISERROR(SEARCH("EL",U785)))</formula>
    </cfRule>
    <cfRule type="containsText" dxfId="215" priority="193" operator="containsText" text="PL">
      <formula>NOT(ISERROR(SEARCH("PL",U785)))</formula>
    </cfRule>
    <cfRule type="containsText" dxfId="214" priority="194" operator="containsText" text="P">
      <formula>NOT(ISERROR(SEARCH("P",U785)))</formula>
    </cfRule>
  </conditionalFormatting>
  <conditionalFormatting sqref="U786 U811 U910:U915">
    <cfRule type="containsText" dxfId="213" priority="187" operator="containsText" text="Miss SOS">
      <formula>NOT(ISERROR(SEARCH("Miss SOS",U786)))</formula>
    </cfRule>
  </conditionalFormatting>
  <conditionalFormatting sqref="U791:U792">
    <cfRule type="containsText" dxfId="212" priority="1519" operator="containsText" text="ABWI">
      <formula>NOT(ISERROR(SEARCH("ABWI",U791)))</formula>
    </cfRule>
  </conditionalFormatting>
  <conditionalFormatting sqref="U792:U794 U256:U272 U780:U782 U374:U380 U475 U487 U535 U537 U617 U623 U653 U765">
    <cfRule type="containsText" dxfId="211" priority="1539" operator="containsText" text="Miss SOS">
      <formula>NOT(ISERROR(SEARCH("Miss SOS",U256)))</formula>
    </cfRule>
  </conditionalFormatting>
  <conditionalFormatting sqref="U819 U889:U890 U71 U721 U695">
    <cfRule type="containsText" dxfId="210" priority="1243" operator="containsText" text="ABWI">
      <formula>NOT(ISERROR(SEARCH("ABWI",U71)))</formula>
    </cfRule>
  </conditionalFormatting>
  <conditionalFormatting sqref="U819 U1044:U1045 U1145:U1147 U695 U1082 U957:U958">
    <cfRule type="containsText" dxfId="209" priority="1550" operator="containsText" text="ABWI">
      <formula>NOT(ISERROR(SEARCH("ABWI",U695)))</formula>
    </cfRule>
  </conditionalFormatting>
  <conditionalFormatting sqref="U825:U837 U853 U1147:U1148">
    <cfRule type="containsText" dxfId="208" priority="231" operator="containsText" text="Miss SOS">
      <formula>NOT(ISERROR(SEARCH("Miss SOS",U825)))</formula>
    </cfRule>
  </conditionalFormatting>
  <conditionalFormatting sqref="U838 U759 U920">
    <cfRule type="containsText" dxfId="207" priority="1864" operator="containsText" text="ABWI">
      <formula>NOT(ISERROR(SEARCH("ABWI",U759)))</formula>
    </cfRule>
  </conditionalFormatting>
  <conditionalFormatting sqref="U838">
    <cfRule type="containsText" dxfId="206" priority="1517" operator="containsText" text="ABWI">
      <formula>NOT(ISERROR(SEARCH("ABWI",U838)))</formula>
    </cfRule>
    <cfRule type="containsText" dxfId="205" priority="1858" operator="containsText" text="OFF">
      <formula>NOT(ISERROR(SEARCH("OFF",U838)))</formula>
    </cfRule>
    <cfRule type="containsText" dxfId="204" priority="1859" operator="containsText" text="AB">
      <formula>NOT(ISERROR(SEARCH("AB",U838)))</formula>
    </cfRule>
    <cfRule type="containsText" dxfId="203" priority="1860" operator="containsText" text="SL">
      <formula>NOT(ISERROR(SEARCH("SL",U838)))</formula>
    </cfRule>
    <cfRule type="containsText" dxfId="202" priority="1861" operator="containsText" text="EL">
      <formula>NOT(ISERROR(SEARCH("EL",U838)))</formula>
    </cfRule>
    <cfRule type="containsText" dxfId="201" priority="1862" operator="containsText" text="PL">
      <formula>NOT(ISERROR(SEARCH("PL",U838)))</formula>
    </cfRule>
    <cfRule type="containsText" dxfId="200" priority="1863" operator="containsText" text="P">
      <formula>NOT(ISERROR(SEARCH("P",U838)))</formula>
    </cfRule>
  </conditionalFormatting>
  <conditionalFormatting sqref="U840 U850:U852">
    <cfRule type="containsText" dxfId="199" priority="3817" operator="containsText" text="ABWI">
      <formula>NOT(ISERROR(SEARCH("ABWI",U840)))</formula>
    </cfRule>
    <cfRule type="containsText" dxfId="198" priority="3818" operator="containsText" text="OFF">
      <formula>NOT(ISERROR(SEARCH("OFF",U840)))</formula>
    </cfRule>
    <cfRule type="containsText" dxfId="197" priority="3819" operator="containsText" text="AB">
      <formula>NOT(ISERROR(SEARCH("AB",U840)))</formula>
    </cfRule>
    <cfRule type="containsText" dxfId="196" priority="3820" operator="containsText" text="SL">
      <formula>NOT(ISERROR(SEARCH("SL",U840)))</formula>
    </cfRule>
    <cfRule type="containsText" dxfId="195" priority="3821" operator="containsText" text="EL">
      <formula>NOT(ISERROR(SEARCH("EL",U840)))</formula>
    </cfRule>
    <cfRule type="containsText" dxfId="194" priority="3822" operator="containsText" text="PL">
      <formula>NOT(ISERROR(SEARCH("PL",U840)))</formula>
    </cfRule>
    <cfRule type="containsText" dxfId="193" priority="3823" operator="containsText" text="P">
      <formula>NOT(ISERROR(SEARCH("P",U840)))</formula>
    </cfRule>
  </conditionalFormatting>
  <conditionalFormatting sqref="U869:U870 U898:U899 U917:U918 U923 U1038:U1039 U1215 U1229:U1230">
    <cfRule type="containsText" dxfId="192" priority="1271" operator="containsText" text="ABWI">
      <formula>NOT(ISERROR(SEARCH("ABWI",U869)))</formula>
    </cfRule>
  </conditionalFormatting>
  <conditionalFormatting sqref="U886 U670:U671 U812 U785">
    <cfRule type="containsText" dxfId="191" priority="956" operator="containsText" text="ABWI">
      <formula>NOT(ISERROR(SEARCH("ABWI",U670)))</formula>
    </cfRule>
  </conditionalFormatting>
  <conditionalFormatting sqref="U889 U942:U944 U963 U978 U1006:U1008">
    <cfRule type="containsText" dxfId="190" priority="948" operator="containsText" text="ABWI">
      <formula>NOT(ISERROR(SEARCH("ABWI",U889)))</formula>
    </cfRule>
  </conditionalFormatting>
  <conditionalFormatting sqref="U889 U942:U944 U963 U978">
    <cfRule type="containsText" dxfId="189" priority="949" operator="containsText" text="OFF">
      <formula>NOT(ISERROR(SEARCH("OFF",U889)))</formula>
    </cfRule>
    <cfRule type="containsText" dxfId="188" priority="950" operator="containsText" text="AB">
      <formula>NOT(ISERROR(SEARCH("AB",U889)))</formula>
    </cfRule>
    <cfRule type="containsText" dxfId="187" priority="951" operator="containsText" text="SL">
      <formula>NOT(ISERROR(SEARCH("SL",U889)))</formula>
    </cfRule>
    <cfRule type="containsText" dxfId="186" priority="952" operator="containsText" text="EL">
      <formula>NOT(ISERROR(SEARCH("EL",U889)))</formula>
    </cfRule>
    <cfRule type="containsText" dxfId="185" priority="953" operator="containsText" text="PL">
      <formula>NOT(ISERROR(SEARCH("PL",U889)))</formula>
    </cfRule>
    <cfRule type="containsText" dxfId="184" priority="954" operator="containsText" text="P">
      <formula>NOT(ISERROR(SEARCH("P",U889)))</formula>
    </cfRule>
  </conditionalFormatting>
  <conditionalFormatting sqref="U889:U890 U944">
    <cfRule type="containsText" dxfId="183" priority="1510" operator="containsText" text="OFF">
      <formula>NOT(ISERROR(SEARCH("OFF",U889)))</formula>
    </cfRule>
    <cfRule type="containsText" dxfId="182" priority="1511" operator="containsText" text="AB">
      <formula>NOT(ISERROR(SEARCH("AB",U889)))</formula>
    </cfRule>
    <cfRule type="containsText" dxfId="181" priority="1512" operator="containsText" text="SL">
      <formula>NOT(ISERROR(SEARCH("SL",U889)))</formula>
    </cfRule>
    <cfRule type="containsText" dxfId="180" priority="1513" operator="containsText" text="EL">
      <formula>NOT(ISERROR(SEARCH("EL",U889)))</formula>
    </cfRule>
    <cfRule type="containsText" dxfId="179" priority="1514" operator="containsText" text="PL">
      <formula>NOT(ISERROR(SEARCH("PL",U889)))</formula>
    </cfRule>
    <cfRule type="containsText" dxfId="178" priority="1515" operator="containsText" text="P">
      <formula>NOT(ISERROR(SEARCH("P",U889)))</formula>
    </cfRule>
    <cfRule type="containsText" dxfId="177" priority="1516" operator="containsText" text="ABWI">
      <formula>NOT(ISERROR(SEARCH("ABWI",U889)))</formula>
    </cfRule>
  </conditionalFormatting>
  <conditionalFormatting sqref="U891:U894 U1122:U1130 U329:U346 U503:U521 U423:U426 U360:U373 U218:U222 U248:U252 U289:U294 U296:U303 U381:U390 U436:U445 U447:U449 U460:U465 U476:U483 U485:U486 U495:U501 U524:U525 U530:U536 U538:U544 U546:U552 U558:U590 U654:U658 U676:U677 U716 U735:U736 U748:U750 U766:U768 U773:U778 U792:U799 U818:U824 U870:U884 U899 U1027:U1030 U1039:U1041 U1043 U1059 U1075 U1077:U1081 U1096:U1101 U1143:U1147 U1185:U1186 U1188:U1195 U488:U492 U1220:U1228 U1032:U1037 U1094 U1:U6">
    <cfRule type="containsText" dxfId="176" priority="2726" operator="containsText" text="Miss SOS">
      <formula>NOT(ISERROR(SEARCH("Miss SOS",U1)))</formula>
    </cfRule>
  </conditionalFormatting>
  <conditionalFormatting sqref="U893 U1122 U1254 U1309">
    <cfRule type="containsText" dxfId="175" priority="2721" operator="containsText" text="AB">
      <formula>NOT(ISERROR(SEARCH("AB",U893)))</formula>
    </cfRule>
    <cfRule type="containsText" dxfId="174" priority="2722" operator="containsText" text="SL">
      <formula>NOT(ISERROR(SEARCH("SL",U893)))</formula>
    </cfRule>
    <cfRule type="containsText" dxfId="173" priority="2723" operator="containsText" text="EL">
      <formula>NOT(ISERROR(SEARCH("EL",U893)))</formula>
    </cfRule>
    <cfRule type="containsText" dxfId="172" priority="2724" operator="containsText" text="PL">
      <formula>NOT(ISERROR(SEARCH("PL",U893)))</formula>
    </cfRule>
    <cfRule type="containsText" dxfId="171" priority="2725" operator="containsText" text="P">
      <formula>NOT(ISERROR(SEARCH("P",U893)))</formula>
    </cfRule>
  </conditionalFormatting>
  <conditionalFormatting sqref="U893">
    <cfRule type="containsText" dxfId="170" priority="2154" operator="containsText" text="OFF">
      <formula>NOT(ISERROR(SEARCH("OFF",U893)))</formula>
    </cfRule>
    <cfRule type="containsText" dxfId="169" priority="2155" operator="containsText" text="AB">
      <formula>NOT(ISERROR(SEARCH("AB",U893)))</formula>
    </cfRule>
    <cfRule type="containsText" dxfId="168" priority="2156" operator="containsText" text="SL">
      <formula>NOT(ISERROR(SEARCH("SL",U893)))</formula>
    </cfRule>
    <cfRule type="containsText" dxfId="167" priority="2157" operator="containsText" text="EL">
      <formula>NOT(ISERROR(SEARCH("EL",U893)))</formula>
    </cfRule>
    <cfRule type="containsText" dxfId="166" priority="2158" operator="containsText" text="PL">
      <formula>NOT(ISERROR(SEARCH("PL",U893)))</formula>
    </cfRule>
    <cfRule type="containsText" dxfId="165" priority="2159" operator="containsText" text="P">
      <formula>NOT(ISERROR(SEARCH("P",U893)))</formula>
    </cfRule>
    <cfRule type="containsText" dxfId="164" priority="2160" operator="containsText" text="ABWI">
      <formula>NOT(ISERROR(SEARCH("ABWI",U893)))</formula>
    </cfRule>
  </conditionalFormatting>
  <conditionalFormatting sqref="U896:U898 U916:U918 U923 U1229:U1236 U1215 U869 U1038">
    <cfRule type="containsText" dxfId="163" priority="1270" operator="containsText" text="Miss SOS">
      <formula>NOT(ISERROR(SEARCH("Miss SOS",U869)))</formula>
    </cfRule>
  </conditionalFormatting>
  <conditionalFormatting sqref="U898 U918 U923:U924 U1229">
    <cfRule type="containsText" dxfId="162" priority="1265" operator="containsText" text="AB">
      <formula>NOT(ISERROR(SEARCH("AB",U898)))</formula>
    </cfRule>
    <cfRule type="containsText" dxfId="161" priority="1266" operator="containsText" text="SL">
      <formula>NOT(ISERROR(SEARCH("SL",U898)))</formula>
    </cfRule>
    <cfRule type="containsText" dxfId="160" priority="1267" operator="containsText" text="EL">
      <formula>NOT(ISERROR(SEARCH("EL",U898)))</formula>
    </cfRule>
    <cfRule type="containsText" dxfId="159" priority="1268" operator="containsText" text="PL">
      <formula>NOT(ISERROR(SEARCH("PL",U898)))</formula>
    </cfRule>
    <cfRule type="containsText" dxfId="158" priority="1269" operator="containsText" text="P">
      <formula>NOT(ISERROR(SEARCH("P",U898)))</formula>
    </cfRule>
  </conditionalFormatting>
  <conditionalFormatting sqref="U900 U728 U801 U826 U903">
    <cfRule type="containsText" dxfId="157" priority="221" operator="containsText" text="ABWI">
      <formula>NOT(ISERROR(SEARCH("ABWI",U728)))</formula>
    </cfRule>
  </conditionalFormatting>
  <conditionalFormatting sqref="U900:U902">
    <cfRule type="containsText" dxfId="156" priority="220" operator="containsText" text="Miss SOS">
      <formula>NOT(ISERROR(SEARCH("Miss SOS",U900)))</formula>
    </cfRule>
  </conditionalFormatting>
  <conditionalFormatting sqref="U919:U920 U992:U993 U1005:U1008 U1033 U1072:U1073">
    <cfRule type="containsText" dxfId="155" priority="2139" operator="containsText" text="ABWI">
      <formula>NOT(ISERROR(SEARCH("ABWI",U919)))</formula>
    </cfRule>
  </conditionalFormatting>
  <conditionalFormatting sqref="U920 U993 U1008 U1012 U1030 U1032:U1033 U1073">
    <cfRule type="containsText" dxfId="154" priority="2135" operator="containsText" text="SL">
      <formula>NOT(ISERROR(SEARCH("SL",U920)))</formula>
    </cfRule>
    <cfRule type="containsText" dxfId="153" priority="2136" operator="containsText" text="EL">
      <formula>NOT(ISERROR(SEARCH("EL",U920)))</formula>
    </cfRule>
    <cfRule type="containsText" dxfId="152" priority="2137" operator="containsText" text="PL">
      <formula>NOT(ISERROR(SEARCH("PL",U920)))</formula>
    </cfRule>
    <cfRule type="containsText" dxfId="151" priority="2138" operator="containsText" text="P">
      <formula>NOT(ISERROR(SEARCH("P",U920)))</formula>
    </cfRule>
  </conditionalFormatting>
  <conditionalFormatting sqref="U920 U993 U1008 U1012 U1032:U1033 U1073 U1030">
    <cfRule type="containsText" dxfId="150" priority="2134" operator="containsText" text="AB">
      <formula>NOT(ISERROR(SEARCH("AB",U920)))</formula>
    </cfRule>
  </conditionalFormatting>
  <conditionalFormatting sqref="U920 U993 U1008 U1012 U1073 U1033">
    <cfRule type="containsText" dxfId="149" priority="2133" operator="containsText" text="OFF">
      <formula>NOT(ISERROR(SEARCH("OFF",U920)))</formula>
    </cfRule>
  </conditionalFormatting>
  <conditionalFormatting sqref="U923:U924 U898 U918 U1229">
    <cfRule type="containsText" dxfId="148" priority="1264" operator="containsText" text="OFF">
      <formula>NOT(ISERROR(SEARCH("OFF",U898)))</formula>
    </cfRule>
  </conditionalFormatting>
  <conditionalFormatting sqref="U958">
    <cfRule type="containsText" dxfId="147" priority="1885" operator="containsText" text="OFF">
      <formula>NOT(ISERROR(SEARCH("OFF",U958)))</formula>
    </cfRule>
    <cfRule type="containsText" dxfId="146" priority="1886" operator="containsText" text="AB">
      <formula>NOT(ISERROR(SEARCH("AB",U958)))</formula>
    </cfRule>
    <cfRule type="containsText" dxfId="145" priority="1887" operator="containsText" text="SL">
      <formula>NOT(ISERROR(SEARCH("SL",U958)))</formula>
    </cfRule>
    <cfRule type="containsText" dxfId="144" priority="1888" operator="containsText" text="EL">
      <formula>NOT(ISERROR(SEARCH("EL",U958)))</formula>
    </cfRule>
    <cfRule type="containsText" dxfId="143" priority="1889" operator="containsText" text="PL">
      <formula>NOT(ISERROR(SEARCH("PL",U958)))</formula>
    </cfRule>
    <cfRule type="containsText" dxfId="142" priority="1890" operator="containsText" text="P">
      <formula>NOT(ISERROR(SEARCH("P",U958)))</formula>
    </cfRule>
  </conditionalFormatting>
  <conditionalFormatting sqref="U988 U991">
    <cfRule type="containsText" dxfId="141" priority="991" operator="containsText" text="OFF">
      <formula>NOT(ISERROR(SEARCH("OFF",U988)))</formula>
    </cfRule>
    <cfRule type="containsText" dxfId="140" priority="992" operator="containsText" text="AB">
      <formula>NOT(ISERROR(SEARCH("AB",U988)))</formula>
    </cfRule>
    <cfRule type="containsText" dxfId="139" priority="993" operator="containsText" text="SL">
      <formula>NOT(ISERROR(SEARCH("SL",U988)))</formula>
    </cfRule>
    <cfRule type="containsText" dxfId="138" priority="994" operator="containsText" text="EL">
      <formula>NOT(ISERROR(SEARCH("EL",U988)))</formula>
    </cfRule>
    <cfRule type="containsText" dxfId="137" priority="995" operator="containsText" text="PL">
      <formula>NOT(ISERROR(SEARCH("PL",U988)))</formula>
    </cfRule>
    <cfRule type="containsText" dxfId="136" priority="996" operator="containsText" text="P">
      <formula>NOT(ISERROR(SEARCH("P",U988)))</formula>
    </cfRule>
  </conditionalFormatting>
  <conditionalFormatting sqref="U991 U1295 U1350 U1359 U1048 U993 U1308">
    <cfRule type="containsText" dxfId="135" priority="1241" operator="containsText" text="ABWI">
      <formula>NOT(ISERROR(SEARCH("ABWI",U991)))</formula>
    </cfRule>
  </conditionalFormatting>
  <conditionalFormatting sqref="U991 U1295 U1350">
    <cfRule type="containsText" dxfId="134" priority="1236" operator="containsText" text="AB">
      <formula>NOT(ISERROR(SEARCH("AB",U991)))</formula>
    </cfRule>
    <cfRule type="containsText" dxfId="133" priority="1237" operator="containsText" text="SL">
      <formula>NOT(ISERROR(SEARCH("SL",U991)))</formula>
    </cfRule>
    <cfRule type="containsText" dxfId="132" priority="1238" operator="containsText" text="EL">
      <formula>NOT(ISERROR(SEARCH("EL",U991)))</formula>
    </cfRule>
    <cfRule type="containsText" dxfId="131" priority="1239" operator="containsText" text="PL">
      <formula>NOT(ISERROR(SEARCH("PL",U991)))</formula>
    </cfRule>
    <cfRule type="containsText" dxfId="130" priority="1240" operator="containsText" text="P">
      <formula>NOT(ISERROR(SEARCH("P",U991)))</formula>
    </cfRule>
  </conditionalFormatting>
  <conditionalFormatting sqref="U1013 U1059 U1112 U1140">
    <cfRule type="containsText" dxfId="129" priority="182" operator="containsText" text="AB">
      <formula>NOT(ISERROR(SEARCH("AB",U1013)))</formula>
    </cfRule>
    <cfRule type="containsText" dxfId="128" priority="183" operator="containsText" text="SL">
      <formula>NOT(ISERROR(SEARCH("SL",U1013)))</formula>
    </cfRule>
    <cfRule type="containsText" dxfId="127" priority="184" operator="containsText" text="EL">
      <formula>NOT(ISERROR(SEARCH("EL",U1013)))</formula>
    </cfRule>
    <cfRule type="containsText" dxfId="126" priority="185" operator="containsText" text="PL">
      <formula>NOT(ISERROR(SEARCH("PL",U1013)))</formula>
    </cfRule>
    <cfRule type="containsText" dxfId="125" priority="186" operator="containsText" text="P">
      <formula>NOT(ISERROR(SEARCH("P",U1013)))</formula>
    </cfRule>
  </conditionalFormatting>
  <conditionalFormatting sqref="U1024:U1025 U1046 U1085:U1086 U1088 U1090:U1091 U1182:U1183">
    <cfRule type="containsText" dxfId="124" priority="708" operator="containsText" text="OFF">
      <formula>NOT(ISERROR(SEARCH("OFF",U1024)))</formula>
    </cfRule>
    <cfRule type="containsText" dxfId="123" priority="709" operator="containsText" text="AB">
      <formula>NOT(ISERROR(SEARCH("AB",U1024)))</formula>
    </cfRule>
    <cfRule type="containsText" dxfId="122" priority="710" operator="containsText" text="SL">
      <formula>NOT(ISERROR(SEARCH("SL",U1024)))</formula>
    </cfRule>
    <cfRule type="containsText" dxfId="121" priority="711" operator="containsText" text="EL">
      <formula>NOT(ISERROR(SEARCH("EL",U1024)))</formula>
    </cfRule>
    <cfRule type="containsText" dxfId="120" priority="712" operator="containsText" text="PL">
      <formula>NOT(ISERROR(SEARCH("PL",U1024)))</formula>
    </cfRule>
    <cfRule type="containsText" dxfId="119" priority="713" operator="containsText" text="P">
      <formula>NOT(ISERROR(SEARCH("P",U1024)))</formula>
    </cfRule>
  </conditionalFormatting>
  <conditionalFormatting sqref="U1031:U1032">
    <cfRule type="containsText" dxfId="118" priority="1008" operator="containsText" text="Miss SOS">
      <formula>NOT(ISERROR(SEARCH("Miss SOS",U1031)))</formula>
    </cfRule>
  </conditionalFormatting>
  <conditionalFormatting sqref="U1043:U1045 U1082:U1083 U1147 U1101 U1262">
    <cfRule type="containsText" dxfId="117" priority="1855" operator="containsText" text="ABWI">
      <formula>NOT(ISERROR(SEARCH("ABWI",U1043)))</formula>
    </cfRule>
  </conditionalFormatting>
  <conditionalFormatting sqref="U1044 U1145 U1225">
    <cfRule type="containsText" dxfId="116" priority="1233" operator="containsText" text="Miss SOS">
      <formula>NOT(ISERROR(SEARCH("Miss SOS",U1044)))</formula>
    </cfRule>
  </conditionalFormatting>
  <conditionalFormatting sqref="U1044 U1145 U1350 U1147 U1295">
    <cfRule type="containsText" dxfId="115" priority="1234" operator="containsText" text="ABWI">
      <formula>NOT(ISERROR(SEARCH("ABWI",U1044)))</formula>
    </cfRule>
  </conditionalFormatting>
  <conditionalFormatting sqref="U1045">
    <cfRule type="containsText" dxfId="114" priority="1849" operator="containsText" text="OFF">
      <formula>NOT(ISERROR(SEARCH("OFF",U1045)))</formula>
    </cfRule>
    <cfRule type="containsText" dxfId="113" priority="1850" operator="containsText" text="AB">
      <formula>NOT(ISERROR(SEARCH("AB",U1045)))</formula>
    </cfRule>
    <cfRule type="containsText" dxfId="112" priority="1851" operator="containsText" text="SL">
      <formula>NOT(ISERROR(SEARCH("SL",U1045)))</formula>
    </cfRule>
    <cfRule type="containsText" dxfId="111" priority="1852" operator="containsText" text="EL">
      <formula>NOT(ISERROR(SEARCH("EL",U1045)))</formula>
    </cfRule>
    <cfRule type="containsText" dxfId="110" priority="1853" operator="containsText" text="PL">
      <formula>NOT(ISERROR(SEARCH("PL",U1045)))</formula>
    </cfRule>
    <cfRule type="containsText" dxfId="109" priority="1854" operator="containsText" text="P">
      <formula>NOT(ISERROR(SEARCH("P",U1045)))</formula>
    </cfRule>
  </conditionalFormatting>
  <conditionalFormatting sqref="U1056">
    <cfRule type="containsText" dxfId="108" priority="4064" operator="containsText" text="ABWI">
      <formula>NOT(ISERROR(SEARCH("ABWI",U1056)))</formula>
    </cfRule>
  </conditionalFormatting>
  <conditionalFormatting sqref="U1056:U1059">
    <cfRule type="containsText" dxfId="107" priority="4065" operator="containsText" text="OFF">
      <formula>NOT(ISERROR(SEARCH("OFF",U1056)))</formula>
    </cfRule>
    <cfRule type="containsText" dxfId="106" priority="4066" operator="containsText" text="AB">
      <formula>NOT(ISERROR(SEARCH("AB",U1056)))</formula>
    </cfRule>
    <cfRule type="containsText" dxfId="105" priority="4067" operator="containsText" text="SL">
      <formula>NOT(ISERROR(SEARCH("SL",U1056)))</formula>
    </cfRule>
    <cfRule type="containsText" dxfId="104" priority="4068" operator="containsText" text="EL">
      <formula>NOT(ISERROR(SEARCH("EL",U1056)))</formula>
    </cfRule>
    <cfRule type="containsText" dxfId="103" priority="4069" operator="containsText" text="PL">
      <formula>NOT(ISERROR(SEARCH("PL",U1056)))</formula>
    </cfRule>
    <cfRule type="containsText" dxfId="102" priority="4070" operator="containsText" text="P">
      <formula>NOT(ISERROR(SEARCH("P",U1056)))</formula>
    </cfRule>
  </conditionalFormatting>
  <conditionalFormatting sqref="U1059 U1112 U1140 U1013 U1105:U1107">
    <cfRule type="containsText" dxfId="101" priority="181" operator="containsText" text="ABWI">
      <formula>NOT(ISERROR(SEARCH("ABWI",U1013)))</formula>
    </cfRule>
  </conditionalFormatting>
  <conditionalFormatting sqref="U1059 U1112 U1140">
    <cfRule type="containsText" dxfId="100" priority="180" operator="containsText" text="OFF">
      <formula>NOT(ISERROR(SEARCH("OFF",U1059)))</formula>
    </cfRule>
  </conditionalFormatting>
  <conditionalFormatting sqref="U1064 U1134 U1142">
    <cfRule type="containsText" dxfId="99" priority="213" operator="containsText" text="OFF">
      <formula>NOT(ISERROR(SEARCH("OFF",U1064)))</formula>
    </cfRule>
    <cfRule type="containsText" dxfId="98" priority="214" operator="containsText" text="AB">
      <formula>NOT(ISERROR(SEARCH("AB",U1064)))</formula>
    </cfRule>
    <cfRule type="containsText" dxfId="97" priority="215" operator="containsText" text="SL">
      <formula>NOT(ISERROR(SEARCH("SL",U1064)))</formula>
    </cfRule>
    <cfRule type="containsText" dxfId="96" priority="216" operator="containsText" text="EL">
      <formula>NOT(ISERROR(SEARCH("EL",U1064)))</formula>
    </cfRule>
    <cfRule type="containsText" dxfId="95" priority="217" operator="containsText" text="PL">
      <formula>NOT(ISERROR(SEARCH("PL",U1064)))</formula>
    </cfRule>
    <cfRule type="containsText" dxfId="94" priority="218" operator="containsText" text="P">
      <formula>NOT(ISERROR(SEARCH("P",U1064)))</formula>
    </cfRule>
  </conditionalFormatting>
  <conditionalFormatting sqref="U1064 U1134:U1135 U1142 U1087 U1252:U1253">
    <cfRule type="containsText" dxfId="93" priority="219" operator="containsText" text="ABWI">
      <formula>NOT(ISERROR(SEARCH("ABWI",U1064)))</formula>
    </cfRule>
  </conditionalFormatting>
  <conditionalFormatting sqref="U1082:U1083">
    <cfRule type="containsText" dxfId="92" priority="179" operator="containsText" text="Miss SOS">
      <formula>NOT(ISERROR(SEARCH("Miss SOS",U1082)))</formula>
    </cfRule>
  </conditionalFormatting>
  <conditionalFormatting sqref="U1083 U1311">
    <cfRule type="containsText" dxfId="91" priority="3811" operator="containsText" text="OFF">
      <formula>NOT(ISERROR(SEARCH("OFF",U1083)))</formula>
    </cfRule>
    <cfRule type="containsText" dxfId="90" priority="3812" operator="containsText" text="AB">
      <formula>NOT(ISERROR(SEARCH("AB",U1083)))</formula>
    </cfRule>
    <cfRule type="containsText" dxfId="89" priority="3813" operator="containsText" text="SL">
      <formula>NOT(ISERROR(SEARCH("SL",U1083)))</formula>
    </cfRule>
    <cfRule type="containsText" dxfId="88" priority="3814" operator="containsText" text="EL">
      <formula>NOT(ISERROR(SEARCH("EL",U1083)))</formula>
    </cfRule>
    <cfRule type="containsText" dxfId="87" priority="3815" operator="containsText" text="PL">
      <formula>NOT(ISERROR(SEARCH("PL",U1083)))</formula>
    </cfRule>
    <cfRule type="containsText" dxfId="86" priority="3816" operator="containsText" text="P">
      <formula>NOT(ISERROR(SEARCH("P",U1083)))</formula>
    </cfRule>
  </conditionalFormatting>
  <conditionalFormatting sqref="U1091:U1096">
    <cfRule type="containsText" dxfId="85" priority="939" operator="containsText" text="Miss SOS">
      <formula>NOT(ISERROR(SEARCH("Miss SOS",U1091)))</formula>
    </cfRule>
  </conditionalFormatting>
  <conditionalFormatting sqref="U1093 U1136:U1137">
    <cfRule type="containsText" dxfId="84" priority="940" operator="containsText" text="ABWI">
      <formula>NOT(ISERROR(SEARCH("ABWI",U1093)))</formula>
    </cfRule>
  </conditionalFormatting>
  <conditionalFormatting sqref="U1093">
    <cfRule type="containsText" dxfId="83" priority="941" operator="containsText" text="OFF">
      <formula>NOT(ISERROR(SEARCH("OFF",U1093)))</formula>
    </cfRule>
    <cfRule type="containsText" dxfId="82" priority="942" operator="containsText" text="AB">
      <formula>NOT(ISERROR(SEARCH("AB",U1093)))</formula>
    </cfRule>
    <cfRule type="containsText" dxfId="81" priority="943" operator="containsText" text="SL">
      <formula>NOT(ISERROR(SEARCH("SL",U1093)))</formula>
    </cfRule>
    <cfRule type="containsText" dxfId="80" priority="944" operator="containsText" text="EL">
      <formula>NOT(ISERROR(SEARCH("EL",U1093)))</formula>
    </cfRule>
    <cfRule type="containsText" dxfId="79" priority="945" operator="containsText" text="PL">
      <formula>NOT(ISERROR(SEARCH("PL",U1093)))</formula>
    </cfRule>
    <cfRule type="containsText" dxfId="78" priority="946" operator="containsText" text="P">
      <formula>NOT(ISERROR(SEARCH("P",U1093)))</formula>
    </cfRule>
  </conditionalFormatting>
  <conditionalFormatting sqref="U1094:U1097">
    <cfRule type="containsText" dxfId="77" priority="989" operator="containsText" text="ABWI">
      <formula>NOT(ISERROR(SEARCH("ABWI",U1094)))</formula>
    </cfRule>
  </conditionalFormatting>
  <conditionalFormatting sqref="U1095">
    <cfRule type="containsText" dxfId="76" priority="982" operator="containsText" text="ABWI">
      <formula>NOT(ISERROR(SEARCH("ABWI",U1095)))</formula>
    </cfRule>
    <cfRule type="containsText" dxfId="75" priority="983" operator="containsText" text="OFF">
      <formula>NOT(ISERROR(SEARCH("OFF",U1095)))</formula>
    </cfRule>
    <cfRule type="containsText" dxfId="74" priority="984" operator="containsText" text="AB">
      <formula>NOT(ISERROR(SEARCH("AB",U1095)))</formula>
    </cfRule>
    <cfRule type="containsText" dxfId="73" priority="985" operator="containsText" text="SL">
      <formula>NOT(ISERROR(SEARCH("SL",U1095)))</formula>
    </cfRule>
    <cfRule type="containsText" dxfId="72" priority="986" operator="containsText" text="EL">
      <formula>NOT(ISERROR(SEARCH("EL",U1095)))</formula>
    </cfRule>
    <cfRule type="containsText" dxfId="71" priority="987" operator="containsText" text="PL">
      <formula>NOT(ISERROR(SEARCH("PL",U1095)))</formula>
    </cfRule>
    <cfRule type="containsText" dxfId="70" priority="988" operator="containsText" text="P">
      <formula>NOT(ISERROR(SEARCH("P",U1095)))</formula>
    </cfRule>
  </conditionalFormatting>
  <conditionalFormatting sqref="U1097 U1188:U1189">
    <cfRule type="containsText" dxfId="69" priority="2177" operator="containsText" text="OFF">
      <formula>NOT(ISERROR(SEARCH("OFF",U1097)))</formula>
    </cfRule>
    <cfRule type="containsText" dxfId="68" priority="2178" operator="containsText" text="AB">
      <formula>NOT(ISERROR(SEARCH("AB",U1097)))</formula>
    </cfRule>
    <cfRule type="containsText" dxfId="67" priority="2179" operator="containsText" text="SL">
      <formula>NOT(ISERROR(SEARCH("SL",U1097)))</formula>
    </cfRule>
    <cfRule type="containsText" dxfId="66" priority="2180" operator="containsText" text="EL">
      <formula>NOT(ISERROR(SEARCH("EL",U1097)))</formula>
    </cfRule>
    <cfRule type="containsText" dxfId="65" priority="2181" operator="containsText" text="PL">
      <formula>NOT(ISERROR(SEARCH("PL",U1097)))</formula>
    </cfRule>
    <cfRule type="containsText" dxfId="64" priority="2182" operator="containsText" text="P">
      <formula>NOT(ISERROR(SEARCH("P",U1097)))</formula>
    </cfRule>
  </conditionalFormatting>
  <conditionalFormatting sqref="U1101">
    <cfRule type="containsText" dxfId="63" priority="1506" operator="containsText" text="ABWI">
      <formula>NOT(ISERROR(SEARCH("ABWI",U1101)))</formula>
    </cfRule>
  </conditionalFormatting>
  <conditionalFormatting sqref="U1101:U1104 U1106 U1113:U1121">
    <cfRule type="containsText" dxfId="62" priority="1507" operator="containsText" text="Miss SOS">
      <formula>NOT(ISERROR(SEARCH("Miss SOS",U1101)))</formula>
    </cfRule>
  </conditionalFormatting>
  <conditionalFormatting sqref="U1106:U1107">
    <cfRule type="containsText" dxfId="61" priority="1505" operator="containsText" text="ABWI">
      <formula>NOT(ISERROR(SEARCH("ABWI",U1106)))</formula>
    </cfRule>
  </conditionalFormatting>
  <conditionalFormatting sqref="U1131:U1134">
    <cfRule type="containsText" dxfId="60" priority="211" operator="containsText" text="Miss SOS">
      <formula>NOT(ISERROR(SEARCH("Miss SOS",U1131)))</formula>
    </cfRule>
  </conditionalFormatting>
  <conditionalFormatting sqref="U1134 U1064 U1142">
    <cfRule type="containsText" dxfId="59" priority="212" operator="containsText" text="ABWI">
      <formula>NOT(ISERROR(SEARCH("ABWI",U1064)))</formula>
    </cfRule>
  </conditionalFormatting>
  <conditionalFormatting sqref="U1136:U1137 U1212:U1213 U1216:U1217 U1261:U1262">
    <cfRule type="containsText" dxfId="58" priority="2126" operator="containsText" text="ABWI">
      <formula>NOT(ISERROR(SEARCH("ABWI",U1136)))</formula>
    </cfRule>
  </conditionalFormatting>
  <conditionalFormatting sqref="U1137 U1213 U1216:U1217 U1262">
    <cfRule type="containsText" dxfId="57" priority="2127" operator="containsText" text="OFF">
      <formula>NOT(ISERROR(SEARCH("OFF",U1137)))</formula>
    </cfRule>
    <cfRule type="containsText" dxfId="56" priority="2128" operator="containsText" text="AB">
      <formula>NOT(ISERROR(SEARCH("AB",U1137)))</formula>
    </cfRule>
    <cfRule type="containsText" dxfId="55" priority="2129" operator="containsText" text="SL">
      <formula>NOT(ISERROR(SEARCH("SL",U1137)))</formula>
    </cfRule>
    <cfRule type="containsText" dxfId="54" priority="2130" operator="containsText" text="EL">
      <formula>NOT(ISERROR(SEARCH("EL",U1137)))</formula>
    </cfRule>
    <cfRule type="containsText" dxfId="53" priority="2131" operator="containsText" text="PL">
      <formula>NOT(ISERROR(SEARCH("PL",U1137)))</formula>
    </cfRule>
    <cfRule type="containsText" dxfId="52" priority="2132" operator="containsText" text="P">
      <formula>NOT(ISERROR(SEARCH("P",U1137)))</formula>
    </cfRule>
  </conditionalFormatting>
  <conditionalFormatting sqref="U1137 U1213 U1217 U1262 U1293">
    <cfRule type="containsText" dxfId="51" priority="2120" operator="containsText" text="OFF">
      <formula>NOT(ISERROR(SEARCH("OFF",U1137)))</formula>
    </cfRule>
    <cfRule type="containsText" dxfId="50" priority="2121" operator="containsText" text="AB">
      <formula>NOT(ISERROR(SEARCH("AB",U1137)))</formula>
    </cfRule>
    <cfRule type="containsText" dxfId="49" priority="2122" operator="containsText" text="SL">
      <formula>NOT(ISERROR(SEARCH("SL",U1137)))</formula>
    </cfRule>
    <cfRule type="containsText" dxfId="48" priority="2123" operator="containsText" text="EL">
      <formula>NOT(ISERROR(SEARCH("EL",U1137)))</formula>
    </cfRule>
    <cfRule type="containsText" dxfId="47" priority="2124" operator="containsText" text="PL">
      <formula>NOT(ISERROR(SEARCH("PL",U1137)))</formula>
    </cfRule>
    <cfRule type="containsText" dxfId="46" priority="2125" operator="containsText" text="P">
      <formula>NOT(ISERROR(SEARCH("P",U1137)))</formula>
    </cfRule>
  </conditionalFormatting>
  <conditionalFormatting sqref="U1137 U1217 U1262 U1222 U1213 U1293">
    <cfRule type="containsText" dxfId="45" priority="2118" operator="containsText" text="ABWI">
      <formula>NOT(ISERROR(SEARCH("ABWI",U1137)))</formula>
    </cfRule>
  </conditionalFormatting>
  <conditionalFormatting sqref="U1137 U1217 U1262">
    <cfRule type="containsText" dxfId="44" priority="2113" operator="containsText" text="AB">
      <formula>NOT(ISERROR(SEARCH("AB",U1137)))</formula>
    </cfRule>
    <cfRule type="containsText" dxfId="43" priority="2114" operator="containsText" text="SL">
      <formula>NOT(ISERROR(SEARCH("SL",U1137)))</formula>
    </cfRule>
    <cfRule type="containsText" dxfId="42" priority="2115" operator="containsText" text="EL">
      <formula>NOT(ISERROR(SEARCH("EL",U1137)))</formula>
    </cfRule>
    <cfRule type="containsText" dxfId="41" priority="2116" operator="containsText" text="PL">
      <formula>NOT(ISERROR(SEARCH("PL",U1137)))</formula>
    </cfRule>
    <cfRule type="containsText" dxfId="40" priority="2117" operator="containsText" text="P">
      <formula>NOT(ISERROR(SEARCH("P",U1137)))</formula>
    </cfRule>
  </conditionalFormatting>
  <conditionalFormatting sqref="U1140:U1144">
    <cfRule type="containsText" dxfId="39" priority="1878" operator="containsText" text="OFF">
      <formula>NOT(ISERROR(SEARCH("OFF",U1140)))</formula>
    </cfRule>
    <cfRule type="containsText" dxfId="38" priority="1879" operator="containsText" text="AB">
      <formula>NOT(ISERROR(SEARCH("AB",U1140)))</formula>
    </cfRule>
    <cfRule type="containsText" dxfId="37" priority="1880" operator="containsText" text="SL">
      <formula>NOT(ISERROR(SEARCH("SL",U1140)))</formula>
    </cfRule>
    <cfRule type="containsText" dxfId="36" priority="1881" operator="containsText" text="EL">
      <formula>NOT(ISERROR(SEARCH("EL",U1140)))</formula>
    </cfRule>
    <cfRule type="containsText" dxfId="35" priority="1882" operator="containsText" text="PL">
      <formula>NOT(ISERROR(SEARCH("PL",U1140)))</formula>
    </cfRule>
    <cfRule type="containsText" dxfId="34" priority="1883" operator="containsText" text="P">
      <formula>NOT(ISERROR(SEARCH("P",U1140)))</formula>
    </cfRule>
  </conditionalFormatting>
  <conditionalFormatting sqref="U1140:U1145">
    <cfRule type="containsText" dxfId="33" priority="1877" operator="containsText" text="ABWI">
      <formula>NOT(ISERROR(SEARCH("ABWI",U1140)))</formula>
    </cfRule>
  </conditionalFormatting>
  <conditionalFormatting sqref="U1145">
    <cfRule type="containsText" dxfId="32" priority="1489" operator="containsText" text="Miss SOS">
      <formula>NOT(ISERROR(SEARCH("Miss SOS",U1145)))</formula>
    </cfRule>
    <cfRule type="containsText" dxfId="31" priority="1490" operator="containsText" text="ABWI">
      <formula>NOT(ISERROR(SEARCH("ABWI",U1145)))</formula>
    </cfRule>
  </conditionalFormatting>
  <conditionalFormatting sqref="U1172 U283 U288 U450:U451 U493 U501:U502 U526 U556 U662 U728 U801 U814 U903 U1112 U1154 U317 U347 U679 U808 U928">
    <cfRule type="containsText" dxfId="30" priority="242" operator="containsText" text="OFF">
      <formula>NOT(ISERROR(SEARCH("OFF",U283)))</formula>
    </cfRule>
  </conditionalFormatting>
  <conditionalFormatting sqref="U1182:U1185 U1024:U1025 U1085:U1086 U1088 U1090:U1091 U1046">
    <cfRule type="containsText" dxfId="29" priority="707" operator="containsText" text="ABWI">
      <formula>NOT(ISERROR(SEARCH("ABWI",U1024)))</formula>
    </cfRule>
  </conditionalFormatting>
  <conditionalFormatting sqref="U1203 U484:U486 U527:U528 U546 U1059:U1064 U1330:U1331 U825 U764 U966 U1213:U1214">
    <cfRule type="containsText" dxfId="28" priority="1028" operator="containsText" text="ABWI">
      <formula>NOT(ISERROR(SEARCH("ABWI",U484)))</formula>
    </cfRule>
  </conditionalFormatting>
  <conditionalFormatting sqref="U1203:U1204">
    <cfRule type="containsText" dxfId="27" priority="1027" operator="containsText" text="Miss SOS">
      <formula>NOT(ISERROR(SEARCH("Miss SOS",U1203)))</formula>
    </cfRule>
  </conditionalFormatting>
  <conditionalFormatting sqref="U1254 U1309 U893 U1122">
    <cfRule type="containsText" dxfId="26" priority="2720" operator="containsText" text="OFF">
      <formula>NOT(ISERROR(SEARCH("OFF",U893)))</formula>
    </cfRule>
  </conditionalFormatting>
  <conditionalFormatting sqref="U1262 U1137 U1217">
    <cfRule type="containsText" dxfId="25" priority="2112" operator="containsText" text="OFF">
      <formula>NOT(ISERROR(SEARCH("OFF",U1137)))</formula>
    </cfRule>
  </conditionalFormatting>
  <conditionalFormatting sqref="U1288 U1291:U1293 U1359:U1360">
    <cfRule type="containsText" dxfId="24" priority="700" operator="containsText" text="OFF">
      <formula>NOT(ISERROR(SEARCH("OFF",U1288)))</formula>
    </cfRule>
    <cfRule type="containsText" dxfId="23" priority="701" operator="containsText" text="AB">
      <formula>NOT(ISERROR(SEARCH("AB",U1288)))</formula>
    </cfRule>
    <cfRule type="containsText" dxfId="22" priority="702" operator="containsText" text="SL">
      <formula>NOT(ISERROR(SEARCH("SL",U1288)))</formula>
    </cfRule>
    <cfRule type="containsText" dxfId="21" priority="703" operator="containsText" text="EL">
      <formula>NOT(ISERROR(SEARCH("EL",U1288)))</formula>
    </cfRule>
    <cfRule type="containsText" dxfId="20" priority="704" operator="containsText" text="PL">
      <formula>NOT(ISERROR(SEARCH("PL",U1288)))</formula>
    </cfRule>
    <cfRule type="containsText" dxfId="19" priority="705" operator="containsText" text="P">
      <formula>NOT(ISERROR(SEARCH("P",U1288)))</formula>
    </cfRule>
  </conditionalFormatting>
  <conditionalFormatting sqref="U1291:U1293 U1288:U1289 U1359:U1360">
    <cfRule type="containsText" dxfId="18" priority="699" operator="containsText" text="ABWI">
      <formula>NOT(ISERROR(SEARCH("ABWI",U1288)))</formula>
    </cfRule>
  </conditionalFormatting>
  <conditionalFormatting sqref="U1292:U1293">
    <cfRule type="containsText" dxfId="17" priority="698" operator="containsText" text="Miss SOS">
      <formula>NOT(ISERROR(SEARCH("Miss SOS",U1292)))</formula>
    </cfRule>
  </conditionalFormatting>
  <conditionalFormatting sqref="U1295 U1350 U991">
    <cfRule type="containsText" dxfId="16" priority="1235" operator="containsText" text="OFF">
      <formula>NOT(ISERROR(SEARCH("OFF",U991)))</formula>
    </cfRule>
  </conditionalFormatting>
  <conditionalFormatting sqref="U1295">
    <cfRule type="containsText" dxfId="15" priority="1480" operator="containsText" text="OFF">
      <formula>NOT(ISERROR(SEARCH("OFF",U1295)))</formula>
    </cfRule>
    <cfRule type="containsText" dxfId="14" priority="1481" operator="containsText" text="AB">
      <formula>NOT(ISERROR(SEARCH("AB",U1295)))</formula>
    </cfRule>
    <cfRule type="containsText" dxfId="13" priority="1482" operator="containsText" text="SL">
      <formula>NOT(ISERROR(SEARCH("SL",U1295)))</formula>
    </cfRule>
    <cfRule type="containsText" dxfId="12" priority="1483" operator="containsText" text="EL">
      <formula>NOT(ISERROR(SEARCH("EL",U1295)))</formula>
    </cfRule>
    <cfRule type="containsText" dxfId="11" priority="1484" operator="containsText" text="PL">
      <formula>NOT(ISERROR(SEARCH("PL",U1295)))</formula>
    </cfRule>
    <cfRule type="containsText" dxfId="10" priority="1485" operator="containsText" text="P">
      <formula>NOT(ISERROR(SEARCH("P",U1295)))</formula>
    </cfRule>
    <cfRule type="containsText" dxfId="9" priority="1486" operator="containsText" text="ABWI">
      <formula>NOT(ISERROR(SEARCH("ABWI",U1295)))</formula>
    </cfRule>
  </conditionalFormatting>
  <conditionalFormatting sqref="U1309 U1254">
    <cfRule type="containsText" dxfId="8" priority="2719" operator="containsText" text="ABWI">
      <formula>NOT(ISERROR(SEARCH("ABWI",U1254)))</formula>
    </cfRule>
  </conditionalFormatting>
  <conditionalFormatting sqref="U1310 U1319">
    <cfRule type="containsText" dxfId="7" priority="252" operator="containsText" text="OFF">
      <formula>NOT(ISERROR(SEARCH("OFF",U1310)))</formula>
    </cfRule>
    <cfRule type="containsText" dxfId="6" priority="253" operator="containsText" text="AB">
      <formula>NOT(ISERROR(SEARCH("AB",U1310)))</formula>
    </cfRule>
    <cfRule type="containsText" dxfId="5" priority="254" operator="containsText" text="SL">
      <formula>NOT(ISERROR(SEARCH("SL",U1310)))</formula>
    </cfRule>
    <cfRule type="containsText" dxfId="4" priority="255" operator="containsText" text="EL">
      <formula>NOT(ISERROR(SEARCH("EL",U1310)))</formula>
    </cfRule>
    <cfRule type="containsText" dxfId="3" priority="256" operator="containsText" text="PL">
      <formula>NOT(ISERROR(SEARCH("PL",U1310)))</formula>
    </cfRule>
    <cfRule type="containsText" dxfId="2" priority="257" operator="containsText" text="P">
      <formula>NOT(ISERROR(SEARCH("P",U1310)))</formula>
    </cfRule>
  </conditionalFormatting>
  <conditionalFormatting sqref="U1311 U1083">
    <cfRule type="containsText" dxfId="1" priority="3810" operator="containsText" text="ABWI">
      <formula>NOT(ISERROR(SEARCH("ABWI",U1083)))</formula>
    </cfRule>
  </conditionalFormatting>
  <conditionalFormatting sqref="U1319 U1310">
    <cfRule type="containsText" dxfId="0" priority="251" operator="containsText" text="ABWI">
      <formula>NOT(ISERROR(SEARCH("ABWI",U1310)))</formula>
    </cfRule>
  </conditionalFormatting>
  <hyperlinks>
    <hyperlink ref="C392" r:id="rId1" display="https://admindirectory.corp.amazon.com/users/ssegilbe" xr:uid="{45C6E4F4-5BF5-4262-ABE1-B07F384DAF9E}"/>
    <hyperlink ref="C314" r:id="rId2" display="https://admindirectory.corp.amazon.com/users/andebayi" xr:uid="{C2C2DD92-B80F-4737-ACA5-0F5A21EC1AA0}"/>
    <hyperlink ref="C535" r:id="rId3" display="https://admindirectory.corp.amazon.com/users/adebugar" xr:uid="{E7291B9E-01EE-4C0E-AEE5-D3627045D0C7}"/>
    <hyperlink ref="C578" r:id="rId4" display="https://admindirectory.corp.amazon.com/users/tadekizi" xr:uid="{7B5DA081-C66A-480A-BCA5-EAF24640471D}"/>
    <hyperlink ref="C383" r:id="rId5" display="https://admindirectory.corp.amazon.com/users/kasobfra" xr:uid="{38F248FA-E5FC-41BE-B024-EFF7EDCF8021}"/>
    <hyperlink ref="C540" r:id="rId6" display="https://admindirectory.corp.amazon.com/users/keizokre" xr:uid="{5FE2D253-DDFE-429C-B7D5-D63221092A18}"/>
    <hyperlink ref="C407" r:id="rId7" display="https://admindirectory.corp.amazon.com/users/isandyam" xr:uid="{BDB91C62-6191-43E9-BC4B-FDFA85B689BA}"/>
    <hyperlink ref="D324" r:id="rId8" display="javascript:window.BeelineOpenWindow('https://prod.beeline.com/amazon/Procurement/CandidateCompareScreen.ascx?ProcurementRequestID=E00AC812-2098-4BC2-996E-65DBC18DF425&amp;ProcurementRequestCandidateID=BBEF69B2-7154-4A95-9AD9-BC99EEBDCC4E','_parent');%20void(0);" xr:uid="{47A3923C-0030-4FCC-8F03-206782521468}"/>
    <hyperlink ref="D596" r:id="rId9" display="javascript:window.BeelineOpenWindow('https://prod.beeline.com/amazon/Procurement/CandidateCompareScreen.ascx?ProcurementRequestID=E00AC812-2098-4BC2-996E-65DBC18DF425&amp;ProcurementRequestCandidateID=19A4991F-A808-4FD4-A556-562AFC6F670E','_parent');%20void(0);" xr:uid="{C77A838D-3F2F-4E51-AB5C-4046AC971CF6}"/>
  </hyperlinks>
  <pageMargins left="1.0899999999999999" right="0.7" top="0.75" bottom="0.75" header="0.3" footer="0.3"/>
  <pageSetup scale="92" orientation="portrait" r:id="rId10"/>
  <legacyDrawing r:id="rId11"/>
  <tableParts count="1">
    <tablePart r:id="rId1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AbdelNasser, Ahmed</dc:creator>
  <cp:lastModifiedBy>Geo, Edilbert</cp:lastModifiedBy>
  <cp:lastPrinted>2026-08-05T07:55:18Z</cp:lastPrinted>
  <dcterms:created xsi:type="dcterms:W3CDTF">2015-06-05T18:17:20Z</dcterms:created>
  <dcterms:modified xsi:type="dcterms:W3CDTF">2026-08-16T07:01:59Z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2025-09-17T03:21:17Z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72df7c0c-836c-4118-b62b-7b3ca4afeffa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