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Workforce_Compliance_Monitor\AUH1\"/>
    </mc:Choice>
  </mc:AlternateContent>
  <xr:revisionPtr revIDLastSave="0" documentId="13_ncr:1_{39A29D52-B597-4D47-87A8-8ADBA79E0FA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shboard" sheetId="2" r:id="rId1"/>
    <sheet name="Roster" sheetId="1" r:id="rId2"/>
  </sheets>
  <externalReferences>
    <externalReference r:id="rId3"/>
    <externalReference r:id="rId4"/>
  </externalReferences>
  <definedNames>
    <definedName name="_xlnm._FilterDatabase" localSheetId="0" hidden="1">Dashboard!$A$11:$Q$28</definedName>
    <definedName name="HC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0" i="1" l="1"/>
  <c r="I66" i="1"/>
  <c r="I67" i="1"/>
  <c r="I68" i="1"/>
  <c r="I71" i="1"/>
  <c r="I113" i="1"/>
  <c r="I136" i="1"/>
  <c r="I137" i="1"/>
  <c r="I138" i="1"/>
  <c r="I150" i="1"/>
  <c r="I193" i="1"/>
  <c r="I220" i="1"/>
  <c r="I222" i="1"/>
  <c r="I235" i="1"/>
  <c r="I309" i="1"/>
  <c r="I310" i="1"/>
  <c r="I332" i="1"/>
  <c r="I333" i="1"/>
  <c r="I416" i="1"/>
  <c r="I420" i="1"/>
  <c r="I431" i="1"/>
  <c r="I459" i="1"/>
  <c r="I506" i="1"/>
  <c r="I528" i="1"/>
  <c r="I529" i="1"/>
  <c r="I561" i="1"/>
  <c r="I571" i="1"/>
  <c r="I655" i="1"/>
  <c r="I669" i="1"/>
  <c r="I673" i="1"/>
  <c r="I687" i="1"/>
  <c r="I755" i="1"/>
  <c r="I785" i="1"/>
  <c r="I795" i="1"/>
  <c r="I811" i="1"/>
  <c r="I851" i="1"/>
  <c r="I883" i="1"/>
  <c r="I963" i="1"/>
  <c r="I1021" i="1"/>
  <c r="I1147" i="1"/>
  <c r="I1267" i="1"/>
  <c r="I1345" i="1"/>
  <c r="I1359" i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H67" i="1"/>
  <c r="H68" i="1"/>
  <c r="H69" i="1"/>
  <c r="I69" i="1" s="1"/>
  <c r="H70" i="1"/>
  <c r="I70" i="1" s="1"/>
  <c r="H71" i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H137" i="1"/>
  <c r="H138" i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H221" i="1"/>
  <c r="I221" i="1" s="1"/>
  <c r="H222" i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H310" i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H333" i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H417" i="1"/>
  <c r="I417" i="1" s="1"/>
  <c r="H418" i="1"/>
  <c r="I418" i="1" s="1"/>
  <c r="H419" i="1"/>
  <c r="I419" i="1" s="1"/>
  <c r="H420" i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H529" i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H562" i="1"/>
  <c r="I562" i="1" s="1"/>
  <c r="H563" i="1"/>
  <c r="I563" i="1" s="1"/>
  <c r="H564" i="1"/>
  <c r="I564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H572" i="1"/>
  <c r="I572" i="1" s="1"/>
  <c r="H573" i="1"/>
  <c r="I573" i="1" s="1"/>
  <c r="H574" i="1"/>
  <c r="I574" i="1" s="1"/>
  <c r="H575" i="1"/>
  <c r="I575" i="1" s="1"/>
  <c r="H576" i="1"/>
  <c r="I576" i="1" s="1"/>
  <c r="H577" i="1"/>
  <c r="I577" i="1" s="1"/>
  <c r="H578" i="1"/>
  <c r="I578" i="1" s="1"/>
  <c r="H579" i="1"/>
  <c r="I579" i="1" s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7" i="1"/>
  <c r="I587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4" i="1"/>
  <c r="I594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I602" i="1" s="1"/>
  <c r="H603" i="1"/>
  <c r="I603" i="1" s="1"/>
  <c r="H604" i="1"/>
  <c r="I604" i="1" s="1"/>
  <c r="H605" i="1"/>
  <c r="I605" i="1" s="1"/>
  <c r="H606" i="1"/>
  <c r="I606" i="1" s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I626" i="1" s="1"/>
  <c r="H627" i="1"/>
  <c r="I627" i="1" s="1"/>
  <c r="H628" i="1"/>
  <c r="I628" i="1" s="1"/>
  <c r="H629" i="1"/>
  <c r="I629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I638" i="1" s="1"/>
  <c r="H639" i="1"/>
  <c r="I639" i="1" s="1"/>
  <c r="H640" i="1"/>
  <c r="I640" i="1" s="1"/>
  <c r="H641" i="1"/>
  <c r="I641" i="1" s="1"/>
  <c r="H642" i="1"/>
  <c r="I642" i="1" s="1"/>
  <c r="H643" i="1"/>
  <c r="I643" i="1" s="1"/>
  <c r="H644" i="1"/>
  <c r="I644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I650" i="1" s="1"/>
  <c r="H651" i="1"/>
  <c r="I651" i="1" s="1"/>
  <c r="H652" i="1"/>
  <c r="I652" i="1" s="1"/>
  <c r="H653" i="1"/>
  <c r="I653" i="1" s="1"/>
  <c r="H654" i="1"/>
  <c r="I654" i="1" s="1"/>
  <c r="H655" i="1"/>
  <c r="H656" i="1"/>
  <c r="I656" i="1" s="1"/>
  <c r="H657" i="1"/>
  <c r="I657" i="1" s="1"/>
  <c r="H658" i="1"/>
  <c r="I658" i="1" s="1"/>
  <c r="H659" i="1"/>
  <c r="I659" i="1" s="1"/>
  <c r="H660" i="1"/>
  <c r="I660" i="1" s="1"/>
  <c r="H661" i="1"/>
  <c r="I661" i="1" s="1"/>
  <c r="H662" i="1"/>
  <c r="I662" i="1" s="1"/>
  <c r="H663" i="1"/>
  <c r="I663" i="1" s="1"/>
  <c r="H664" i="1"/>
  <c r="I664" i="1" s="1"/>
  <c r="H665" i="1"/>
  <c r="I665" i="1" s="1"/>
  <c r="H666" i="1"/>
  <c r="I666" i="1" s="1"/>
  <c r="H667" i="1"/>
  <c r="I667" i="1" s="1"/>
  <c r="H668" i="1"/>
  <c r="I668" i="1" s="1"/>
  <c r="H669" i="1"/>
  <c r="H670" i="1"/>
  <c r="I670" i="1" s="1"/>
  <c r="H671" i="1"/>
  <c r="I671" i="1" s="1"/>
  <c r="H672" i="1"/>
  <c r="I672" i="1" s="1"/>
  <c r="H673" i="1"/>
  <c r="H674" i="1"/>
  <c r="I674" i="1" s="1"/>
  <c r="H675" i="1"/>
  <c r="I675" i="1" s="1"/>
  <c r="H676" i="1"/>
  <c r="I676" i="1" s="1"/>
  <c r="H677" i="1"/>
  <c r="I677" i="1" s="1"/>
  <c r="H678" i="1"/>
  <c r="I678" i="1" s="1"/>
  <c r="H679" i="1"/>
  <c r="I679" i="1" s="1"/>
  <c r="H680" i="1"/>
  <c r="I680" i="1" s="1"/>
  <c r="H681" i="1"/>
  <c r="I681" i="1" s="1"/>
  <c r="H682" i="1"/>
  <c r="I682" i="1" s="1"/>
  <c r="H683" i="1"/>
  <c r="I683" i="1" s="1"/>
  <c r="H684" i="1"/>
  <c r="I684" i="1" s="1"/>
  <c r="H685" i="1"/>
  <c r="I685" i="1" s="1"/>
  <c r="H686" i="1"/>
  <c r="I686" i="1" s="1"/>
  <c r="H687" i="1"/>
  <c r="H688" i="1"/>
  <c r="I688" i="1" s="1"/>
  <c r="H689" i="1"/>
  <c r="I689" i="1" s="1"/>
  <c r="H690" i="1"/>
  <c r="I690" i="1" s="1"/>
  <c r="H691" i="1"/>
  <c r="I691" i="1" s="1"/>
  <c r="H692" i="1"/>
  <c r="I692" i="1" s="1"/>
  <c r="H693" i="1"/>
  <c r="I693" i="1" s="1"/>
  <c r="H694" i="1"/>
  <c r="I694" i="1" s="1"/>
  <c r="H695" i="1"/>
  <c r="I695" i="1" s="1"/>
  <c r="H696" i="1"/>
  <c r="I696" i="1" s="1"/>
  <c r="H697" i="1"/>
  <c r="I697" i="1" s="1"/>
  <c r="H698" i="1"/>
  <c r="I698" i="1" s="1"/>
  <c r="H699" i="1"/>
  <c r="I699" i="1" s="1"/>
  <c r="H700" i="1"/>
  <c r="I700" i="1" s="1"/>
  <c r="H701" i="1"/>
  <c r="I701" i="1" s="1"/>
  <c r="H702" i="1"/>
  <c r="I702" i="1" s="1"/>
  <c r="H703" i="1"/>
  <c r="I703" i="1" s="1"/>
  <c r="H704" i="1"/>
  <c r="I704" i="1" s="1"/>
  <c r="H705" i="1"/>
  <c r="I705" i="1" s="1"/>
  <c r="H706" i="1"/>
  <c r="I706" i="1" s="1"/>
  <c r="H707" i="1"/>
  <c r="I707" i="1" s="1"/>
  <c r="H708" i="1"/>
  <c r="I708" i="1" s="1"/>
  <c r="H709" i="1"/>
  <c r="I709" i="1" s="1"/>
  <c r="H710" i="1"/>
  <c r="I710" i="1" s="1"/>
  <c r="H711" i="1"/>
  <c r="I711" i="1" s="1"/>
  <c r="H712" i="1"/>
  <c r="I712" i="1" s="1"/>
  <c r="H713" i="1"/>
  <c r="I713" i="1" s="1"/>
  <c r="H714" i="1"/>
  <c r="I714" i="1" s="1"/>
  <c r="H715" i="1"/>
  <c r="I715" i="1" s="1"/>
  <c r="H716" i="1"/>
  <c r="I716" i="1" s="1"/>
  <c r="H717" i="1"/>
  <c r="I717" i="1" s="1"/>
  <c r="H718" i="1"/>
  <c r="I718" i="1" s="1"/>
  <c r="H719" i="1"/>
  <c r="I719" i="1" s="1"/>
  <c r="H720" i="1"/>
  <c r="I720" i="1" s="1"/>
  <c r="H721" i="1"/>
  <c r="I721" i="1" s="1"/>
  <c r="H722" i="1"/>
  <c r="I722" i="1" s="1"/>
  <c r="H723" i="1"/>
  <c r="I723" i="1" s="1"/>
  <c r="H724" i="1"/>
  <c r="I724" i="1" s="1"/>
  <c r="H725" i="1"/>
  <c r="I725" i="1" s="1"/>
  <c r="H726" i="1"/>
  <c r="I726" i="1" s="1"/>
  <c r="H727" i="1"/>
  <c r="I727" i="1" s="1"/>
  <c r="H728" i="1"/>
  <c r="I728" i="1" s="1"/>
  <c r="H729" i="1"/>
  <c r="I729" i="1" s="1"/>
  <c r="H730" i="1"/>
  <c r="I730" i="1" s="1"/>
  <c r="H731" i="1"/>
  <c r="I731" i="1" s="1"/>
  <c r="H732" i="1"/>
  <c r="I732" i="1" s="1"/>
  <c r="H733" i="1"/>
  <c r="I733" i="1" s="1"/>
  <c r="H734" i="1"/>
  <c r="I734" i="1" s="1"/>
  <c r="H735" i="1"/>
  <c r="I735" i="1" s="1"/>
  <c r="H736" i="1"/>
  <c r="I736" i="1" s="1"/>
  <c r="H737" i="1"/>
  <c r="I737" i="1" s="1"/>
  <c r="H738" i="1"/>
  <c r="I738" i="1" s="1"/>
  <c r="H739" i="1"/>
  <c r="I739" i="1" s="1"/>
  <c r="H740" i="1"/>
  <c r="I740" i="1" s="1"/>
  <c r="H741" i="1"/>
  <c r="I741" i="1" s="1"/>
  <c r="H742" i="1"/>
  <c r="I742" i="1" s="1"/>
  <c r="H743" i="1"/>
  <c r="I743" i="1" s="1"/>
  <c r="H744" i="1"/>
  <c r="I744" i="1" s="1"/>
  <c r="H745" i="1"/>
  <c r="I745" i="1" s="1"/>
  <c r="H746" i="1"/>
  <c r="I746" i="1" s="1"/>
  <c r="H747" i="1"/>
  <c r="I747" i="1" s="1"/>
  <c r="H748" i="1"/>
  <c r="I748" i="1" s="1"/>
  <c r="H749" i="1"/>
  <c r="I749" i="1" s="1"/>
  <c r="H750" i="1"/>
  <c r="I750" i="1" s="1"/>
  <c r="H751" i="1"/>
  <c r="I751" i="1" s="1"/>
  <c r="H752" i="1"/>
  <c r="I752" i="1" s="1"/>
  <c r="H753" i="1"/>
  <c r="I753" i="1" s="1"/>
  <c r="H754" i="1"/>
  <c r="I754" i="1" s="1"/>
  <c r="H755" i="1"/>
  <c r="H756" i="1"/>
  <c r="I756" i="1" s="1"/>
  <c r="H757" i="1"/>
  <c r="I757" i="1" s="1"/>
  <c r="H758" i="1"/>
  <c r="I758" i="1" s="1"/>
  <c r="H759" i="1"/>
  <c r="I759" i="1" s="1"/>
  <c r="H760" i="1"/>
  <c r="I760" i="1" s="1"/>
  <c r="H761" i="1"/>
  <c r="I761" i="1" s="1"/>
  <c r="H762" i="1"/>
  <c r="I762" i="1" s="1"/>
  <c r="H763" i="1"/>
  <c r="I763" i="1" s="1"/>
  <c r="H764" i="1"/>
  <c r="I764" i="1" s="1"/>
  <c r="H765" i="1"/>
  <c r="I765" i="1" s="1"/>
  <c r="H766" i="1"/>
  <c r="I766" i="1" s="1"/>
  <c r="H767" i="1"/>
  <c r="I767" i="1" s="1"/>
  <c r="H768" i="1"/>
  <c r="I768" i="1" s="1"/>
  <c r="H769" i="1"/>
  <c r="I769" i="1" s="1"/>
  <c r="H770" i="1"/>
  <c r="I770" i="1" s="1"/>
  <c r="H771" i="1"/>
  <c r="I771" i="1" s="1"/>
  <c r="H772" i="1"/>
  <c r="I772" i="1" s="1"/>
  <c r="H773" i="1"/>
  <c r="I773" i="1" s="1"/>
  <c r="H774" i="1"/>
  <c r="I774" i="1" s="1"/>
  <c r="H775" i="1"/>
  <c r="I775" i="1" s="1"/>
  <c r="H776" i="1"/>
  <c r="I776" i="1" s="1"/>
  <c r="H777" i="1"/>
  <c r="I777" i="1" s="1"/>
  <c r="H778" i="1"/>
  <c r="I778" i="1" s="1"/>
  <c r="H779" i="1"/>
  <c r="I779" i="1" s="1"/>
  <c r="H780" i="1"/>
  <c r="I780" i="1" s="1"/>
  <c r="H781" i="1"/>
  <c r="I781" i="1" s="1"/>
  <c r="H782" i="1"/>
  <c r="I782" i="1" s="1"/>
  <c r="H783" i="1"/>
  <c r="I783" i="1" s="1"/>
  <c r="H784" i="1"/>
  <c r="I784" i="1" s="1"/>
  <c r="H785" i="1"/>
  <c r="H786" i="1"/>
  <c r="I786" i="1" s="1"/>
  <c r="H787" i="1"/>
  <c r="I787" i="1" s="1"/>
  <c r="H788" i="1"/>
  <c r="I788" i="1" s="1"/>
  <c r="H789" i="1"/>
  <c r="I789" i="1" s="1"/>
  <c r="H790" i="1"/>
  <c r="I790" i="1" s="1"/>
  <c r="H791" i="1"/>
  <c r="I791" i="1" s="1"/>
  <c r="H792" i="1"/>
  <c r="I792" i="1" s="1"/>
  <c r="H793" i="1"/>
  <c r="I793" i="1" s="1"/>
  <c r="H794" i="1"/>
  <c r="I794" i="1" s="1"/>
  <c r="H795" i="1"/>
  <c r="H796" i="1"/>
  <c r="I796" i="1" s="1"/>
  <c r="H797" i="1"/>
  <c r="I797" i="1" s="1"/>
  <c r="H798" i="1"/>
  <c r="I798" i="1" s="1"/>
  <c r="H799" i="1"/>
  <c r="I799" i="1" s="1"/>
  <c r="H800" i="1"/>
  <c r="I800" i="1" s="1"/>
  <c r="H801" i="1"/>
  <c r="I801" i="1" s="1"/>
  <c r="H802" i="1"/>
  <c r="I802" i="1" s="1"/>
  <c r="H803" i="1"/>
  <c r="I803" i="1" s="1"/>
  <c r="H804" i="1"/>
  <c r="I804" i="1" s="1"/>
  <c r="H805" i="1"/>
  <c r="I805" i="1" s="1"/>
  <c r="H806" i="1"/>
  <c r="I806" i="1" s="1"/>
  <c r="H807" i="1"/>
  <c r="I807" i="1" s="1"/>
  <c r="H808" i="1"/>
  <c r="I808" i="1" s="1"/>
  <c r="H809" i="1"/>
  <c r="I809" i="1" s="1"/>
  <c r="H810" i="1"/>
  <c r="I810" i="1" s="1"/>
  <c r="H811" i="1"/>
  <c r="H812" i="1"/>
  <c r="I812" i="1" s="1"/>
  <c r="H813" i="1"/>
  <c r="I813" i="1" s="1"/>
  <c r="H814" i="1"/>
  <c r="I814" i="1" s="1"/>
  <c r="H815" i="1"/>
  <c r="I815" i="1" s="1"/>
  <c r="H816" i="1"/>
  <c r="I816" i="1" s="1"/>
  <c r="H817" i="1"/>
  <c r="I817" i="1" s="1"/>
  <c r="H818" i="1"/>
  <c r="I818" i="1" s="1"/>
  <c r="H819" i="1"/>
  <c r="I819" i="1" s="1"/>
  <c r="H820" i="1"/>
  <c r="I820" i="1" s="1"/>
  <c r="H821" i="1"/>
  <c r="I821" i="1" s="1"/>
  <c r="H822" i="1"/>
  <c r="I822" i="1" s="1"/>
  <c r="H823" i="1"/>
  <c r="I823" i="1" s="1"/>
  <c r="H824" i="1"/>
  <c r="I824" i="1" s="1"/>
  <c r="H825" i="1"/>
  <c r="I825" i="1" s="1"/>
  <c r="H826" i="1"/>
  <c r="I826" i="1" s="1"/>
  <c r="H827" i="1"/>
  <c r="I827" i="1" s="1"/>
  <c r="H828" i="1"/>
  <c r="I828" i="1" s="1"/>
  <c r="H829" i="1"/>
  <c r="I829" i="1" s="1"/>
  <c r="H830" i="1"/>
  <c r="I830" i="1" s="1"/>
  <c r="H831" i="1"/>
  <c r="I831" i="1" s="1"/>
  <c r="H832" i="1"/>
  <c r="I832" i="1" s="1"/>
  <c r="H833" i="1"/>
  <c r="I833" i="1" s="1"/>
  <c r="H834" i="1"/>
  <c r="I834" i="1" s="1"/>
  <c r="H835" i="1"/>
  <c r="I835" i="1" s="1"/>
  <c r="H836" i="1"/>
  <c r="I836" i="1" s="1"/>
  <c r="H837" i="1"/>
  <c r="I837" i="1" s="1"/>
  <c r="H838" i="1"/>
  <c r="I838" i="1" s="1"/>
  <c r="H839" i="1"/>
  <c r="I839" i="1" s="1"/>
  <c r="H840" i="1"/>
  <c r="I840" i="1" s="1"/>
  <c r="H841" i="1"/>
  <c r="I841" i="1" s="1"/>
  <c r="H842" i="1"/>
  <c r="I842" i="1" s="1"/>
  <c r="H843" i="1"/>
  <c r="I843" i="1" s="1"/>
  <c r="H844" i="1"/>
  <c r="I844" i="1" s="1"/>
  <c r="H845" i="1"/>
  <c r="I845" i="1" s="1"/>
  <c r="H846" i="1"/>
  <c r="I846" i="1" s="1"/>
  <c r="H847" i="1"/>
  <c r="I847" i="1" s="1"/>
  <c r="H848" i="1"/>
  <c r="I848" i="1" s="1"/>
  <c r="H849" i="1"/>
  <c r="I849" i="1" s="1"/>
  <c r="H850" i="1"/>
  <c r="I850" i="1" s="1"/>
  <c r="H851" i="1"/>
  <c r="H852" i="1"/>
  <c r="I852" i="1" s="1"/>
  <c r="H853" i="1"/>
  <c r="I853" i="1" s="1"/>
  <c r="H854" i="1"/>
  <c r="I854" i="1" s="1"/>
  <c r="H855" i="1"/>
  <c r="I855" i="1" s="1"/>
  <c r="H856" i="1"/>
  <c r="I856" i="1" s="1"/>
  <c r="H857" i="1"/>
  <c r="I857" i="1" s="1"/>
  <c r="H858" i="1"/>
  <c r="I858" i="1" s="1"/>
  <c r="H859" i="1"/>
  <c r="I859" i="1" s="1"/>
  <c r="H860" i="1"/>
  <c r="I860" i="1" s="1"/>
  <c r="H861" i="1"/>
  <c r="I861" i="1" s="1"/>
  <c r="H862" i="1"/>
  <c r="I862" i="1" s="1"/>
  <c r="H863" i="1"/>
  <c r="I863" i="1" s="1"/>
  <c r="H864" i="1"/>
  <c r="I864" i="1" s="1"/>
  <c r="H865" i="1"/>
  <c r="I865" i="1" s="1"/>
  <c r="H866" i="1"/>
  <c r="I866" i="1" s="1"/>
  <c r="H867" i="1"/>
  <c r="I867" i="1" s="1"/>
  <c r="H868" i="1"/>
  <c r="I868" i="1" s="1"/>
  <c r="H869" i="1"/>
  <c r="I869" i="1" s="1"/>
  <c r="H870" i="1"/>
  <c r="I870" i="1" s="1"/>
  <c r="H871" i="1"/>
  <c r="I871" i="1" s="1"/>
  <c r="H872" i="1"/>
  <c r="I872" i="1" s="1"/>
  <c r="H873" i="1"/>
  <c r="I873" i="1" s="1"/>
  <c r="H874" i="1"/>
  <c r="I874" i="1" s="1"/>
  <c r="H875" i="1"/>
  <c r="I875" i="1" s="1"/>
  <c r="H876" i="1"/>
  <c r="I876" i="1" s="1"/>
  <c r="H877" i="1"/>
  <c r="I877" i="1" s="1"/>
  <c r="H878" i="1"/>
  <c r="I878" i="1" s="1"/>
  <c r="H879" i="1"/>
  <c r="I879" i="1" s="1"/>
  <c r="H880" i="1"/>
  <c r="I880" i="1" s="1"/>
  <c r="H881" i="1"/>
  <c r="I881" i="1" s="1"/>
  <c r="H882" i="1"/>
  <c r="I882" i="1" s="1"/>
  <c r="H883" i="1"/>
  <c r="H884" i="1"/>
  <c r="I884" i="1" s="1"/>
  <c r="H885" i="1"/>
  <c r="I885" i="1" s="1"/>
  <c r="H886" i="1"/>
  <c r="I886" i="1" s="1"/>
  <c r="H887" i="1"/>
  <c r="I887" i="1" s="1"/>
  <c r="H888" i="1"/>
  <c r="I888" i="1" s="1"/>
  <c r="H889" i="1"/>
  <c r="I889" i="1" s="1"/>
  <c r="H890" i="1"/>
  <c r="I890" i="1" s="1"/>
  <c r="H891" i="1"/>
  <c r="I891" i="1" s="1"/>
  <c r="H892" i="1"/>
  <c r="I892" i="1" s="1"/>
  <c r="H893" i="1"/>
  <c r="I893" i="1" s="1"/>
  <c r="H894" i="1"/>
  <c r="I894" i="1" s="1"/>
  <c r="H895" i="1"/>
  <c r="I895" i="1" s="1"/>
  <c r="H896" i="1"/>
  <c r="I896" i="1" s="1"/>
  <c r="H897" i="1"/>
  <c r="I897" i="1" s="1"/>
  <c r="H898" i="1"/>
  <c r="I898" i="1" s="1"/>
  <c r="H899" i="1"/>
  <c r="I899" i="1" s="1"/>
  <c r="H900" i="1"/>
  <c r="I900" i="1" s="1"/>
  <c r="H901" i="1"/>
  <c r="I901" i="1" s="1"/>
  <c r="H902" i="1"/>
  <c r="I902" i="1" s="1"/>
  <c r="H903" i="1"/>
  <c r="I903" i="1" s="1"/>
  <c r="H904" i="1"/>
  <c r="I904" i="1" s="1"/>
  <c r="H905" i="1"/>
  <c r="I905" i="1" s="1"/>
  <c r="H906" i="1"/>
  <c r="I906" i="1" s="1"/>
  <c r="H907" i="1"/>
  <c r="I907" i="1" s="1"/>
  <c r="H908" i="1"/>
  <c r="I908" i="1" s="1"/>
  <c r="H909" i="1"/>
  <c r="I909" i="1" s="1"/>
  <c r="H910" i="1"/>
  <c r="I910" i="1" s="1"/>
  <c r="H911" i="1"/>
  <c r="I911" i="1" s="1"/>
  <c r="H912" i="1"/>
  <c r="I912" i="1" s="1"/>
  <c r="H913" i="1"/>
  <c r="I913" i="1" s="1"/>
  <c r="H914" i="1"/>
  <c r="I914" i="1" s="1"/>
  <c r="H915" i="1"/>
  <c r="I915" i="1" s="1"/>
  <c r="H916" i="1"/>
  <c r="I916" i="1" s="1"/>
  <c r="H917" i="1"/>
  <c r="I917" i="1" s="1"/>
  <c r="H918" i="1"/>
  <c r="I918" i="1" s="1"/>
  <c r="H919" i="1"/>
  <c r="I919" i="1" s="1"/>
  <c r="H920" i="1"/>
  <c r="I920" i="1" s="1"/>
  <c r="H921" i="1"/>
  <c r="I921" i="1" s="1"/>
  <c r="H922" i="1"/>
  <c r="I922" i="1" s="1"/>
  <c r="H923" i="1"/>
  <c r="I923" i="1" s="1"/>
  <c r="H924" i="1"/>
  <c r="I924" i="1" s="1"/>
  <c r="H925" i="1"/>
  <c r="I925" i="1" s="1"/>
  <c r="H926" i="1"/>
  <c r="I926" i="1" s="1"/>
  <c r="H927" i="1"/>
  <c r="I927" i="1" s="1"/>
  <c r="H928" i="1"/>
  <c r="I928" i="1" s="1"/>
  <c r="H929" i="1"/>
  <c r="I929" i="1" s="1"/>
  <c r="H930" i="1"/>
  <c r="I930" i="1" s="1"/>
  <c r="H931" i="1"/>
  <c r="I931" i="1" s="1"/>
  <c r="H932" i="1"/>
  <c r="I932" i="1" s="1"/>
  <c r="H933" i="1"/>
  <c r="I933" i="1" s="1"/>
  <c r="H934" i="1"/>
  <c r="I934" i="1" s="1"/>
  <c r="H935" i="1"/>
  <c r="I935" i="1" s="1"/>
  <c r="H936" i="1"/>
  <c r="I936" i="1" s="1"/>
  <c r="H937" i="1"/>
  <c r="I937" i="1" s="1"/>
  <c r="H938" i="1"/>
  <c r="I938" i="1" s="1"/>
  <c r="H939" i="1"/>
  <c r="I939" i="1" s="1"/>
  <c r="H940" i="1"/>
  <c r="I940" i="1" s="1"/>
  <c r="H941" i="1"/>
  <c r="I941" i="1" s="1"/>
  <c r="H942" i="1"/>
  <c r="I942" i="1" s="1"/>
  <c r="H943" i="1"/>
  <c r="I943" i="1" s="1"/>
  <c r="H944" i="1"/>
  <c r="I944" i="1" s="1"/>
  <c r="H945" i="1"/>
  <c r="I945" i="1" s="1"/>
  <c r="H946" i="1"/>
  <c r="I946" i="1" s="1"/>
  <c r="H947" i="1"/>
  <c r="I947" i="1" s="1"/>
  <c r="H948" i="1"/>
  <c r="I948" i="1" s="1"/>
  <c r="H949" i="1"/>
  <c r="I949" i="1" s="1"/>
  <c r="H950" i="1"/>
  <c r="I950" i="1" s="1"/>
  <c r="H951" i="1"/>
  <c r="I951" i="1" s="1"/>
  <c r="H952" i="1"/>
  <c r="I952" i="1" s="1"/>
  <c r="H953" i="1"/>
  <c r="I953" i="1" s="1"/>
  <c r="H954" i="1"/>
  <c r="I954" i="1" s="1"/>
  <c r="H955" i="1"/>
  <c r="I955" i="1" s="1"/>
  <c r="H956" i="1"/>
  <c r="I956" i="1" s="1"/>
  <c r="H957" i="1"/>
  <c r="I957" i="1" s="1"/>
  <c r="H958" i="1"/>
  <c r="I958" i="1" s="1"/>
  <c r="H959" i="1"/>
  <c r="I959" i="1" s="1"/>
  <c r="H960" i="1"/>
  <c r="I960" i="1" s="1"/>
  <c r="H961" i="1"/>
  <c r="I961" i="1" s="1"/>
  <c r="H962" i="1"/>
  <c r="I962" i="1" s="1"/>
  <c r="H963" i="1"/>
  <c r="H964" i="1"/>
  <c r="I964" i="1" s="1"/>
  <c r="H965" i="1"/>
  <c r="I965" i="1" s="1"/>
  <c r="H966" i="1"/>
  <c r="I966" i="1" s="1"/>
  <c r="H967" i="1"/>
  <c r="I967" i="1" s="1"/>
  <c r="H968" i="1"/>
  <c r="I968" i="1" s="1"/>
  <c r="H969" i="1"/>
  <c r="I969" i="1" s="1"/>
  <c r="H970" i="1"/>
  <c r="I970" i="1" s="1"/>
  <c r="H971" i="1"/>
  <c r="I971" i="1" s="1"/>
  <c r="H972" i="1"/>
  <c r="I972" i="1" s="1"/>
  <c r="H973" i="1"/>
  <c r="I973" i="1" s="1"/>
  <c r="H974" i="1"/>
  <c r="I974" i="1" s="1"/>
  <c r="H975" i="1"/>
  <c r="I975" i="1" s="1"/>
  <c r="H976" i="1"/>
  <c r="I976" i="1" s="1"/>
  <c r="H977" i="1"/>
  <c r="I977" i="1" s="1"/>
  <c r="H978" i="1"/>
  <c r="I978" i="1" s="1"/>
  <c r="H979" i="1"/>
  <c r="I979" i="1" s="1"/>
  <c r="H980" i="1"/>
  <c r="I980" i="1" s="1"/>
  <c r="H981" i="1"/>
  <c r="I981" i="1" s="1"/>
  <c r="H982" i="1"/>
  <c r="I982" i="1" s="1"/>
  <c r="H983" i="1"/>
  <c r="I983" i="1" s="1"/>
  <c r="H984" i="1"/>
  <c r="I984" i="1" s="1"/>
  <c r="H985" i="1"/>
  <c r="I985" i="1" s="1"/>
  <c r="H986" i="1"/>
  <c r="I986" i="1" s="1"/>
  <c r="H987" i="1"/>
  <c r="I987" i="1" s="1"/>
  <c r="H988" i="1"/>
  <c r="I988" i="1" s="1"/>
  <c r="H989" i="1"/>
  <c r="I989" i="1" s="1"/>
  <c r="H990" i="1"/>
  <c r="I990" i="1" s="1"/>
  <c r="H991" i="1"/>
  <c r="I991" i="1" s="1"/>
  <c r="H992" i="1"/>
  <c r="I992" i="1" s="1"/>
  <c r="H993" i="1"/>
  <c r="I993" i="1" s="1"/>
  <c r="H994" i="1"/>
  <c r="I994" i="1" s="1"/>
  <c r="H995" i="1"/>
  <c r="I995" i="1" s="1"/>
  <c r="H996" i="1"/>
  <c r="I996" i="1" s="1"/>
  <c r="H997" i="1"/>
  <c r="I997" i="1" s="1"/>
  <c r="H998" i="1"/>
  <c r="I998" i="1" s="1"/>
  <c r="H999" i="1"/>
  <c r="I999" i="1" s="1"/>
  <c r="H1000" i="1"/>
  <c r="I1000" i="1" s="1"/>
  <c r="H1001" i="1"/>
  <c r="I1001" i="1" s="1"/>
  <c r="H1002" i="1"/>
  <c r="I1002" i="1" s="1"/>
  <c r="H1003" i="1"/>
  <c r="I1003" i="1" s="1"/>
  <c r="H1004" i="1"/>
  <c r="I1004" i="1" s="1"/>
  <c r="H1005" i="1"/>
  <c r="I1005" i="1" s="1"/>
  <c r="H1006" i="1"/>
  <c r="I1006" i="1" s="1"/>
  <c r="H1007" i="1"/>
  <c r="I1007" i="1" s="1"/>
  <c r="H1008" i="1"/>
  <c r="I1008" i="1" s="1"/>
  <c r="H1009" i="1"/>
  <c r="I1009" i="1" s="1"/>
  <c r="H1010" i="1"/>
  <c r="I1010" i="1" s="1"/>
  <c r="H1011" i="1"/>
  <c r="I1011" i="1" s="1"/>
  <c r="H1012" i="1"/>
  <c r="I1012" i="1" s="1"/>
  <c r="H1013" i="1"/>
  <c r="I1013" i="1" s="1"/>
  <c r="H1014" i="1"/>
  <c r="I1014" i="1" s="1"/>
  <c r="H1015" i="1"/>
  <c r="I1015" i="1" s="1"/>
  <c r="H1016" i="1"/>
  <c r="I1016" i="1" s="1"/>
  <c r="H1017" i="1"/>
  <c r="I1017" i="1" s="1"/>
  <c r="H1018" i="1"/>
  <c r="I1018" i="1" s="1"/>
  <c r="H1019" i="1"/>
  <c r="I1019" i="1" s="1"/>
  <c r="H1020" i="1"/>
  <c r="I1020" i="1" s="1"/>
  <c r="H1021" i="1"/>
  <c r="H1022" i="1"/>
  <c r="I1022" i="1" s="1"/>
  <c r="H1023" i="1"/>
  <c r="I1023" i="1" s="1"/>
  <c r="H1024" i="1"/>
  <c r="I1024" i="1" s="1"/>
  <c r="H1025" i="1"/>
  <c r="I1025" i="1" s="1"/>
  <c r="H1026" i="1"/>
  <c r="I1026" i="1" s="1"/>
  <c r="H1027" i="1"/>
  <c r="I1027" i="1" s="1"/>
  <c r="H1028" i="1"/>
  <c r="I1028" i="1" s="1"/>
  <c r="H1029" i="1"/>
  <c r="I1029" i="1" s="1"/>
  <c r="H1030" i="1"/>
  <c r="I1030" i="1" s="1"/>
  <c r="H1031" i="1"/>
  <c r="I1031" i="1" s="1"/>
  <c r="H1032" i="1"/>
  <c r="I1032" i="1" s="1"/>
  <c r="H1033" i="1"/>
  <c r="I1033" i="1" s="1"/>
  <c r="H1034" i="1"/>
  <c r="I1034" i="1" s="1"/>
  <c r="H1035" i="1"/>
  <c r="I1035" i="1" s="1"/>
  <c r="H1036" i="1"/>
  <c r="I1036" i="1" s="1"/>
  <c r="H1037" i="1"/>
  <c r="I1037" i="1" s="1"/>
  <c r="H1038" i="1"/>
  <c r="I1038" i="1" s="1"/>
  <c r="H1039" i="1"/>
  <c r="I1039" i="1" s="1"/>
  <c r="H1040" i="1"/>
  <c r="I1040" i="1" s="1"/>
  <c r="H1041" i="1"/>
  <c r="I1041" i="1" s="1"/>
  <c r="H1042" i="1"/>
  <c r="I1042" i="1" s="1"/>
  <c r="H1043" i="1"/>
  <c r="I1043" i="1" s="1"/>
  <c r="H1044" i="1"/>
  <c r="I1044" i="1" s="1"/>
  <c r="H1045" i="1"/>
  <c r="I1045" i="1" s="1"/>
  <c r="H1046" i="1"/>
  <c r="I1046" i="1" s="1"/>
  <c r="H1047" i="1"/>
  <c r="I1047" i="1" s="1"/>
  <c r="H1048" i="1"/>
  <c r="I1048" i="1" s="1"/>
  <c r="H1049" i="1"/>
  <c r="I1049" i="1" s="1"/>
  <c r="H1050" i="1"/>
  <c r="I1050" i="1" s="1"/>
  <c r="H1051" i="1"/>
  <c r="I1051" i="1" s="1"/>
  <c r="H1052" i="1"/>
  <c r="I1052" i="1" s="1"/>
  <c r="H1053" i="1"/>
  <c r="I1053" i="1" s="1"/>
  <c r="H1054" i="1"/>
  <c r="I1054" i="1" s="1"/>
  <c r="H1055" i="1"/>
  <c r="I1055" i="1" s="1"/>
  <c r="H1056" i="1"/>
  <c r="I1056" i="1" s="1"/>
  <c r="H1057" i="1"/>
  <c r="I1057" i="1" s="1"/>
  <c r="H1058" i="1"/>
  <c r="I1058" i="1" s="1"/>
  <c r="H1059" i="1"/>
  <c r="I1059" i="1" s="1"/>
  <c r="H1060" i="1"/>
  <c r="I1060" i="1" s="1"/>
  <c r="H1061" i="1"/>
  <c r="I1061" i="1" s="1"/>
  <c r="H1062" i="1"/>
  <c r="I1062" i="1" s="1"/>
  <c r="H1063" i="1"/>
  <c r="I1063" i="1" s="1"/>
  <c r="H1064" i="1"/>
  <c r="I1064" i="1" s="1"/>
  <c r="H1065" i="1"/>
  <c r="I1065" i="1" s="1"/>
  <c r="H1066" i="1"/>
  <c r="I1066" i="1" s="1"/>
  <c r="H1067" i="1"/>
  <c r="I1067" i="1" s="1"/>
  <c r="H1068" i="1"/>
  <c r="I1068" i="1" s="1"/>
  <c r="H1069" i="1"/>
  <c r="I1069" i="1" s="1"/>
  <c r="H1070" i="1"/>
  <c r="I1070" i="1" s="1"/>
  <c r="H1071" i="1"/>
  <c r="I1071" i="1" s="1"/>
  <c r="H1072" i="1"/>
  <c r="I1072" i="1" s="1"/>
  <c r="H1073" i="1"/>
  <c r="I1073" i="1" s="1"/>
  <c r="H1074" i="1"/>
  <c r="I1074" i="1" s="1"/>
  <c r="H1075" i="1"/>
  <c r="I1075" i="1" s="1"/>
  <c r="H1076" i="1"/>
  <c r="I1076" i="1" s="1"/>
  <c r="H1077" i="1"/>
  <c r="I1077" i="1" s="1"/>
  <c r="H1078" i="1"/>
  <c r="I1078" i="1" s="1"/>
  <c r="H1079" i="1"/>
  <c r="I1079" i="1" s="1"/>
  <c r="H1080" i="1"/>
  <c r="I1080" i="1" s="1"/>
  <c r="H1081" i="1"/>
  <c r="I1081" i="1" s="1"/>
  <c r="H1082" i="1"/>
  <c r="I1082" i="1" s="1"/>
  <c r="H1083" i="1"/>
  <c r="I1083" i="1" s="1"/>
  <c r="H1084" i="1"/>
  <c r="I1084" i="1" s="1"/>
  <c r="H1085" i="1"/>
  <c r="I1085" i="1" s="1"/>
  <c r="H1086" i="1"/>
  <c r="I1086" i="1" s="1"/>
  <c r="H1087" i="1"/>
  <c r="I1087" i="1" s="1"/>
  <c r="H1088" i="1"/>
  <c r="I1088" i="1" s="1"/>
  <c r="H1089" i="1"/>
  <c r="I1089" i="1" s="1"/>
  <c r="H1090" i="1"/>
  <c r="I1090" i="1" s="1"/>
  <c r="H1091" i="1"/>
  <c r="I1091" i="1" s="1"/>
  <c r="H1092" i="1"/>
  <c r="I1092" i="1" s="1"/>
  <c r="H1093" i="1"/>
  <c r="I1093" i="1" s="1"/>
  <c r="H1094" i="1"/>
  <c r="I1094" i="1" s="1"/>
  <c r="H1095" i="1"/>
  <c r="I1095" i="1" s="1"/>
  <c r="H1096" i="1"/>
  <c r="I1096" i="1" s="1"/>
  <c r="H1097" i="1"/>
  <c r="I1097" i="1" s="1"/>
  <c r="H1098" i="1"/>
  <c r="I1098" i="1" s="1"/>
  <c r="H1099" i="1"/>
  <c r="I1099" i="1" s="1"/>
  <c r="H1100" i="1"/>
  <c r="I1100" i="1" s="1"/>
  <c r="H1101" i="1"/>
  <c r="I1101" i="1" s="1"/>
  <c r="H1102" i="1"/>
  <c r="I1102" i="1" s="1"/>
  <c r="H1103" i="1"/>
  <c r="I1103" i="1" s="1"/>
  <c r="H1104" i="1"/>
  <c r="I1104" i="1" s="1"/>
  <c r="H1105" i="1"/>
  <c r="I1105" i="1" s="1"/>
  <c r="H1106" i="1"/>
  <c r="I1106" i="1" s="1"/>
  <c r="H1107" i="1"/>
  <c r="I1107" i="1" s="1"/>
  <c r="H1108" i="1"/>
  <c r="I1108" i="1" s="1"/>
  <c r="H1109" i="1"/>
  <c r="I1109" i="1" s="1"/>
  <c r="H1110" i="1"/>
  <c r="I1110" i="1" s="1"/>
  <c r="H1111" i="1"/>
  <c r="I1111" i="1" s="1"/>
  <c r="H1112" i="1"/>
  <c r="I1112" i="1" s="1"/>
  <c r="H1113" i="1"/>
  <c r="I1113" i="1" s="1"/>
  <c r="H1114" i="1"/>
  <c r="I1114" i="1" s="1"/>
  <c r="H1115" i="1"/>
  <c r="I1115" i="1" s="1"/>
  <c r="H1116" i="1"/>
  <c r="I1116" i="1" s="1"/>
  <c r="H1117" i="1"/>
  <c r="I1117" i="1" s="1"/>
  <c r="H1118" i="1"/>
  <c r="I1118" i="1" s="1"/>
  <c r="H1119" i="1"/>
  <c r="I1119" i="1" s="1"/>
  <c r="H1120" i="1"/>
  <c r="I1120" i="1" s="1"/>
  <c r="H1121" i="1"/>
  <c r="I1121" i="1" s="1"/>
  <c r="H1122" i="1"/>
  <c r="I1122" i="1" s="1"/>
  <c r="H1123" i="1"/>
  <c r="I1123" i="1" s="1"/>
  <c r="H1124" i="1"/>
  <c r="I1124" i="1" s="1"/>
  <c r="H1125" i="1"/>
  <c r="I1125" i="1" s="1"/>
  <c r="H1126" i="1"/>
  <c r="I1126" i="1" s="1"/>
  <c r="H1127" i="1"/>
  <c r="I1127" i="1" s="1"/>
  <c r="H1128" i="1"/>
  <c r="I1128" i="1" s="1"/>
  <c r="H1129" i="1"/>
  <c r="I1129" i="1" s="1"/>
  <c r="H1130" i="1"/>
  <c r="I1130" i="1" s="1"/>
  <c r="H1131" i="1"/>
  <c r="I1131" i="1" s="1"/>
  <c r="H1132" i="1"/>
  <c r="I1132" i="1" s="1"/>
  <c r="H1133" i="1"/>
  <c r="I1133" i="1" s="1"/>
  <c r="H1134" i="1"/>
  <c r="I1134" i="1" s="1"/>
  <c r="H1135" i="1"/>
  <c r="I1135" i="1" s="1"/>
  <c r="H1136" i="1"/>
  <c r="I1136" i="1" s="1"/>
  <c r="H1137" i="1"/>
  <c r="I1137" i="1" s="1"/>
  <c r="H1138" i="1"/>
  <c r="I1138" i="1" s="1"/>
  <c r="H1139" i="1"/>
  <c r="I1139" i="1" s="1"/>
  <c r="H1140" i="1"/>
  <c r="I1140" i="1" s="1"/>
  <c r="H1141" i="1"/>
  <c r="I1141" i="1" s="1"/>
  <c r="H1142" i="1"/>
  <c r="I1142" i="1" s="1"/>
  <c r="H1143" i="1"/>
  <c r="I1143" i="1" s="1"/>
  <c r="H1144" i="1"/>
  <c r="I1144" i="1" s="1"/>
  <c r="H1145" i="1"/>
  <c r="I1145" i="1" s="1"/>
  <c r="H1146" i="1"/>
  <c r="I1146" i="1" s="1"/>
  <c r="H1147" i="1"/>
  <c r="H1148" i="1"/>
  <c r="I1148" i="1" s="1"/>
  <c r="H1149" i="1"/>
  <c r="I1149" i="1" s="1"/>
  <c r="H1150" i="1"/>
  <c r="I1150" i="1" s="1"/>
  <c r="H1151" i="1"/>
  <c r="I1151" i="1" s="1"/>
  <c r="H1152" i="1"/>
  <c r="I1152" i="1" s="1"/>
  <c r="H1153" i="1"/>
  <c r="I1153" i="1" s="1"/>
  <c r="H1154" i="1"/>
  <c r="I1154" i="1" s="1"/>
  <c r="H1155" i="1"/>
  <c r="I1155" i="1" s="1"/>
  <c r="H1156" i="1"/>
  <c r="I1156" i="1" s="1"/>
  <c r="H1157" i="1"/>
  <c r="I1157" i="1" s="1"/>
  <c r="H1158" i="1"/>
  <c r="I1158" i="1" s="1"/>
  <c r="H1159" i="1"/>
  <c r="I1159" i="1" s="1"/>
  <c r="H1160" i="1"/>
  <c r="I1160" i="1" s="1"/>
  <c r="H1161" i="1"/>
  <c r="I1161" i="1" s="1"/>
  <c r="H1162" i="1"/>
  <c r="I1162" i="1" s="1"/>
  <c r="H1163" i="1"/>
  <c r="I1163" i="1" s="1"/>
  <c r="H1164" i="1"/>
  <c r="I1164" i="1" s="1"/>
  <c r="H1165" i="1"/>
  <c r="I1165" i="1" s="1"/>
  <c r="H1166" i="1"/>
  <c r="I1166" i="1" s="1"/>
  <c r="H1167" i="1"/>
  <c r="I1167" i="1" s="1"/>
  <c r="H1168" i="1"/>
  <c r="I1168" i="1" s="1"/>
  <c r="H1169" i="1"/>
  <c r="I1169" i="1" s="1"/>
  <c r="H1170" i="1"/>
  <c r="I1170" i="1" s="1"/>
  <c r="H1171" i="1"/>
  <c r="I1171" i="1" s="1"/>
  <c r="H1172" i="1"/>
  <c r="I1172" i="1" s="1"/>
  <c r="H1173" i="1"/>
  <c r="I1173" i="1" s="1"/>
  <c r="H1174" i="1"/>
  <c r="I1174" i="1" s="1"/>
  <c r="H1175" i="1"/>
  <c r="I1175" i="1" s="1"/>
  <c r="H1176" i="1"/>
  <c r="I1176" i="1" s="1"/>
  <c r="H1177" i="1"/>
  <c r="I1177" i="1" s="1"/>
  <c r="H1178" i="1"/>
  <c r="I1178" i="1" s="1"/>
  <c r="H1179" i="1"/>
  <c r="I1179" i="1" s="1"/>
  <c r="H1180" i="1"/>
  <c r="I1180" i="1" s="1"/>
  <c r="H1181" i="1"/>
  <c r="I1181" i="1" s="1"/>
  <c r="H1182" i="1"/>
  <c r="I1182" i="1" s="1"/>
  <c r="H1183" i="1"/>
  <c r="I1183" i="1" s="1"/>
  <c r="H1184" i="1"/>
  <c r="I1184" i="1" s="1"/>
  <c r="H1185" i="1"/>
  <c r="I1185" i="1" s="1"/>
  <c r="H1186" i="1"/>
  <c r="I1186" i="1" s="1"/>
  <c r="H1187" i="1"/>
  <c r="I1187" i="1" s="1"/>
  <c r="H1188" i="1"/>
  <c r="I1188" i="1" s="1"/>
  <c r="H1189" i="1"/>
  <c r="I1189" i="1" s="1"/>
  <c r="H1190" i="1"/>
  <c r="I1190" i="1" s="1"/>
  <c r="H1191" i="1"/>
  <c r="I1191" i="1" s="1"/>
  <c r="H1192" i="1"/>
  <c r="I1192" i="1" s="1"/>
  <c r="H1193" i="1"/>
  <c r="I1193" i="1" s="1"/>
  <c r="H1194" i="1"/>
  <c r="I1194" i="1" s="1"/>
  <c r="H1195" i="1"/>
  <c r="I1195" i="1" s="1"/>
  <c r="H1196" i="1"/>
  <c r="I1196" i="1" s="1"/>
  <c r="H1197" i="1"/>
  <c r="I1197" i="1" s="1"/>
  <c r="H1198" i="1"/>
  <c r="I1198" i="1" s="1"/>
  <c r="H1199" i="1"/>
  <c r="I1199" i="1" s="1"/>
  <c r="H1200" i="1"/>
  <c r="I1200" i="1" s="1"/>
  <c r="H1201" i="1"/>
  <c r="I1201" i="1" s="1"/>
  <c r="H1202" i="1"/>
  <c r="I1202" i="1" s="1"/>
  <c r="H1203" i="1"/>
  <c r="I1203" i="1" s="1"/>
  <c r="H1204" i="1"/>
  <c r="I1204" i="1" s="1"/>
  <c r="H1205" i="1"/>
  <c r="I1205" i="1" s="1"/>
  <c r="H1206" i="1"/>
  <c r="I1206" i="1" s="1"/>
  <c r="H1207" i="1"/>
  <c r="I1207" i="1" s="1"/>
  <c r="H1208" i="1"/>
  <c r="I1208" i="1" s="1"/>
  <c r="H1209" i="1"/>
  <c r="I1209" i="1" s="1"/>
  <c r="H1210" i="1"/>
  <c r="I1210" i="1" s="1"/>
  <c r="H1211" i="1"/>
  <c r="I1211" i="1" s="1"/>
  <c r="H1212" i="1"/>
  <c r="I1212" i="1" s="1"/>
  <c r="H1213" i="1"/>
  <c r="I1213" i="1" s="1"/>
  <c r="H1214" i="1"/>
  <c r="I1214" i="1" s="1"/>
  <c r="H1215" i="1"/>
  <c r="I1215" i="1" s="1"/>
  <c r="H1216" i="1"/>
  <c r="I1216" i="1" s="1"/>
  <c r="H1217" i="1"/>
  <c r="I1217" i="1" s="1"/>
  <c r="H1218" i="1"/>
  <c r="I1218" i="1" s="1"/>
  <c r="H1219" i="1"/>
  <c r="I1219" i="1" s="1"/>
  <c r="H1220" i="1"/>
  <c r="I1220" i="1" s="1"/>
  <c r="H1221" i="1"/>
  <c r="I1221" i="1" s="1"/>
  <c r="H1222" i="1"/>
  <c r="I1222" i="1" s="1"/>
  <c r="H1223" i="1"/>
  <c r="I1223" i="1" s="1"/>
  <c r="H1224" i="1"/>
  <c r="I1224" i="1" s="1"/>
  <c r="H1225" i="1"/>
  <c r="I1225" i="1" s="1"/>
  <c r="H1226" i="1"/>
  <c r="I1226" i="1" s="1"/>
  <c r="H1227" i="1"/>
  <c r="I1227" i="1" s="1"/>
  <c r="H1228" i="1"/>
  <c r="I1228" i="1" s="1"/>
  <c r="H1229" i="1"/>
  <c r="I1229" i="1" s="1"/>
  <c r="H1230" i="1"/>
  <c r="I1230" i="1" s="1"/>
  <c r="H1231" i="1"/>
  <c r="I1231" i="1" s="1"/>
  <c r="H1232" i="1"/>
  <c r="I1232" i="1" s="1"/>
  <c r="H1233" i="1"/>
  <c r="I1233" i="1" s="1"/>
  <c r="H1234" i="1"/>
  <c r="I1234" i="1" s="1"/>
  <c r="H1235" i="1"/>
  <c r="I1235" i="1" s="1"/>
  <c r="H1236" i="1"/>
  <c r="I1236" i="1" s="1"/>
  <c r="H1237" i="1"/>
  <c r="I1237" i="1" s="1"/>
  <c r="H1238" i="1"/>
  <c r="I1238" i="1" s="1"/>
  <c r="H1239" i="1"/>
  <c r="I1239" i="1" s="1"/>
  <c r="H1240" i="1"/>
  <c r="I1240" i="1" s="1"/>
  <c r="H1241" i="1"/>
  <c r="I1241" i="1" s="1"/>
  <c r="H1242" i="1"/>
  <c r="I1242" i="1" s="1"/>
  <c r="H1243" i="1"/>
  <c r="I1243" i="1" s="1"/>
  <c r="H1244" i="1"/>
  <c r="I1244" i="1" s="1"/>
  <c r="H1245" i="1"/>
  <c r="I1245" i="1" s="1"/>
  <c r="H1246" i="1"/>
  <c r="I1246" i="1" s="1"/>
  <c r="H1247" i="1"/>
  <c r="I1247" i="1" s="1"/>
  <c r="H1248" i="1"/>
  <c r="I1248" i="1" s="1"/>
  <c r="H1249" i="1"/>
  <c r="I1249" i="1" s="1"/>
  <c r="H1250" i="1"/>
  <c r="I1250" i="1" s="1"/>
  <c r="H1251" i="1"/>
  <c r="I1251" i="1" s="1"/>
  <c r="H1252" i="1"/>
  <c r="I1252" i="1" s="1"/>
  <c r="H1253" i="1"/>
  <c r="I1253" i="1" s="1"/>
  <c r="H1254" i="1"/>
  <c r="I1254" i="1" s="1"/>
  <c r="H1255" i="1"/>
  <c r="I1255" i="1" s="1"/>
  <c r="H1256" i="1"/>
  <c r="I1256" i="1" s="1"/>
  <c r="H1257" i="1"/>
  <c r="I1257" i="1" s="1"/>
  <c r="H1258" i="1"/>
  <c r="I1258" i="1" s="1"/>
  <c r="H1259" i="1"/>
  <c r="I1259" i="1" s="1"/>
  <c r="H1260" i="1"/>
  <c r="I1260" i="1" s="1"/>
  <c r="H1261" i="1"/>
  <c r="I1261" i="1" s="1"/>
  <c r="H1262" i="1"/>
  <c r="I1262" i="1" s="1"/>
  <c r="H1263" i="1"/>
  <c r="I1263" i="1" s="1"/>
  <c r="H1264" i="1"/>
  <c r="I1264" i="1" s="1"/>
  <c r="H1265" i="1"/>
  <c r="I1265" i="1" s="1"/>
  <c r="H1266" i="1"/>
  <c r="I1266" i="1" s="1"/>
  <c r="H1267" i="1"/>
  <c r="H1268" i="1"/>
  <c r="I1268" i="1" s="1"/>
  <c r="H1269" i="1"/>
  <c r="I1269" i="1" s="1"/>
  <c r="H1270" i="1"/>
  <c r="I1270" i="1" s="1"/>
  <c r="H1271" i="1"/>
  <c r="I1271" i="1" s="1"/>
  <c r="H1272" i="1"/>
  <c r="I1272" i="1" s="1"/>
  <c r="H1273" i="1"/>
  <c r="I1273" i="1" s="1"/>
  <c r="H1274" i="1"/>
  <c r="I1274" i="1" s="1"/>
  <c r="H1275" i="1"/>
  <c r="I1275" i="1" s="1"/>
  <c r="H1276" i="1"/>
  <c r="I1276" i="1" s="1"/>
  <c r="H1277" i="1"/>
  <c r="I1277" i="1" s="1"/>
  <c r="H1278" i="1"/>
  <c r="I1278" i="1" s="1"/>
  <c r="H1279" i="1"/>
  <c r="I1279" i="1" s="1"/>
  <c r="H1280" i="1"/>
  <c r="I1280" i="1" s="1"/>
  <c r="H1281" i="1"/>
  <c r="I1281" i="1" s="1"/>
  <c r="H1282" i="1"/>
  <c r="I1282" i="1" s="1"/>
  <c r="H1283" i="1"/>
  <c r="I1283" i="1" s="1"/>
  <c r="H1284" i="1"/>
  <c r="I1284" i="1" s="1"/>
  <c r="H1285" i="1"/>
  <c r="I1285" i="1" s="1"/>
  <c r="H1286" i="1"/>
  <c r="I1286" i="1" s="1"/>
  <c r="H1287" i="1"/>
  <c r="I1287" i="1" s="1"/>
  <c r="H1288" i="1"/>
  <c r="I1288" i="1" s="1"/>
  <c r="H1289" i="1"/>
  <c r="I1289" i="1" s="1"/>
  <c r="H1290" i="1"/>
  <c r="I1290" i="1" s="1"/>
  <c r="H1291" i="1"/>
  <c r="I1291" i="1" s="1"/>
  <c r="H1292" i="1"/>
  <c r="I1292" i="1" s="1"/>
  <c r="H1293" i="1"/>
  <c r="I1293" i="1" s="1"/>
  <c r="H1294" i="1"/>
  <c r="I1294" i="1" s="1"/>
  <c r="H1295" i="1"/>
  <c r="I1295" i="1" s="1"/>
  <c r="H1296" i="1"/>
  <c r="I1296" i="1" s="1"/>
  <c r="H1297" i="1"/>
  <c r="I1297" i="1" s="1"/>
  <c r="H1298" i="1"/>
  <c r="I1298" i="1" s="1"/>
  <c r="H1299" i="1"/>
  <c r="I1299" i="1" s="1"/>
  <c r="H1300" i="1"/>
  <c r="I1300" i="1" s="1"/>
  <c r="H1301" i="1"/>
  <c r="I1301" i="1" s="1"/>
  <c r="H1302" i="1"/>
  <c r="I1302" i="1" s="1"/>
  <c r="H1303" i="1"/>
  <c r="I1303" i="1" s="1"/>
  <c r="H1304" i="1"/>
  <c r="I1304" i="1" s="1"/>
  <c r="H1305" i="1"/>
  <c r="I1305" i="1" s="1"/>
  <c r="H1306" i="1"/>
  <c r="I1306" i="1" s="1"/>
  <c r="H1307" i="1"/>
  <c r="I1307" i="1" s="1"/>
  <c r="H1308" i="1"/>
  <c r="I1308" i="1" s="1"/>
  <c r="H1309" i="1"/>
  <c r="I1309" i="1" s="1"/>
  <c r="H1310" i="1"/>
  <c r="I1310" i="1" s="1"/>
  <c r="H1311" i="1"/>
  <c r="I1311" i="1" s="1"/>
  <c r="H1312" i="1"/>
  <c r="I1312" i="1" s="1"/>
  <c r="H1313" i="1"/>
  <c r="I1313" i="1" s="1"/>
  <c r="H1314" i="1"/>
  <c r="I1314" i="1" s="1"/>
  <c r="H1315" i="1"/>
  <c r="I1315" i="1" s="1"/>
  <c r="H1316" i="1"/>
  <c r="I1316" i="1" s="1"/>
  <c r="H1317" i="1"/>
  <c r="I1317" i="1" s="1"/>
  <c r="H1318" i="1"/>
  <c r="I1318" i="1" s="1"/>
  <c r="H1319" i="1"/>
  <c r="I1319" i="1" s="1"/>
  <c r="H1320" i="1"/>
  <c r="I1320" i="1" s="1"/>
  <c r="H1321" i="1"/>
  <c r="I1321" i="1" s="1"/>
  <c r="H1322" i="1"/>
  <c r="I1322" i="1" s="1"/>
  <c r="H1323" i="1"/>
  <c r="I1323" i="1" s="1"/>
  <c r="H1324" i="1"/>
  <c r="I1324" i="1" s="1"/>
  <c r="H1325" i="1"/>
  <c r="I1325" i="1" s="1"/>
  <c r="H1326" i="1"/>
  <c r="I1326" i="1" s="1"/>
  <c r="H1327" i="1"/>
  <c r="I1327" i="1" s="1"/>
  <c r="H1328" i="1"/>
  <c r="I1328" i="1" s="1"/>
  <c r="H1329" i="1"/>
  <c r="I1329" i="1" s="1"/>
  <c r="H1330" i="1"/>
  <c r="I1330" i="1" s="1"/>
  <c r="H1331" i="1"/>
  <c r="I1331" i="1" s="1"/>
  <c r="H1332" i="1"/>
  <c r="I1332" i="1" s="1"/>
  <c r="H1333" i="1"/>
  <c r="I1333" i="1" s="1"/>
  <c r="H1334" i="1"/>
  <c r="I1334" i="1" s="1"/>
  <c r="H1335" i="1"/>
  <c r="I1335" i="1" s="1"/>
  <c r="H1336" i="1"/>
  <c r="I1336" i="1" s="1"/>
  <c r="H1337" i="1"/>
  <c r="I1337" i="1" s="1"/>
  <c r="H1338" i="1"/>
  <c r="I1338" i="1" s="1"/>
  <c r="H1339" i="1"/>
  <c r="I1339" i="1" s="1"/>
  <c r="H1340" i="1"/>
  <c r="I1340" i="1" s="1"/>
  <c r="H1341" i="1"/>
  <c r="I1341" i="1" s="1"/>
  <c r="H1342" i="1"/>
  <c r="I1342" i="1" s="1"/>
  <c r="H1343" i="1"/>
  <c r="I1343" i="1" s="1"/>
  <c r="H1344" i="1"/>
  <c r="I1344" i="1" s="1"/>
  <c r="H1345" i="1"/>
  <c r="H1346" i="1"/>
  <c r="I1346" i="1" s="1"/>
  <c r="H1347" i="1"/>
  <c r="I1347" i="1" s="1"/>
  <c r="H1348" i="1"/>
  <c r="I1348" i="1" s="1"/>
  <c r="H1349" i="1"/>
  <c r="I1349" i="1" s="1"/>
  <c r="H1350" i="1"/>
  <c r="I1350" i="1" s="1"/>
  <c r="H1351" i="1"/>
  <c r="I1351" i="1" s="1"/>
  <c r="H1352" i="1"/>
  <c r="I1352" i="1" s="1"/>
  <c r="H1353" i="1"/>
  <c r="I1353" i="1" s="1"/>
  <c r="H1354" i="1"/>
  <c r="I1354" i="1" s="1"/>
  <c r="H1355" i="1"/>
  <c r="I1355" i="1" s="1"/>
  <c r="H1356" i="1"/>
  <c r="I1356" i="1" s="1"/>
  <c r="H1357" i="1"/>
  <c r="I1357" i="1" s="1"/>
  <c r="H1358" i="1"/>
  <c r="I1358" i="1" s="1"/>
  <c r="H1359" i="1"/>
  <c r="H1360" i="1"/>
  <c r="I1360" i="1" s="1"/>
  <c r="H1361" i="1"/>
  <c r="I1361" i="1" s="1"/>
  <c r="H1362" i="1"/>
  <c r="I1362" i="1" s="1"/>
  <c r="H1363" i="1"/>
  <c r="I1363" i="1" s="1"/>
  <c r="H1364" i="1"/>
  <c r="I1364" i="1" s="1"/>
  <c r="H1365" i="1"/>
  <c r="I1365" i="1" s="1"/>
  <c r="H1366" i="1"/>
  <c r="I1366" i="1" s="1"/>
  <c r="H1367" i="1"/>
  <c r="I1367" i="1" s="1"/>
  <c r="H1368" i="1"/>
  <c r="I1368" i="1" s="1"/>
  <c r="H1369" i="1"/>
  <c r="I1369" i="1" s="1"/>
  <c r="H1370" i="1"/>
  <c r="I1370" i="1" s="1"/>
  <c r="H1371" i="1"/>
  <c r="I1371" i="1" s="1"/>
  <c r="H1372" i="1"/>
  <c r="I1372" i="1" s="1"/>
  <c r="H1373" i="1"/>
  <c r="I1373" i="1" s="1"/>
  <c r="H1374" i="1"/>
  <c r="I1374" i="1" s="1"/>
  <c r="H1375" i="1"/>
  <c r="I1375" i="1" s="1"/>
  <c r="H1376" i="1"/>
  <c r="I1376" i="1" s="1"/>
  <c r="H1377" i="1"/>
  <c r="I1377" i="1" s="1"/>
  <c r="H1378" i="1"/>
  <c r="I1378" i="1" s="1"/>
  <c r="H1379" i="1"/>
  <c r="I1379" i="1" s="1"/>
  <c r="H1380" i="1"/>
  <c r="I1380" i="1" s="1"/>
  <c r="H1381" i="1"/>
  <c r="I1381" i="1" s="1"/>
  <c r="H1382" i="1"/>
  <c r="I1382" i="1" s="1"/>
  <c r="H1383" i="1"/>
  <c r="I1383" i="1" s="1"/>
  <c r="H1384" i="1"/>
  <c r="I1384" i="1" s="1"/>
  <c r="H1385" i="1"/>
  <c r="I1385" i="1" s="1"/>
  <c r="H1386" i="1"/>
  <c r="I1386" i="1" s="1"/>
  <c r="H1387" i="1"/>
  <c r="I1387" i="1" s="1"/>
  <c r="H1388" i="1"/>
  <c r="I1388" i="1" s="1"/>
  <c r="H1389" i="1"/>
  <c r="I1389" i="1" s="1"/>
  <c r="H1390" i="1"/>
  <c r="I1390" i="1" s="1"/>
  <c r="H1391" i="1"/>
  <c r="I1391" i="1" s="1"/>
  <c r="H1392" i="1"/>
  <c r="I1392" i="1" s="1"/>
  <c r="H1393" i="1"/>
  <c r="I1393" i="1" s="1"/>
  <c r="H1394" i="1"/>
  <c r="I1394" i="1" s="1"/>
  <c r="H1395" i="1"/>
  <c r="I1395" i="1" s="1"/>
  <c r="H1396" i="1"/>
  <c r="I1396" i="1" s="1"/>
  <c r="H1397" i="1"/>
  <c r="I1397" i="1" s="1"/>
  <c r="H1398" i="1"/>
  <c r="I1398" i="1" s="1"/>
  <c r="H1399" i="1"/>
  <c r="I1399" i="1" s="1"/>
  <c r="H1400" i="1"/>
  <c r="I1400" i="1" s="1"/>
  <c r="H1401" i="1"/>
  <c r="I1401" i="1" s="1"/>
  <c r="H1402" i="1"/>
  <c r="I1402" i="1" s="1"/>
  <c r="H1403" i="1"/>
  <c r="I1403" i="1" s="1"/>
  <c r="H1404" i="1"/>
  <c r="I1404" i="1" s="1"/>
  <c r="H1405" i="1"/>
  <c r="I1405" i="1" s="1"/>
  <c r="H1406" i="1"/>
  <c r="I1406" i="1" s="1"/>
  <c r="H1407" i="1"/>
  <c r="I1407" i="1" s="1"/>
  <c r="V1285" i="1" l="1"/>
  <c r="V1274" i="1"/>
  <c r="V1264" i="1"/>
  <c r="V1086" i="1"/>
  <c r="V888" i="1"/>
  <c r="V808" i="1"/>
  <c r="V737" i="1"/>
  <c r="V722" i="1"/>
  <c r="V702" i="1"/>
  <c r="V423" i="1"/>
  <c r="V331" i="1"/>
  <c r="V241" i="1"/>
  <c r="V105" i="1"/>
  <c r="V92" i="1"/>
  <c r="V8" i="1"/>
  <c r="V11" i="1"/>
  <c r="V12" i="1"/>
  <c r="V17" i="1"/>
  <c r="V22" i="1"/>
  <c r="V23" i="1"/>
  <c r="V30" i="1"/>
  <c r="V31" i="1"/>
  <c r="V37" i="1"/>
  <c r="V38" i="1"/>
  <c r="V40" i="1"/>
  <c r="V42" i="1"/>
  <c r="V43" i="1"/>
  <c r="V44" i="1"/>
  <c r="V46" i="1"/>
  <c r="V47" i="1"/>
  <c r="V48" i="1"/>
  <c r="V50" i="1"/>
  <c r="V51" i="1"/>
  <c r="V52" i="1"/>
  <c r="V53" i="1"/>
  <c r="V55" i="1"/>
  <c r="V62" i="1"/>
  <c r="V67" i="1"/>
  <c r="V70" i="1"/>
  <c r="V71" i="1"/>
  <c r="V74" i="1"/>
  <c r="V76" i="1"/>
  <c r="V77" i="1"/>
  <c r="V82" i="1"/>
  <c r="V84" i="1"/>
  <c r="V91" i="1"/>
  <c r="V93" i="1"/>
  <c r="V96" i="1"/>
  <c r="V97" i="1"/>
  <c r="V99" i="1"/>
  <c r="V100" i="1"/>
  <c r="V101" i="1"/>
  <c r="V104" i="1"/>
  <c r="V106" i="1"/>
  <c r="V107" i="1"/>
  <c r="V111" i="1"/>
  <c r="V113" i="1"/>
  <c r="V116" i="1"/>
  <c r="V117" i="1"/>
  <c r="V118" i="1"/>
  <c r="V119" i="1"/>
  <c r="V123" i="1"/>
  <c r="V124" i="1"/>
  <c r="V127" i="1"/>
  <c r="V128" i="1"/>
  <c r="V130" i="1"/>
  <c r="V139" i="1"/>
  <c r="V140" i="1"/>
  <c r="V141" i="1"/>
  <c r="V142" i="1"/>
  <c r="V143" i="1"/>
  <c r="V144" i="1"/>
  <c r="V147" i="1"/>
  <c r="V150" i="1"/>
  <c r="V152" i="1"/>
  <c r="V153" i="1"/>
  <c r="V155" i="1"/>
  <c r="V156" i="1"/>
  <c r="V157" i="1"/>
  <c r="V158" i="1"/>
  <c r="V163" i="1"/>
  <c r="V164" i="1"/>
  <c r="V172" i="1"/>
  <c r="V174" i="1"/>
  <c r="V175" i="1"/>
  <c r="V176" i="1"/>
  <c r="V183" i="1"/>
  <c r="V185" i="1"/>
  <c r="V187" i="1"/>
  <c r="V188" i="1"/>
  <c r="V189" i="1"/>
  <c r="V194" i="1"/>
  <c r="V195" i="1"/>
  <c r="V197" i="1"/>
  <c r="V199" i="1"/>
  <c r="V201" i="1"/>
  <c r="V205" i="1"/>
  <c r="V206" i="1"/>
  <c r="V210" i="1"/>
  <c r="V213" i="1"/>
  <c r="V215" i="1"/>
  <c r="V216" i="1"/>
  <c r="V220" i="1"/>
  <c r="V224" i="1"/>
  <c r="V226" i="1"/>
  <c r="V228" i="1"/>
  <c r="V229" i="1"/>
  <c r="V233" i="1"/>
  <c r="V235" i="1"/>
  <c r="V238" i="1"/>
  <c r="V239" i="1"/>
  <c r="V242" i="1"/>
  <c r="V244" i="1"/>
  <c r="V245" i="1"/>
  <c r="V246" i="1"/>
  <c r="V249" i="1"/>
  <c r="V251" i="1"/>
  <c r="V252" i="1"/>
  <c r="V253" i="1"/>
  <c r="V254" i="1"/>
  <c r="V257" i="1"/>
  <c r="V259" i="1"/>
  <c r="V264" i="1"/>
  <c r="V266" i="1"/>
  <c r="V267" i="1"/>
  <c r="V268" i="1"/>
  <c r="V269" i="1"/>
  <c r="V270" i="1"/>
  <c r="V272" i="1"/>
  <c r="V273" i="1"/>
  <c r="V274" i="1"/>
  <c r="V276" i="1"/>
  <c r="V281" i="1"/>
  <c r="V282" i="1"/>
  <c r="V283" i="1"/>
  <c r="V284" i="1"/>
  <c r="V286" i="1"/>
  <c r="V291" i="1"/>
  <c r="V292" i="1"/>
  <c r="V305" i="1"/>
  <c r="V306" i="1"/>
  <c r="V322" i="1"/>
  <c r="V324" i="1"/>
  <c r="V327" i="1"/>
  <c r="V332" i="1"/>
  <c r="V334" i="1"/>
  <c r="V335" i="1"/>
  <c r="V336" i="1"/>
  <c r="V338" i="1"/>
  <c r="V339" i="1"/>
  <c r="V346" i="1"/>
  <c r="V353" i="1"/>
  <c r="V357" i="1"/>
  <c r="V359" i="1"/>
  <c r="V363" i="1"/>
  <c r="V372" i="1"/>
  <c r="V374" i="1"/>
  <c r="V382" i="1"/>
  <c r="V383" i="1"/>
  <c r="V384" i="1"/>
  <c r="V390" i="1"/>
  <c r="V394" i="1"/>
  <c r="V403" i="1"/>
  <c r="V416" i="1"/>
  <c r="V417" i="1"/>
  <c r="V418" i="1"/>
  <c r="V419" i="1"/>
  <c r="V420" i="1"/>
  <c r="V433" i="1"/>
  <c r="V434" i="1"/>
  <c r="V437" i="1"/>
  <c r="V441" i="1"/>
  <c r="V449" i="1"/>
  <c r="V457" i="1"/>
  <c r="V458" i="1"/>
  <c r="V460" i="1"/>
  <c r="V463" i="1"/>
  <c r="V464" i="1"/>
  <c r="V467" i="1"/>
  <c r="V469" i="1"/>
  <c r="V470" i="1"/>
  <c r="V480" i="1"/>
  <c r="V483" i="1"/>
  <c r="V486" i="1"/>
  <c r="V487" i="1"/>
  <c r="V489" i="1"/>
  <c r="V492" i="1"/>
  <c r="V499" i="1"/>
  <c r="V500" i="1"/>
  <c r="V504" i="1"/>
  <c r="V505" i="1"/>
  <c r="V507" i="1"/>
  <c r="V511" i="1"/>
  <c r="V513" i="1"/>
  <c r="V516" i="1"/>
  <c r="V517" i="1"/>
  <c r="V522" i="1"/>
  <c r="V523" i="1"/>
  <c r="V526" i="1"/>
  <c r="V529" i="1"/>
  <c r="V531" i="1"/>
  <c r="V539" i="1"/>
  <c r="V540" i="1"/>
  <c r="V542" i="1"/>
  <c r="V547" i="1"/>
  <c r="V550" i="1"/>
  <c r="V554" i="1"/>
  <c r="V556" i="1"/>
  <c r="V560" i="1"/>
  <c r="V569" i="1"/>
  <c r="V570" i="1"/>
  <c r="V591" i="1"/>
  <c r="V595" i="1"/>
  <c r="V602" i="1"/>
  <c r="V610" i="1"/>
  <c r="V615" i="1"/>
  <c r="V618" i="1"/>
  <c r="V619" i="1"/>
  <c r="V621" i="1"/>
  <c r="V628" i="1"/>
  <c r="V634" i="1"/>
  <c r="V638" i="1"/>
  <c r="V639" i="1"/>
  <c r="V642" i="1"/>
  <c r="V648" i="1"/>
  <c r="V650" i="1"/>
  <c r="V652" i="1"/>
  <c r="V657" i="1"/>
  <c r="V658" i="1"/>
  <c r="V659" i="1"/>
  <c r="V661" i="1"/>
  <c r="V671" i="1"/>
  <c r="V674" i="1"/>
  <c r="V682" i="1"/>
  <c r="V683" i="1"/>
  <c r="V685" i="1"/>
  <c r="V686" i="1"/>
  <c r="V687" i="1"/>
  <c r="V689" i="1"/>
  <c r="V690" i="1"/>
  <c r="V692" i="1"/>
  <c r="V693" i="1"/>
  <c r="V694" i="1"/>
  <c r="V698" i="1"/>
  <c r="V700" i="1"/>
  <c r="V704" i="1"/>
  <c r="V706" i="1"/>
  <c r="V711" i="1"/>
  <c r="V717" i="1"/>
  <c r="V720" i="1"/>
  <c r="V726" i="1"/>
  <c r="V729" i="1"/>
  <c r="V730" i="1"/>
  <c r="V736" i="1"/>
  <c r="V741" i="1"/>
  <c r="V742" i="1"/>
  <c r="V749" i="1"/>
  <c r="V752" i="1"/>
  <c r="V757" i="1"/>
  <c r="V759" i="1"/>
  <c r="V761" i="1"/>
  <c r="V762" i="1"/>
  <c r="V771" i="1"/>
  <c r="V774" i="1"/>
  <c r="V777" i="1"/>
  <c r="V778" i="1"/>
  <c r="V779" i="1"/>
  <c r="V781" i="1"/>
  <c r="V785" i="1"/>
  <c r="V790" i="1"/>
  <c r="V791" i="1"/>
  <c r="V793" i="1"/>
  <c r="V795" i="1"/>
  <c r="V796" i="1"/>
  <c r="V798" i="1"/>
  <c r="V802" i="1"/>
  <c r="V807" i="1"/>
  <c r="V816" i="1"/>
  <c r="V817" i="1"/>
  <c r="V820" i="1"/>
  <c r="V825" i="1"/>
  <c r="V827" i="1"/>
  <c r="V828" i="1"/>
  <c r="V839" i="1"/>
  <c r="V842" i="1"/>
  <c r="V843" i="1"/>
  <c r="V845" i="1"/>
  <c r="V847" i="1"/>
  <c r="V854" i="1"/>
  <c r="V858" i="1"/>
  <c r="V860" i="1"/>
  <c r="V864" i="1"/>
  <c r="V872" i="1"/>
  <c r="V873" i="1"/>
  <c r="V874" i="1"/>
  <c r="V876" i="1"/>
  <c r="V883" i="1"/>
  <c r="V884" i="1"/>
  <c r="V886" i="1"/>
  <c r="V891" i="1"/>
  <c r="V892" i="1"/>
  <c r="V893" i="1"/>
  <c r="V895" i="1"/>
  <c r="V897" i="1"/>
  <c r="V898" i="1"/>
  <c r="V904" i="1"/>
  <c r="V906" i="1"/>
  <c r="V925" i="1"/>
  <c r="V928" i="1"/>
  <c r="V930" i="1"/>
  <c r="V933" i="1"/>
  <c r="V934" i="1"/>
  <c r="V936" i="1"/>
  <c r="V940" i="1"/>
  <c r="V942" i="1"/>
  <c r="V947" i="1"/>
  <c r="V950" i="1"/>
  <c r="V951" i="1"/>
  <c r="V957" i="1"/>
  <c r="V958" i="1"/>
  <c r="V973" i="1"/>
  <c r="V974" i="1"/>
  <c r="V976" i="1"/>
  <c r="V980" i="1"/>
  <c r="V982" i="1"/>
  <c r="V984" i="1"/>
  <c r="V988" i="1"/>
  <c r="V991" i="1"/>
  <c r="V992" i="1"/>
  <c r="V993" i="1"/>
  <c r="V999" i="1"/>
  <c r="V1004" i="1"/>
  <c r="V1007" i="1"/>
  <c r="V1009" i="1"/>
  <c r="V1010" i="1"/>
  <c r="V1013" i="1"/>
  <c r="V1015" i="1"/>
  <c r="V1019" i="1"/>
  <c r="V1020" i="1"/>
  <c r="V1026" i="1"/>
  <c r="V1028" i="1"/>
  <c r="V1029" i="1"/>
  <c r="V1037" i="1"/>
  <c r="V1043" i="1"/>
  <c r="V1046" i="1"/>
  <c r="V1047" i="1"/>
  <c r="V1050" i="1"/>
  <c r="V1051" i="1"/>
  <c r="V1052" i="1"/>
  <c r="V1053" i="1"/>
  <c r="V1055" i="1"/>
  <c r="V1057" i="1"/>
  <c r="V1058" i="1"/>
  <c r="V1060" i="1"/>
  <c r="V1062" i="1"/>
  <c r="V1067" i="1"/>
  <c r="V1078" i="1"/>
  <c r="V1080" i="1"/>
  <c r="V1088" i="1"/>
  <c r="V1089" i="1"/>
  <c r="V1099" i="1"/>
  <c r="V1101" i="1"/>
  <c r="V1102" i="1"/>
  <c r="V1105" i="1"/>
  <c r="V1106" i="1"/>
  <c r="V1107" i="1"/>
  <c r="V1109" i="1"/>
  <c r="V1110" i="1"/>
  <c r="V1111" i="1"/>
  <c r="V1116" i="1"/>
  <c r="V1118" i="1"/>
  <c r="V1121" i="1"/>
  <c r="V1124" i="1"/>
  <c r="V1125" i="1"/>
  <c r="V1127" i="1"/>
  <c r="V1128" i="1"/>
  <c r="V1138" i="1"/>
  <c r="V1139" i="1"/>
  <c r="V1146" i="1"/>
  <c r="V1155" i="1"/>
  <c r="V1157" i="1"/>
  <c r="V1168" i="1"/>
  <c r="V1171" i="1"/>
  <c r="V1176" i="1"/>
  <c r="V1179" i="1"/>
  <c r="V1186" i="1"/>
  <c r="V1190" i="1"/>
  <c r="V1199" i="1"/>
  <c r="V1216" i="1"/>
  <c r="V1224" i="1"/>
  <c r="V1245" i="1"/>
  <c r="V1247" i="1"/>
  <c r="V1288" i="1"/>
  <c r="V1306" i="1"/>
  <c r="V1311" i="1"/>
  <c r="V1325" i="1"/>
  <c r="V1328" i="1"/>
  <c r="V1330" i="1"/>
  <c r="V1331" i="1"/>
  <c r="AL18" i="2"/>
  <c r="H18" i="2" l="1"/>
  <c r="I16" i="2"/>
  <c r="C1" i="1"/>
  <c r="AL12" i="2" l="1"/>
  <c r="AL6" i="2"/>
  <c r="AL8" i="2"/>
  <c r="AL14" i="2"/>
  <c r="F24" i="2" l="1"/>
  <c r="H26" i="2" l="1"/>
  <c r="L28" i="2"/>
  <c r="A4" i="2" l="1"/>
  <c r="AO9" i="2" l="1"/>
  <c r="F6" i="2" l="1"/>
  <c r="F7" i="2"/>
  <c r="F8" i="2"/>
  <c r="F20" i="2"/>
  <c r="V3" i="2"/>
  <c r="D3" i="2"/>
  <c r="X24" i="2"/>
  <c r="T24" i="2"/>
  <c r="T23" i="2"/>
  <c r="U3" i="2"/>
  <c r="C3" i="2"/>
  <c r="AG3" i="2"/>
  <c r="F25" i="2"/>
  <c r="AL13" i="2"/>
  <c r="AL7" i="2"/>
  <c r="X23" i="2"/>
  <c r="X19" i="2"/>
  <c r="X18" i="2"/>
  <c r="X14" i="2"/>
  <c r="X12" i="2"/>
  <c r="X13" i="2"/>
  <c r="X8" i="2"/>
  <c r="X7" i="2"/>
  <c r="X6" i="2"/>
  <c r="F26" i="2"/>
  <c r="F22" i="2"/>
  <c r="F21" i="2"/>
  <c r="F18" i="2"/>
  <c r="F17" i="2"/>
  <c r="F16" i="2"/>
  <c r="F12" i="2"/>
  <c r="F13" i="2"/>
  <c r="F14" i="2"/>
  <c r="AF4" i="2"/>
  <c r="S4" i="2"/>
  <c r="B6" i="2"/>
  <c r="AG8" i="2"/>
  <c r="AG7" i="2"/>
  <c r="AG6" i="2"/>
  <c r="AI3" i="2"/>
  <c r="AH3" i="2"/>
  <c r="T8" i="2"/>
  <c r="T7" i="2"/>
  <c r="T6" i="2"/>
  <c r="B8" i="2"/>
  <c r="B7" i="2"/>
  <c r="AI7" i="2"/>
  <c r="B3" i="2"/>
  <c r="T3" i="2"/>
  <c r="E3" i="2" l="1"/>
  <c r="X9" i="2"/>
  <c r="C24" i="2"/>
  <c r="F19" i="2"/>
  <c r="G20" i="2"/>
  <c r="G14" i="2"/>
  <c r="H13" i="2"/>
  <c r="I14" i="2"/>
  <c r="H17" i="2"/>
  <c r="G22" i="2"/>
  <c r="H14" i="2"/>
  <c r="I18" i="2"/>
  <c r="H20" i="2"/>
  <c r="I20" i="2"/>
  <c r="I12" i="2"/>
  <c r="E12" i="2"/>
  <c r="H24" i="2"/>
  <c r="C12" i="2"/>
  <c r="I17" i="2"/>
  <c r="I25" i="2"/>
  <c r="E13" i="2"/>
  <c r="E20" i="2"/>
  <c r="D24" i="2"/>
  <c r="C17" i="2"/>
  <c r="G16" i="2"/>
  <c r="G13" i="2"/>
  <c r="D16" i="2"/>
  <c r="I26" i="2"/>
  <c r="H16" i="2"/>
  <c r="D12" i="2"/>
  <c r="C21" i="2"/>
  <c r="G26" i="2"/>
  <c r="I13" i="2"/>
  <c r="H12" i="2"/>
  <c r="G12" i="2"/>
  <c r="I21" i="2"/>
  <c r="H21" i="2"/>
  <c r="E21" i="2"/>
  <c r="W23" i="2"/>
  <c r="E24" i="2"/>
  <c r="D17" i="2"/>
  <c r="C16" i="2"/>
  <c r="C25" i="2"/>
  <c r="H25" i="2"/>
  <c r="I22" i="2"/>
  <c r="I24" i="2"/>
  <c r="D14" i="2"/>
  <c r="AH14" i="2"/>
  <c r="AL15" i="2"/>
  <c r="AL16" i="2" s="1"/>
  <c r="X20" i="2"/>
  <c r="E18" i="2"/>
  <c r="Y23" i="2"/>
  <c r="U23" i="2"/>
  <c r="C22" i="2"/>
  <c r="E17" i="2"/>
  <c r="C20" i="2"/>
  <c r="C18" i="2"/>
  <c r="D20" i="2"/>
  <c r="G18" i="2"/>
  <c r="Y13" i="2"/>
  <c r="D25" i="2"/>
  <c r="V13" i="2"/>
  <c r="U7" i="2" s="1"/>
  <c r="D18" i="2"/>
  <c r="E14" i="2"/>
  <c r="AA13" i="2"/>
  <c r="D21" i="2"/>
  <c r="E16" i="2"/>
  <c r="C14" i="2"/>
  <c r="E26" i="2"/>
  <c r="AJ14" i="2"/>
  <c r="AJ8" i="2" s="1"/>
  <c r="G17" i="2"/>
  <c r="D13" i="2"/>
  <c r="G25" i="2"/>
  <c r="E22" i="2"/>
  <c r="G21" i="2"/>
  <c r="H22" i="2"/>
  <c r="C26" i="2"/>
  <c r="U13" i="2"/>
  <c r="AH13" i="2"/>
  <c r="D22" i="2"/>
  <c r="E25" i="2"/>
  <c r="W13" i="2"/>
  <c r="W7" i="2" s="1"/>
  <c r="AK13" i="2"/>
  <c r="U14" i="2"/>
  <c r="AA14" i="2"/>
  <c r="Z13" i="2"/>
  <c r="AM14" i="2"/>
  <c r="AN13" i="2"/>
  <c r="AI14" i="2"/>
  <c r="AH8" i="2" s="1"/>
  <c r="D26" i="2"/>
  <c r="AJ12" i="2"/>
  <c r="AJ6" i="2" s="1"/>
  <c r="AN14" i="2"/>
  <c r="Z18" i="2"/>
  <c r="V18" i="2"/>
  <c r="W14" i="2"/>
  <c r="W8" i="2" s="1"/>
  <c r="AJ13" i="2"/>
  <c r="AJ7" i="2" s="1"/>
  <c r="AM12" i="2"/>
  <c r="AA19" i="2"/>
  <c r="W19" i="2"/>
  <c r="Y24" i="2"/>
  <c r="V14" i="2"/>
  <c r="U8" i="2" s="1"/>
  <c r="AN12" i="2"/>
  <c r="AM13" i="2"/>
  <c r="AI12" i="2"/>
  <c r="V19" i="2"/>
  <c r="AA18" i="2"/>
  <c r="U19" i="2"/>
  <c r="Y14" i="2"/>
  <c r="Z12" i="2"/>
  <c r="AK14" i="2"/>
  <c r="AH12" i="2"/>
  <c r="Y12" i="2"/>
  <c r="U18" i="2"/>
  <c r="W18" i="2"/>
  <c r="Z19" i="2"/>
  <c r="W24" i="2"/>
  <c r="U12" i="2"/>
  <c r="AI13" i="2"/>
  <c r="AH7" i="2" s="1"/>
  <c r="AK12" i="2"/>
  <c r="Z14" i="2"/>
  <c r="U24" i="2"/>
  <c r="Y19" i="2"/>
  <c r="Y18" i="2"/>
  <c r="G24" i="2"/>
  <c r="AA12" i="2"/>
  <c r="V12" i="2"/>
  <c r="U6" i="2" s="1"/>
  <c r="W12" i="2"/>
  <c r="W6" i="2" s="1"/>
  <c r="AJ3" i="2"/>
  <c r="AK3" i="2" s="1"/>
  <c r="F9" i="2"/>
  <c r="F15" i="2"/>
  <c r="F27" i="2"/>
  <c r="AL9" i="2"/>
  <c r="T9" i="2"/>
  <c r="F23" i="2"/>
  <c r="X15" i="2"/>
  <c r="B9" i="2"/>
  <c r="AG9" i="2"/>
  <c r="W3" i="2"/>
  <c r="G6" i="2" l="1"/>
  <c r="G8" i="2"/>
  <c r="X3" i="2"/>
  <c r="Y3" i="2" s="1"/>
  <c r="N13" i="2"/>
  <c r="F3" i="2"/>
  <c r="J14" i="2"/>
  <c r="H15" i="2"/>
  <c r="G23" i="2"/>
  <c r="AA20" i="2"/>
  <c r="C15" i="2"/>
  <c r="G15" i="2"/>
  <c r="I15" i="2"/>
  <c r="H19" i="2"/>
  <c r="I19" i="2"/>
  <c r="H27" i="2"/>
  <c r="J12" i="2"/>
  <c r="J17" i="2"/>
  <c r="K17" i="2" s="1"/>
  <c r="M17" i="2" s="1"/>
  <c r="D19" i="2"/>
  <c r="I27" i="2"/>
  <c r="I23" i="2"/>
  <c r="C6" i="2"/>
  <c r="G7" i="2"/>
  <c r="E7" i="2"/>
  <c r="E23" i="2"/>
  <c r="J16" i="2"/>
  <c r="K16" i="2" s="1"/>
  <c r="M16" i="2" s="1"/>
  <c r="J21" i="2"/>
  <c r="K21" i="2" s="1"/>
  <c r="M21" i="2" s="1"/>
  <c r="D23" i="2"/>
  <c r="C19" i="2"/>
  <c r="E19" i="2"/>
  <c r="J20" i="2"/>
  <c r="K20" i="2" s="1"/>
  <c r="M20" i="2" s="1"/>
  <c r="C27" i="2"/>
  <c r="E27" i="2"/>
  <c r="C23" i="2"/>
  <c r="J18" i="2"/>
  <c r="K18" i="2" s="1"/>
  <c r="M18" i="2" s="1"/>
  <c r="G19" i="2"/>
  <c r="D27" i="2"/>
  <c r="E6" i="2"/>
  <c r="J25" i="2"/>
  <c r="K25" i="2" s="1"/>
  <c r="M25" i="2" s="1"/>
  <c r="AB13" i="2"/>
  <c r="W9" i="2"/>
  <c r="AH15" i="2"/>
  <c r="AH16" i="2" s="1"/>
  <c r="Y7" i="2"/>
  <c r="G27" i="2"/>
  <c r="AA15" i="2"/>
  <c r="AL3" i="2"/>
  <c r="AK7" i="2"/>
  <c r="AM7" i="2" s="1"/>
  <c r="AN7" i="2" s="1"/>
  <c r="AP7" i="2" s="1"/>
  <c r="C7" i="2"/>
  <c r="E15" i="2"/>
  <c r="J22" i="2"/>
  <c r="K22" i="2" s="1"/>
  <c r="H23" i="2"/>
  <c r="AM15" i="2"/>
  <c r="AM16" i="2" s="1"/>
  <c r="J13" i="2"/>
  <c r="W15" i="2"/>
  <c r="E8" i="2"/>
  <c r="D15" i="2"/>
  <c r="AK8" i="2"/>
  <c r="U15" i="2"/>
  <c r="AO14" i="2"/>
  <c r="AP14" i="2" s="1"/>
  <c r="AQ14" i="2" s="1"/>
  <c r="AO12" i="2"/>
  <c r="AP12" i="2" s="1"/>
  <c r="V20" i="2"/>
  <c r="U20" i="2"/>
  <c r="AN15" i="2"/>
  <c r="AN16" i="2" s="1"/>
  <c r="AJ9" i="2"/>
  <c r="AK6" i="2"/>
  <c r="AB19" i="2"/>
  <c r="AC19" i="2" s="1"/>
  <c r="V24" i="2" s="1"/>
  <c r="W20" i="2"/>
  <c r="AJ15" i="2"/>
  <c r="AJ16" i="2" s="1"/>
  <c r="AK15" i="2"/>
  <c r="AK16" i="2" s="1"/>
  <c r="Y15" i="2"/>
  <c r="Y6" i="2"/>
  <c r="AB14" i="2"/>
  <c r="AB12" i="2"/>
  <c r="AC12" i="2" s="1"/>
  <c r="V15" i="2"/>
  <c r="Z15" i="2"/>
  <c r="U9" i="2"/>
  <c r="Z20" i="2"/>
  <c r="Y8" i="2"/>
  <c r="J26" i="2"/>
  <c r="K26" i="2" s="1"/>
  <c r="Y20" i="2"/>
  <c r="AB18" i="2"/>
  <c r="AC18" i="2" s="1"/>
  <c r="J24" i="2"/>
  <c r="K24" i="2" s="1"/>
  <c r="M24" i="2" s="1"/>
  <c r="AO13" i="2"/>
  <c r="AP13" i="2" s="1"/>
  <c r="AQ13" i="2" s="1"/>
  <c r="AH6" i="2"/>
  <c r="AH9" i="2" s="1"/>
  <c r="AI15" i="2"/>
  <c r="AI16" i="2" s="1"/>
  <c r="C8" i="2"/>
  <c r="F28" i="2"/>
  <c r="G9" i="2" l="1"/>
  <c r="M26" i="2"/>
  <c r="M22" i="2"/>
  <c r="P15" i="2"/>
  <c r="Z24" i="2"/>
  <c r="AA24" i="2" s="1"/>
  <c r="N26" i="2"/>
  <c r="N24" i="2"/>
  <c r="N20" i="2"/>
  <c r="N18" i="2"/>
  <c r="N21" i="2"/>
  <c r="P27" i="2"/>
  <c r="P23" i="2"/>
  <c r="N22" i="2"/>
  <c r="N25" i="2"/>
  <c r="P19" i="2"/>
  <c r="N16" i="2"/>
  <c r="N17" i="2"/>
  <c r="G3" i="2"/>
  <c r="AC13" i="2"/>
  <c r="AD13" i="2" s="1"/>
  <c r="AC14" i="2"/>
  <c r="AD14" i="2" s="1"/>
  <c r="K12" i="2"/>
  <c r="M12" i="2" s="1"/>
  <c r="K13" i="2"/>
  <c r="K14" i="2"/>
  <c r="D8" i="2" s="1"/>
  <c r="E32" i="2" s="1"/>
  <c r="K19" i="2"/>
  <c r="N19" i="2" s="1"/>
  <c r="H28" i="2"/>
  <c r="I28" i="2"/>
  <c r="C28" i="2"/>
  <c r="G28" i="2"/>
  <c r="E28" i="2"/>
  <c r="J19" i="2"/>
  <c r="E9" i="2"/>
  <c r="D28" i="2"/>
  <c r="Y9" i="2"/>
  <c r="AK9" i="2"/>
  <c r="C9" i="2"/>
  <c r="AD19" i="2"/>
  <c r="J23" i="2"/>
  <c r="J15" i="2"/>
  <c r="AB20" i="2"/>
  <c r="AI8" i="2"/>
  <c r="AM8" i="2" s="1"/>
  <c r="AN8" i="2" s="1"/>
  <c r="AP8" i="2" s="1"/>
  <c r="AD12" i="2"/>
  <c r="AB15" i="2"/>
  <c r="V6" i="2"/>
  <c r="Z6" i="2" s="1"/>
  <c r="J27" i="2"/>
  <c r="AO15" i="2"/>
  <c r="AO16" i="2" s="1"/>
  <c r="V23" i="2"/>
  <c r="AC20" i="2"/>
  <c r="AD18" i="2"/>
  <c r="AP15" i="2"/>
  <c r="AP16" i="2" s="1"/>
  <c r="AQ12" i="2"/>
  <c r="AI6" i="2"/>
  <c r="K27" i="2"/>
  <c r="N27" i="2" s="1"/>
  <c r="G32" i="2" l="1"/>
  <c r="M19" i="2"/>
  <c r="M13" i="2"/>
  <c r="D7" i="2"/>
  <c r="H7" i="2" s="1"/>
  <c r="I7" i="2" s="1"/>
  <c r="K7" i="2" s="1"/>
  <c r="M27" i="2"/>
  <c r="Z23" i="2"/>
  <c r="AA23" i="2" s="1"/>
  <c r="AC24" i="2"/>
  <c r="M14" i="2"/>
  <c r="N14" i="2"/>
  <c r="N12" i="2"/>
  <c r="P28" i="2"/>
  <c r="O27" i="2"/>
  <c r="Q27" i="2" s="1"/>
  <c r="O19" i="2"/>
  <c r="Q19" i="2" s="1"/>
  <c r="AC15" i="2"/>
  <c r="V8" i="2"/>
  <c r="V7" i="2"/>
  <c r="Z7" i="2" s="1"/>
  <c r="AA7" i="2" s="1"/>
  <c r="AC7" i="2" s="1"/>
  <c r="K15" i="2"/>
  <c r="M15" i="2" s="1"/>
  <c r="D6" i="2"/>
  <c r="K23" i="2"/>
  <c r="M23" i="2" s="1"/>
  <c r="J28" i="2"/>
  <c r="AI9" i="2"/>
  <c r="AM6" i="2"/>
  <c r="AA6" i="2"/>
  <c r="AC6" i="2" s="1"/>
  <c r="E30" i="2" l="1"/>
  <c r="G30" i="2"/>
  <c r="N23" i="2"/>
  <c r="Z8" i="2"/>
  <c r="AA8" i="2" s="1"/>
  <c r="AC8" i="2" s="1"/>
  <c r="AC23" i="2"/>
  <c r="N15" i="2"/>
  <c r="O15" i="2"/>
  <c r="Q15" i="2" s="1"/>
  <c r="O23" i="2"/>
  <c r="Q23" i="2" s="1"/>
  <c r="H6" i="2"/>
  <c r="I6" i="2" s="1"/>
  <c r="H8" i="2"/>
  <c r="I8" i="2" s="1"/>
  <c r="K8" i="2" s="1"/>
  <c r="V9" i="2"/>
  <c r="K28" i="2"/>
  <c r="D9" i="2"/>
  <c r="AN6" i="2"/>
  <c r="AP6" i="2" s="1"/>
  <c r="AM9" i="2"/>
  <c r="AN9" i="2" s="1"/>
  <c r="AP9" i="2" s="1"/>
  <c r="E31" i="2" l="1"/>
  <c r="G31" i="2"/>
  <c r="Z9" i="2"/>
  <c r="AA9" i="2" s="1"/>
  <c r="N28" i="2"/>
  <c r="M28" i="2"/>
  <c r="O28" i="2"/>
  <c r="Q28" i="2" s="1"/>
  <c r="K6" i="2"/>
  <c r="H9" i="2"/>
  <c r="AC9" i="2" l="1"/>
  <c r="I9" i="2"/>
  <c r="K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Akuffo, Henry</author>
    <author>Ur Rehman, Ibad</author>
    <author>Zia, Mohammed</author>
  </authors>
  <commentList>
    <comment ref="L680" authorId="0" shapeId="0" xr:uid="{124C0F58-DB92-46BF-8D73-B96F0E1FDBA8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L684" authorId="0" shapeId="0" xr:uid="{3A997125-4414-4651-9B67-1E58EAD3DE6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L705" authorId="0" shapeId="0" xr:uid="{91650422-6033-4C2B-989E-D01419EB581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L706" authorId="0" shapeId="0" xr:uid="{C025FEC7-42C8-4DDD-B5AD-E1D28697ED2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L805" authorId="0" shapeId="0" xr:uid="{93931052-E699-4844-B507-5DD6A5034C87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L824" authorId="0" shapeId="0" xr:uid="{2B8BC7E5-6DF5-4663-A749-FB53A30A279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L841" authorId="0" shapeId="0" xr:uid="{B8A6C427-FA08-4B3C-AB13-CB81B9E2FD3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L853" authorId="0" shapeId="0" xr:uid="{519FFD75-A7F6-4F7B-BE52-A653B9AF261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L855" authorId="0" shapeId="0" xr:uid="{F6DA014F-97D0-4AA5-899D-06B88EDFB81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L860" authorId="0" shapeId="0" xr:uid="{57018EB4-D8AE-4C18-B4EA-81FC483B1D9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L867" authorId="0" shapeId="0" xr:uid="{18BF8236-FC82-49BC-A1E5-7B99344B90F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L891" authorId="0" shapeId="0" xr:uid="{59CCC2D7-4330-4C19-A67F-0232A78C494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L892" authorId="0" shapeId="0" xr:uid="{3E623C1C-D445-48DD-9D89-9056DC1643E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L1211" authorId="0" shapeId="0" xr:uid="{F03DA4F2-415B-4F49-8F70-4582B9B085A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L1264" authorId="0" shapeId="0" xr:uid="{4CE9A40E-E359-4BF7-872C-7E33057849B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L1265" authorId="0" shapeId="0" xr:uid="{E45A254F-8D3B-4CFB-994F-B191B71DE5D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L1270" authorId="1" shapeId="0" xr:uid="{93136DCA-F24C-4113-BA88-DF050A084B35}">
      <text>
        <r>
          <rPr>
            <b/>
            <sz val="9"/>
            <color indexed="81"/>
            <rFont val="Tahoma"/>
            <family val="2"/>
          </rPr>
          <t>Ur Rehman, Ibad:</t>
        </r>
        <r>
          <rPr>
            <sz val="9"/>
            <color indexed="81"/>
            <rFont val="Tahoma"/>
            <family val="2"/>
          </rPr>
          <t xml:space="preserve">
Moving to NS from 2nd Dec-25</t>
        </r>
      </text>
    </comment>
    <comment ref="L1271" authorId="2" shapeId="0" xr:uid="{FE8D2D9E-152F-4242-86C6-7CA84A58D5D1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MS 5th Mar-26</t>
        </r>
      </text>
    </comment>
    <comment ref="L1272" authorId="0" shapeId="0" xr:uid="{19363591-5AE7-4B00-ADF1-5D3CECE41F2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L1276" authorId="2" shapeId="0" xr:uid="{C07A115B-8930-439A-88E5-FA9049774EBF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DS 5th Mar-26</t>
        </r>
      </text>
    </comment>
    <comment ref="L1337" authorId="2" shapeId="0" xr:uid="{293A852D-8FF1-496B-BA13-F3D43330C698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 moving to DS from 4th Mar-26</t>
        </r>
      </text>
    </comment>
  </commentList>
</comments>
</file>

<file path=xl/sharedStrings.xml><?xml version="1.0" encoding="utf-8"?>
<sst xmlns="http://schemas.openxmlformats.org/spreadsheetml/2006/main" count="26513" uniqueCount="3028">
  <si>
    <t>Date</t>
  </si>
  <si>
    <t>P</t>
  </si>
  <si>
    <t>Present</t>
  </si>
  <si>
    <t>SL</t>
  </si>
  <si>
    <t>AB</t>
  </si>
  <si>
    <t>Absent</t>
  </si>
  <si>
    <t>EL</t>
  </si>
  <si>
    <t>PL</t>
  </si>
  <si>
    <t>Any Planned Leave</t>
  </si>
  <si>
    <t>ABWI</t>
  </si>
  <si>
    <t>OFF</t>
  </si>
  <si>
    <t>Weekly Off</t>
  </si>
  <si>
    <t>S.No</t>
  </si>
  <si>
    <t>Psoft No</t>
  </si>
  <si>
    <t>AMZ ID</t>
  </si>
  <si>
    <t>EMP Name</t>
  </si>
  <si>
    <t>DOJ</t>
  </si>
  <si>
    <t>Employment Type</t>
  </si>
  <si>
    <t>Building</t>
  </si>
  <si>
    <t>Cost Center</t>
  </si>
  <si>
    <t>Shift</t>
  </si>
  <si>
    <t>OFF1</t>
  </si>
  <si>
    <t>OFF2</t>
  </si>
  <si>
    <t>Job Title</t>
  </si>
  <si>
    <t>Department</t>
  </si>
  <si>
    <t>Process Path</t>
  </si>
  <si>
    <t>Type</t>
  </si>
  <si>
    <t>3P</t>
  </si>
  <si>
    <t>Line Manager Login</t>
  </si>
  <si>
    <t>Line Manager</t>
  </si>
  <si>
    <t>Remarks</t>
  </si>
  <si>
    <t>Temporary</t>
  </si>
  <si>
    <t>Day Shift</t>
  </si>
  <si>
    <t>ICQA</t>
  </si>
  <si>
    <t>Regular</t>
  </si>
  <si>
    <t>Inbound</t>
  </si>
  <si>
    <t>OT</t>
  </si>
  <si>
    <t>Outbound</t>
  </si>
  <si>
    <t>Mid Shift</t>
  </si>
  <si>
    <t>Night Shift</t>
  </si>
  <si>
    <t>Previous Day HC</t>
  </si>
  <si>
    <t>L3 Ops Supervisors</t>
  </si>
  <si>
    <t>FTE HC</t>
  </si>
  <si>
    <t>NFTE HC</t>
  </si>
  <si>
    <t>Today's HC</t>
  </si>
  <si>
    <t>HC LM Target</t>
  </si>
  <si>
    <t>Achievement %</t>
  </si>
  <si>
    <t>Total HC</t>
  </si>
  <si>
    <t>Unscheduled</t>
  </si>
  <si>
    <t>Schedule to Work</t>
  </si>
  <si>
    <t>UPL</t>
  </si>
  <si>
    <t>Present %</t>
  </si>
  <si>
    <t>LM Target</t>
  </si>
  <si>
    <t>Target Achievement</t>
  </si>
  <si>
    <t>Grand Total</t>
  </si>
  <si>
    <t>AB/ABWI</t>
  </si>
  <si>
    <t>Scheduled</t>
  </si>
  <si>
    <t>ICQA Total</t>
  </si>
  <si>
    <t>Outbound Total</t>
  </si>
  <si>
    <t>SC Total</t>
  </si>
  <si>
    <t>%</t>
  </si>
  <si>
    <t>Country</t>
  </si>
  <si>
    <t>LOB</t>
  </si>
  <si>
    <t>Shift Difference</t>
  </si>
  <si>
    <t>AUH1</t>
  </si>
  <si>
    <t>AUH3</t>
  </si>
  <si>
    <t>DAD1</t>
  </si>
  <si>
    <t>CRET</t>
  </si>
  <si>
    <t>Warehouse Deals</t>
  </si>
  <si>
    <t>CRET Total</t>
  </si>
  <si>
    <t>Inbound Total</t>
  </si>
  <si>
    <t>Present % (without OT)</t>
  </si>
  <si>
    <t>Target</t>
  </si>
  <si>
    <t>Present(Including OT)</t>
  </si>
  <si>
    <t>UAE</t>
  </si>
  <si>
    <t>FC</t>
  </si>
  <si>
    <t>NA</t>
  </si>
  <si>
    <t>Saturday</t>
  </si>
  <si>
    <t>Sunday</t>
  </si>
  <si>
    <t>Warehouse Associate 12M</t>
  </si>
  <si>
    <t>Direct</t>
  </si>
  <si>
    <t>Fastlink</t>
  </si>
  <si>
    <t>aanso</t>
  </si>
  <si>
    <t>labcamar</t>
  </si>
  <si>
    <t>Tuesday</t>
  </si>
  <si>
    <t>Wednesday</t>
  </si>
  <si>
    <t>Warehouse Associate 24M</t>
  </si>
  <si>
    <t>Quesscorp</t>
  </si>
  <si>
    <t>Thursday</t>
  </si>
  <si>
    <t>Warehouse Associate 8W</t>
  </si>
  <si>
    <t>Dulsco</t>
  </si>
  <si>
    <t>iddabdud</t>
  </si>
  <si>
    <t>Monday</t>
  </si>
  <si>
    <t>rosadamu</t>
  </si>
  <si>
    <t>Adams,Rose</t>
  </si>
  <si>
    <t>Friday</t>
  </si>
  <si>
    <t>EFS</t>
  </si>
  <si>
    <t>FC Associate III</t>
  </si>
  <si>
    <t>Blue Badge</t>
  </si>
  <si>
    <t>Adecco</t>
  </si>
  <si>
    <t>galeowus</t>
  </si>
  <si>
    <t>berchimh</t>
  </si>
  <si>
    <t>brerubay</t>
  </si>
  <si>
    <t>ybbright</t>
  </si>
  <si>
    <t>ndanzyco</t>
  </si>
  <si>
    <t>daniboah</t>
  </si>
  <si>
    <t>daangmor</t>
  </si>
  <si>
    <t>dlacap</t>
  </si>
  <si>
    <t>FC Associate I</t>
  </si>
  <si>
    <t>kadelias</t>
  </si>
  <si>
    <t>emmanhme</t>
  </si>
  <si>
    <t>everxmil</t>
  </si>
  <si>
    <t>asiamahb</t>
  </si>
  <si>
    <t>jglakuma</t>
  </si>
  <si>
    <t>goodeuge</t>
  </si>
  <si>
    <t>hishkutt</t>
  </si>
  <si>
    <t>conteiby</t>
  </si>
  <si>
    <t>jafarsab</t>
  </si>
  <si>
    <t>sessijam</t>
  </si>
  <si>
    <t>mwiiroja</t>
  </si>
  <si>
    <t>joaagyek</t>
  </si>
  <si>
    <t>pmwauraj</t>
  </si>
  <si>
    <t>karugaba</t>
  </si>
  <si>
    <t>jonztutu</t>
  </si>
  <si>
    <t>josdohmo</t>
  </si>
  <si>
    <t>ananjosp</t>
  </si>
  <si>
    <t>julieoky</t>
  </si>
  <si>
    <t>skyeseli</t>
  </si>
  <si>
    <t>Kyerewaa,Selina</t>
  </si>
  <si>
    <t>lamissia</t>
  </si>
  <si>
    <t>kofileon</t>
  </si>
  <si>
    <t>mwrmarti</t>
  </si>
  <si>
    <t>namutmar</t>
  </si>
  <si>
    <t>musakmwe</t>
  </si>
  <si>
    <t>murdnase</t>
  </si>
  <si>
    <t>akonelso</t>
  </si>
  <si>
    <t>adarkwno</t>
  </si>
  <si>
    <t>ntongopo</t>
  </si>
  <si>
    <t>onacisbr</t>
  </si>
  <si>
    <t>otooemml</t>
  </si>
  <si>
    <t>Otoo,Emmanuel</t>
  </si>
  <si>
    <t>princeor</t>
  </si>
  <si>
    <t>RVEETIL</t>
  </si>
  <si>
    <t>thosanjq</t>
  </si>
  <si>
    <t>mosaselv</t>
  </si>
  <si>
    <t>senncube</t>
  </si>
  <si>
    <t>psharonc</t>
  </si>
  <si>
    <t>ncusilet</t>
  </si>
  <si>
    <t>ngwesola</t>
  </si>
  <si>
    <t>owususol</t>
  </si>
  <si>
    <t>sudqsonu</t>
  </si>
  <si>
    <t>THATTYOD</t>
  </si>
  <si>
    <t>Thattyodan,Sarang</t>
  </si>
  <si>
    <t>bihveraf</t>
  </si>
  <si>
    <t>ovirajan</t>
  </si>
  <si>
    <t>kombabep</t>
  </si>
  <si>
    <t>Abel Bayelema Kombat</t>
  </si>
  <si>
    <t>oppongla</t>
  </si>
  <si>
    <t>ABRAHAM SENIOR OPPONG</t>
  </si>
  <si>
    <t>kebedeed</t>
  </si>
  <si>
    <t>danjuali</t>
  </si>
  <si>
    <t>Ali Muhammad Danjuma</t>
  </si>
  <si>
    <t>vmustapa</t>
  </si>
  <si>
    <t>Aminatu Korkor Mustapha</t>
  </si>
  <si>
    <t>tumwgben</t>
  </si>
  <si>
    <t>BENSON TUMWINE</t>
  </si>
  <si>
    <t>cmaforun</t>
  </si>
  <si>
    <t>CHANTAL MAFOR UNABI</t>
  </si>
  <si>
    <t>ayumuwdo</t>
  </si>
  <si>
    <t>Doreen Demor Ayumu</t>
  </si>
  <si>
    <t>nyeineb</t>
  </si>
  <si>
    <t>Ei Ei Nyein</t>
  </si>
  <si>
    <t>emmaabug</t>
  </si>
  <si>
    <t>Emmanuel Abugri</t>
  </si>
  <si>
    <t>xcemmanu</t>
  </si>
  <si>
    <t>Emmanuel Cudjoe</t>
  </si>
  <si>
    <t>uemodoom</t>
  </si>
  <si>
    <t>Emmanuel Odoom</t>
  </si>
  <si>
    <t>timfelig</t>
  </si>
  <si>
    <t>FELICIA TIMAH</t>
  </si>
  <si>
    <t>amaduga</t>
  </si>
  <si>
    <t>Ganiu Amadu</t>
  </si>
  <si>
    <t>moghazy</t>
  </si>
  <si>
    <t>Ghazy,Mohamed </t>
  </si>
  <si>
    <t>boamhenr</t>
  </si>
  <si>
    <t>Henry Asiamah Boamah</t>
  </si>
  <si>
    <t>jemaisen</t>
  </si>
  <si>
    <t>Jemaisen Hermano Plaza</t>
  </si>
  <si>
    <t>kaijudit</t>
  </si>
  <si>
    <t>JUDITH KABUGHO</t>
  </si>
  <si>
    <t>kmmohami</t>
  </si>
  <si>
    <t>K M Mohamed Imran</t>
  </si>
  <si>
    <t>qkhinmek</t>
  </si>
  <si>
    <t>Khin Me Me Ko</t>
  </si>
  <si>
    <t>tuleoleo</t>
  </si>
  <si>
    <t>Leo Leonardo Tumay</t>
  </si>
  <si>
    <t>maryabua</t>
  </si>
  <si>
    <t>Mary Abudu</t>
  </si>
  <si>
    <t>kyawqmin</t>
  </si>
  <si>
    <t>Min Khant Kyaw</t>
  </si>
  <si>
    <t>mkhlim</t>
  </si>
  <si>
    <t>Muhammad Khalid</t>
  </si>
  <si>
    <t>firstmup</t>
  </si>
  <si>
    <t>Mupetiwa,First</t>
  </si>
  <si>
    <t>dprincer</t>
  </si>
  <si>
    <t>PRINCE RICHARD DARKO SRAHA</t>
  </si>
  <si>
    <t>pyaeomau</t>
  </si>
  <si>
    <t>Pyae Phyo Maung</t>
  </si>
  <si>
    <t>roedieme</t>
  </si>
  <si>
    <t>Roland Ediemejang Muankume</t>
  </si>
  <si>
    <t>ansahfsa</t>
  </si>
  <si>
    <t xml:space="preserve">Samuel Kwesi Ansah </t>
  </si>
  <si>
    <t>tabifors</t>
  </si>
  <si>
    <t>Sergeo Tabifor</t>
  </si>
  <si>
    <t>thxnakop</t>
  </si>
  <si>
    <t>Theresa Nako Petiafo</t>
  </si>
  <si>
    <t>pyaminso</t>
  </si>
  <si>
    <t>Yamin Kyaw Soe</t>
  </si>
  <si>
    <t>minooxye</t>
  </si>
  <si>
    <t>Ye Min Oo</t>
  </si>
  <si>
    <t>fzizinga</t>
  </si>
  <si>
    <t>Zizinga Faizal</t>
  </si>
  <si>
    <t>ajmalaa</t>
  </si>
  <si>
    <t>Abdul Qadir Muhammad Ajmal</t>
  </si>
  <si>
    <t>pparsin</t>
  </si>
  <si>
    <t>nnahla</t>
  </si>
  <si>
    <t>Nahla,Fathimathul</t>
  </si>
  <si>
    <t>abhiybab</t>
  </si>
  <si>
    <t>ABHITH KUTTI PUNATHIL THAZHA BABU</t>
  </si>
  <si>
    <t>chinaabo</t>
  </si>
  <si>
    <t>ABOUH CHINARINE EFEUTLAKA</t>
  </si>
  <si>
    <t>vkkatyal</t>
  </si>
  <si>
    <t>tiacquah</t>
  </si>
  <si>
    <t>agnestwu</t>
  </si>
  <si>
    <t>AGNES TWUMWAA</t>
  </si>
  <si>
    <t>manoajay</t>
  </si>
  <si>
    <t>AJAY MANOHAR</t>
  </si>
  <si>
    <t>kodataks</t>
  </si>
  <si>
    <t>AKSHAY KODATHAMVALLY</t>
  </si>
  <si>
    <t>jospalbi</t>
  </si>
  <si>
    <t>ALBIN JOSE</t>
  </si>
  <si>
    <t>mpandeal</t>
  </si>
  <si>
    <t>ALEX MPANDE</t>
  </si>
  <si>
    <t>nkrumaai</t>
  </si>
  <si>
    <t>Alex Nkrumah</t>
  </si>
  <si>
    <t>alhajban</t>
  </si>
  <si>
    <t>Alhaji Amara Rahman Bangura</t>
  </si>
  <si>
    <t>alhaslis</t>
  </si>
  <si>
    <t>ALHASSAN ISSAKA</t>
  </si>
  <si>
    <t>alusikor</t>
  </si>
  <si>
    <t>ALUSINE KOROMA</t>
  </si>
  <si>
    <t>roambili</t>
  </si>
  <si>
    <t>bamehami</t>
  </si>
  <si>
    <t>AMINATA BAMEH MARAH</t>
  </si>
  <si>
    <t>amoakviw</t>
  </si>
  <si>
    <t>Amoako Vida</t>
  </si>
  <si>
    <t>yankeant</t>
  </si>
  <si>
    <t>ANTHONY YANKEY</t>
  </si>
  <si>
    <t>kukulago</t>
  </si>
  <si>
    <t>Anusha Dilrukshi Gunathilake</t>
  </si>
  <si>
    <t>arshshaj</t>
  </si>
  <si>
    <t>ARSHAD  SHAJAHAN</t>
  </si>
  <si>
    <t>hbabuaru</t>
  </si>
  <si>
    <t>ARUN BABU</t>
  </si>
  <si>
    <t>stelasar</t>
  </si>
  <si>
    <t>Asare,Stella Nyarko</t>
  </si>
  <si>
    <t>sarpoatt</t>
  </si>
  <si>
    <t>zauguaug</t>
  </si>
  <si>
    <t>AUGUSTIN AUGUSTIN</t>
  </si>
  <si>
    <t>myasaung</t>
  </si>
  <si>
    <t>Aung Kaung Myat</t>
  </si>
  <si>
    <t>aungphy</t>
  </si>
  <si>
    <t>Aung Thu Ya Phyo</t>
  </si>
  <si>
    <t>fuseawal</t>
  </si>
  <si>
    <t>AWAL FUSEINI</t>
  </si>
  <si>
    <t>noeliayo</t>
  </si>
  <si>
    <t>Ayong,Noeline Nuck</t>
  </si>
  <si>
    <t>sedbakoh</t>
  </si>
  <si>
    <t>Bakoh,Sedoline Ndongo</t>
  </si>
  <si>
    <t>bwamoako</t>
  </si>
  <si>
    <t>Benjamin Kwarteng Amoako</t>
  </si>
  <si>
    <t>hbinepal</t>
  </si>
  <si>
    <t>BIKASH NEPALI</t>
  </si>
  <si>
    <t>bisophij</t>
  </si>
  <si>
    <t>Bio,Sophia</t>
  </si>
  <si>
    <t>bismopok</t>
  </si>
  <si>
    <t>Bismark Opoku</t>
  </si>
  <si>
    <t>sarpbism</t>
  </si>
  <si>
    <t>BISMARK SARPONG</t>
  </si>
  <si>
    <t>blesndu</t>
  </si>
  <si>
    <t>Blessing Anya Ndu</t>
  </si>
  <si>
    <t>kabbrigg</t>
  </si>
  <si>
    <t>Briggs Mudiwa Kabaya</t>
  </si>
  <si>
    <t>adufbrig</t>
  </si>
  <si>
    <t>Bright Adu</t>
  </si>
  <si>
    <t>brigtawu</t>
  </si>
  <si>
    <t>cathprom</t>
  </si>
  <si>
    <t>vachampa</t>
  </si>
  <si>
    <t>Champagne Vanessa Djaba</t>
  </si>
  <si>
    <t>chicharf</t>
  </si>
  <si>
    <t>CHARLES CHIBINDI</t>
  </si>
  <si>
    <t>chaoseip</t>
  </si>
  <si>
    <t>achungak</t>
  </si>
  <si>
    <t>Chelsea Achu Ngako</t>
  </si>
  <si>
    <t>chrbaid</t>
  </si>
  <si>
    <t>Christian Ampofo Baiden</t>
  </si>
  <si>
    <t>ashiegbi</t>
  </si>
  <si>
    <t>Clemence Ashiegbi</t>
  </si>
  <si>
    <t>ananecle</t>
  </si>
  <si>
    <t>CLEMENT ANANE GEYI</t>
  </si>
  <si>
    <t>abiadcon</t>
  </si>
  <si>
    <t>Constance Abiadoo Bentum</t>
  </si>
  <si>
    <t>dhobhada</t>
  </si>
  <si>
    <t>Dadirai Dhobha</t>
  </si>
  <si>
    <t>ridadzid</t>
  </si>
  <si>
    <t>Dadzie,Richard</t>
  </si>
  <si>
    <t>danabuak</t>
  </si>
  <si>
    <t>Daniel Abu Akparibo</t>
  </si>
  <si>
    <t>dangbaso</t>
  </si>
  <si>
    <t>Daniel Basonege</t>
  </si>
  <si>
    <t>pdavadom</t>
  </si>
  <si>
    <t>David Benjamin Adom</t>
  </si>
  <si>
    <t>denniaap</t>
  </si>
  <si>
    <t>Dennis Kwabena Appau</t>
  </si>
  <si>
    <t>inkooder</t>
  </si>
  <si>
    <t>Derrick Inkoom</t>
  </si>
  <si>
    <t>diclklin</t>
  </si>
  <si>
    <t>Dickson Kojo Klinogo</t>
  </si>
  <si>
    <t>dimohanr</t>
  </si>
  <si>
    <t>DineshKumar Mohanraj</t>
  </si>
  <si>
    <t>tsadorca</t>
  </si>
  <si>
    <t>Dorcas Sakyiamah</t>
  </si>
  <si>
    <t>dorasare</t>
  </si>
  <si>
    <t>Dorothy Asare</t>
  </si>
  <si>
    <t>durodori</t>
  </si>
  <si>
    <t>Durowaa,Doris</t>
  </si>
  <si>
    <t>soebenep</t>
  </si>
  <si>
    <t>Ebenezer Somiah</t>
  </si>
  <si>
    <t>twumeben</t>
  </si>
  <si>
    <t>Ebenezer Twumasi</t>
  </si>
  <si>
    <t>BENTEROE</t>
  </si>
  <si>
    <t>Edito Bentero</t>
  </si>
  <si>
    <t>biyeahe</t>
  </si>
  <si>
    <t>EDWIN BIYEAH</t>
  </si>
  <si>
    <t>eliavony</t>
  </si>
  <si>
    <t>ELIZABETH ABENA AVONYO</t>
  </si>
  <si>
    <t>remmanai</t>
  </si>
  <si>
    <t>Emmanuel Aidoo</t>
  </si>
  <si>
    <t>enanemma</t>
  </si>
  <si>
    <t>Emmanuel Enang Nkwonji</t>
  </si>
  <si>
    <t>agyeieem</t>
  </si>
  <si>
    <t>Emmanuel Yeboah Agyei</t>
  </si>
  <si>
    <t>geoppong</t>
  </si>
  <si>
    <t>Enoch Oppong</t>
  </si>
  <si>
    <t>abongger</t>
  </si>
  <si>
    <t>Erica Abong Ghogah</t>
  </si>
  <si>
    <t>uernesme</t>
  </si>
  <si>
    <t>Ernest Mensah Awudi</t>
  </si>
  <si>
    <t>kamaesth</t>
  </si>
  <si>
    <t>Esther Wairimu Kamau</t>
  </si>
  <si>
    <t>evanasam</t>
  </si>
  <si>
    <t>Evans Asamoah</t>
  </si>
  <si>
    <t>alfazan</t>
  </si>
  <si>
    <t>Faizan Ali</t>
  </si>
  <si>
    <t>chepfanc</t>
  </si>
  <si>
    <t>FANCY CHEPKEMOI</t>
  </si>
  <si>
    <t>fatawabd</t>
  </si>
  <si>
    <t>Fataw Abdulai</t>
  </si>
  <si>
    <t>festusnd</t>
  </si>
  <si>
    <t>Festus Nii Darko</t>
  </si>
  <si>
    <t>francpam</t>
  </si>
  <si>
    <t>Francis Ampong</t>
  </si>
  <si>
    <t>frimpofr</t>
  </si>
  <si>
    <t>Francis Owusu Frimpong</t>
  </si>
  <si>
    <t>frgontra</t>
  </si>
  <si>
    <t>Francois C Gontran Gbekonsi</t>
  </si>
  <si>
    <t>iahfrank</t>
  </si>
  <si>
    <t>FRANK AHEN</t>
  </si>
  <si>
    <t>kamargib</t>
  </si>
  <si>
    <t>Gibrilla Kamara</t>
  </si>
  <si>
    <t>alusgidf</t>
  </si>
  <si>
    <t>gikwameg</t>
  </si>
  <si>
    <t>Gideon Kwame Gyasi</t>
  </si>
  <si>
    <t>andohogi</t>
  </si>
  <si>
    <t>Gifty Andoh</t>
  </si>
  <si>
    <t>takpalgo</t>
  </si>
  <si>
    <t>GODWIN AKPALU</t>
  </si>
  <si>
    <t>wiafgord</t>
  </si>
  <si>
    <t>Gordon Wiafe</t>
  </si>
  <si>
    <t>asargrav</t>
  </si>
  <si>
    <t>Grace Asare</t>
  </si>
  <si>
    <t>honoadan</t>
  </si>
  <si>
    <t>Honorine Eyandong Adang</t>
  </si>
  <si>
    <t>isaankru</t>
  </si>
  <si>
    <t>Isaac Kwame Nkrumah</t>
  </si>
  <si>
    <t>masinois</t>
  </si>
  <si>
    <t>ISAAC MASINDE</t>
  </si>
  <si>
    <t>samlisaa</t>
  </si>
  <si>
    <t>Isaac Sam</t>
  </si>
  <si>
    <t>aivamule</t>
  </si>
  <si>
    <t>IVAN MULEMA</t>
  </si>
  <si>
    <t>agyarjac</t>
  </si>
  <si>
    <t>jescmapu</t>
  </si>
  <si>
    <t>Jescar Mapuranga</t>
  </si>
  <si>
    <t>cjoheyia</t>
  </si>
  <si>
    <t>John Eyiah</t>
  </si>
  <si>
    <t>xjonyank</t>
  </si>
  <si>
    <t>JOHN NYANKEY</t>
  </si>
  <si>
    <t>johnyoky</t>
  </si>
  <si>
    <t>John Okyere</t>
  </si>
  <si>
    <t>kamarjoy</t>
  </si>
  <si>
    <t>John Philip Kamara</t>
  </si>
  <si>
    <t>agorgije</t>
  </si>
  <si>
    <t>Jonathan Agorgi</t>
  </si>
  <si>
    <t>vjoasare</t>
  </si>
  <si>
    <t>Josep Asare Yalley</t>
  </si>
  <si>
    <t>joagyeku</t>
  </si>
  <si>
    <t>Joseph Agyekum</t>
  </si>
  <si>
    <t>ndedjose</t>
  </si>
  <si>
    <t>Joseph Ndede</t>
  </si>
  <si>
    <t>uknijosh</t>
  </si>
  <si>
    <t>Joshua Chuchuboy Knight</t>
  </si>
  <si>
    <t>jospatie</t>
  </si>
  <si>
    <t>Joso,Patience Nganje</t>
  </si>
  <si>
    <t>ofosuhjo</t>
  </si>
  <si>
    <t>Joyce Ofosuhene</t>
  </si>
  <si>
    <t>tchuinok</t>
  </si>
  <si>
    <t>Julienne Tchuino Kamche</t>
  </si>
  <si>
    <t>appiajul</t>
  </si>
  <si>
    <t>Juliet Appiah</t>
  </si>
  <si>
    <t>qkejulie</t>
  </si>
  <si>
    <t>JULIET KENEMA</t>
  </si>
  <si>
    <t>aliikama</t>
  </si>
  <si>
    <t>KAMARA,ALIE</t>
  </si>
  <si>
    <t>pkamhuru</t>
  </si>
  <si>
    <t>kahermaj</t>
  </si>
  <si>
    <t>KAMOGA HERMAN</t>
  </si>
  <si>
    <t>umarkas</t>
  </si>
  <si>
    <t>Kassim Umar</t>
  </si>
  <si>
    <t>twenewka</t>
  </si>
  <si>
    <t>vkaunght</t>
  </si>
  <si>
    <t>Kaung Htet</t>
  </si>
  <si>
    <t>ikeharsa</t>
  </si>
  <si>
    <t>Kehar Sing Sarki</t>
  </si>
  <si>
    <t>kkecarls</t>
  </si>
  <si>
    <t>Kendang,Carlson Esah</t>
  </si>
  <si>
    <t>appiakin</t>
  </si>
  <si>
    <t>Kingsley Appiah</t>
  </si>
  <si>
    <t>kwaaboag</t>
  </si>
  <si>
    <t>Kwabena Aboagye-Acheampong</t>
  </si>
  <si>
    <t>kyeqeben</t>
  </si>
  <si>
    <t>lajlawso</t>
  </si>
  <si>
    <t>Late Flynn Lawson</t>
  </si>
  <si>
    <t>letiowus</t>
  </si>
  <si>
    <t>Leticia Owusu</t>
  </si>
  <si>
    <t>lydiawwa</t>
  </si>
  <si>
    <t>makaflor</t>
  </si>
  <si>
    <t>Makamure,Florence Ottilia Tsitsi</t>
  </si>
  <si>
    <t>naemalla</t>
  </si>
  <si>
    <t>Malladi, NagaBhushananm</t>
  </si>
  <si>
    <t>mambflor</t>
  </si>
  <si>
    <t>Mambo,Flora Nde</t>
  </si>
  <si>
    <t>omamudka</t>
  </si>
  <si>
    <t>mangondi</t>
  </si>
  <si>
    <t>Mangondili,Lilac Jayawon</t>
  </si>
  <si>
    <t>markumek</t>
  </si>
  <si>
    <t>MARTIN KUMEKPE</t>
  </si>
  <si>
    <t>marvingx</t>
  </si>
  <si>
    <t>Marvinge Mokabe Akanang</t>
  </si>
  <si>
    <t>mmensahf</t>
  </si>
  <si>
    <t>Mary Mensah</t>
  </si>
  <si>
    <t>mercyema</t>
  </si>
  <si>
    <t>Masuka,Mercy</t>
  </si>
  <si>
    <t>maththum</t>
  </si>
  <si>
    <t>Mathe,Thumelo Ethan</t>
  </si>
  <si>
    <t>ayematil</t>
  </si>
  <si>
    <t>Matilda Ayesu</t>
  </si>
  <si>
    <t>alamavis</t>
  </si>
  <si>
    <t>Mavis Akua Alabila</t>
  </si>
  <si>
    <t>maxtokpr</t>
  </si>
  <si>
    <t>Maxwell Tokpor</t>
  </si>
  <si>
    <t>tanakasm</t>
  </si>
  <si>
    <t>Mbawa,Tanaka Shantel</t>
  </si>
  <si>
    <t>mdutygwe</t>
  </si>
  <si>
    <t>Mdutshulwa,Gwendoline</t>
  </si>
  <si>
    <t>mensacon</t>
  </si>
  <si>
    <t>Mensah,Confidence</t>
  </si>
  <si>
    <t>darkwamj</t>
  </si>
  <si>
    <t>Michael Darkwah</t>
  </si>
  <si>
    <t>qmichtut</t>
  </si>
  <si>
    <t>Michael Osei Tutu</t>
  </si>
  <si>
    <t>minkhine</t>
  </si>
  <si>
    <t>Min Thway Khine</t>
  </si>
  <si>
    <t>nrahamoh</t>
  </si>
  <si>
    <t>Mohammad Abdul Rahaman</t>
  </si>
  <si>
    <t>shahidgm</t>
  </si>
  <si>
    <t>MOHAMMAD SARFARAZ ANSARI SHAHID</t>
  </si>
  <si>
    <t>amizmoha</t>
  </si>
  <si>
    <t>Mohammed Aminu</t>
  </si>
  <si>
    <t>moshareb</t>
  </si>
  <si>
    <t>MOHAMMED SHAREEF KUTTILA VALAPPIL</t>
  </si>
  <si>
    <t>maxmrith</t>
  </si>
  <si>
    <t xml:space="preserve">Mrithul Maxy </t>
  </si>
  <si>
    <t>mugandrn</t>
  </si>
  <si>
    <t>MUGISHA,ANDREW</t>
  </si>
  <si>
    <t>oafmuham</t>
  </si>
  <si>
    <t>Muhammad Farhan</t>
  </si>
  <si>
    <t>irfmali</t>
  </si>
  <si>
    <t>Muhammad,Malik</t>
  </si>
  <si>
    <t>muhathod</t>
  </si>
  <si>
    <t>MUHAMMED FAYIS PATER</t>
  </si>
  <si>
    <t>veetmuha</t>
  </si>
  <si>
    <t>MUHAMMED MIKTHATH NOTTAM VEETTIL</t>
  </si>
  <si>
    <t>nymunemw</t>
  </si>
  <si>
    <t>Munemo,Nyasha Millicent</t>
  </si>
  <si>
    <t>munisuku</t>
  </si>
  <si>
    <t>Munish Kumar</t>
  </si>
  <si>
    <t>PIT Operator 24M</t>
  </si>
  <si>
    <t>muriipau</t>
  </si>
  <si>
    <t>Muriithi Pauline</t>
  </si>
  <si>
    <t>wgracech</t>
  </si>
  <si>
    <t>Nhau,Grace Chido</t>
  </si>
  <si>
    <t>nichwtak</t>
  </si>
  <si>
    <t>Nicholas Takyi</t>
  </si>
  <si>
    <t>nyabuniv</t>
  </si>
  <si>
    <t>Nivah Moraa Nyabuto</t>
  </si>
  <si>
    <t>nyasnoah</t>
  </si>
  <si>
    <t>yenorber</t>
  </si>
  <si>
    <t>Norbert Yeboah</t>
  </si>
  <si>
    <t>nyanahte</t>
  </si>
  <si>
    <t>Nyan Lin Htet</t>
  </si>
  <si>
    <t>nyikadzp</t>
  </si>
  <si>
    <t>Nyikadzino,Patson</t>
  </si>
  <si>
    <t>alberokr</t>
  </si>
  <si>
    <t>Okrah,Alberta Yuwaah</t>
  </si>
  <si>
    <t>PRASADOP</t>
  </si>
  <si>
    <t>Omprakash Prasad</t>
  </si>
  <si>
    <t>tchaosei</t>
  </si>
  <si>
    <t>OSEI,CHARLES</t>
  </si>
  <si>
    <t>oserichm</t>
  </si>
  <si>
    <t>Osei,Richmond</t>
  </si>
  <si>
    <t>bibrahio</t>
  </si>
  <si>
    <t>Osman Ibrahim</t>
  </si>
  <si>
    <t>owusukda</t>
  </si>
  <si>
    <t>OWUSU,DAVID</t>
  </si>
  <si>
    <t>pechikoz</t>
  </si>
  <si>
    <t>gprincsi</t>
  </si>
  <si>
    <t>PRINCEPAL SINGH</t>
  </si>
  <si>
    <t>eprisbmo</t>
  </si>
  <si>
    <t>Prisbetty Moyo</t>
  </si>
  <si>
    <t>anniipro</t>
  </si>
  <si>
    <t>PROSPER ANNI</t>
  </si>
  <si>
    <t>gamprosp</t>
  </si>
  <si>
    <t>Prosper Gamah</t>
  </si>
  <si>
    <t>proskwak</t>
  </si>
  <si>
    <t>Prosper Kwaku Boateng</t>
  </si>
  <si>
    <t>ramsemap</t>
  </si>
  <si>
    <t>RAMDHAN SEMAJONGI</t>
  </si>
  <si>
    <t>kinenray</t>
  </si>
  <si>
    <t>Raymond Kinene</t>
  </si>
  <si>
    <t>rejinaae</t>
  </si>
  <si>
    <t>Regina Aba Annan</t>
  </si>
  <si>
    <t>drichani</t>
  </si>
  <si>
    <t>RICHARD ANIM</t>
  </si>
  <si>
    <t>mbvirapf</t>
  </si>
  <si>
    <t>Rogers Francis Mbvira Pfouma</t>
  </si>
  <si>
    <t>roabatab</t>
  </si>
  <si>
    <t>Roland Aba Taboh</t>
  </si>
  <si>
    <t>romemetu</t>
  </si>
  <si>
    <t>Romeo Mesape Metuge</t>
  </si>
  <si>
    <t>rosethea</t>
  </si>
  <si>
    <t>Rose Thea</t>
  </si>
  <si>
    <t>sadatayu</t>
  </si>
  <si>
    <t>Sadat Ayuba</t>
  </si>
  <si>
    <t>zsagramd</t>
  </si>
  <si>
    <t>Sagar Ramdan</t>
  </si>
  <si>
    <t>sunashir</t>
  </si>
  <si>
    <t>Samsudeen Nashiru</t>
  </si>
  <si>
    <t>msanmyin</t>
  </si>
  <si>
    <t>San Myint</t>
  </si>
  <si>
    <t>fynsarah</t>
  </si>
  <si>
    <t>Sarah Fynn Arthur</t>
  </si>
  <si>
    <t>nardsa</t>
  </si>
  <si>
    <t xml:space="preserve">Saw lwe Nar </t>
  </si>
  <si>
    <t>ayukakos</t>
  </si>
  <si>
    <t>SCHOLASTIKA AYUK AKO</t>
  </si>
  <si>
    <t>kkengtis</t>
  </si>
  <si>
    <t>SCOLITITH KENG TIBA</t>
  </si>
  <si>
    <t>seugrace</t>
  </si>
  <si>
    <t>Serwaa,Grace</t>
  </si>
  <si>
    <t>uakatuks</t>
  </si>
  <si>
    <t>Sheila Precious Akatukunda</t>
  </si>
  <si>
    <t>janarsre</t>
  </si>
  <si>
    <t>SREEKUTTAN KOTTUKKALPARAMBU
 JANARDHANAN</t>
  </si>
  <si>
    <t>stepagye</t>
  </si>
  <si>
    <t>wiafstep</t>
  </si>
  <si>
    <t>Stephen Wiafe</t>
  </si>
  <si>
    <t>kabalisu</t>
  </si>
  <si>
    <t>SULAIT KABALI</t>
  </si>
  <si>
    <t>osnganga</t>
  </si>
  <si>
    <t>SUSAN WANJIKU NG'ANG'A</t>
  </si>
  <si>
    <t>meswsylv</t>
  </si>
  <si>
    <t>Sylvia Jelagat Meswo</t>
  </si>
  <si>
    <t>talenzim</t>
  </si>
  <si>
    <t>Talent Zimbuma</t>
  </si>
  <si>
    <t>ciliatan</t>
  </si>
  <si>
    <t>TANDU CILIA NAMA</t>
  </si>
  <si>
    <t>tamanyet</t>
  </si>
  <si>
    <t>Tariro Manyetu</t>
  </si>
  <si>
    <t>netofikz</t>
  </si>
  <si>
    <t>umaymusa</t>
  </si>
  <si>
    <t>unainalu</t>
  </si>
  <si>
    <t>UNAIS NALUPURAPPATTIL</t>
  </si>
  <si>
    <t>madhavau</t>
  </si>
  <si>
    <t>Valiyaparambil Madhavan,Unnikrishnan</t>
  </si>
  <si>
    <t>ivashimk</t>
  </si>
  <si>
    <t>Vashim Khan</t>
  </si>
  <si>
    <t>vingohma</t>
  </si>
  <si>
    <t>Violet Ngoh Mayah</t>
  </si>
  <si>
    <t>vislrave</t>
  </si>
  <si>
    <t>VISHNU KIZHAKKERIKAL RAVEENDRAN</t>
  </si>
  <si>
    <t>sibwelli</t>
  </si>
  <si>
    <t>Wellington Sibanda</t>
  </si>
  <si>
    <t>kouwilfr</t>
  </si>
  <si>
    <t>WILFRIED MANGA KOUNGOU</t>
  </si>
  <si>
    <t>wrkilama</t>
  </si>
  <si>
    <t>WILLIAM KILAMA</t>
  </si>
  <si>
    <t>bizthoma</t>
  </si>
  <si>
    <t>Thomas,Binil</t>
  </si>
  <si>
    <t>abdalomc</t>
  </si>
  <si>
    <t>ABDALLA OMAR</t>
  </si>
  <si>
    <t>scariav</t>
  </si>
  <si>
    <t>Scaria,Varghese</t>
  </si>
  <si>
    <t>xaboppon</t>
  </si>
  <si>
    <t>Abdul Aziz Oppong</t>
  </si>
  <si>
    <t>diddabdu</t>
  </si>
  <si>
    <t>Abdul Hadi Iddrisu</t>
  </si>
  <si>
    <t>abdababa</t>
  </si>
  <si>
    <t>Abdulai Babah Turay</t>
  </si>
  <si>
    <t>sidamra</t>
  </si>
  <si>
    <t>amoahabe</t>
  </si>
  <si>
    <t>Abednego Amoah</t>
  </si>
  <si>
    <t>elrashid,Hassan</t>
  </si>
  <si>
    <t>kjoseabi</t>
  </si>
  <si>
    <t>ABIN JOSEPH JOSE</t>
  </si>
  <si>
    <t>abraalfo</t>
  </si>
  <si>
    <t>Abrahim AL Fofana</t>
  </si>
  <si>
    <t>amanmish</t>
  </si>
  <si>
    <t>abfsesay</t>
  </si>
  <si>
    <t>Abu Sesay</t>
  </si>
  <si>
    <t>abrighta</t>
  </si>
  <si>
    <t>Adu,Bright Adu </t>
  </si>
  <si>
    <t>naimejes</t>
  </si>
  <si>
    <t>Aime Jesus Nkurunziza</t>
  </si>
  <si>
    <t>devisain</t>
  </si>
  <si>
    <t xml:space="preserve">Ainembabazi Devis </t>
  </si>
  <si>
    <t>tuajenic</t>
  </si>
  <si>
    <t>Ajenical Baby Tucker</t>
  </si>
  <si>
    <t>joakhili</t>
  </si>
  <si>
    <t>Akhil Joy</t>
  </si>
  <si>
    <t>noreeaku</t>
  </si>
  <si>
    <t xml:space="preserve">Akullu Noreen </t>
  </si>
  <si>
    <t>mugabeoa</t>
  </si>
  <si>
    <t>ALEX MUGABE</t>
  </si>
  <si>
    <t>etugalex</t>
  </si>
  <si>
    <t>Alexander Etuge</t>
  </si>
  <si>
    <t>alirfanv</t>
  </si>
  <si>
    <t>Ali,Irfan Ali Muhammad</t>
  </si>
  <si>
    <t>achemuta</t>
  </si>
  <si>
    <t>ALICE CHEMUTAI</t>
  </si>
  <si>
    <t>darelall</t>
  </si>
  <si>
    <t>Allen Andrey D. Arellano</t>
  </si>
  <si>
    <t>amosbeko</t>
  </si>
  <si>
    <t>Amos Atta Bekoe</t>
  </si>
  <si>
    <t>turinawa</t>
  </si>
  <si>
    <t>AMOS TURINAWE</t>
  </si>
  <si>
    <t>lsseandr</t>
  </si>
  <si>
    <t>ANDREW SSEBUGGWAWO</t>
  </si>
  <si>
    <t>ANVISHNU</t>
  </si>
  <si>
    <t>Ani,Vishnu</t>
  </si>
  <si>
    <t>anvtharu</t>
  </si>
  <si>
    <t>Anish Tharu</t>
  </si>
  <si>
    <t>anndila</t>
  </si>
  <si>
    <t>ANN NDILA KIKUNG'A</t>
  </si>
  <si>
    <t>kajannab</t>
  </si>
  <si>
    <t>Annabel Kalumba</t>
  </si>
  <si>
    <t>aninanur</t>
  </si>
  <si>
    <t>Anurag Kambrath Anilan</t>
  </si>
  <si>
    <t>huawais</t>
  </si>
  <si>
    <t>Arif Hussain,Awais Ali</t>
  </si>
  <si>
    <t>abasarud</t>
  </si>
  <si>
    <t>Asarudeen Abdul Razak</t>
  </si>
  <si>
    <t>agthanka</t>
  </si>
  <si>
    <t>Ashil Thankachan</t>
  </si>
  <si>
    <t>auguszad</t>
  </si>
  <si>
    <t>Augustine Adjei</t>
  </si>
  <si>
    <t>yeaunga</t>
  </si>
  <si>
    <t>Aung Ye</t>
  </si>
  <si>
    <t>avinkorm</t>
  </si>
  <si>
    <t>Avinash Korukonda Seshagiri Rao</t>
  </si>
  <si>
    <t>sahaviny</t>
  </si>
  <si>
    <t>AVINASH KUMAR SAH</t>
  </si>
  <si>
    <t>yawunsam</t>
  </si>
  <si>
    <t>AWUNI,SAMUEL</t>
  </si>
  <si>
    <t>mohaaziv</t>
  </si>
  <si>
    <t>Azizuddin Mohammed</t>
  </si>
  <si>
    <t>sbabucan</t>
  </si>
  <si>
    <t>Babucarr Sowe</t>
  </si>
  <si>
    <t>namukaba</t>
  </si>
  <si>
    <t>Barbra Christine NAMUKASA</t>
  </si>
  <si>
    <t>obiarrey</t>
  </si>
  <si>
    <t>Benedict Obi Arrey</t>
  </si>
  <si>
    <t>benesaah</t>
  </si>
  <si>
    <t>Benedict Saah Camille</t>
  </si>
  <si>
    <t>benjanko</t>
  </si>
  <si>
    <t>Benjamin Ankomahene</t>
  </si>
  <si>
    <t>asamoahq</t>
  </si>
  <si>
    <t>BENJAMIN ASAMOAH</t>
  </si>
  <si>
    <t>enyanvbe</t>
  </si>
  <si>
    <t>Benjamin Enyan</t>
  </si>
  <si>
    <t>bethomam</t>
  </si>
  <si>
    <t>Benjamin Yaw Thomas</t>
  </si>
  <si>
    <t>rberinea</t>
  </si>
  <si>
    <t>Berine Amoh Lanyang</t>
  </si>
  <si>
    <t>yendbism</t>
  </si>
  <si>
    <t>Bismark Yendaw</t>
  </si>
  <si>
    <t>blamoyam</t>
  </si>
  <si>
    <t>Blama Yamah</t>
  </si>
  <si>
    <t>yblankso</t>
  </si>
  <si>
    <t>Blankson Yeboah</t>
  </si>
  <si>
    <t>bradonku</t>
  </si>
  <si>
    <t>Bradon Bin Kum</t>
  </si>
  <si>
    <t>brmusanz</t>
  </si>
  <si>
    <t>Brenda Musanzika</t>
  </si>
  <si>
    <t>bimbrend</t>
  </si>
  <si>
    <t>Brenda Nkuo Bih</t>
  </si>
  <si>
    <t>qcatampa</t>
  </si>
  <si>
    <t>Carintine Tampa</t>
  </si>
  <si>
    <t>carkorir</t>
  </si>
  <si>
    <t>CAROLINE JELIMO KORIR</t>
  </si>
  <si>
    <t>tendoc</t>
  </si>
  <si>
    <t>Cedrick Nkemju Tendongmo</t>
  </si>
  <si>
    <t>chancink</t>
  </si>
  <si>
    <t>CHANCELINE INKIE MBI</t>
  </si>
  <si>
    <t>chatthud</t>
  </si>
  <si>
    <t>Chathurika Sewwandi Thushari</t>
  </si>
  <si>
    <t>mureiche</t>
  </si>
  <si>
    <t>CHEPTOO ORBA MUREI</t>
  </si>
  <si>
    <t>atuahech</t>
  </si>
  <si>
    <t>Christiana Atuahene</t>
  </si>
  <si>
    <t>chrafful</t>
  </si>
  <si>
    <t>Christopher Afful</t>
  </si>
  <si>
    <t>clarfien</t>
  </si>
  <si>
    <t>Clarise Fienmbu</t>
  </si>
  <si>
    <t>mbehclau</t>
  </si>
  <si>
    <t>Claudette Nkobo Mbeh</t>
  </si>
  <si>
    <t>gbenclem</t>
  </si>
  <si>
    <t>Clement Kwetey Gbenatey</t>
  </si>
  <si>
    <t>dwomclif</t>
  </si>
  <si>
    <t>Clifford Dwomoh</t>
  </si>
  <si>
    <t>fuhnclov</t>
  </si>
  <si>
    <t>CLOVIS FUH NEBA</t>
  </si>
  <si>
    <t>ucoasant</t>
  </si>
  <si>
    <t>Comfort Asante</t>
  </si>
  <si>
    <t>curtgonl</t>
  </si>
  <si>
    <t>Curtis Gonluee Scell</t>
  </si>
  <si>
    <t>damiakat</t>
  </si>
  <si>
    <t>DAMIANO KATO</t>
  </si>
  <si>
    <t>daatinga</t>
  </si>
  <si>
    <t>DANIEL DOK ATINGA</t>
  </si>
  <si>
    <t>ujstanle</t>
  </si>
  <si>
    <t>DEGLE JOSHUA Staniley</t>
  </si>
  <si>
    <t>odelap</t>
  </si>
  <si>
    <t>Dela Pane,Orbes</t>
  </si>
  <si>
    <t>derwardz</t>
  </si>
  <si>
    <t>Derrick Brew Ward</t>
  </si>
  <si>
    <t>derriatt</t>
  </si>
  <si>
    <t>Derrickson Attipoe</t>
  </si>
  <si>
    <t>dilwinja</t>
  </si>
  <si>
    <t>DILWIN JOSE</t>
  </si>
  <si>
    <t>gautaldi</t>
  </si>
  <si>
    <t>DIPESH GAUTAM</t>
  </si>
  <si>
    <t>mensdorc</t>
  </si>
  <si>
    <t>Dorcas Mensah</t>
  </si>
  <si>
    <t>ebenfbra</t>
  </si>
  <si>
    <t>Ebenezer Brabi</t>
  </si>
  <si>
    <t>jebenowu</t>
  </si>
  <si>
    <t>Ebenezer Owusu</t>
  </si>
  <si>
    <t>edtwinam</t>
  </si>
  <si>
    <t>EDGAR TWINAMATSIKO</t>
  </si>
  <si>
    <t>edinakye</t>
  </si>
  <si>
    <t>Edina kyeremaa</t>
  </si>
  <si>
    <t>achedith</t>
  </si>
  <si>
    <t>EDITH ACHEAMPONG</t>
  </si>
  <si>
    <t>ayenedid</t>
  </si>
  <si>
    <t>Edith Ayengo</t>
  </si>
  <si>
    <t>elagabae</t>
  </si>
  <si>
    <t>ELIJAH AGABA</t>
  </si>
  <si>
    <t>frimptel</t>
  </si>
  <si>
    <t>Elijah Frimpong</t>
  </si>
  <si>
    <t>amoelish</t>
  </si>
  <si>
    <t xml:space="preserve">Elisha Kena Amoako </t>
  </si>
  <si>
    <t>temmaaku</t>
  </si>
  <si>
    <t>Emmanuel Akuffo</t>
  </si>
  <si>
    <t>amankemq</t>
  </si>
  <si>
    <t>Emmanuel Amankwah Buabeng</t>
  </si>
  <si>
    <t>femamoan</t>
  </si>
  <si>
    <t>Emmanuel Amoanyi</t>
  </si>
  <si>
    <t>emmqamuz</t>
  </si>
  <si>
    <t>Emmanuel Amuzu</t>
  </si>
  <si>
    <t>dasaemma</t>
  </si>
  <si>
    <t>Emmanuel Asante</t>
  </si>
  <si>
    <t>boademma</t>
  </si>
  <si>
    <t>Emmanuel Boadi</t>
  </si>
  <si>
    <t>remmanda</t>
  </si>
  <si>
    <t>Emmanuel Dapaa</t>
  </si>
  <si>
    <t>gemmanua</t>
  </si>
  <si>
    <t>Emmanuel Kobina Arthur</t>
  </si>
  <si>
    <t>entettey</t>
  </si>
  <si>
    <t>ENOCK TETTEY</t>
  </si>
  <si>
    <t>emensahg</t>
  </si>
  <si>
    <t>ERIC MENSAH</t>
  </si>
  <si>
    <t>nkhonesn</t>
  </si>
  <si>
    <t>Esnart Khonje</t>
  </si>
  <si>
    <t>evkwarte</t>
  </si>
  <si>
    <t>Evans Kwarteng</t>
  </si>
  <si>
    <t>addevely</t>
  </si>
  <si>
    <t>Evelyn Addo</t>
  </si>
  <si>
    <t>fakiyumr</t>
  </si>
  <si>
    <t>FAIZAL,KIYEMBA</t>
  </si>
  <si>
    <t>favalapp</t>
  </si>
  <si>
    <t>Farhan Mohammed Kodakkattu Valappil</t>
  </si>
  <si>
    <t>kpafatma</t>
  </si>
  <si>
    <t>Fatmata Kpaka</t>
  </si>
  <si>
    <t>noufalf</t>
  </si>
  <si>
    <t>Faziludeen,Noufal</t>
  </si>
  <si>
    <t>fodaigak</t>
  </si>
  <si>
    <t>Fongoh Daiga Kingsly</t>
  </si>
  <si>
    <t>fosovict</t>
  </si>
  <si>
    <t>FOSSOH VICTOR PRISO</t>
  </si>
  <si>
    <t>kufranc</t>
  </si>
  <si>
    <t>Francis Kuma</t>
  </si>
  <si>
    <t>ansafraz</t>
  </si>
  <si>
    <t>Francis Owusu Ansah</t>
  </si>
  <si>
    <t>frsagyem</t>
  </si>
  <si>
    <t>Freda Agyemang</t>
  </si>
  <si>
    <t>agyemafy</t>
  </si>
  <si>
    <t>Freduah Agyemang</t>
  </si>
  <si>
    <t>kimufrid</t>
  </si>
  <si>
    <t>FRIDAH JEPTEBKWENY KIMUNJOS</t>
  </si>
  <si>
    <t>earthurg</t>
  </si>
  <si>
    <t>Georgina Arthur</t>
  </si>
  <si>
    <t>geradink</t>
  </si>
  <si>
    <t>Geradine Lumafor</t>
  </si>
  <si>
    <t>musingge</t>
  </si>
  <si>
    <t>GERALD MUSINGUZI</t>
  </si>
  <si>
    <t>prempegi</t>
  </si>
  <si>
    <t>Gifty Prempeh</t>
  </si>
  <si>
    <t>larbiygl</t>
  </si>
  <si>
    <t>Gloria Larbi Yeboah</t>
  </si>
  <si>
    <t>kodugraf</t>
  </si>
  <si>
    <t>GRACE Kodua</t>
  </si>
  <si>
    <t>gwangari</t>
  </si>
  <si>
    <t>GRACE WANJIRU WANGARI</t>
  </si>
  <si>
    <t>grahamuc</t>
  </si>
  <si>
    <t>Graham Muchinikila</t>
  </si>
  <si>
    <t>jarrahad</t>
  </si>
  <si>
    <t>Haddijatou Jarra</t>
  </si>
  <si>
    <t>hamzmohp</t>
  </si>
  <si>
    <t>Hamza Mohammed</t>
  </si>
  <si>
    <t>apodehan</t>
  </si>
  <si>
    <t>Hans Apodei Agudey</t>
  </si>
  <si>
    <t>hnkansah</t>
  </si>
  <si>
    <t>Harriet Anto Nkansah</t>
  </si>
  <si>
    <t>hamumuni</t>
  </si>
  <si>
    <t>Hassana Mumuni</t>
  </si>
  <si>
    <t>oseithay</t>
  </si>
  <si>
    <t>HAYFORD OSEI</t>
  </si>
  <si>
    <t>mensathe</t>
  </si>
  <si>
    <t>Henry Mensah</t>
  </si>
  <si>
    <t>henredws</t>
  </si>
  <si>
    <t>Henry Nii Yemoh Edwards</t>
  </si>
  <si>
    <t>koseihen</t>
  </si>
  <si>
    <t>Henry Osei</t>
  </si>
  <si>
    <t>lhuzesay</t>
  </si>
  <si>
    <t>Huzefa Yusuf Sayed</t>
  </si>
  <si>
    <t>mfatorib</t>
  </si>
  <si>
    <t>Ibrahim Fatorma Dakowa</t>
  </si>
  <si>
    <t>otooibra</t>
  </si>
  <si>
    <t>Ibrahim Otoo</t>
  </si>
  <si>
    <t>sekamdib</t>
  </si>
  <si>
    <t>IBRAHIM SEKAMWA</t>
  </si>
  <si>
    <t>tanguimm</t>
  </si>
  <si>
    <t>Immaculate Wiysanyuy Tangu</t>
  </si>
  <si>
    <t>isabarim</t>
  </si>
  <si>
    <t>ISAAC BARIMAH TWUM</t>
  </si>
  <si>
    <t>itawiah</t>
  </si>
  <si>
    <t>Isaac Tilor Tawiah</t>
  </si>
  <si>
    <t>turaisha</t>
  </si>
  <si>
    <t>ISHA Turay</t>
  </si>
  <si>
    <t>musthais</t>
  </si>
  <si>
    <t>ISMAIL THEKKE KUNNUMMAL MUSTHAFA</t>
  </si>
  <si>
    <t>mustissi</t>
  </si>
  <si>
    <t>ISSIFU MUSTAPHA</t>
  </si>
  <si>
    <t>ivankatl</t>
  </si>
  <si>
    <t>IVAN KATO</t>
  </si>
  <si>
    <t>nkamivan</t>
  </si>
  <si>
    <t>IVAN NKAMUHABWA</t>
  </si>
  <si>
    <t>jeawcruz</t>
  </si>
  <si>
    <t>Jearic B . Dela Cruz</t>
  </si>
  <si>
    <t>okumarje</t>
  </si>
  <si>
    <t>Jeevan Kumar VIJAY KUMAR</t>
  </si>
  <si>
    <t>wlajeffr</t>
  </si>
  <si>
    <t>Jeffrey Laryea Kwei Kumah</t>
  </si>
  <si>
    <t>earbajen</t>
  </si>
  <si>
    <t>Jennifer Arbah</t>
  </si>
  <si>
    <t>ABERIAJ</t>
  </si>
  <si>
    <t>Jennifer Bacsa Aberia</t>
  </si>
  <si>
    <t>jephttwe</t>
  </si>
  <si>
    <t>JEPHTER Twenie</t>
  </si>
  <si>
    <t>jedaisyt</t>
  </si>
  <si>
    <t>Jepkurui,Daisy</t>
  </si>
  <si>
    <t>jqkumars</t>
  </si>
  <si>
    <t>JITENDRA KUMAR SHARMA</t>
  </si>
  <si>
    <t>amanyjog</t>
  </si>
  <si>
    <t>JOAB AMANYA</t>
  </si>
  <si>
    <t>joboateq</t>
  </si>
  <si>
    <t>John Boateng Opoku</t>
  </si>
  <si>
    <t>nasasjoh</t>
  </si>
  <si>
    <t>JOHN NASASIRA</t>
  </si>
  <si>
    <t>njomajoh</t>
  </si>
  <si>
    <t>JOHNSON ANTONY JOMAN</t>
  </si>
  <si>
    <t>ssjonatm</t>
  </si>
  <si>
    <t>Jonathan Ssali</t>
  </si>
  <si>
    <t>mjosepad</t>
  </si>
  <si>
    <t>JOSEPH ADDO</t>
  </si>
  <si>
    <t>atuajose</t>
  </si>
  <si>
    <t>JOSEPH ATUAHENE</t>
  </si>
  <si>
    <t>boamejos</t>
  </si>
  <si>
    <t>JOSEPH BOAME</t>
  </si>
  <si>
    <t>jodansoe</t>
  </si>
  <si>
    <t>JOSEPH KOFI DANSO YEBOAH</t>
  </si>
  <si>
    <t>ykwadwoj</t>
  </si>
  <si>
    <t>Joseph Sunkwa Kwadwo</t>
  </si>
  <si>
    <t>jwanjird</t>
  </si>
  <si>
    <t>Joy wanjiru</t>
  </si>
  <si>
    <t>judibaba</t>
  </si>
  <si>
    <t>Judith Atampoka Baba</t>
  </si>
  <si>
    <t>justicyi</t>
  </si>
  <si>
    <t>Justice Mimba Yin</t>
  </si>
  <si>
    <t>sesakadi</t>
  </si>
  <si>
    <t>Kadiatu Sesay</t>
  </si>
  <si>
    <t>masifkas</t>
  </si>
  <si>
    <t>KASHIF MASIH</t>
  </si>
  <si>
    <t>nmpakkas</t>
  </si>
  <si>
    <t>Kassim Hija Mpaka</t>
  </si>
  <si>
    <t>kakimera</t>
  </si>
  <si>
    <t>KATO IVAN KIMERA</t>
  </si>
  <si>
    <t>kawenahm</t>
  </si>
  <si>
    <t>KAWENJA SWADIQ AHMED</t>
  </si>
  <si>
    <t>marahkel</t>
  </si>
  <si>
    <t>Kelly Hassan Marah</t>
  </si>
  <si>
    <t>kibkenet</t>
  </si>
  <si>
    <t>KENETH KIBIRIGE</t>
  </si>
  <si>
    <t>dumsekeh</t>
  </si>
  <si>
    <t>Keng,Dumse Mannette</t>
  </si>
  <si>
    <t>nsamkeri</t>
  </si>
  <si>
    <t>Kerim Nsambimana</t>
  </si>
  <si>
    <t>kevndung</t>
  </si>
  <si>
    <t>Kevin Ndungu Kosgei</t>
  </si>
  <si>
    <t>kssekale</t>
  </si>
  <si>
    <t>kevin ssekalegga</t>
  </si>
  <si>
    <t>kingklik</t>
  </si>
  <si>
    <t>Kingsford Kliko</t>
  </si>
  <si>
    <t>kiifiank</t>
  </si>
  <si>
    <t>Kingsley Ohene Fianko</t>
  </si>
  <si>
    <t>kojoache</t>
  </si>
  <si>
    <t>KOJO ACHEAMPONG,FRANCIS</t>
  </si>
  <si>
    <t>korkwaku</t>
  </si>
  <si>
    <t>Koranteng Joseph Kwaku</t>
  </si>
  <si>
    <t>KRAFANTH</t>
  </si>
  <si>
    <t>Kraft,Anthony Del Rosario</t>
  </si>
  <si>
    <t>gueudjog</t>
  </si>
  <si>
    <t>Kwayep,Gueudjo Giresse Franklin</t>
  </si>
  <si>
    <t>haykweat</t>
  </si>
  <si>
    <t>Kweatey Tetteh Hayford</t>
  </si>
  <si>
    <t>lalaxbab</t>
  </si>
  <si>
    <t>Lalaine Zabala Babas</t>
  </si>
  <si>
    <t>kodjolaw</t>
  </si>
  <si>
    <t>Lawson Kodjo Osabutey</t>
  </si>
  <si>
    <t>lleonakw</t>
  </si>
  <si>
    <t>Leonard Liwiekwo Kwamogha</t>
  </si>
  <si>
    <t>enleopol</t>
  </si>
  <si>
    <t>Leopold Ntong</t>
  </si>
  <si>
    <t>appialet</t>
  </si>
  <si>
    <t>Leticia Appiah</t>
  </si>
  <si>
    <t>lintawia</t>
  </si>
  <si>
    <t>Linda Tawiah</t>
  </si>
  <si>
    <t>ndablins</t>
  </si>
  <si>
    <t>Linsabezinhle Ndaba</t>
  </si>
  <si>
    <t>livinbes</t>
  </si>
  <si>
    <t>LIVING BESIGYE</t>
  </si>
  <si>
    <t>chepkoil</t>
  </si>
  <si>
    <t>LOICE CHEPKOIR</t>
  </si>
  <si>
    <t>matilove</t>
  </si>
  <si>
    <t>Lovejoy Matika</t>
  </si>
  <si>
    <t>aoselydi</t>
  </si>
  <si>
    <t>Lydia Osei</t>
  </si>
  <si>
    <t>ganymaid</t>
  </si>
  <si>
    <t>Maidei Ganyata</t>
  </si>
  <si>
    <t>malkmaha</t>
  </si>
  <si>
    <t>MALIK MAHAMA</t>
  </si>
  <si>
    <t>CRAYMANA</t>
  </si>
  <si>
    <t>Manalo,Christian Ray Joshua</t>
  </si>
  <si>
    <t>mensmarg</t>
  </si>
  <si>
    <t>Margaret Mensah</t>
  </si>
  <si>
    <t>samargrl</t>
  </si>
  <si>
    <t>Margretta Teta Saytue</t>
  </si>
  <si>
    <t>marietch</t>
  </si>
  <si>
    <t>Mariette Gran Cheken</t>
  </si>
  <si>
    <t>rkatumma</t>
  </si>
  <si>
    <t>Mark Katumwa</t>
  </si>
  <si>
    <t>maragbev</t>
  </si>
  <si>
    <t>Mary Agbeviade</t>
  </si>
  <si>
    <t>rumauree</t>
  </si>
  <si>
    <t>MAUREEN JEPCHUMBA RUTTO</t>
  </si>
  <si>
    <t>sumahmba</t>
  </si>
  <si>
    <t>MBALU Sumah</t>
  </si>
  <si>
    <t>avmdshah</t>
  </si>
  <si>
    <t>Md Shahid Ansari</t>
  </si>
  <si>
    <t>memercyo</t>
  </si>
  <si>
    <t>Mercy Ofori</t>
  </si>
  <si>
    <t>ncubemic</t>
  </si>
  <si>
    <t>Michael Chrispen Ncube</t>
  </si>
  <si>
    <t>mitabifo</t>
  </si>
  <si>
    <t>MICHAEL TABIFOR</t>
  </si>
  <si>
    <t>mohkfaro</t>
  </si>
  <si>
    <t>Mohamed Farook</t>
  </si>
  <si>
    <t>kingwaym</t>
  </si>
  <si>
    <t>Mohamed Kingway Barrie</t>
  </si>
  <si>
    <t>noamohav</t>
  </si>
  <si>
    <t>Mohamed Noah</t>
  </si>
  <si>
    <t>mohamkav</t>
  </si>
  <si>
    <t>Mohamed S. Kamara</t>
  </si>
  <si>
    <t>wmohshak</t>
  </si>
  <si>
    <t>Mohamed Shakir</t>
  </si>
  <si>
    <t>moabo</t>
  </si>
  <si>
    <t>Mohammed Abdullah</t>
  </si>
  <si>
    <t>mohanjhp</t>
  </si>
  <si>
    <t>MOHAN KUMAR JHA</t>
  </si>
  <si>
    <t>muhmohas</t>
  </si>
  <si>
    <t>Mohasin Muhammad</t>
  </si>
  <si>
    <t>mbockari</t>
  </si>
  <si>
    <t>Moinya Bockarie</t>
  </si>
  <si>
    <t>rokrumon</t>
  </si>
  <si>
    <t>MONIKA OKRU</t>
  </si>
  <si>
    <t>kamorash</t>
  </si>
  <si>
    <t>Moras KAMAL</t>
  </si>
  <si>
    <t>immasere</t>
  </si>
  <si>
    <t>MORIS MASEREKA</t>
  </si>
  <si>
    <t>muckorom</t>
  </si>
  <si>
    <t>Muctarr Koroma</t>
  </si>
  <si>
    <t>mugisric</t>
  </si>
  <si>
    <t>MUGISHA,RICHARD</t>
  </si>
  <si>
    <t>arsmuhar</t>
  </si>
  <si>
    <t>Muhammad Ali Arshad</t>
  </si>
  <si>
    <t>mnarshad</t>
  </si>
  <si>
    <t>muhwasej</t>
  </si>
  <si>
    <t>Muhammad Boota, Waseem Haider</t>
  </si>
  <si>
    <t>mulatifx</t>
  </si>
  <si>
    <t>Muhammad Nauman Latif</t>
  </si>
  <si>
    <t>jumail</t>
  </si>
  <si>
    <t>Muhammed Jumail</t>
  </si>
  <si>
    <t>mukrisho</t>
  </si>
  <si>
    <t>MUKRI,SHOAIB SHAUKAT Shaukat</t>
  </si>
  <si>
    <t>muniiive</t>
  </si>
  <si>
    <t>Muniina Ivan</t>
  </si>
  <si>
    <t>muramuny</t>
  </si>
  <si>
    <t>Munyaradzi Muranga</t>
  </si>
  <si>
    <t>painmyat</t>
  </si>
  <si>
    <t>Myat Nay Paing</t>
  </si>
  <si>
    <t>mkamarau</t>
  </si>
  <si>
    <t>Mybo Kamara</t>
  </si>
  <si>
    <t>valapnab</t>
  </si>
  <si>
    <t>Nabeel Thazhath</t>
  </si>
  <si>
    <t>wasnades</t>
  </si>
  <si>
    <t>Nadesh Wase Ndiena</t>
  </si>
  <si>
    <t>owunanie</t>
  </si>
  <si>
    <t>NANIES OWUSU ANSAH</t>
  </si>
  <si>
    <t>naoyuohg</t>
  </si>
  <si>
    <t>NAOMI YUOH GHEA</t>
  </si>
  <si>
    <t>pallikna</t>
  </si>
  <si>
    <t>Nasarudheen Pallikka</t>
  </si>
  <si>
    <t>nawahbes</t>
  </si>
  <si>
    <t>Nawah Bestman Saye</t>
  </si>
  <si>
    <t>ekndapem</t>
  </si>
  <si>
    <t>Ndape Mabel Ekume</t>
  </si>
  <si>
    <t>nejaryee</t>
  </si>
  <si>
    <t>Nehemiah jaryee</t>
  </si>
  <si>
    <t>aetelahf</t>
  </si>
  <si>
    <t>Ngwemah Etelah</t>
  </si>
  <si>
    <t>kallbnik</t>
  </si>
  <si>
    <t>Nikhil Kallingal</t>
  </si>
  <si>
    <t>waltunoa</t>
  </si>
  <si>
    <t xml:space="preserve">Noah Walt Kwaku Amoaben </t>
  </si>
  <si>
    <t>nsosteph</t>
  </si>
  <si>
    <t>NSOM STEPHANIE NABO</t>
  </si>
  <si>
    <t>kntalekr</t>
  </si>
  <si>
    <t>NTALE KIMBUGWE,KIM</t>
  </si>
  <si>
    <t>nurudalh</t>
  </si>
  <si>
    <t>Nurudeen Alhassan</t>
  </si>
  <si>
    <t>ibranuru</t>
  </si>
  <si>
    <t>Nurudeen Ibrahim</t>
  </si>
  <si>
    <t>nyasuflo</t>
  </si>
  <si>
    <t>Nyasu Florence Ladu Ezbon</t>
  </si>
  <si>
    <t>reginodj</t>
  </si>
  <si>
    <t>Odjam Regina Narkie</t>
  </si>
  <si>
    <t>oemaxwel</t>
  </si>
  <si>
    <t>OFORI,MAXWELL</t>
  </si>
  <si>
    <t>owebabig</t>
  </si>
  <si>
    <t>OWEN BABIGUMIRA</t>
  </si>
  <si>
    <t>kunopatr</t>
  </si>
  <si>
    <t>Patricia Kundu</t>
  </si>
  <si>
    <t>lanshapa</t>
  </si>
  <si>
    <t>Paul Taping Lansha</t>
  </si>
  <si>
    <t>pauwkona</t>
  </si>
  <si>
    <t>PAULINA KONAMAH BOATENG</t>
  </si>
  <si>
    <t>kwaasipe</t>
  </si>
  <si>
    <t>Peter Kwaasi Aswireng</t>
  </si>
  <si>
    <t>pemagezi</t>
  </si>
  <si>
    <t>PETER RICKY MAGEZI</t>
  </si>
  <si>
    <t>elliepet</t>
  </si>
  <si>
    <t>Peter Sahr Ellie</t>
  </si>
  <si>
    <t>tarkopet</t>
  </si>
  <si>
    <t>Peterson Tarko</t>
  </si>
  <si>
    <t>kudapinj</t>
  </si>
  <si>
    <t>Pinjisi,Kudakwashe Ernest</t>
  </si>
  <si>
    <t>poifrimp</t>
  </si>
  <si>
    <t>Polycarp Junior Frimpong</t>
  </si>
  <si>
    <t>ekyeipor</t>
  </si>
  <si>
    <t>PORTIA KYEI</t>
  </si>
  <si>
    <t>pradegug</t>
  </si>
  <si>
    <t>PRADEEP KUMAR GUPTA</t>
  </si>
  <si>
    <t>shrehpra</t>
  </si>
  <si>
    <t>PRADHUMNA SHRESTHA</t>
  </si>
  <si>
    <t>adjahpri</t>
  </si>
  <si>
    <t>Prince Adjah</t>
  </si>
  <si>
    <t>pagyeiok</t>
  </si>
  <si>
    <t>Prince Agyei Okai</t>
  </si>
  <si>
    <t>lprinced</t>
  </si>
  <si>
    <t>Prince Dramani</t>
  </si>
  <si>
    <t>adusahpr</t>
  </si>
  <si>
    <t>Prince Kwako Adusah</t>
  </si>
  <si>
    <t>oforbpri</t>
  </si>
  <si>
    <t>PRINCE OFORI</t>
  </si>
  <si>
    <t>fprinceo</t>
  </si>
  <si>
    <t>PRINCE OPOKU FRIMPONG</t>
  </si>
  <si>
    <t>aprinceo</t>
  </si>
  <si>
    <t>PRINCE OWUSU ANIM</t>
  </si>
  <si>
    <t>prisarpo</t>
  </si>
  <si>
    <t>PRINCE SARPONG</t>
  </si>
  <si>
    <t>priszmaw</t>
  </si>
  <si>
    <t>Priscilla Mawusi</t>
  </si>
  <si>
    <t>prosarth</t>
  </si>
  <si>
    <t>Prosper Arthur</t>
  </si>
  <si>
    <t>puchebiw</t>
  </si>
  <si>
    <t>PURITY CHEBIWOT</t>
  </si>
  <si>
    <t>qamzamur</t>
  </si>
  <si>
    <t>Qamar,Zamurd Abbas</t>
  </si>
  <si>
    <t>adorrabq</t>
  </si>
  <si>
    <t>Rabbi Ador</t>
  </si>
  <si>
    <t>drabimah</t>
  </si>
  <si>
    <t>RABIN MAHARJAN</t>
  </si>
  <si>
    <t>etamarac</t>
  </si>
  <si>
    <t>Rachael Motto Etama</t>
  </si>
  <si>
    <t>rachmoya</t>
  </si>
  <si>
    <t>RACHEAL MOYAKO DIALE</t>
  </si>
  <si>
    <t>rtinoten</t>
  </si>
  <si>
    <t>Ralph Tinotenda Maindidze</t>
  </si>
  <si>
    <t>ramjbang</t>
  </si>
  <si>
    <t>Ramatu Bangura</t>
  </si>
  <si>
    <t>osumrama</t>
  </si>
  <si>
    <t>Ramatu Osumanu</t>
  </si>
  <si>
    <t>randniia</t>
  </si>
  <si>
    <t>RANDY NII ARYEETY</t>
  </si>
  <si>
    <t>kakramen</t>
  </si>
  <si>
    <t>Ransford Kakra Mensah</t>
  </si>
  <si>
    <t>piraviki</t>
  </si>
  <si>
    <t>Ravi Kiran Pidatala</t>
  </si>
  <si>
    <t>remahlun</t>
  </si>
  <si>
    <t>Rebecca Mahlunge</t>
  </si>
  <si>
    <t>reginkum</t>
  </si>
  <si>
    <t>Regina Afua Kumi</t>
  </si>
  <si>
    <t>hrenneaa</t>
  </si>
  <si>
    <t>Renne Assah Assah</t>
  </si>
  <si>
    <t>mbatchar</t>
  </si>
  <si>
    <t>Richard Blais Mbatcha</t>
  </si>
  <si>
    <t>dabarich</t>
  </si>
  <si>
    <t>Richard Boateng Ababio</t>
  </si>
  <si>
    <t>ricowusp</t>
  </si>
  <si>
    <t>Richard Owusu</t>
  </si>
  <si>
    <t>risahrmb</t>
  </si>
  <si>
    <t>Richard Sahr M'Bayo</t>
  </si>
  <si>
    <t>sakycric</t>
  </si>
  <si>
    <t>Richard Sakyi</t>
  </si>
  <si>
    <t>rkyeboah</t>
  </si>
  <si>
    <t>Richard Yeboah</t>
  </si>
  <si>
    <t>ampritac</t>
  </si>
  <si>
    <t>Rita Abbiw Amponsah</t>
  </si>
  <si>
    <t>ritakawe</t>
  </si>
  <si>
    <t>Rita Kawe Nformi</t>
  </si>
  <si>
    <t>xainorog</t>
  </si>
  <si>
    <t>ROGERS AINOMUGISHA</t>
  </si>
  <si>
    <t>rmundakk</t>
  </si>
  <si>
    <t>ROHIT KRISHANA MUNDAKKALIL</t>
  </si>
  <si>
    <t>mwesiron</t>
  </si>
  <si>
    <t>Ronnie Mwesigwa Matovu</t>
  </si>
  <si>
    <t>jrosenyw</t>
  </si>
  <si>
    <t>ROSE NYANCHERA JAIRUS</t>
  </si>
  <si>
    <t>prerosel</t>
  </si>
  <si>
    <t>ROSELYN PRECIOUS KULIMA</t>
  </si>
  <si>
    <t>rustukhs</t>
  </si>
  <si>
    <t>Rustum Khan</t>
  </si>
  <si>
    <t>rutenmat</t>
  </si>
  <si>
    <t>Rutendo Beaulla Mateyo</t>
  </si>
  <si>
    <t>thusaidu</t>
  </si>
  <si>
    <t>Saidu Brima Thullah</t>
  </si>
  <si>
    <t>jsalmmoh</t>
  </si>
  <si>
    <t xml:space="preserve">Salman Mohammad </t>
  </si>
  <si>
    <t>saberhet</t>
  </si>
  <si>
    <t>SAMIAL BERHE TEKLEHAYMANOT</t>
  </si>
  <si>
    <t>sankosam</t>
  </si>
  <si>
    <t>Sampha Sankoh</t>
  </si>
  <si>
    <t>samnuama</t>
  </si>
  <si>
    <t>Sampson Nuamah</t>
  </si>
  <si>
    <t>eamosamu</t>
  </si>
  <si>
    <t>Samuel Amoako</t>
  </si>
  <si>
    <t>samutofo</t>
  </si>
  <si>
    <t>Samuel Ofori</t>
  </si>
  <si>
    <t>osalwant</t>
  </si>
  <si>
    <t>Sanjana SALWANT MASIH</t>
  </si>
  <si>
    <t>sakuttan</t>
  </si>
  <si>
    <t>Sanoj Kuttan</t>
  </si>
  <si>
    <t>bashsaql</t>
  </si>
  <si>
    <t>Saqlain Bashir</t>
  </si>
  <si>
    <t>sadubeas</t>
  </si>
  <si>
    <t>Sarah Adubea</t>
  </si>
  <si>
    <t>sarshcha</t>
  </si>
  <si>
    <t>SARSHAN CHARLES CHARLES</t>
  </si>
  <si>
    <t>chashaav</t>
  </si>
  <si>
    <t>Shaavan Chauhan</t>
  </si>
  <si>
    <t>boashadr</t>
  </si>
  <si>
    <t>Shadrack Boakye</t>
  </si>
  <si>
    <t>shadrkwa</t>
  </si>
  <si>
    <t>Shadrack Kwarteng</t>
  </si>
  <si>
    <t>shamumbe</t>
  </si>
  <si>
    <t>SHAFFI MUMBERE</t>
  </si>
  <si>
    <t>javshahi</t>
  </si>
  <si>
    <t>Shahid Javeed</t>
  </si>
  <si>
    <t>sharmugw</t>
  </si>
  <si>
    <t>Sharif Ali</t>
  </si>
  <si>
    <t>habimsha</t>
  </si>
  <si>
    <t>Sharif Habimana</t>
  </si>
  <si>
    <t>cshingai</t>
  </si>
  <si>
    <t>Shingai Chinaa</t>
  </si>
  <si>
    <t>shrrabib</t>
  </si>
  <si>
    <t>SHRESTHA,RABIN</t>
  </si>
  <si>
    <t>roycshub</t>
  </si>
  <si>
    <t>Shubhadeep Roy</t>
  </si>
  <si>
    <t>sonsiamj</t>
  </si>
  <si>
    <t>Sia Sonsiama</t>
  </si>
  <si>
    <t>nagwsimz</t>
  </si>
  <si>
    <t>Simon Nagwaka</t>
  </si>
  <si>
    <t>appsolom</t>
  </si>
  <si>
    <t>Solomon Appiah Kubi</t>
  </si>
  <si>
    <t>solokorz</t>
  </si>
  <si>
    <t>Solomon Koranteng Nyarko</t>
  </si>
  <si>
    <t>kanyesst</t>
  </si>
  <si>
    <t>Steven Kanyesigye</t>
  </si>
  <si>
    <t>alisalsu</t>
  </si>
  <si>
    <t>Suleiman Ali Saleh</t>
  </si>
  <si>
    <t>adjsusan</t>
  </si>
  <si>
    <t>Susana Adjei</t>
  </si>
  <si>
    <t>cctakund</t>
  </si>
  <si>
    <t>Takundanashe Irvine Chagwedera</t>
  </si>
  <si>
    <t>Tanveer Khan</t>
  </si>
  <si>
    <t>troychim</t>
  </si>
  <si>
    <t>Tatenda Lee Roy Chimunda</t>
  </si>
  <si>
    <t>bundtenl</t>
  </si>
  <si>
    <t>Tengbeh Bundoo</t>
  </si>
  <si>
    <t>folithel</t>
  </si>
  <si>
    <t>Thelma Esinam Foli</t>
  </si>
  <si>
    <t>vaduyebo</t>
  </si>
  <si>
    <t>Theresa Adu Yeboah</t>
  </si>
  <si>
    <t>tshomuzh</t>
  </si>
  <si>
    <t>THERESA SHOMUZHANGA</t>
  </si>
  <si>
    <t>thoppasi</t>
  </si>
  <si>
    <t>Thopparasu Sivakumar</t>
  </si>
  <si>
    <t>scarktin</t>
  </si>
  <si>
    <t>Tino Scaria</t>
  </si>
  <si>
    <t>lmathewt</t>
  </si>
  <si>
    <t>Tom Mathew</t>
  </si>
  <si>
    <t>adutwumt</t>
  </si>
  <si>
    <t>Tony Adutwum Duah</t>
  </si>
  <si>
    <t>wmuhumai</t>
  </si>
  <si>
    <t>Umair,Muhammad Muhammad</t>
  </si>
  <si>
    <t>musmmuha</t>
  </si>
  <si>
    <t>Usman Ghani</t>
  </si>
  <si>
    <t>puthanvv</t>
  </si>
  <si>
    <t>Vibin Puthanpurakkal</t>
  </si>
  <si>
    <t>muwvicen</t>
  </si>
  <si>
    <t>VICENT MUWONGE</t>
  </si>
  <si>
    <t>victooju</t>
  </si>
  <si>
    <t>VICTOR OJUMA</t>
  </si>
  <si>
    <t>viappiat</t>
  </si>
  <si>
    <t>VIDA APPIAH</t>
  </si>
  <si>
    <t>visdasab</t>
  </si>
  <si>
    <t>Vishnu Nelloolipadikkal Dasan</t>
  </si>
  <si>
    <t>vivekper</t>
  </si>
  <si>
    <t>Vivek Perumandla</t>
  </si>
  <si>
    <t>waltuffo</t>
  </si>
  <si>
    <t>Wallace Agyemang-Tuffour</t>
  </si>
  <si>
    <t>wilesing</t>
  </si>
  <si>
    <t>William SINGARA</t>
  </si>
  <si>
    <t>winashcr</t>
  </si>
  <si>
    <t>Winston Desmond Adesumi Ashcroft</t>
  </si>
  <si>
    <t>xmakeyak</t>
  </si>
  <si>
    <t>Yakta Koffi Makedjene</t>
  </si>
  <si>
    <t>yusufoke</t>
  </si>
  <si>
    <t>YUSUF OKELLO</t>
  </si>
  <si>
    <t>muzahidk</t>
  </si>
  <si>
    <t>Zahid Khan,Muhammad</t>
  </si>
  <si>
    <t>SC</t>
  </si>
  <si>
    <t>Hub Supervisor</t>
  </si>
  <si>
    <t>abigasar</t>
  </si>
  <si>
    <t>Abigail Asare</t>
  </si>
  <si>
    <t>nelstche</t>
  </si>
  <si>
    <t>Tche Fru,Nelson</t>
  </si>
  <si>
    <t>foabutap</t>
  </si>
  <si>
    <t>Abu Talib Fofanah</t>
  </si>
  <si>
    <t>mavhunga</t>
  </si>
  <si>
    <t>Admire Mavhunga</t>
  </si>
  <si>
    <t>abaoalid</t>
  </si>
  <si>
    <t>Alidu Abass</t>
  </si>
  <si>
    <t>antowusb</t>
  </si>
  <si>
    <t>Anthony Owusu</t>
  </si>
  <si>
    <t>asgizaza</t>
  </si>
  <si>
    <t>Ashiraf Gizaza</t>
  </si>
  <si>
    <t>beryllin</t>
  </si>
  <si>
    <t>Berylline Naa Ayeley Okine</t>
  </si>
  <si>
    <t>cgeddam</t>
  </si>
  <si>
    <t>Chiranjeevi Geddam</t>
  </si>
  <si>
    <t>nclearan</t>
  </si>
  <si>
    <t>Clarence Forbit</t>
  </si>
  <si>
    <t>owusucle</t>
  </si>
  <si>
    <t>Clement Owusu</t>
  </si>
  <si>
    <t>adomdani</t>
  </si>
  <si>
    <t>dcutand</t>
  </si>
  <si>
    <t>Dennis Anon Cutanda</t>
  </si>
  <si>
    <t>larteydo</t>
  </si>
  <si>
    <t>ekkonad</t>
  </si>
  <si>
    <t>Emmanuel Konadu</t>
  </si>
  <si>
    <t>awesmail</t>
  </si>
  <si>
    <t>eluckpal</t>
  </si>
  <si>
    <t>Essossimna Luc Kpalou</t>
  </si>
  <si>
    <t>senesthe</t>
  </si>
  <si>
    <t>Esther Edem Senahey</t>
  </si>
  <si>
    <t>kmintahe</t>
  </si>
  <si>
    <t>Evans Mintah</t>
  </si>
  <si>
    <t>fsseyar</t>
  </si>
  <si>
    <t>Farrukh Seyar Muhammad Seyar</t>
  </si>
  <si>
    <t>frimpofe</t>
  </si>
  <si>
    <t>Felix Frimpong</t>
  </si>
  <si>
    <t>fotsigeo</t>
  </si>
  <si>
    <t>villaraz</t>
  </si>
  <si>
    <t>Francis-Benedict Ubeda Villaraza</t>
  </si>
  <si>
    <t>dadziekg</t>
  </si>
  <si>
    <t xml:space="preserve">Gifty Dadzie </t>
  </si>
  <si>
    <t>dgodfnsi</t>
  </si>
  <si>
    <t>Godfred Kwaku Nsiah</t>
  </si>
  <si>
    <t>nuhpiddr</t>
  </si>
  <si>
    <t>Iddrisu Nuhu</t>
  </si>
  <si>
    <t>jemuelc</t>
  </si>
  <si>
    <t>JEMUEL CORTEZ</t>
  </si>
  <si>
    <t>juntataw</t>
  </si>
  <si>
    <t>Junita Mejumeh Tataw</t>
  </si>
  <si>
    <t>ndugakue</t>
  </si>
  <si>
    <t>Kelvin Anankeng Azem Ndugakue</t>
  </si>
  <si>
    <t>kmokube</t>
  </si>
  <si>
    <t>Kingsley Mokube Ikoe</t>
  </si>
  <si>
    <t>skoromal</t>
  </si>
  <si>
    <t xml:space="preserve">Lans Koroma </t>
  </si>
  <si>
    <t>dzlawson</t>
  </si>
  <si>
    <t>Lawson Dzesa</t>
  </si>
  <si>
    <t>loventia</t>
  </si>
  <si>
    <t>LOVELACE NTIAMOAH</t>
  </si>
  <si>
    <t>acheamma</t>
  </si>
  <si>
    <t>Mary Acheampong</t>
  </si>
  <si>
    <t>munibmoh</t>
  </si>
  <si>
    <t>Mohammed,Muniru</t>
  </si>
  <si>
    <t>mosseruv</t>
  </si>
  <si>
    <t>MOSES SSERUWUJJO</t>
  </si>
  <si>
    <t>nichasii</t>
  </si>
  <si>
    <t>NICHOLAS ASIIMWE</t>
  </si>
  <si>
    <t>onebarug</t>
  </si>
  <si>
    <t>ONESMUS BARUGAHARE</t>
  </si>
  <si>
    <t>ochanapa</t>
  </si>
  <si>
    <t>PATRICK OCHANA</t>
  </si>
  <si>
    <t>kadyamus</t>
  </si>
  <si>
    <t>Phoebe Kadyamusuma</t>
  </si>
  <si>
    <t>aposas</t>
  </si>
  <si>
    <t>Posas,Alexandro Delacueva</t>
  </si>
  <si>
    <t>priokyer</t>
  </si>
  <si>
    <t>Priscilla Aboagyewaa Okyere</t>
  </si>
  <si>
    <t>aboagyra</t>
  </si>
  <si>
    <t>Raphael Osei Aboagye</t>
  </si>
  <si>
    <t>sboatrob</t>
  </si>
  <si>
    <t>Robert Boateng Agyei</t>
  </si>
  <si>
    <t>atenrock</t>
  </si>
  <si>
    <t>ROCKSON ATENSU</t>
  </si>
  <si>
    <t>rggeroni</t>
  </si>
  <si>
    <t>Roland Magpantay Geronimo</t>
  </si>
  <si>
    <t>rikoe</t>
  </si>
  <si>
    <t>Rudolf Ikoe Itoe</t>
  </si>
  <si>
    <t>sasalifu</t>
  </si>
  <si>
    <t>SADICK SALIFU AZUMAH</t>
  </si>
  <si>
    <t>ocshadra</t>
  </si>
  <si>
    <t>Shadrack Otoo</t>
  </si>
  <si>
    <t>ampsheil</t>
  </si>
  <si>
    <t>Sheila Yeboah Ampene</t>
  </si>
  <si>
    <t>simontwe</t>
  </si>
  <si>
    <t>Simon Twene</t>
  </si>
  <si>
    <t>ddommban</t>
  </si>
  <si>
    <t>Stanley Dom Mbang</t>
  </si>
  <si>
    <t>stepheof</t>
  </si>
  <si>
    <t>skayikka</t>
  </si>
  <si>
    <t>Sudheer Kumar Ayikkara Valappil</t>
  </si>
  <si>
    <t>umerr</t>
  </si>
  <si>
    <t>Umer Rasheed Ur Rehman Rasheed</t>
  </si>
  <si>
    <t>wisacola</t>
  </si>
  <si>
    <t>parungao</t>
  </si>
  <si>
    <t>Parungao,Priscila Montejo</t>
  </si>
  <si>
    <t>Administrative Support III</t>
  </si>
  <si>
    <t>Support</t>
  </si>
  <si>
    <t>ammarhak</t>
  </si>
  <si>
    <t>AbdElhakim,Ammar</t>
  </si>
  <si>
    <t>Facilities Coordinator III</t>
  </si>
  <si>
    <t>Facility</t>
  </si>
  <si>
    <t>akumkapa</t>
  </si>
  <si>
    <t>Raaz,Anantth</t>
  </si>
  <si>
    <t>nayabadh</t>
  </si>
  <si>
    <t>Adhikari,Nayab</t>
  </si>
  <si>
    <t>atvinoth</t>
  </si>
  <si>
    <t>AR,Vinoth</t>
  </si>
  <si>
    <t>vvsatish</t>
  </si>
  <si>
    <t>CHILUKURI SATISH</t>
  </si>
  <si>
    <t>jgania</t>
  </si>
  <si>
    <t>Gania,Jeehan</t>
  </si>
  <si>
    <t>amjkamal</t>
  </si>
  <si>
    <t>Mahamood,Kamal</t>
  </si>
  <si>
    <t>rizvamoh</t>
  </si>
  <si>
    <t>Mohamed Rizvan</t>
  </si>
  <si>
    <t>hareepo</t>
  </si>
  <si>
    <t>POGALA,HAREESH</t>
  </si>
  <si>
    <t>ajithrak</t>
  </si>
  <si>
    <t>Rajendran,Ajith Kumar</t>
  </si>
  <si>
    <t>vadirama</t>
  </si>
  <si>
    <t>ramadoss,vadivel</t>
  </si>
  <si>
    <t>karthiqv</t>
  </si>
  <si>
    <t>Ravi,Karthi</t>
  </si>
  <si>
    <t>shineray</t>
  </si>
  <si>
    <t>Raynold,Shine</t>
  </si>
  <si>
    <t>hkhwabdu</t>
  </si>
  <si>
    <t>Abdul Hanan Khwaja</t>
  </si>
  <si>
    <t>Adecco - Vendor POC</t>
  </si>
  <si>
    <t>HR</t>
  </si>
  <si>
    <t>HR Assistant II</t>
  </si>
  <si>
    <t>elizbaku</t>
  </si>
  <si>
    <t>Akuoko,Elizbeth</t>
  </si>
  <si>
    <t>Dulsco - Vendor POC</t>
  </si>
  <si>
    <t>faresoal</t>
  </si>
  <si>
    <t>Al Khalifi,Fares Omar Mohammed</t>
  </si>
  <si>
    <t>amnajami</t>
  </si>
  <si>
    <t>AMNA JAMIL</t>
  </si>
  <si>
    <t>anasomoh</t>
  </si>
  <si>
    <t>Anas Mohammad Habeeb,Mohammad</t>
  </si>
  <si>
    <t>Fastlink - Vendor POC</t>
  </si>
  <si>
    <t>kanuprly</t>
  </si>
  <si>
    <t>Kalaiselvan Kalaiselvan,Anuprlya</t>
  </si>
  <si>
    <t>manavedk</t>
  </si>
  <si>
    <t>Maqdoom khan,Naved Khan</t>
  </si>
  <si>
    <t>vajeermo</t>
  </si>
  <si>
    <t>MOHAMED.A,VAJEER</t>
  </si>
  <si>
    <t>Quesscorp - Vendor POC</t>
  </si>
  <si>
    <t>shomuzha</t>
  </si>
  <si>
    <t>Shomuzhanga,Lissa</t>
  </si>
  <si>
    <t>javmuhak</t>
  </si>
  <si>
    <t>Usman,Muhammad</t>
  </si>
  <si>
    <t>mhamreh</t>
  </si>
  <si>
    <t>Zia,Mohammed</t>
  </si>
  <si>
    <t>ponnormx</t>
  </si>
  <si>
    <t>Norman Reyes Ponce</t>
  </si>
  <si>
    <t>tunayj</t>
  </si>
  <si>
    <t>Tunay,Jayson Torres</t>
  </si>
  <si>
    <t>jilug</t>
  </si>
  <si>
    <t>George,Jilu</t>
  </si>
  <si>
    <t>IT Support Technician</t>
  </si>
  <si>
    <t>IT</t>
  </si>
  <si>
    <t>aantonyg</t>
  </si>
  <si>
    <t>Antony,Arun</t>
  </si>
  <si>
    <t>fkashifm</t>
  </si>
  <si>
    <t>Kashif,Mirza</t>
  </si>
  <si>
    <t>safalpan</t>
  </si>
  <si>
    <t>Safal Panta</t>
  </si>
  <si>
    <t>aimansh</t>
  </si>
  <si>
    <t>Aiman Shadab Khan</t>
  </si>
  <si>
    <t>Learning Associate</t>
  </si>
  <si>
    <t>L&amp;D</t>
  </si>
  <si>
    <t>stanoium</t>
  </si>
  <si>
    <t>hudamm</t>
  </si>
  <si>
    <t>moazzam,huda</t>
  </si>
  <si>
    <t>madaoud</t>
  </si>
  <si>
    <t>Mohamed Daoud</t>
  </si>
  <si>
    <t>rajaniu</t>
  </si>
  <si>
    <t>Rajani U</t>
  </si>
  <si>
    <t>alreena</t>
  </si>
  <si>
    <t>Sharmilee,Alexander Reena</t>
  </si>
  <si>
    <t>stephjov</t>
  </si>
  <si>
    <t>Stephy Joseph</t>
  </si>
  <si>
    <t>swavishw</t>
  </si>
  <si>
    <t>Swapna Vishwakarma</t>
  </si>
  <si>
    <t>cmuhamak</t>
  </si>
  <si>
    <t>Akhtar,Muhammad Zohaib</t>
  </si>
  <si>
    <t>Loss Prevention Coordinator</t>
  </si>
  <si>
    <t>LP</t>
  </si>
  <si>
    <t>yumangm</t>
  </si>
  <si>
    <t>Mike Yumang</t>
  </si>
  <si>
    <t>Procurement</t>
  </si>
  <si>
    <t>ridat</t>
  </si>
  <si>
    <t>Tolentino,Rida</t>
  </si>
  <si>
    <t>Safety</t>
  </si>
  <si>
    <t>kumardic</t>
  </si>
  <si>
    <t>Kumar,Arun</t>
  </si>
  <si>
    <t>NUJUMUDDIN,NEJED</t>
  </si>
  <si>
    <t>hansonay</t>
  </si>
  <si>
    <t>Ayonghe Fusoh Hanson</t>
  </si>
  <si>
    <t>ansereem</t>
  </si>
  <si>
    <t>Emmanuel Ansere</t>
  </si>
  <si>
    <t>amoahgid</t>
  </si>
  <si>
    <t>Gideon Kwabena Amoah</t>
  </si>
  <si>
    <t>kuffourg</t>
  </si>
  <si>
    <t>Grace Kuffour</t>
  </si>
  <si>
    <t>tettjenn</t>
  </si>
  <si>
    <t>Jennifer Tetteh</t>
  </si>
  <si>
    <t>joshatta</t>
  </si>
  <si>
    <t>Joshua Attam</t>
  </si>
  <si>
    <t>maxweoaw</t>
  </si>
  <si>
    <t>Maxwell Awu</t>
  </si>
  <si>
    <t>mohehsaf</t>
  </si>
  <si>
    <t>Mohsin Ehsan Ehsan Ullah</t>
  </si>
  <si>
    <t>boanoami</t>
  </si>
  <si>
    <t>Noami Boateng</t>
  </si>
  <si>
    <t>solnuako</t>
  </si>
  <si>
    <t>Nuako Solomon</t>
  </si>
  <si>
    <t>powusuaa</t>
  </si>
  <si>
    <t>Owusuaa Priscilla</t>
  </si>
  <si>
    <t>tmukunal</t>
  </si>
  <si>
    <t>Tanya Mukuna</t>
  </si>
  <si>
    <t>Customer Returns</t>
  </si>
  <si>
    <t>IC/QA/CS</t>
  </si>
  <si>
    <t>IB Problem Solve</t>
  </si>
  <si>
    <t>Inbound Prep</t>
  </si>
  <si>
    <t>Vendor Receive</t>
  </si>
  <si>
    <t>Inbound Stow</t>
  </si>
  <si>
    <t>Receive Dock</t>
  </si>
  <si>
    <t>IB Lead/PA</t>
  </si>
  <si>
    <t>Pack - Batch</t>
  </si>
  <si>
    <t>Picking</t>
  </si>
  <si>
    <t>Sort - Batch</t>
  </si>
  <si>
    <t>Pack - Single</t>
  </si>
  <si>
    <t>OB Problem Solve</t>
  </si>
  <si>
    <t>OB Lead/PA</t>
  </si>
  <si>
    <t>Facilities</t>
  </si>
  <si>
    <t>Admin/HR/IT</t>
  </si>
  <si>
    <t>Training</t>
  </si>
  <si>
    <t>Actual (without  OT)</t>
  </si>
  <si>
    <t>DENNIS JOE GICHUHI</t>
  </si>
  <si>
    <t>ASHISH RAJINDER KUMAR</t>
  </si>
  <si>
    <t>MAC TYSON ANCHE NGWAFONG</t>
  </si>
  <si>
    <t>Ssebamobe Mike</t>
  </si>
  <si>
    <t>PILATE YISIKIBA MBENKUM</t>
  </si>
  <si>
    <t>Fridah Kwamboka</t>
  </si>
  <si>
    <t>djoegich</t>
  </si>
  <si>
    <t>ashrajin</t>
  </si>
  <si>
    <t>tysonasm</t>
  </si>
  <si>
    <t>ssebamom</t>
  </si>
  <si>
    <t>pyisikib</t>
  </si>
  <si>
    <t>nyfridax</t>
  </si>
  <si>
    <t>janewanm</t>
  </si>
  <si>
    <t>chirviol</t>
  </si>
  <si>
    <t>oahabdi</t>
  </si>
  <si>
    <t>Faith cherono</t>
  </si>
  <si>
    <t>Faith Jepkirui</t>
  </si>
  <si>
    <t>Ceciliah omwando</t>
  </si>
  <si>
    <t>Sheila jepchumba yator</t>
  </si>
  <si>
    <t>MERCY JERUTO</t>
  </si>
  <si>
    <t>Mercy jemutai</t>
  </si>
  <si>
    <t>Erica Afful</t>
  </si>
  <si>
    <t>fcherono</t>
  </si>
  <si>
    <t>jepkirtf</t>
  </si>
  <si>
    <t>omwcecil</t>
  </si>
  <si>
    <t>ysheilaj</t>
  </si>
  <si>
    <t>jermercy</t>
  </si>
  <si>
    <t>jemutmer</t>
  </si>
  <si>
    <t>ericaffg</t>
  </si>
  <si>
    <t>khaztanv</t>
  </si>
  <si>
    <t>Actual 
(with OT)</t>
  </si>
  <si>
    <t>HC As per Target %</t>
  </si>
  <si>
    <t>Actual  HC Achived Without OT</t>
  </si>
  <si>
    <t>Delta</t>
  </si>
  <si>
    <t>LAURA AMBIRAKUM ANJOYONG</t>
  </si>
  <si>
    <t xml:space="preserve">MARTHA APOLOT </t>
  </si>
  <si>
    <t>CARINE AYONG BIH</t>
  </si>
  <si>
    <t>WENDY POKUAAH</t>
  </si>
  <si>
    <t xml:space="preserve">GLORIA ADU </t>
  </si>
  <si>
    <t>CECILIA CHISHIMBA</t>
  </si>
  <si>
    <t>ANITA OFORIWAA ADU</t>
  </si>
  <si>
    <t>JOYCE AMA ABBAN</t>
  </si>
  <si>
    <t>OSEI ERNEST</t>
  </si>
  <si>
    <t>KEZIAH OYE</t>
  </si>
  <si>
    <t>Christiana Asamoah Boatemaa</t>
  </si>
  <si>
    <t>Veronica Tetteh</t>
  </si>
  <si>
    <t>kisaeliz</t>
  </si>
  <si>
    <t>Elizabeth,Kisakye</t>
  </si>
  <si>
    <t>BOATENG JOSEPH</t>
  </si>
  <si>
    <t>OWUSU ANSAH PRINCE</t>
  </si>
  <si>
    <t>Eric Opoku</t>
  </si>
  <si>
    <t>Ann Murugi</t>
  </si>
  <si>
    <t>Shams Nagagire</t>
  </si>
  <si>
    <t>jboatenv</t>
  </si>
  <si>
    <t>ansahpro</t>
  </si>
  <si>
    <t>opokderi</t>
  </si>
  <si>
    <t>hannmuru</t>
  </si>
  <si>
    <t>ndagirsh</t>
  </si>
  <si>
    <t>cchrisas</t>
  </si>
  <si>
    <t>oykeziah</t>
  </si>
  <si>
    <t>tewveron</t>
  </si>
  <si>
    <t>anitofoc</t>
  </si>
  <si>
    <t>ayoncari</t>
  </si>
  <si>
    <t>cecchish</t>
  </si>
  <si>
    <t>glortadu</t>
  </si>
  <si>
    <t>joycamaa</t>
  </si>
  <si>
    <t>ambirlau</t>
  </si>
  <si>
    <t>maapolot</t>
  </si>
  <si>
    <t>kerneose</t>
  </si>
  <si>
    <t>wendpoku</t>
  </si>
  <si>
    <t>bwalhell</t>
  </si>
  <si>
    <t>opariyar</t>
  </si>
  <si>
    <t>sahajame</t>
  </si>
  <si>
    <t>jfsheila</t>
  </si>
  <si>
    <t>conteeun</t>
  </si>
  <si>
    <t>nyazacha</t>
  </si>
  <si>
    <t>esiraben</t>
  </si>
  <si>
    <t>BENEDICTA ESI RAMSON</t>
  </si>
  <si>
    <t>embaziir</t>
  </si>
  <si>
    <t>EMMANUEL MBAZIIRA</t>
  </si>
  <si>
    <t>lestanak</t>
  </si>
  <si>
    <t>TANAKA LESLIE NYAMVURA</t>
  </si>
  <si>
    <t>ialoalex</t>
  </si>
  <si>
    <t>ALORO ALEX</t>
  </si>
  <si>
    <t>ijameasa</t>
  </si>
  <si>
    <t>ASABA JAMES</t>
  </si>
  <si>
    <t>nestherm</t>
  </si>
  <si>
    <t>ESTHER MUMBE NZOMO</t>
  </si>
  <si>
    <t>modhadij</t>
  </si>
  <si>
    <t>HADIJA MOHAMMED</t>
  </si>
  <si>
    <t>chepkoge</t>
  </si>
  <si>
    <t>JELSY CHEPKOGEY</t>
  </si>
  <si>
    <t>jgichuhi</t>
  </si>
  <si>
    <t>jeniffer wanjiku</t>
  </si>
  <si>
    <t>brikalib</t>
  </si>
  <si>
    <t>KALIBBALA BRIAN</t>
  </si>
  <si>
    <t>raskkalu</t>
  </si>
  <si>
    <t>KALULE RASHID</t>
  </si>
  <si>
    <t>kibujame</t>
  </si>
  <si>
    <t>KIBUUKA JAMES</t>
  </si>
  <si>
    <t>jokisolo</t>
  </si>
  <si>
    <t>KISOLO JOHN</t>
  </si>
  <si>
    <t>iankiwee</t>
  </si>
  <si>
    <t>KIWEESI IAN</t>
  </si>
  <si>
    <t>marimudi</t>
  </si>
  <si>
    <t>milldboa</t>
  </si>
  <si>
    <t>MILLICENT BOADI</t>
  </si>
  <si>
    <t>muhimbis</t>
  </si>
  <si>
    <t>MUHIMBISE JACKSON</t>
  </si>
  <si>
    <t>kunorahk</t>
  </si>
  <si>
    <t>sabenjau</t>
  </si>
  <si>
    <t>SANDE BENJAMIN</t>
  </si>
  <si>
    <t>nsaluall</t>
  </si>
  <si>
    <t xml:space="preserve">SALUDO DIMAFELIX,ALLYZA ASHLEY </t>
  </si>
  <si>
    <t>tamawand</t>
  </si>
  <si>
    <t>nabaeria</t>
  </si>
  <si>
    <t>nejed</t>
  </si>
  <si>
    <t>MARTINE MUDIMI WONIALA</t>
  </si>
  <si>
    <t>khaliuus</t>
  </si>
  <si>
    <t>Usman Khalid</t>
  </si>
  <si>
    <t>Malemuhg</t>
  </si>
  <si>
    <t>getaMale</t>
  </si>
  <si>
    <t>mugwanas</t>
  </si>
  <si>
    <t>SALIMU MUGWANA</t>
  </si>
  <si>
    <t>xaijueli</t>
  </si>
  <si>
    <t xml:space="preserve">AIJUKA ELIYA </t>
  </si>
  <si>
    <t>zkasabda</t>
  </si>
  <si>
    <t xml:space="preserve">ABDALLAH KASSIM </t>
  </si>
  <si>
    <t>asantimb</t>
  </si>
  <si>
    <t>ASANTIANO MICHAEL MWANGULE</t>
  </si>
  <si>
    <t>ramaafid</t>
  </si>
  <si>
    <t>AFIDHU SWAMADU RAMADHANI</t>
  </si>
  <si>
    <t>emmanajo</t>
  </si>
  <si>
    <t>EMMANUEL JOSEPH KALEMBO</t>
  </si>
  <si>
    <t>xfunhami</t>
  </si>
  <si>
    <t>HAMISI FUNDI MUSSA</t>
  </si>
  <si>
    <t>bakabdal</t>
  </si>
  <si>
    <t>ABDALLAH ABDALLAH ISSA</t>
  </si>
  <si>
    <t>zinrakib</t>
  </si>
  <si>
    <t>RAKIB ZINGIRA</t>
  </si>
  <si>
    <t>ddumalla</t>
  </si>
  <si>
    <t>ALLAN DDUMBA SSENTAMU</t>
  </si>
  <si>
    <t>kiyimash</t>
  </si>
  <si>
    <t>ASHIRAF KIYIMBA</t>
  </si>
  <si>
    <t>afrbakun</t>
  </si>
  <si>
    <t>FRED BAKUNDANA</t>
  </si>
  <si>
    <t>KABOGGOZA JORAM</t>
  </si>
  <si>
    <t>mugenkag</t>
  </si>
  <si>
    <t>KAAWA MUGENYI</t>
  </si>
  <si>
    <t>roberkig</t>
  </si>
  <si>
    <t>ROBERT KIGGUNDU</t>
  </si>
  <si>
    <t>tubwebag</t>
  </si>
  <si>
    <t>TUBWEBAZE GILBERT</t>
  </si>
  <si>
    <t>ssekanje</t>
  </si>
  <si>
    <t>JOSEPH SSEKANDI</t>
  </si>
  <si>
    <t>dogfranc</t>
  </si>
  <si>
    <t>Francis Yaw Dogli</t>
  </si>
  <si>
    <t>QuessCorp</t>
  </si>
  <si>
    <t>faroukyj</t>
  </si>
  <si>
    <t>FAROUK KYOBE</t>
  </si>
  <si>
    <t>kalugerk</t>
  </si>
  <si>
    <t>KALULE GERALD</t>
  </si>
  <si>
    <t>ocpjohnc</t>
  </si>
  <si>
    <t>OCHOM JOHN CHARLES</t>
  </si>
  <si>
    <t>alphaatk</t>
  </si>
  <si>
    <t>ALPHA ATHANASIO KINYAPALA</t>
  </si>
  <si>
    <t>CATHERINE PROMISE NAMale</t>
  </si>
  <si>
    <t>Katyal,Varun</t>
  </si>
  <si>
    <t>mtsagued</t>
  </si>
  <si>
    <t>MAIVA TSAGUE DONFACK EPSE NDONGO</t>
  </si>
  <si>
    <t>ahiakosa</t>
  </si>
  <si>
    <t>SANDRA AHIAKOR</t>
  </si>
  <si>
    <t>magdanya</t>
  </si>
  <si>
    <t>MAGDALENE NYARKOA ASANT</t>
  </si>
  <si>
    <t>ferawerk</t>
  </si>
  <si>
    <t>FERAND WERENGA AMANG</t>
  </si>
  <si>
    <t>hekibuuk</t>
  </si>
  <si>
    <t>HERMAN KIBUUKA</t>
  </si>
  <si>
    <t>samukasz</t>
  </si>
  <si>
    <t>SAMUEL KASSAH</t>
  </si>
  <si>
    <t>elimukis</t>
  </si>
  <si>
    <t>ELIJAH MUKISA WABWIRE</t>
  </si>
  <si>
    <t>turyaric</t>
  </si>
  <si>
    <t>RICHARD TURYASINGURA</t>
  </si>
  <si>
    <t>ramugeny</t>
  </si>
  <si>
    <t>MUGENYI RAYMOND</t>
  </si>
  <si>
    <t>naralexu</t>
  </si>
  <si>
    <t>ALEXANDER NARTEY KUSI</t>
  </si>
  <si>
    <t>melvprin</t>
  </si>
  <si>
    <t>PRINCESS MELVINA YALLEY</t>
  </si>
  <si>
    <t>lkofhenr</t>
  </si>
  <si>
    <t>HENRY KOFI</t>
  </si>
  <si>
    <t>umarmabi</t>
  </si>
  <si>
    <t>UMARUH MABIRIZI</t>
  </si>
  <si>
    <t>paswellx</t>
  </si>
  <si>
    <t>PASWELL GYAMFI</t>
  </si>
  <si>
    <t>gmikesse</t>
  </si>
  <si>
    <t>GONZAGA MIKE SSEBUTINDE</t>
  </si>
  <si>
    <t>valdezfo</t>
  </si>
  <si>
    <t>FON VALDEZ TAMSANG</t>
  </si>
  <si>
    <t>jurutapi</t>
  </si>
  <si>
    <t>TAPIWA JURU</t>
  </si>
  <si>
    <t>ganifran</t>
  </si>
  <si>
    <t>FRANCIS ANIM</t>
  </si>
  <si>
    <t>alicewan</t>
  </si>
  <si>
    <t>ALICE NJAMBI WANJIKU</t>
  </si>
  <si>
    <t>jerutaum</t>
  </si>
  <si>
    <t>AUDIA JERUTO</t>
  </si>
  <si>
    <t>faitdngi</t>
  </si>
  <si>
    <t>FAITH JEPNGETICH NGIROIN</t>
  </si>
  <si>
    <t>jerodfai</t>
  </si>
  <si>
    <t>FAITH JEROTICH</t>
  </si>
  <si>
    <t>Mishra,Aman</t>
  </si>
  <si>
    <t>mubirura</t>
  </si>
  <si>
    <t>Mubiru Rajeshi</t>
  </si>
  <si>
    <t>akaminno</t>
  </si>
  <si>
    <t>Innocent Akampa</t>
  </si>
  <si>
    <t>bakisurf</t>
  </si>
  <si>
    <t>Fred Bakisula</t>
  </si>
  <si>
    <t>ashiraab</t>
  </si>
  <si>
    <t>Ashiraf Abu</t>
  </si>
  <si>
    <t>mssemjul</t>
  </si>
  <si>
    <t>Julius Ssemakula</t>
  </si>
  <si>
    <t>imkinobe</t>
  </si>
  <si>
    <t>Muhammad Kinobe</t>
  </si>
  <si>
    <t>isamutub</t>
  </si>
  <si>
    <t>Isaya Mutuba</t>
  </si>
  <si>
    <t>gismaiki</t>
  </si>
  <si>
    <t>Ismail Kiweewa</t>
  </si>
  <si>
    <t>davawaya</t>
  </si>
  <si>
    <t>Davis Wayabira</t>
  </si>
  <si>
    <t>mikssonk</t>
  </si>
  <si>
    <t>Ssonko Mike</t>
  </si>
  <si>
    <t>hamuzawa</t>
  </si>
  <si>
    <t>Wandera Hamuza</t>
  </si>
  <si>
    <t>btugumea</t>
  </si>
  <si>
    <t>Tugume Brian</t>
  </si>
  <si>
    <t>etusasir</t>
  </si>
  <si>
    <t>Emmanuel Tusasirwe</t>
  </si>
  <si>
    <t>mosekiiz</t>
  </si>
  <si>
    <t>Kiiza Moses</t>
  </si>
  <si>
    <t>muliivan</t>
  </si>
  <si>
    <t>Ivan Muliika</t>
  </si>
  <si>
    <t>nkrfelix</t>
  </si>
  <si>
    <t>FELIX MENSAH NKRUMAH</t>
  </si>
  <si>
    <t>jepkirja</t>
  </si>
  <si>
    <t>Jane Jepkirui</t>
  </si>
  <si>
    <t>jepchval</t>
  </si>
  <si>
    <t>JEPCHIRCHIR VALENTINE</t>
  </si>
  <si>
    <t>kipchumn</t>
  </si>
  <si>
    <t>Brian Kipchumba</t>
  </si>
  <si>
    <t>bmaximki</t>
  </si>
  <si>
    <t>MAXIMILAR JEPCHUM</t>
  </si>
  <si>
    <t>merabelf</t>
  </si>
  <si>
    <t>MERABEL FENIBEE</t>
  </si>
  <si>
    <t>memiheso</t>
  </si>
  <si>
    <t>MERCY JERUTO MIHESO</t>
  </si>
  <si>
    <t>micmusun</t>
  </si>
  <si>
    <t>MICHELLE MUSUNGU</t>
  </si>
  <si>
    <t>mokkwedh</t>
  </si>
  <si>
    <t>MOKA EKWALLA KWEDI</t>
  </si>
  <si>
    <t>asarpate</t>
  </si>
  <si>
    <t>PATRICIA ASARE</t>
  </si>
  <si>
    <t>bittorut</t>
  </si>
  <si>
    <t>RUTH JEMUTAI BITTOK</t>
  </si>
  <si>
    <t>rutjepke</t>
  </si>
  <si>
    <t>RUTH JEPKERMBOI</t>
  </si>
  <si>
    <t>jeplerut</t>
  </si>
  <si>
    <t>RUTH JEPLETING</t>
  </si>
  <si>
    <t>schelanw</t>
  </si>
  <si>
    <t>SHARON CHELANGAT</t>
  </si>
  <si>
    <t>jepsharo</t>
  </si>
  <si>
    <t>Sharon Jepkemboi</t>
  </si>
  <si>
    <t>agsamue</t>
  </si>
  <si>
    <t>Agyemang,Samuel</t>
  </si>
  <si>
    <t>niwjames</t>
  </si>
  <si>
    <t>JAMES NIWARINDA</t>
  </si>
  <si>
    <t>kavumauu</t>
  </si>
  <si>
    <t>UKACHA KAVUMA</t>
  </si>
  <si>
    <t>sserusro</t>
  </si>
  <si>
    <t>RONALD SSERUKEERA</t>
  </si>
  <si>
    <t>muzamirm</t>
  </si>
  <si>
    <t>MUZAMIRU MWANJE</t>
  </si>
  <si>
    <t>mugerwsi</t>
  </si>
  <si>
    <t>SIMON MUGERWA</t>
  </si>
  <si>
    <t>kivuanto</t>
  </si>
  <si>
    <t>ANTONY KAVNUNBI LUTAAYA</t>
  </si>
  <si>
    <t>frmayeng</t>
  </si>
  <si>
    <t>FRANK MAYENGO</t>
  </si>
  <si>
    <t>habertmu</t>
  </si>
  <si>
    <t>HABERT MUHINDO</t>
  </si>
  <si>
    <t>yamikani</t>
  </si>
  <si>
    <t>YAMIKANI CHRIS KAYUNI</t>
  </si>
  <si>
    <t>tchilemb</t>
  </si>
  <si>
    <t>JOSEPH CHILEMBA</t>
  </si>
  <si>
    <t>blewyson</t>
  </si>
  <si>
    <t>WYSON BLESSINGS MULINGA</t>
  </si>
  <si>
    <t>winthala</t>
  </si>
  <si>
    <t>WILLIAM NTHALA</t>
  </si>
  <si>
    <t>odurfraa</t>
  </si>
  <si>
    <t>FRANCIS ODURO</t>
  </si>
  <si>
    <t>lngongch</t>
  </si>
  <si>
    <t>LEONARD NGONG CHACK</t>
  </si>
  <si>
    <t>abeltaan</t>
  </si>
  <si>
    <t>ANESU ABEL TAKARUVA</t>
  </si>
  <si>
    <t>edwitane</t>
  </si>
  <si>
    <t>EDWIN TANETSWA MPOFU</t>
  </si>
  <si>
    <t>gideboak</t>
  </si>
  <si>
    <t>GIDEON BOAKYE ABABIO</t>
  </si>
  <si>
    <t>sselugya</t>
  </si>
  <si>
    <t>SADAT SSELUGYA</t>
  </si>
  <si>
    <t>vwillgeo</t>
  </si>
  <si>
    <t>GEORGE WILLIAM SSEBUMPENJE</t>
  </si>
  <si>
    <t>banjatab</t>
  </si>
  <si>
    <t>BANJATA B JAH</t>
  </si>
  <si>
    <t>wafulakv</t>
  </si>
  <si>
    <t>EMMANUEL WAFULA KHAMILA</t>
  </si>
  <si>
    <t>Vincent Amati</t>
  </si>
  <si>
    <t>Derrick Kabuye</t>
  </si>
  <si>
    <t>Francis Afema</t>
  </si>
  <si>
    <t>Quraish Ssematimba</t>
  </si>
  <si>
    <t>Henry Kahunde</t>
  </si>
  <si>
    <t>otchaste</t>
  </si>
  <si>
    <t>vincphir</t>
  </si>
  <si>
    <t>ngraciou</t>
  </si>
  <si>
    <t>almsukwf</t>
  </si>
  <si>
    <t>ssqurais</t>
  </si>
  <si>
    <t>kahuhenx</t>
  </si>
  <si>
    <t>Steven Bills Otchan</t>
  </si>
  <si>
    <t>Vincent Phiri</t>
  </si>
  <si>
    <t>Gracious Pamhwanya Nyirenda</t>
  </si>
  <si>
    <t>Alex Msukwa</t>
  </si>
  <si>
    <t>amativin</t>
  </si>
  <si>
    <t>derrkabu</t>
  </si>
  <si>
    <t>frapafem</t>
  </si>
  <si>
    <t>AHMEDRASHIDABDI</t>
  </si>
  <si>
    <t>AmbiliaRop</t>
  </si>
  <si>
    <t>BrightBonah</t>
  </si>
  <si>
    <t>BRIGHTONTAWUYANARGWO</t>
  </si>
  <si>
    <t>CHARLESOSEI-POKU</t>
  </si>
  <si>
    <t>CongratesMoforkengNdanze</t>
  </si>
  <si>
    <t>DanielBoahen</t>
  </si>
  <si>
    <t>DanielTeye-KwasiAngmortey</t>
  </si>
  <si>
    <t>DerickLacapDayrit</t>
  </si>
  <si>
    <t>EliasKaduwa</t>
  </si>
  <si>
    <t>EmmanuelMensah</t>
  </si>
  <si>
    <t>GoodluckEugenShiyo</t>
  </si>
  <si>
    <t>HishamhashimHashimonEssaKutty</t>
  </si>
  <si>
    <t>IbrahimAConteh</t>
  </si>
  <si>
    <t>JACOBELAGYARE</t>
  </si>
  <si>
    <t>JafarAbdallah</t>
  </si>
  <si>
    <t>JamilatuSessie</t>
  </si>
  <si>
    <t>Janewanguiwambui</t>
  </si>
  <si>
    <t>JaneWanjikuMwiiro</t>
  </si>
  <si>
    <t>JoanaAliceAgyekum</t>
  </si>
  <si>
    <t>JohnNdung'UMwaura</t>
  </si>
  <si>
    <t>JohnpaulJeckinzKarugaba</t>
  </si>
  <si>
    <t>JonnathanOseiTutu</t>
  </si>
  <si>
    <t>JosephGanaDohmovat</t>
  </si>
  <si>
    <t>JOSEPHOBLIEANANG</t>
  </si>
  <si>
    <t>JulietOkyere</t>
  </si>
  <si>
    <t>Kamhuru,SharonShingirirai</t>
  </si>
  <si>
    <t>KATETWENEWAA</t>
  </si>
  <si>
    <t>KYEMSTEPHENEBENEZER</t>
  </si>
  <si>
    <t>LamissiAbatala</t>
  </si>
  <si>
    <t>LydiaWangari</t>
  </si>
  <si>
    <t>MAMUDUKASSIM</t>
  </si>
  <si>
    <t>MARTINMWANGU</t>
  </si>
  <si>
    <t>MaryNamutebi</t>
  </si>
  <si>
    <t>MawandaAndrewKasagga</t>
  </si>
  <si>
    <t>MUHAMMEDKIWANUKAMale</t>
  </si>
  <si>
    <t>MusaNkataMwebe</t>
  </si>
  <si>
    <t>NabasaEriah</t>
  </si>
  <si>
    <t>NaserianNaiponiMurdaa</t>
  </si>
  <si>
    <t>NELSONNDIMAKO</t>
  </si>
  <si>
    <t>NOAHADARKWAH</t>
  </si>
  <si>
    <t>NOAHNYASHABUNU</t>
  </si>
  <si>
    <t>NoemiTongoPosas</t>
  </si>
  <si>
    <t>OnacisBrew</t>
  </si>
  <si>
    <t>PeterMwakuniChikodza</t>
  </si>
  <si>
    <t>PrinceOhenebaJackson</t>
  </si>
  <si>
    <t>RafeekTheruvathVeettil</t>
  </si>
  <si>
    <t>SabinaPariyar</t>
  </si>
  <si>
    <t>SAHRELISHAJAMES</t>
  </si>
  <si>
    <t>SANJUTHOMAS</t>
  </si>
  <si>
    <t>SELVAK.M.MOSAS</t>
  </si>
  <si>
    <t>SenzoNcube</t>
  </si>
  <si>
    <t>SharonCheronoPsaima</t>
  </si>
  <si>
    <t>SheilahKuttohJeptoo</t>
  </si>
  <si>
    <t>SilethembaNcube</t>
  </si>
  <si>
    <t>SolangeSombongNgwemukum</t>
  </si>
  <si>
    <t>SolomonOwusu</t>
  </si>
  <si>
    <t>SONUKRISHNASUDHA</t>
  </si>
  <si>
    <t>STEPHENAGYEI</t>
  </si>
  <si>
    <t>TofikNegash</t>
  </si>
  <si>
    <t>UMARUMUSAMUBI</t>
  </si>
  <si>
    <t>UNISAA.CONTEH</t>
  </si>
  <si>
    <t>VeraAnyangweBih</t>
  </si>
  <si>
    <t>Violachepkemboichirchir</t>
  </si>
  <si>
    <t>VISHNURAJBABYRAJAN</t>
  </si>
  <si>
    <t>ZachariaNyaosiNyang</t>
  </si>
  <si>
    <t>DanielKwabenaAdoma</t>
  </si>
  <si>
    <t>DorcasLarteleyLartey</t>
  </si>
  <si>
    <t>EdwardTaMale</t>
  </si>
  <si>
    <t>Fotsing,GeorgyOmerDorian</t>
  </si>
  <si>
    <t>NORAHKULUDHI</t>
  </si>
  <si>
    <t>STEPHENNYADUOFORI</t>
  </si>
  <si>
    <t>WISDOMDELEACOLATSE</t>
  </si>
  <si>
    <t>jkaboggo</t>
  </si>
  <si>
    <t>Abdourahamane Camara</t>
  </si>
  <si>
    <t>ABDULMALIK IDDRISU</t>
  </si>
  <si>
    <t>ACQUAH TIMOTHY</t>
  </si>
  <si>
    <t>ATTA AGYEKUM SARPONG</t>
  </si>
  <si>
    <t>Bernadette Tarrio Chimhau</t>
  </si>
  <si>
    <t>Alex Owusu</t>
  </si>
  <si>
    <t>Lilian Njuguna</t>
  </si>
  <si>
    <t>Maxmillila Jeruto</t>
  </si>
  <si>
    <t>Traicy Chebet Maina</t>
  </si>
  <si>
    <t>Venick Kemuma Mokua</t>
  </si>
  <si>
    <t>musittez</t>
  </si>
  <si>
    <t>annwamum</t>
  </si>
  <si>
    <t>wadianan</t>
  </si>
  <si>
    <t>jeropfar</t>
  </si>
  <si>
    <t>basmagan</t>
  </si>
  <si>
    <t>huzamita</t>
  </si>
  <si>
    <t>awudkale</t>
  </si>
  <si>
    <t>mwakagod</t>
  </si>
  <si>
    <t>MUSITAFA TEZIKUBA</t>
  </si>
  <si>
    <t>ANN WAMBUI MUHIAH</t>
  </si>
  <si>
    <t>DIANA NDULU WAMBUA</t>
  </si>
  <si>
    <t>BASHIR MAGANDA</t>
  </si>
  <si>
    <t>HUZAIFAH MITALA</t>
  </si>
  <si>
    <t>AWUDU KALENZI</t>
  </si>
  <si>
    <t>GODWIN MWAKA</t>
  </si>
  <si>
    <t>Transfer Out</t>
  </si>
  <si>
    <t>njugulil</t>
  </si>
  <si>
    <t>maxmijer</t>
  </si>
  <si>
    <t>utraicym</t>
  </si>
  <si>
    <t>venemoku</t>
  </si>
  <si>
    <t>Wendy Wanja KINYAGA</t>
  </si>
  <si>
    <t>Breda chepkmoi Koech</t>
  </si>
  <si>
    <t>SUSAN RUGURU WANJIKU</t>
  </si>
  <si>
    <t>Violah Chepkirui</t>
  </si>
  <si>
    <t>Winfred Wayua</t>
  </si>
  <si>
    <t>Audrey Rael Naliaka</t>
  </si>
  <si>
    <t>Brenda Wambui Karerah</t>
  </si>
  <si>
    <t>Diana Jerono Kimutai</t>
  </si>
  <si>
    <t>Elise Nyatuka Colonel</t>
  </si>
  <si>
    <t>Eunice Muthoni</t>
  </si>
  <si>
    <t>Faith Jepkoech</t>
  </si>
  <si>
    <t>Jane Wangari Maina</t>
  </si>
  <si>
    <t>Joan Chepngetich</t>
  </si>
  <si>
    <t>Edwin Kiplimo Bomet</t>
  </si>
  <si>
    <t>Elizabeth Njeri Mungai</t>
  </si>
  <si>
    <t>James Ochieng</t>
  </si>
  <si>
    <t>Joseph Wekesa</t>
  </si>
  <si>
    <t>Lawrencious Mutindi Mbeneka</t>
  </si>
  <si>
    <t>MARIAM KAGOYA NAMUDIRA</t>
  </si>
  <si>
    <t>SSEMAKULA SAM</t>
  </si>
  <si>
    <t>pbmateke</t>
  </si>
  <si>
    <t>BRIAN MATEKE</t>
  </si>
  <si>
    <t xml:space="preserve">NSUBUGA ARNOLD AMOS </t>
  </si>
  <si>
    <t>CHAWEZI GERESHOM HARAWA</t>
  </si>
  <si>
    <t>HETHERWICK SAKA NJATI</t>
  </si>
  <si>
    <t>ALI WAILAGALA</t>
  </si>
  <si>
    <t>GODFREY SSENTUMBWE</t>
  </si>
  <si>
    <t>MUDASHIRU NSAAMU</t>
  </si>
  <si>
    <t>ANDREW MUTUNGI</t>
  </si>
  <si>
    <t>DANIEL KAMWATHENDO</t>
  </si>
  <si>
    <t>fsangula</t>
  </si>
  <si>
    <t>FREDO SANGULAYA</t>
  </si>
  <si>
    <t>JOSUA CHISAMBA</t>
  </si>
  <si>
    <t>JONATHAN MWESIGWA KIBUYE</t>
  </si>
  <si>
    <t>MARTIN GOSHEN LWANGA</t>
  </si>
  <si>
    <t>Paul Magembe</t>
  </si>
  <si>
    <t>asante namacha</t>
  </si>
  <si>
    <t>andleemu</t>
  </si>
  <si>
    <t>Lee Muriuki Ndeke</t>
  </si>
  <si>
    <t>jacobkip</t>
  </si>
  <si>
    <t>Jacob Kipketer</t>
  </si>
  <si>
    <t>shadraat</t>
  </si>
  <si>
    <t>Shadrack Atela</t>
  </si>
  <si>
    <t>rmuthosi</t>
  </si>
  <si>
    <t>SIMON KINYANJUI Muthoni</t>
  </si>
  <si>
    <t>kipkosgj</t>
  </si>
  <si>
    <t>MATHEW KIMELI KIPKOSGEI</t>
  </si>
  <si>
    <t>kengachu</t>
  </si>
  <si>
    <t>Kennedy Maina Gachui</t>
  </si>
  <si>
    <t>kimutcol</t>
  </si>
  <si>
    <t>Collins Kimutai</t>
  </si>
  <si>
    <t>jhabshai</t>
  </si>
  <si>
    <t>Habeeb Shaik</t>
  </si>
  <si>
    <t>islmehez</t>
  </si>
  <si>
    <t>Mehebub Islam</t>
  </si>
  <si>
    <t>eindrakr</t>
  </si>
  <si>
    <t>Indra Kumar Ray</t>
  </si>
  <si>
    <t>sanjajev</t>
  </si>
  <si>
    <t>SANJAY JERALD</t>
  </si>
  <si>
    <t>kiremkel</t>
  </si>
  <si>
    <t>Kelvin Munene Kirema</t>
  </si>
  <si>
    <t>damatile</t>
  </si>
  <si>
    <t>Tilesh Damai</t>
  </si>
  <si>
    <t>denmbium</t>
  </si>
  <si>
    <t>Dennis Mbiu</t>
  </si>
  <si>
    <t>lewmaina</t>
  </si>
  <si>
    <t>Lewis Maina</t>
  </si>
  <si>
    <t>ukipetej</t>
  </si>
  <si>
    <t>JORAM KIPETER</t>
  </si>
  <si>
    <t>boickelv</t>
  </si>
  <si>
    <t>KELVIN KIMUTAI BOIT</t>
  </si>
  <si>
    <t>shadraob</t>
  </si>
  <si>
    <t>Shadrack Obi</t>
  </si>
  <si>
    <t>hossamdj</t>
  </si>
  <si>
    <t>MD Monir Hossain</t>
  </si>
  <si>
    <t>muhzirfa</t>
  </si>
  <si>
    <t xml:space="preserve">Irfan,Muhammad </t>
  </si>
  <si>
    <t>kinyawen</t>
  </si>
  <si>
    <t>bredacko</t>
  </si>
  <si>
    <t>suwanjik</t>
  </si>
  <si>
    <t>chepkvio</t>
  </si>
  <si>
    <t>winwayua</t>
  </si>
  <si>
    <t>nalhaudr</t>
  </si>
  <si>
    <t>karerahb</t>
  </si>
  <si>
    <t>dianajek</t>
  </si>
  <si>
    <t>elisenco</t>
  </si>
  <si>
    <t>mueunice</t>
  </si>
  <si>
    <t>faitjepk</t>
  </si>
  <si>
    <t>maijanew</t>
  </si>
  <si>
    <t>chepjoan</t>
  </si>
  <si>
    <t>bfedwink</t>
  </si>
  <si>
    <t>elizmunu</t>
  </si>
  <si>
    <t>ochijame</t>
  </si>
  <si>
    <t>wekejose</t>
  </si>
  <si>
    <t>lmbeneka</t>
  </si>
  <si>
    <t>namudirq</t>
  </si>
  <si>
    <t>samssema</t>
  </si>
  <si>
    <t>arnonsub</t>
  </si>
  <si>
    <t>chawezih</t>
  </si>
  <si>
    <t>hethesak</t>
  </si>
  <si>
    <t>ssentumg</t>
  </si>
  <si>
    <t>munsaamu</t>
  </si>
  <si>
    <t>andmutun</t>
  </si>
  <si>
    <t>kamwadan</t>
  </si>
  <si>
    <t>chijosua</t>
  </si>
  <si>
    <t>ukijonat</t>
  </si>
  <si>
    <t>lwangazm</t>
  </si>
  <si>
    <t>magepaul</t>
  </si>
  <si>
    <t>qnamacha</t>
  </si>
  <si>
    <t>abdallhg</t>
  </si>
  <si>
    <t>Abdallah Haza</t>
  </si>
  <si>
    <t>briaglil</t>
  </si>
  <si>
    <t>Brian Lilan</t>
  </si>
  <si>
    <t>brkiprut</t>
  </si>
  <si>
    <t>BRENDA KIPRUTO KIPRUTO</t>
  </si>
  <si>
    <t>bocollns</t>
  </si>
  <si>
    <t>COLLNS KIPCHIRCHIR BORGUTT</t>
  </si>
  <si>
    <t>kipruthc</t>
  </si>
  <si>
    <t>Ruth Chepkemboi Kipchirchir</t>
  </si>
  <si>
    <t>namasara</t>
  </si>
  <si>
    <t>Namakula,Sarah</t>
  </si>
  <si>
    <t>dachepkv</t>
  </si>
  <si>
    <t>CHEPKOECH,DAISY</t>
  </si>
  <si>
    <t>yrotichc</t>
  </si>
  <si>
    <t>ROTICH,CYNTHIA JEPKOSGEI</t>
  </si>
  <si>
    <t>jingekwa</t>
  </si>
  <si>
    <t>JINA MOSINGA EKWALLA</t>
  </si>
  <si>
    <t>elviskyl</t>
  </si>
  <si>
    <t>ELVIS KYLE KAYEMBA</t>
  </si>
  <si>
    <t>abubodon</t>
  </si>
  <si>
    <t>ABUBAKAESWIDIQ ODONGO</t>
  </si>
  <si>
    <t>odekjohn</t>
  </si>
  <si>
    <t>JOHN ODEKE</t>
  </si>
  <si>
    <t>alemuyom</t>
  </si>
  <si>
    <t>ALEX MUYOMBA</t>
  </si>
  <si>
    <t>mogumusi</t>
  </si>
  <si>
    <t>MOSES GUMUSIRIZA</t>
  </si>
  <si>
    <t>dxogwang</t>
  </si>
  <si>
    <t>DAVID OGWANG</t>
  </si>
  <si>
    <t>simwtimo</t>
  </si>
  <si>
    <t>TIMOTHY SIMWENDE</t>
  </si>
  <si>
    <t>devssebb</t>
  </si>
  <si>
    <t>DEVIS SSEBBUGGA</t>
  </si>
  <si>
    <t>muhbrigh</t>
  </si>
  <si>
    <t>BRIGHTON MUHEREZA</t>
  </si>
  <si>
    <t>kellkama</t>
  </si>
  <si>
    <t>KELLY WAMBUI KAMAU</t>
  </si>
  <si>
    <t>meahyema</t>
  </si>
  <si>
    <t>Mercy Ahyemang</t>
  </si>
  <si>
    <t>jeptoonf</t>
  </si>
  <si>
    <t>Nancy Jeptoo</t>
  </si>
  <si>
    <t>gkanelly</t>
  </si>
  <si>
    <t>Nelly katthambi</t>
  </si>
  <si>
    <t>xsamkhat</t>
  </si>
  <si>
    <t>Samina Khatoon</t>
  </si>
  <si>
    <t>chepkosh</t>
  </si>
  <si>
    <t>Sheila Chepkoech</t>
  </si>
  <si>
    <t>mohasopj</t>
  </si>
  <si>
    <t>Sophia Andaiyi Mohammed</t>
  </si>
  <si>
    <t>susanwak</t>
  </si>
  <si>
    <t>Susan Waruguru Kanyi</t>
  </si>
  <si>
    <t>kwailaga</t>
  </si>
  <si>
    <t>dianahje</t>
  </si>
  <si>
    <t>AGUI,DIANAH JEROTICH</t>
  </si>
  <si>
    <t>allanmub</t>
  </si>
  <si>
    <t>ALLAN MUBANGIZI</t>
  </si>
  <si>
    <t>jkusasir</t>
  </si>
  <si>
    <t>JOSEPHATE KUSASIRA</t>
  </si>
  <si>
    <t xml:space="preserve">JEROP FAITH </t>
  </si>
  <si>
    <t>ukargjoh</t>
  </si>
  <si>
    <t>JOHN KARGBO</t>
  </si>
  <si>
    <t>ibrnafig</t>
  </si>
  <si>
    <t>Nafiu Ibrahim</t>
  </si>
  <si>
    <t>HELLEN tanasho BWALYA</t>
  </si>
  <si>
    <t>anrdhj</t>
  </si>
  <si>
    <t>Kuchicha,Thembi</t>
  </si>
  <si>
    <t>ykkoffi</t>
  </si>
  <si>
    <t>Koffi,Yao Pacome</t>
  </si>
  <si>
    <t>canudamo</t>
  </si>
  <si>
    <t>Damodaran,Anu</t>
  </si>
  <si>
    <t>EFS - Vendor POC</t>
  </si>
  <si>
    <t>kyeisolo</t>
  </si>
  <si>
    <t>aomali</t>
  </si>
  <si>
    <t>Ahmed,Ali</t>
  </si>
  <si>
    <t>chachabf</t>
  </si>
  <si>
    <t>Makenge,Brian Chacha</t>
  </si>
  <si>
    <t>michbawa</t>
  </si>
  <si>
    <t>Michael Assibid Bawa</t>
  </si>
  <si>
    <t>njitaria</t>
  </si>
  <si>
    <t>Abdel Koudous Njitari Mah</t>
  </si>
  <si>
    <t>kiwanuab</t>
  </si>
  <si>
    <t>ABDURASHID KIWANUKA</t>
  </si>
  <si>
    <t>ahmeumef</t>
  </si>
  <si>
    <t>Ahmed Tidjan Mefire Nchankou</t>
  </si>
  <si>
    <t>jalanssh</t>
  </si>
  <si>
    <t>ALAN SHIJU SHIJU</t>
  </si>
  <si>
    <t>alectilo</t>
  </si>
  <si>
    <t>AlecTilowakuti</t>
  </si>
  <si>
    <t>aliallaf</t>
  </si>
  <si>
    <t>Allafha Ali</t>
  </si>
  <si>
    <t>amkkamar</t>
  </si>
  <si>
    <t>AMIDU KAMARA</t>
  </si>
  <si>
    <t>bjemuasc</t>
  </si>
  <si>
    <t>gbnyiren</t>
  </si>
  <si>
    <t>BRENDANYIRENDASINGINI</t>
  </si>
  <si>
    <t>okrahcha</t>
  </si>
  <si>
    <t>CHARLESOKRAH</t>
  </si>
  <si>
    <t>chsampan</t>
  </si>
  <si>
    <t>ChristianaYamigmahSampana</t>
  </si>
  <si>
    <t>tamahdan</t>
  </si>
  <si>
    <t>DanielKwekuTamah</t>
  </si>
  <si>
    <t>bowusuda</t>
  </si>
  <si>
    <t>DanielOwusu</t>
  </si>
  <si>
    <t>emmbrobb</t>
  </si>
  <si>
    <t>opoemman</t>
  </si>
  <si>
    <t>cenocasa</t>
  </si>
  <si>
    <t>EnockAsante</t>
  </si>
  <si>
    <t>bericyaw</t>
  </si>
  <si>
    <t>EricYawBruku</t>
  </si>
  <si>
    <t>owuevely</t>
  </si>
  <si>
    <t>chepkodf</t>
  </si>
  <si>
    <t>mambbfra</t>
  </si>
  <si>
    <t>franokai</t>
  </si>
  <si>
    <t>germubir</t>
  </si>
  <si>
    <t>RAJUGHIM</t>
  </si>
  <si>
    <t>Ghimire,Raju</t>
  </si>
  <si>
    <t>manjegra</t>
  </si>
  <si>
    <t>GraceManjengwa</t>
  </si>
  <si>
    <t>harickda</t>
  </si>
  <si>
    <t>HARICKDANSO</t>
  </si>
  <si>
    <t>ikomhari</t>
  </si>
  <si>
    <t xml:space="preserve">Ikome Mbah,Harikia </t>
  </si>
  <si>
    <t>nbalakji</t>
  </si>
  <si>
    <t>JISHNUKIDANGAYATHBALAKRISHNAN</t>
  </si>
  <si>
    <t>johnngek</t>
  </si>
  <si>
    <t>Johnngerekiarie</t>
  </si>
  <si>
    <t>fnjuliet</t>
  </si>
  <si>
    <t>JulietNanyombi</t>
  </si>
  <si>
    <t>leeyntem</t>
  </si>
  <si>
    <t>LeeyntengMarienette</t>
  </si>
  <si>
    <t>abwlinda</t>
  </si>
  <si>
    <t>LindaSallyAbit</t>
  </si>
  <si>
    <t>quayeell</t>
  </si>
  <si>
    <t>LloydQuaye</t>
  </si>
  <si>
    <t>agabamag</t>
  </si>
  <si>
    <t>MARTINAGABA</t>
  </si>
  <si>
    <t>essummau</t>
  </si>
  <si>
    <t>MaryEssumang</t>
  </si>
  <si>
    <t>chingmel</t>
  </si>
  <si>
    <t>MelodyChingore</t>
  </si>
  <si>
    <t>abedmkas</t>
  </si>
  <si>
    <t>MkasiMwalimuAbedi</t>
  </si>
  <si>
    <t>ADIMUHAM</t>
  </si>
  <si>
    <t>MuhammadAdil</t>
  </si>
  <si>
    <t>nmbella</t>
  </si>
  <si>
    <t>NdutuMbellaGilbert</t>
  </si>
  <si>
    <t>nurenisd</t>
  </si>
  <si>
    <t>NureniSalifu</t>
  </si>
  <si>
    <t>bpetenti</t>
  </si>
  <si>
    <t>PeterNti</t>
  </si>
  <si>
    <t>phumuzin</t>
  </si>
  <si>
    <t>PhumuzileNdlovu</t>
  </si>
  <si>
    <t>rahanraj</t>
  </si>
  <si>
    <t>RAHANRAJRAJEEVAN</t>
  </si>
  <si>
    <t>ribnyame</t>
  </si>
  <si>
    <t>RichmondNyame</t>
  </si>
  <si>
    <t>jrockson</t>
  </si>
  <si>
    <t>RocksonAwusiJunior</t>
  </si>
  <si>
    <t>ruteshun</t>
  </si>
  <si>
    <t>RuthJacklineEshun</t>
  </si>
  <si>
    <t>vsadimoh</t>
  </si>
  <si>
    <t>SADIQMOHAMMED</t>
  </si>
  <si>
    <t>sandrtka</t>
  </si>
  <si>
    <t>SandrtaNalubegaKasozi</t>
  </si>
  <si>
    <t>sentshaf</t>
  </si>
  <si>
    <t>ShafikSentongo</t>
  </si>
  <si>
    <t>ksesteph</t>
  </si>
  <si>
    <t>STEPHENSEETA</t>
  </si>
  <si>
    <t>ustemain</t>
  </si>
  <si>
    <t>STEVEMBUGUAMAINA</t>
  </si>
  <si>
    <t>tabtabi</t>
  </si>
  <si>
    <t>TabiPeterTabi</t>
  </si>
  <si>
    <t>taatinde</t>
  </si>
  <si>
    <t>TabithaMonicaAtinde</t>
  </si>
  <si>
    <t>gittabit</t>
  </si>
  <si>
    <t>TABITHAWANJIRAGITAU</t>
  </si>
  <si>
    <t>tashindu</t>
  </si>
  <si>
    <t>TashingaWiddyDumba</t>
  </si>
  <si>
    <t>thtorgbo</t>
  </si>
  <si>
    <t>TheophilusTorgbor</t>
  </si>
  <si>
    <t>totuhais</t>
  </si>
  <si>
    <t>TOMTUHAISE</t>
  </si>
  <si>
    <t>vicwquay</t>
  </si>
  <si>
    <t>VICTORIAQUAYSON</t>
  </si>
  <si>
    <t>ivinceas</t>
  </si>
  <si>
    <t>VINCENTASHITEY</t>
  </si>
  <si>
    <t>SMUHAMA</t>
  </si>
  <si>
    <t>Muhammad Shahzad</t>
  </si>
  <si>
    <t>ashifzah</t>
  </si>
  <si>
    <t>AHAMED,ASHIF</t>
  </si>
  <si>
    <t>arathikx</t>
  </si>
  <si>
    <t>KARICHERY,ARATHI </t>
  </si>
  <si>
    <t>thomtonp</t>
  </si>
  <si>
    <t>THOMAS JOSEPH,TONY</t>
  </si>
  <si>
    <t>frategek</t>
  </si>
  <si>
    <t>FRANCIS ATEGEKA</t>
  </si>
  <si>
    <t>kalyange</t>
  </si>
  <si>
    <t>GERALD KALYANGO</t>
  </si>
  <si>
    <t>qmukalaz</t>
  </si>
  <si>
    <t>JACOB MUKALAZI</t>
  </si>
  <si>
    <t>mugirich</t>
  </si>
  <si>
    <t>RICHARD MUGISHA</t>
  </si>
  <si>
    <t>musisrop</t>
  </si>
  <si>
    <t>ROBERT MUSISI</t>
  </si>
  <si>
    <t>juesaidi</t>
  </si>
  <si>
    <t>SAIDI JUNIOR LUBEGA</t>
  </si>
  <si>
    <t>siasiimw</t>
  </si>
  <si>
    <t>Simon Asimwe</t>
  </si>
  <si>
    <t>akufhenv</t>
  </si>
  <si>
    <t>Akuffo,Henry</t>
  </si>
  <si>
    <t>abdwaak</t>
  </si>
  <si>
    <t>ABDUL WAAKO</t>
  </si>
  <si>
    <t>ndiranio</t>
  </si>
  <si>
    <t>Diranie Buteh Omah</t>
  </si>
  <si>
    <t>josompau</t>
  </si>
  <si>
    <t>JOSHUA MPAULO</t>
  </si>
  <si>
    <t>momukisa</t>
  </si>
  <si>
    <t>MOSES MUKISA</t>
  </si>
  <si>
    <t>dronkate</t>
  </si>
  <si>
    <t>RONALD KATENDE</t>
  </si>
  <si>
    <t>ronalsse</t>
  </si>
  <si>
    <t>RONALD SSEBUKYU</t>
  </si>
  <si>
    <t>rssemand</t>
  </si>
  <si>
    <t>RONALD SSEMANDA</t>
  </si>
  <si>
    <t>Solomon Kyei</t>
  </si>
  <si>
    <t>halzaabi</t>
  </si>
  <si>
    <t>Alzaabi,Hamad</t>
  </si>
  <si>
    <t>denjeria</t>
  </si>
  <si>
    <t>Denin Jeril</t>
  </si>
  <si>
    <t>gautasu</t>
  </si>
  <si>
    <t>Suresh Gautam</t>
  </si>
  <si>
    <t>stephsuh</t>
  </si>
  <si>
    <t>Stephen Tante</t>
  </si>
  <si>
    <t>abdxmulu</t>
  </si>
  <si>
    <t>Abdulhakim Mulumba</t>
  </si>
  <si>
    <t>aboaerne</t>
  </si>
  <si>
    <t>ABOAGYE ERNEST</t>
  </si>
  <si>
    <t>sserutua</t>
  </si>
  <si>
    <t>Adam Sserutuka</t>
  </si>
  <si>
    <t>akanbria</t>
  </si>
  <si>
    <t>Akankwatsa Brian</t>
  </si>
  <si>
    <t>annojust</t>
  </si>
  <si>
    <t>ANNOBIL,JUSTICE</t>
  </si>
  <si>
    <t>arinasap</t>
  </si>
  <si>
    <t>ASAPH ARINAITWE</t>
  </si>
  <si>
    <t>shrashif</t>
  </si>
  <si>
    <t>ASHISH SHRESTHA</t>
  </si>
  <si>
    <t>babismar</t>
  </si>
  <si>
    <t>BAAH,BISMARK</t>
  </si>
  <si>
    <t>daviboag</t>
  </si>
  <si>
    <t>BOATENG DAVID</t>
  </si>
  <si>
    <t>vbulawre</t>
  </si>
  <si>
    <t>Buggo Lawrence</t>
  </si>
  <si>
    <t>tibainhd</t>
  </si>
  <si>
    <t>DAN TIBAINGANA</t>
  </si>
  <si>
    <t>dekiwanu</t>
  </si>
  <si>
    <t>DERRICK KIWANUKA</t>
  </si>
  <si>
    <t>edsomweb</t>
  </si>
  <si>
    <t>EDSON MWEBESA</t>
  </si>
  <si>
    <t>emmamusi</t>
  </si>
  <si>
    <t>EMMANUEL MUSIIME</t>
  </si>
  <si>
    <t>museriya</t>
  </si>
  <si>
    <t>ERIYA MUSOKE</t>
  </si>
  <si>
    <t>faroukki</t>
  </si>
  <si>
    <t>FAROUK KIBALAMA</t>
  </si>
  <si>
    <t>kibgasto</t>
  </si>
  <si>
    <t>GASTON KIBUGA</t>
  </si>
  <si>
    <t>isaackwa</t>
  </si>
  <si>
    <t>ISAAC KWADWO YEBOAH</t>
  </si>
  <si>
    <t>yijamer</t>
  </si>
  <si>
    <t>JAMES YIGA</t>
  </si>
  <si>
    <t>tsindijo</t>
  </si>
  <si>
    <t>Jockus Tsindika</t>
  </si>
  <si>
    <t>kubiandr</t>
  </si>
  <si>
    <t>KUBI,ANDREWS APPIAH </t>
  </si>
  <si>
    <t>douglakw</t>
  </si>
  <si>
    <t>KWAYIE,DOUGLAS</t>
  </si>
  <si>
    <t>nuwallat</t>
  </si>
  <si>
    <t>LATIB NUWALIMANYA</t>
  </si>
  <si>
    <t>kampmesh</t>
  </si>
  <si>
    <t>MESHACH KAMPAME</t>
  </si>
  <si>
    <t>mukakooz</t>
  </si>
  <si>
    <t>MUSA KAKOOZA</t>
  </si>
  <si>
    <t>pamoesse</t>
  </si>
  <si>
    <t>Prince Amo Essel</t>
  </si>
  <si>
    <t>bowusura</t>
  </si>
  <si>
    <t>RABBI OWUSU</t>
  </si>
  <si>
    <t>rictorac</t>
  </si>
  <si>
    <t>RICHARD AKENA TORACH</t>
  </si>
  <si>
    <t>kigsamso</t>
  </si>
  <si>
    <t>SAMSON KIGULI</t>
  </si>
  <si>
    <t>luswatst</t>
  </si>
  <si>
    <t>STEPHEN LUSWATA</t>
  </si>
  <si>
    <t>sulaamar</t>
  </si>
  <si>
    <t>SULAIMAN JAY AMARA</t>
  </si>
  <si>
    <t>kswamadu</t>
  </si>
  <si>
    <t>Swamadu Bukenya Kirya</t>
  </si>
  <si>
    <t>ssewante</t>
  </si>
  <si>
    <t>TONNY SSEWANTE</t>
  </si>
  <si>
    <t>kintuyac</t>
  </si>
  <si>
    <t>Yahaya Kintu</t>
  </si>
  <si>
    <t>adombill</t>
  </si>
  <si>
    <t>ADOMBILLA AWINIMI</t>
  </si>
  <si>
    <t>ategefre</t>
  </si>
  <si>
    <t>ATEGEKA FREDRICK</t>
  </si>
  <si>
    <t>kemeelij</t>
  </si>
  <si>
    <t>ELIJAH KEMEI</t>
  </si>
  <si>
    <t>kezirkis</t>
  </si>
  <si>
    <t>KISOLO KEZIRON ISAAC</t>
  </si>
  <si>
    <t>dngafred</t>
  </si>
  <si>
    <t>NGABIRANO FRED</t>
  </si>
  <si>
    <t>patrisir</t>
  </si>
  <si>
    <t>Patrick BARZILAI SIRGOI</t>
  </si>
  <si>
    <t>muhpinha</t>
  </si>
  <si>
    <t>PINHAS MUHUTHIA</t>
  </si>
  <si>
    <t>ssecharl</t>
  </si>
  <si>
    <t>SSEMUGAGGA CHARLES</t>
  </si>
  <si>
    <t>emmfofie</t>
  </si>
  <si>
    <t>osjosepf</t>
  </si>
  <si>
    <t>JosephOsei</t>
  </si>
  <si>
    <t>hissahza</t>
  </si>
  <si>
    <t>Zainab Issah</t>
  </si>
  <si>
    <t>alizhma</t>
  </si>
  <si>
    <t>Ahmad Ali Muhammad Anwar</t>
  </si>
  <si>
    <t>fairoowk</t>
  </si>
  <si>
    <t>khader,Fairoose Abdul</t>
  </si>
  <si>
    <t>kmadhusr</t>
  </si>
  <si>
    <t>Kandala Madhusudhan Rao</t>
  </si>
  <si>
    <t>ediradim</t>
  </si>
  <si>
    <t xml:space="preserve">Geo,Edilbert Geo Antony </t>
  </si>
  <si>
    <t>abaaamon</t>
  </si>
  <si>
    <t>AMON ABAASA</t>
  </si>
  <si>
    <t>wmasolwi</t>
  </si>
  <si>
    <t>WILLIAMMASOLE</t>
  </si>
  <si>
    <t>abonekay</t>
  </si>
  <si>
    <t>YAKUBUABONEKA</t>
  </si>
  <si>
    <t>Night shift</t>
  </si>
  <si>
    <t>ngabirco</t>
  </si>
  <si>
    <t>CosmaNgabirano</t>
  </si>
  <si>
    <t>emekweni</t>
  </si>
  <si>
    <t>EmmanuelObaseEkweni</t>
  </si>
  <si>
    <t>erameng</t>
  </si>
  <si>
    <t>kipngehi</t>
  </si>
  <si>
    <t>Hillary kipropkipngetich</t>
  </si>
  <si>
    <t>nanziril</t>
  </si>
  <si>
    <t>LillianNanziri</t>
  </si>
  <si>
    <t>mavconte</t>
  </si>
  <si>
    <t>MARIONCONTEH</t>
  </si>
  <si>
    <t>nyanprin</t>
  </si>
  <si>
    <t>PrinceNyanson</t>
  </si>
  <si>
    <t>musahrap</t>
  </si>
  <si>
    <t>RaphaelMusah</t>
  </si>
  <si>
    <t>mwansamw</t>
  </si>
  <si>
    <t>SamwelMwangiKamau</t>
  </si>
  <si>
    <t>folisuzw</t>
  </si>
  <si>
    <t>SuzzyFoli</t>
  </si>
  <si>
    <t>abanebar</t>
  </si>
  <si>
    <t>ABAHO,NEBART</t>
  </si>
  <si>
    <t>kasasabd</t>
  </si>
  <si>
    <t>ABDUL,KASASA</t>
  </si>
  <si>
    <t>abkasawu</t>
  </si>
  <si>
    <t>ABDUMALIK KASAWULI</t>
  </si>
  <si>
    <t>abrajnse</t>
  </si>
  <si>
    <t>ABRAHAM NSENGIUNVA</t>
  </si>
  <si>
    <t>ullazasa</t>
  </si>
  <si>
    <t>asad ullah</t>
  </si>
  <si>
    <t>mukamaay</t>
  </si>
  <si>
    <t>Ayubu Mukama</t>
  </si>
  <si>
    <t>bakawesa</t>
  </si>
  <si>
    <t>Bashiri Kawesa</t>
  </si>
  <si>
    <t>andebayi</t>
  </si>
  <si>
    <t>Bayingana Anderson</t>
  </si>
  <si>
    <t>btayebwe</t>
  </si>
  <si>
    <t>Benon Tayebwe</t>
  </si>
  <si>
    <t>bogerabd</t>
  </si>
  <si>
    <t>BOGERE ABDU</t>
  </si>
  <si>
    <t>braimuha</t>
  </si>
  <si>
    <t>BRAIN CHOSEN MUHUMUZA</t>
  </si>
  <si>
    <t>sattabob</t>
  </si>
  <si>
    <t>BRIGHT ATTA BOAHENE</t>
  </si>
  <si>
    <t>mainaoso</t>
  </si>
  <si>
    <t>Charles Maina Osora</t>
  </si>
  <si>
    <t>zchowusu</t>
  </si>
  <si>
    <t>CHARLES TONTO OWUSU</t>
  </si>
  <si>
    <t>cokipchu</t>
  </si>
  <si>
    <t>Cosmas Kipchumba</t>
  </si>
  <si>
    <t>mukaderi</t>
  </si>
  <si>
    <t>DERICK MUKAMA</t>
  </si>
  <si>
    <t>douglalx</t>
  </si>
  <si>
    <t>DOUGLAS ALEXANDA BIYUNGU</t>
  </si>
  <si>
    <t>edwamans</t>
  </si>
  <si>
    <t>Edward Ibrahim Mansaray</t>
  </si>
  <si>
    <t>okisakye</t>
  </si>
  <si>
    <t>EDWARD SSEMPIJJA KISAKYE</t>
  </si>
  <si>
    <t>obwemman</t>
  </si>
  <si>
    <t>EMMANUEL OBWANA</t>
  </si>
  <si>
    <t>koomsoer</t>
  </si>
  <si>
    <t>ERIC KUM KOOMSON</t>
  </si>
  <si>
    <t>evermbul</t>
  </si>
  <si>
    <t>EVERLYNE MBULA</t>
  </si>
  <si>
    <t>florndis</t>
  </si>
  <si>
    <t>Florence Nzulya Ndijya</t>
  </si>
  <si>
    <t>kasobfra</t>
  </si>
  <si>
    <t>Francis Kasobya</t>
  </si>
  <si>
    <t>geoekiye</t>
  </si>
  <si>
    <t>GEORGE KIYEMBA</t>
  </si>
  <si>
    <t>geokiwan</t>
  </si>
  <si>
    <t>GEORGE WILLIAM KIWANUKA</t>
  </si>
  <si>
    <t>ssegilbe</t>
  </si>
  <si>
    <t>Gilbert Ssembogga</t>
  </si>
  <si>
    <t>gumoshab</t>
  </si>
  <si>
    <t>GUMOSHABE JONAN</t>
  </si>
  <si>
    <t>kabhenry</t>
  </si>
  <si>
    <t>HENRY PETER KABANDA</t>
  </si>
  <si>
    <t>obanhuss</t>
  </si>
  <si>
    <t>HUSSEIN OBANDYO</t>
  </si>
  <si>
    <t>ibratuha</t>
  </si>
  <si>
    <t>Ibrahim Atuhairwe</t>
  </si>
  <si>
    <t>ainisaac</t>
  </si>
  <si>
    <t>ISAAC AINEBYONA</t>
  </si>
  <si>
    <t>isandyam</t>
  </si>
  <si>
    <t>Isaac ndyamuhaki</t>
  </si>
  <si>
    <t>mukujung</t>
  </si>
  <si>
    <t>ISAAH MUKUJUNGU</t>
  </si>
  <si>
    <t>ssemuyai</t>
  </si>
  <si>
    <t>IVAN SSEMUYABA</t>
  </si>
  <si>
    <t>adnjames</t>
  </si>
  <si>
    <t>JAMES ADADE</t>
  </si>
  <si>
    <t>asiimwja</t>
  </si>
  <si>
    <t>James Asiimwe</t>
  </si>
  <si>
    <t>javahmai</t>
  </si>
  <si>
    <t>Javanes Kingori Maina</t>
  </si>
  <si>
    <t>katojavi</t>
  </si>
  <si>
    <t>JAVIIRA,KATO</t>
  </si>
  <si>
    <t>javiramu</t>
  </si>
  <si>
    <t>JAVIRA MUTEBI</t>
  </si>
  <si>
    <t>jobubolo</t>
  </si>
  <si>
    <t>Joel Bubolo</t>
  </si>
  <si>
    <t>joolubeg</t>
  </si>
  <si>
    <t>JOHN LUBEGA</t>
  </si>
  <si>
    <t>thembjos</t>
  </si>
  <si>
    <t>JOSEPH MUNEYI THEMBO</t>
  </si>
  <si>
    <t>wasjustu</t>
  </si>
  <si>
    <t>Justus Wasswa Kakulu</t>
  </si>
  <si>
    <t>jkissawk</t>
  </si>
  <si>
    <t>KASIM KISSAW</t>
  </si>
  <si>
    <t>kayimose</t>
  </si>
  <si>
    <t>KAYIRA MOSES</t>
  </si>
  <si>
    <t>kazibwas</t>
  </si>
  <si>
    <t>KAZIBWA SIRAGI</t>
  </si>
  <si>
    <t>kufkamid</t>
  </si>
  <si>
    <t>KUFAM AMIDU</t>
  </si>
  <si>
    <t>abkwaben</t>
  </si>
  <si>
    <t>KWABENA ABOBIRE</t>
  </si>
  <si>
    <t>lameckoe</t>
  </si>
  <si>
    <t>LAMECK KIPKURGAT KOECH</t>
  </si>
  <si>
    <t>zluwunge</t>
  </si>
  <si>
    <t>LUWUNGE JAMES</t>
  </si>
  <si>
    <t>daudmaji</t>
  </si>
  <si>
    <t>MAJID DAUDA</t>
  </si>
  <si>
    <t>malingum</t>
  </si>
  <si>
    <t>Malingumu Jackson</t>
  </si>
  <si>
    <t>momatovu</t>
  </si>
  <si>
    <t>MATOVUMOHAMMAD</t>
  </si>
  <si>
    <t>mikegalc</t>
  </si>
  <si>
    <t>MIKE GALIWANGO</t>
  </si>
  <si>
    <t>misaelst</t>
  </si>
  <si>
    <t>MISAEL STEVEN BULIANI</t>
  </si>
  <si>
    <t>damisuse</t>
  </si>
  <si>
    <t>MISUSERA DAVID LUBWAMA</t>
  </si>
  <si>
    <t>moiddris</t>
  </si>
  <si>
    <t>MOHAMMED,IDDRISS</t>
  </si>
  <si>
    <t>ibramoro</t>
  </si>
  <si>
    <t>MORO IBRAHIM</t>
  </si>
  <si>
    <t>tugumemo</t>
  </si>
  <si>
    <t>MORRIS TUGUME</t>
  </si>
  <si>
    <t>twasmose</t>
  </si>
  <si>
    <t>MOSES WASSWA</t>
  </si>
  <si>
    <t>muhapibr</t>
  </si>
  <si>
    <t>MUHAMMED IBRAHIM</t>
  </si>
  <si>
    <t>muhanrod</t>
  </si>
  <si>
    <t>Muhangi Rodgers</t>
  </si>
  <si>
    <t>murssesa</t>
  </si>
  <si>
    <t>MURSHID SSESANGA</t>
  </si>
  <si>
    <t>issakmuz</t>
  </si>
  <si>
    <t>MUSTAPHA SABIT ISSAKA</t>
  </si>
  <si>
    <t>muwofaha</t>
  </si>
  <si>
    <t>MUWONGE,FAHAD</t>
  </si>
  <si>
    <t>rpnahabw</t>
  </si>
  <si>
    <t>NAHABWE RODGERS</t>
  </si>
  <si>
    <t>sharrifn</t>
  </si>
  <si>
    <t>NAJJIBU SHARRIFU</t>
  </si>
  <si>
    <t>znambusa</t>
  </si>
  <si>
    <t>NATHAN BAGHENDA MBUSA</t>
  </si>
  <si>
    <t>ukimtani</t>
  </si>
  <si>
    <t>NICHOLAS KIRWA KIMTAI</t>
  </si>
  <si>
    <t>freokelc</t>
  </si>
  <si>
    <t>OKELLO FRED</t>
  </si>
  <si>
    <t>petekamu</t>
  </si>
  <si>
    <t>PETER KAMULEGEYA</t>
  </si>
  <si>
    <t>ssettinp</t>
  </si>
  <si>
    <t>PETER SSETTINBA</t>
  </si>
  <si>
    <t>posiblji</t>
  </si>
  <si>
    <t>POSIBLE JINGO</t>
  </si>
  <si>
    <t>aglagopr</t>
  </si>
  <si>
    <t>PRINCE AGLAGOVI</t>
  </si>
  <si>
    <t>adebugar</t>
  </si>
  <si>
    <t>Rahumata Adebuga</t>
  </si>
  <si>
    <t>ssereaga</t>
  </si>
  <si>
    <t>REAGAN MAGUNGA SSEMBAJJWE</t>
  </si>
  <si>
    <t>keizokre</t>
  </si>
  <si>
    <t>Reuben Keizo Kisembo</t>
  </si>
  <si>
    <t>robembug</t>
  </si>
  <si>
    <t>ROBERT MBUGHEKI</t>
  </si>
  <si>
    <t>jsamuean</t>
  </si>
  <si>
    <t>SAMUEL ANNOR BOAITEY</t>
  </si>
  <si>
    <t>selaryea</t>
  </si>
  <si>
    <t>SETH LARYEA</t>
  </si>
  <si>
    <t>shafinda</t>
  </si>
  <si>
    <t>SHAFIK KYAZE NDAWULA</t>
  </si>
  <si>
    <t>sillahei</t>
  </si>
  <si>
    <t>SILLAH,IDRISSA</t>
  </si>
  <si>
    <t>kwlsimon</t>
  </si>
  <si>
    <t>SIMON KWAO</t>
  </si>
  <si>
    <t>huslssen</t>
  </si>
  <si>
    <t>SSENYONGA,HUSAMA</t>
  </si>
  <si>
    <t>muhwebst</t>
  </si>
  <si>
    <t>STEVEN MUHWEZI</t>
  </si>
  <si>
    <t>lubsulah</t>
  </si>
  <si>
    <t>SULAH LUBWAMA</t>
  </si>
  <si>
    <t>sagsumaq</t>
  </si>
  <si>
    <t>SUMAN SAG</t>
  </si>
  <si>
    <t>kisssylv</t>
  </si>
  <si>
    <t>SYLVESTER KISSEIH</t>
  </si>
  <si>
    <t>tadekizi</t>
  </si>
  <si>
    <t>Tadeo Kizito</t>
  </si>
  <si>
    <t>tumufran</t>
  </si>
  <si>
    <t>Tumusiime Frank</t>
  </si>
  <si>
    <t>twinamas</t>
  </si>
  <si>
    <t>TWINAMASIKO,COLLINS</t>
  </si>
  <si>
    <t>tysnabas</t>
  </si>
  <si>
    <t>TYSON NABASA</t>
  </si>
  <si>
    <t>kadumbul</t>
  </si>
  <si>
    <t>William Kadumbula</t>
  </si>
  <si>
    <t>mavuzaid</t>
  </si>
  <si>
    <t>ZAIDI MAVUGA</t>
  </si>
  <si>
    <t>kizmehth</t>
  </si>
  <si>
    <t>KIZHAKAYIL KARABIL,MEHTHAB HUSSAN</t>
  </si>
  <si>
    <t>sheshame</t>
  </si>
  <si>
    <t>Shameer,Sheikh Muhammad</t>
  </si>
  <si>
    <t>PURAKKAL</t>
  </si>
  <si>
    <t xml:space="preserve"> </t>
  </si>
  <si>
    <t>lmohsyed</t>
  </si>
  <si>
    <t>Ajeem,Syed</t>
  </si>
  <si>
    <t>AscaJemutai</t>
  </si>
  <si>
    <t>BrendaRubaya</t>
  </si>
  <si>
    <t>SUNDARAD</t>
  </si>
  <si>
    <t>DhakshinamoorthySundaramoorthy</t>
  </si>
  <si>
    <t>EmmanuelBrobbey</t>
  </si>
  <si>
    <t>EmmanuelFofie</t>
  </si>
  <si>
    <t>EmmanuelGyamfiOpoku</t>
  </si>
  <si>
    <t>EricAmengor</t>
  </si>
  <si>
    <t>EsmailaChambanAwawou</t>
  </si>
  <si>
    <t>EVELYNOWUSUAMENSAH</t>
  </si>
  <si>
    <t>EverlyneMills</t>
  </si>
  <si>
    <t>FaithChepkosgei</t>
  </si>
  <si>
    <t>FrancisMambwe</t>
  </si>
  <si>
    <t>FrancisOkai</t>
  </si>
  <si>
    <t>GeorginaAsiamah</t>
  </si>
  <si>
    <t>GERALDMUBIRU</t>
  </si>
  <si>
    <t>GideonAlusineMannah</t>
  </si>
  <si>
    <t>GloryAkumawah</t>
  </si>
  <si>
    <t>JAYPEEL</t>
  </si>
  <si>
    <t>JaypeeLopez</t>
  </si>
  <si>
    <t>LeonardKofie</t>
  </si>
  <si>
    <t>MuhammedPurakkal</t>
  </si>
  <si>
    <t>bavameer</t>
  </si>
  <si>
    <t>Meera,Bava Bahrudeen</t>
  </si>
  <si>
    <t>Sohail,Anis</t>
  </si>
  <si>
    <t>Dinberu,Eden</t>
  </si>
  <si>
    <t>Singh,Pardeep</t>
  </si>
  <si>
    <t>Lakkireddy,Sai Raghavendra Reddy</t>
  </si>
  <si>
    <t>Narshad,Muhammad</t>
  </si>
  <si>
    <t>Siddiqui,Amra Kausar Abdul Sajid</t>
  </si>
  <si>
    <t>helrashd</t>
  </si>
  <si>
    <t>gylrdg</t>
  </si>
  <si>
    <t>De Guzman,Gaylord Baliwag</t>
  </si>
  <si>
    <t>guyonl</t>
  </si>
  <si>
    <t>GUYON,Loubna</t>
  </si>
  <si>
    <t>neeruamz</t>
  </si>
  <si>
    <t>Sachdeva,Neeraj</t>
  </si>
  <si>
    <t>Joshi,Anirudh</t>
  </si>
  <si>
    <t>smmanojl</t>
  </si>
  <si>
    <t>Adamachi,Maria</t>
  </si>
  <si>
    <t>abdalgho</t>
  </si>
  <si>
    <t>El Ghoul,Abdallah</t>
  </si>
  <si>
    <t>Safety Coordinator</t>
  </si>
  <si>
    <t>Adecco - WFS Admin</t>
  </si>
  <si>
    <t>Workforce Staffing Coordinator</t>
  </si>
  <si>
    <t>Non-Inventory Receiver (NIR)</t>
  </si>
  <si>
    <t>yadamsad</t>
  </si>
  <si>
    <t>ADAMS SADICK</t>
  </si>
  <si>
    <t>emuhamia</t>
  </si>
  <si>
    <t>AHMED,MUHAMIN</t>
  </si>
  <si>
    <t xml:space="preserve">Mishra,Aman </t>
  </si>
  <si>
    <t>charmakp</t>
  </si>
  <si>
    <t>AKPAKA,CHARLES</t>
  </si>
  <si>
    <t>Warehouse Associate 6W</t>
  </si>
  <si>
    <t>andssema</t>
  </si>
  <si>
    <t>ANDREW DASILVER SSEMANDA</t>
  </si>
  <si>
    <t>andrmulv</t>
  </si>
  <si>
    <t>ANDREW MULUUTA</t>
  </si>
  <si>
    <t>ankinew</t>
  </si>
  <si>
    <t>ANKIT NEWAR</t>
  </si>
  <si>
    <t>Muhammad Narshad</t>
  </si>
  <si>
    <t>affulben</t>
  </si>
  <si>
    <t>BENJAMIN AFFUL</t>
  </si>
  <si>
    <t>dpbikram</t>
  </si>
  <si>
    <t>BIKRAM DHAKAL</t>
  </si>
  <si>
    <t>biseswak</t>
  </si>
  <si>
    <t>BISESWAR KUMAR THAKUR</t>
  </si>
  <si>
    <t>sundabru</t>
  </si>
  <si>
    <t>Bruce sunday</t>
  </si>
  <si>
    <t>rzcolema</t>
  </si>
  <si>
    <t>COLEMAN,ROBERT</t>
  </si>
  <si>
    <t>danaaoda</t>
  </si>
  <si>
    <t>DANAA,DAVID</t>
  </si>
  <si>
    <t>emwanamb</t>
  </si>
  <si>
    <t>Emma Wanabwa</t>
  </si>
  <si>
    <t>harthufr</t>
  </si>
  <si>
    <t>FRANCIS ARTHUR</t>
  </si>
  <si>
    <t>cudjoeif</t>
  </si>
  <si>
    <t>FRANCIS CUDJOE</t>
  </si>
  <si>
    <t>nuwafrag</t>
  </si>
  <si>
    <t>FRANK NUWAHEREZA</t>
  </si>
  <si>
    <t>ssegeoff</t>
  </si>
  <si>
    <t>GEOFFREY SSEMPA</t>
  </si>
  <si>
    <t>kkibehar</t>
  </si>
  <si>
    <t>HARUNAH KIBENGO</t>
  </si>
  <si>
    <t>innamany</t>
  </si>
  <si>
    <t>INNOCENT CLINTON AMANYA</t>
  </si>
  <si>
    <t>otiinnoc</t>
  </si>
  <si>
    <t>INNOCENT OTIM</t>
  </si>
  <si>
    <t>nabonisa</t>
  </si>
  <si>
    <t>ISAAC NABONGO</t>
  </si>
  <si>
    <t>katamgjo</t>
  </si>
  <si>
    <t>JOHN KATAMBA</t>
  </si>
  <si>
    <t>jothembo</t>
  </si>
  <si>
    <t>JOHN THEMBO</t>
  </si>
  <si>
    <t>henrjora</t>
  </si>
  <si>
    <t>JORAM HENRY WONIALA</t>
  </si>
  <si>
    <t>joshirum</t>
  </si>
  <si>
    <t>JOSHUA IRUMBA</t>
  </si>
  <si>
    <t>okulyjos</t>
  </si>
  <si>
    <t>JOSHUA OKULA</t>
  </si>
  <si>
    <t>tkalfran</t>
  </si>
  <si>
    <t>KALULE,FRANK</t>
  </si>
  <si>
    <t>auguskam</t>
  </si>
  <si>
    <t>KAMANDA,AUGUSTINE</t>
  </si>
  <si>
    <t>mukailka</t>
  </si>
  <si>
    <t>KASSIM,MUKAILA</t>
  </si>
  <si>
    <t>kennenav</t>
  </si>
  <si>
    <t>KENNETH NAYEBARE</t>
  </si>
  <si>
    <t>turykenn</t>
  </si>
  <si>
    <t>KENNETH TURYAMUREBA</t>
  </si>
  <si>
    <t>kulmika</t>
  </si>
  <si>
    <t>KULE,MIKA MUSIME</t>
  </si>
  <si>
    <t>weermich</t>
  </si>
  <si>
    <t>MICHEAL WEERE</t>
  </si>
  <si>
    <t>razaxmo</t>
  </si>
  <si>
    <t>Mohammad Khalid Raza</t>
  </si>
  <si>
    <t>mukalash</t>
  </si>
  <si>
    <t>MUKALAZI,SHAFIC</t>
  </si>
  <si>
    <t>abigaboi</t>
  </si>
  <si>
    <t>ONESMAS ABIGABA</t>
  </si>
  <si>
    <t>gyamfinp</t>
  </si>
  <si>
    <t>PHILIP GYAMFI</t>
  </si>
  <si>
    <t>shaandhk</t>
  </si>
  <si>
    <t>SHAFIC ANDHI</t>
  </si>
  <si>
    <t>ayshedra</t>
  </si>
  <si>
    <t>SHEDRACK AYEBAZIBWE</t>
  </si>
  <si>
    <t>aijsimoj</t>
  </si>
  <si>
    <t>SIMON AIJUKA</t>
  </si>
  <si>
    <t>tesadamu</t>
  </si>
  <si>
    <t>TEBIGWAYO SADAMU</t>
  </si>
  <si>
    <t>timokino</t>
  </si>
  <si>
    <t>TIMOTHY KINONGO</t>
  </si>
  <si>
    <t>wilmande</t>
  </si>
  <si>
    <t>WILSON MANDELA</t>
  </si>
  <si>
    <t>wimumber</t>
  </si>
  <si>
    <t>WILSON MUMBERE</t>
  </si>
  <si>
    <t>sgiftyaw</t>
  </si>
  <si>
    <t>Gifty Awuah Ghanaian</t>
  </si>
  <si>
    <t>elizmung</t>
  </si>
  <si>
    <t>ELIZABETH NDUNGE MUNGUTI</t>
  </si>
  <si>
    <t>kyeicynt</t>
  </si>
  <si>
    <t>CYNTHIA KYEI BAFFOUR</t>
  </si>
  <si>
    <t>chkwinni</t>
  </si>
  <si>
    <t>Winnie Chepchichir</t>
  </si>
  <si>
    <t>depporah</t>
  </si>
  <si>
    <t>Depporah Nyamusi</t>
  </si>
  <si>
    <t>kwartnao</t>
  </si>
  <si>
    <t>NAOMI KWARTENG</t>
  </si>
  <si>
    <t>araalfra</t>
  </si>
  <si>
    <t>FRANCIS ARAALI MUTEGEKI</t>
  </si>
  <si>
    <t>agyeklin</t>
  </si>
  <si>
    <t>KLINSMAN AGYEI</t>
  </si>
  <si>
    <t>kamalize</t>
  </si>
  <si>
    <t>Emmanuel Kamalizeni</t>
  </si>
  <si>
    <t>lraghava</t>
  </si>
  <si>
    <t>ansammar</t>
  </si>
  <si>
    <t>Ansari,Ammar Abdullah</t>
  </si>
  <si>
    <t>ismchasy</t>
  </si>
  <si>
    <t>Ismail,Syed</t>
  </si>
  <si>
    <t>bbenjowu</t>
  </si>
  <si>
    <t>OWUSU,BENJAMIN</t>
  </si>
  <si>
    <t>wilfwood</t>
  </si>
  <si>
    <t>WOODE BROWN,WILFRED</t>
  </si>
  <si>
    <t>eliasabu</t>
  </si>
  <si>
    <t>ABUBAKARI,ELIASU</t>
  </si>
  <si>
    <t>cynttanu</t>
  </si>
  <si>
    <t>Tanui,Cynthia Jepkoech</t>
  </si>
  <si>
    <t>jumakamb</t>
  </si>
  <si>
    <t>Jogi,Juma Kambi</t>
  </si>
  <si>
    <t>bremwang</t>
  </si>
  <si>
    <t>Mwangi,Brenda Wangui</t>
  </si>
  <si>
    <t>maurrono</t>
  </si>
  <si>
    <t>Rono,Maureen Chebet</t>
  </si>
  <si>
    <t>mumonicv</t>
  </si>
  <si>
    <t>MUTUA,MONICA MUEN</t>
  </si>
  <si>
    <t>ngcicilx</t>
  </si>
  <si>
    <t>Ngethe,Cicilia Wairimu</t>
  </si>
  <si>
    <t>marymubw</t>
  </si>
  <si>
    <t>WAUSI,MARY MUTIO</t>
  </si>
  <si>
    <t>appiador</t>
  </si>
  <si>
    <t>Appiah,Dorcas Niamah</t>
  </si>
  <si>
    <t>fanqgise</t>
  </si>
  <si>
    <t>Fang,Giselle Fuen</t>
  </si>
  <si>
    <t>ssaamike</t>
  </si>
  <si>
    <t>Ssaabwe,Mike</t>
  </si>
  <si>
    <t>jeptanui</t>
  </si>
  <si>
    <t>Jeptanui,Violah</t>
  </si>
  <si>
    <t>catelenw</t>
  </si>
  <si>
    <t>MUCHERU,CATELEN WANJIRA</t>
  </si>
  <si>
    <t>busnabuw</t>
  </si>
  <si>
    <t>NABUWEMBO,BUSHILAH</t>
  </si>
  <si>
    <t>kibevely</t>
  </si>
  <si>
    <t>KIBAGE,EVELYN</t>
  </si>
  <si>
    <t>Manojlovic,Sandra</t>
  </si>
  <si>
    <t>aloielia</t>
  </si>
  <si>
    <t>ALOI,ELIAS</t>
  </si>
  <si>
    <t>chakkumm</t>
  </si>
  <si>
    <t>Chakkumkandath,Midhun</t>
  </si>
  <si>
    <t>thembik</t>
  </si>
  <si>
    <t>aliokorw</t>
  </si>
  <si>
    <t>batefrid</t>
  </si>
  <si>
    <t>garvmark</t>
  </si>
  <si>
    <t>osaeasam</t>
  </si>
  <si>
    <t>artigawi</t>
  </si>
  <si>
    <t>anolyatu</t>
  </si>
  <si>
    <t>gchancel</t>
  </si>
  <si>
    <t>mautfra</t>
  </si>
  <si>
    <t>janengit</t>
  </si>
  <si>
    <t>kibenanc</t>
  </si>
  <si>
    <t>chucopet</t>
  </si>
  <si>
    <t>sandrnam</t>
  </si>
  <si>
    <t>chebesha</t>
  </si>
  <si>
    <t>mjjepkem</t>
  </si>
  <si>
    <t>margdufi</t>
  </si>
  <si>
    <t>DUFIE MARY</t>
  </si>
  <si>
    <t>gideopwa</t>
  </si>
  <si>
    <t>GIDEON WANJALA WEYAULA</t>
  </si>
  <si>
    <t>vdelacyr</t>
  </si>
  <si>
    <t>CYRIL DELA AMAVIE</t>
  </si>
  <si>
    <t>fsarckoh</t>
  </si>
  <si>
    <t>FATU F SARCKOH BONARWOLO</t>
  </si>
  <si>
    <t>tckinuth</t>
  </si>
  <si>
    <t>Kinuthia,Caroline Wachera</t>
  </si>
  <si>
    <t>MERCY JEPKEMBOI</t>
  </si>
  <si>
    <t>ALICE KORWOR</t>
  </si>
  <si>
    <t>FRIDA BATE ENOW</t>
  </si>
  <si>
    <t>GARVIN MARK ALIGAWEESA</t>
  </si>
  <si>
    <t>SAMUEL OSAE ASHONG</t>
  </si>
  <si>
    <t>WISDOM ARTIGAH</t>
  </si>
  <si>
    <t>Anolyne Atukwatse</t>
  </si>
  <si>
    <t>Chanceline Fongwi Muluh</t>
  </si>
  <si>
    <t>FRANCIS OKECHI MAUTI</t>
  </si>
  <si>
    <t>Jane Njeri Gitau</t>
  </si>
  <si>
    <t>NANCY JEPTOO KIBET</t>
  </si>
  <si>
    <t>Peter Njoroge Chuchi</t>
  </si>
  <si>
    <t>SANDRA NAMARA</t>
  </si>
  <si>
    <t>Sharon Chebet</t>
  </si>
  <si>
    <t>kanyoalb</t>
  </si>
  <si>
    <t>nbashali</t>
  </si>
  <si>
    <t>tabiayuj</t>
  </si>
  <si>
    <t>echubobo</t>
  </si>
  <si>
    <t>kuncarol</t>
  </si>
  <si>
    <t>addlchri</t>
  </si>
  <si>
    <t>amukclin</t>
  </si>
  <si>
    <t>cosmkibe</t>
  </si>
  <si>
    <t>rseremda</t>
  </si>
  <si>
    <t>wedwinki</t>
  </si>
  <si>
    <t>emmaunea</t>
  </si>
  <si>
    <t>kourever</t>
  </si>
  <si>
    <t>fjefaith</t>
  </si>
  <si>
    <t>mnengnfl</t>
  </si>
  <si>
    <t>fredrimw</t>
  </si>
  <si>
    <t>fuissaka</t>
  </si>
  <si>
    <t>globquan</t>
  </si>
  <si>
    <t>commeygs</t>
  </si>
  <si>
    <t>cheropeg</t>
  </si>
  <si>
    <t>htameklo</t>
  </si>
  <si>
    <t>efhayfor</t>
  </si>
  <si>
    <t>kusiisa</t>
  </si>
  <si>
    <t>jopkolin</t>
  </si>
  <si>
    <t>rjwanjir</t>
  </si>
  <si>
    <t>knkumbuj</t>
  </si>
  <si>
    <t>chjoycec</t>
  </si>
  <si>
    <t>ngumaryw</t>
  </si>
  <si>
    <t>bushirna</t>
  </si>
  <si>
    <t>gakyeaop</t>
  </si>
  <si>
    <t>phoeboli</t>
  </si>
  <si>
    <t>ritjuoke</t>
  </si>
  <si>
    <t>samoluwa</t>
  </si>
  <si>
    <t>jerstelt</t>
  </si>
  <si>
    <t>sydoneye</t>
  </si>
  <si>
    <t>ikitusyl</t>
  </si>
  <si>
    <t>ellvicen</t>
  </si>
  <si>
    <t>violjepk</t>
  </si>
  <si>
    <t>vivianjb</t>
  </si>
  <si>
    <t>Fondwhit</t>
  </si>
  <si>
    <t>Albert Kanyoro</t>
  </si>
  <si>
    <t>ALI BASHIR KASAGA</t>
  </si>
  <si>
    <t>Arrey Tabiayuk Brandon</t>
  </si>
  <si>
    <t>BORIS ECHUBOU NANA</t>
  </si>
  <si>
    <t>CAROLINE WANJA</t>
  </si>
  <si>
    <t>CHRISTIANA ADDO</t>
  </si>
  <si>
    <t>Clinton Amukhoywa</t>
  </si>
  <si>
    <t>Cosmas Kirwa Kibet</t>
  </si>
  <si>
    <t>DAISY CHEPKEMBOI SEREM</t>
  </si>
  <si>
    <t>Edwin Kimani Wandui</t>
  </si>
  <si>
    <t>EMMAUNEL AYENSU</t>
  </si>
  <si>
    <t>Everline Nyamoita Ouru</t>
  </si>
  <si>
    <t>FAITH JEROP</t>
  </si>
  <si>
    <t>FLAVIN NENG NKHAN</t>
  </si>
  <si>
    <t>FREDRICK MWENDWA MWANIKI</t>
  </si>
  <si>
    <t>Fullera Issaka</t>
  </si>
  <si>
    <t>GLORIA QUANSAH</t>
  </si>
  <si>
    <t xml:space="preserve">Grace Kaaley Commey </t>
  </si>
  <si>
    <t>GRASHA CHEROP</t>
  </si>
  <si>
    <t>Happy Tamekloe</t>
  </si>
  <si>
    <t>Hayford Effah</t>
  </si>
  <si>
    <t>ISAAC KUSI MENSAH</t>
  </si>
  <si>
    <t>JOPKOEECH,LINDAH</t>
  </si>
  <si>
    <t>JOSEPH NJUGUNA WANJIRU</t>
  </si>
  <si>
    <t>JOSEPHINE NKUMBU CHI</t>
  </si>
  <si>
    <t>JOYCE CHEROP CHERUIYOT</t>
  </si>
  <si>
    <t>Mary wambui nguru</t>
  </si>
  <si>
    <t>Nassonko Bushirah</t>
  </si>
  <si>
    <t>OWUSU AKYEA OPARE</t>
  </si>
  <si>
    <t>PHOEBE OLINDO</t>
  </si>
  <si>
    <t>RITA JUO KEDZE</t>
  </si>
  <si>
    <t>SAMUEL OLUWALE LANGLEY</t>
  </si>
  <si>
    <t>STELLAH JEROP</t>
  </si>
  <si>
    <t>SYDONIE EYE TANGE</t>
  </si>
  <si>
    <t>SYLYN CHEROP KITUR</t>
  </si>
  <si>
    <t>VICENTIA ELLEN IDUN</t>
  </si>
  <si>
    <t>Violah Jepkemei</t>
  </si>
  <si>
    <t>Vivian chepchumba</t>
  </si>
  <si>
    <t>Whitney-Lois Fenui Fondanui</t>
  </si>
  <si>
    <t xml:space="preserve">Monday </t>
  </si>
  <si>
    <t xml:space="preserve">Tuesday </t>
  </si>
  <si>
    <t xml:space="preserve">Wednesday </t>
  </si>
  <si>
    <t xml:space="preserve">Sunday </t>
  </si>
  <si>
    <t xml:space="preserve">Thursday </t>
  </si>
  <si>
    <t xml:space="preserve">Friday </t>
  </si>
  <si>
    <t xml:space="preserve">Saturday </t>
  </si>
  <si>
    <t>DS</t>
  </si>
  <si>
    <t>Overall</t>
  </si>
  <si>
    <t>NS</t>
  </si>
  <si>
    <t>Annual Leave</t>
  </si>
  <si>
    <t xml:space="preserve">Attendance </t>
  </si>
  <si>
    <t>6th day OT</t>
  </si>
  <si>
    <t>Maternity Leave</t>
  </si>
  <si>
    <t>DWD Dashboard</t>
  </si>
  <si>
    <t>GB LEAVES</t>
  </si>
  <si>
    <t>Miss SOS punch</t>
  </si>
  <si>
    <t xml:space="preserve">Long Sick Leave </t>
  </si>
  <si>
    <t>Not Present</t>
  </si>
  <si>
    <t>Carry Forwarded Annual Leave</t>
  </si>
  <si>
    <t>Sick Leave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</si>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</sst>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(* #,##0.00_);_(* \(#,##0.00\);_(* &quot;-&quot;??_);_(@_)"/>
    <numFmt numFmtId="164" formatCode="yyyy\-mm\-dd;@"/>
    <numFmt numFmtId="165" formatCode="[$-409]d\-mmm\-yy;@"/>
    <numFmt numFmtId="166" formatCode="[$-F400]h:mm:ss\ AM/PM"/>
    <numFmt numFmtId="167" formatCode="[$-409]dd\-mmm\-yy;@"/>
    <numFmt numFmtId="168" formatCode="0.0"/>
    <numFmt numFmtId="169" formatCode="0.0000"/>
    <numFmt numFmtId="170" formatCode="[$-409]h:mm\ AM/PM;@"/>
    <numFmt numFmtId="171" formatCode="[$-F800]dddd\,\ mmmm\ dd\,\ yyyy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Aptos Narrow"/>
      <family val="2"/>
    </font>
    <font>
      <sz val="9"/>
      <color rgb="FF000000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3" fillId="0" borderId="0"/>
    <xf numFmtId="0" fontId="1" fillId="0" borderId="0" applyBorder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179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 applyProtection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0" fontId="2" fillId="0" borderId="1" xfId="1" applyNumberFormat="1" applyFont="1" applyBorder="1" applyAlignment="1" applyProtection="1">
      <alignment horizontal="center"/>
    </xf>
    <xf numFmtId="9" fontId="2" fillId="0" borderId="12" xfId="1" applyFont="1" applyBorder="1" applyAlignment="1" applyProtection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9" fontId="5" fillId="7" borderId="12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22" xfId="1" applyFont="1" applyBorder="1" applyAlignment="1" applyProtection="1">
      <alignment horizontal="center"/>
    </xf>
    <xf numFmtId="9" fontId="2" fillId="0" borderId="24" xfId="1" applyFont="1" applyBorder="1" applyAlignment="1" applyProtection="1">
      <alignment horizontal="center"/>
    </xf>
    <xf numFmtId="9" fontId="2" fillId="0" borderId="23" xfId="1" applyFont="1" applyBorder="1" applyAlignment="1" applyProtection="1">
      <alignment horizontal="center"/>
    </xf>
    <xf numFmtId="0" fontId="6" fillId="9" borderId="1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10" fontId="6" fillId="9" borderId="1" xfId="1" applyNumberFormat="1" applyFont="1" applyFill="1" applyBorder="1" applyAlignment="1" applyProtection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10" fontId="6" fillId="9" borderId="1" xfId="1" applyNumberFormat="1" applyFont="1" applyFill="1" applyBorder="1" applyAlignment="1" applyProtection="1">
      <alignment horizontal="center"/>
    </xf>
    <xf numFmtId="0" fontId="6" fillId="9" borderId="16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165" fontId="4" fillId="8" borderId="1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5" fontId="8" fillId="8" borderId="3" xfId="0" applyNumberFormat="1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10" fontId="2" fillId="0" borderId="0" xfId="1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1" applyNumberFormat="1" applyFont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10" fontId="2" fillId="0" borderId="5" xfId="1" applyNumberFormat="1" applyFont="1" applyBorder="1" applyAlignment="1" applyProtection="1">
      <alignment horizontal="center" vertical="center"/>
    </xf>
    <xf numFmtId="0" fontId="2" fillId="0" borderId="5" xfId="1" applyNumberFormat="1" applyFont="1" applyBorder="1" applyAlignment="1" applyProtection="1">
      <alignment horizontal="center" vertical="center"/>
    </xf>
    <xf numFmtId="10" fontId="6" fillId="9" borderId="5" xfId="1" applyNumberFormat="1" applyFont="1" applyFill="1" applyBorder="1" applyAlignment="1" applyProtection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6" fillId="7" borderId="1" xfId="1" applyNumberFormat="1" applyFont="1" applyFill="1" applyBorder="1" applyAlignment="1">
      <alignment horizontal="center" vertical="center"/>
    </xf>
    <xf numFmtId="10" fontId="7" fillId="9" borderId="1" xfId="1" applyNumberFormat="1" applyFont="1" applyFill="1" applyBorder="1" applyAlignment="1" applyProtection="1">
      <alignment horizontal="center" vertical="center" wrapText="1"/>
    </xf>
    <xf numFmtId="10" fontId="2" fillId="10" borderId="1" xfId="1" applyNumberFormat="1" applyFont="1" applyFill="1" applyBorder="1" applyAlignment="1" applyProtection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6" fontId="10" fillId="0" borderId="2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2" fillId="0" borderId="0" xfId="1" applyNumberFormat="1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 wrapText="1"/>
    </xf>
    <xf numFmtId="43" fontId="2" fillId="0" borderId="27" xfId="5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 applyProtection="1">
      <alignment horizontal="center" vertical="center"/>
    </xf>
    <xf numFmtId="1" fontId="2" fillId="10" borderId="1" xfId="1" applyNumberFormat="1" applyFont="1" applyFill="1" applyBorder="1" applyAlignment="1" applyProtection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43" fontId="2" fillId="0" borderId="29" xfId="5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7" fontId="2" fillId="0" borderId="27" xfId="0" applyNumberFormat="1" applyFont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27" xfId="1" applyNumberFormat="1" applyFont="1" applyFill="1" applyBorder="1" applyAlignment="1">
      <alignment horizontal="center" vertical="center"/>
    </xf>
    <xf numFmtId="9" fontId="2" fillId="0" borderId="27" xfId="1" applyFont="1" applyFill="1" applyBorder="1" applyAlignment="1">
      <alignment horizontal="center" vertical="center"/>
    </xf>
    <xf numFmtId="166" fontId="10" fillId="0" borderId="27" xfId="1" applyNumberFormat="1" applyFont="1" applyFill="1" applyBorder="1" applyAlignment="1">
      <alignment horizontal="center" vertical="center"/>
    </xf>
    <xf numFmtId="167" fontId="10" fillId="0" borderId="27" xfId="1" applyNumberFormat="1" applyFont="1" applyFill="1" applyBorder="1" applyAlignment="1">
      <alignment horizontal="center" vertical="center"/>
    </xf>
    <xf numFmtId="166" fontId="10" fillId="0" borderId="30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/>
    </xf>
    <xf numFmtId="167" fontId="10" fillId="0" borderId="1" xfId="1" applyNumberFormat="1" applyFont="1" applyFill="1" applyBorder="1" applyAlignment="1">
      <alignment horizontal="center" vertical="center"/>
    </xf>
    <xf numFmtId="1" fontId="2" fillId="0" borderId="27" xfId="1" applyNumberFormat="1" applyFont="1" applyFill="1" applyBorder="1" applyAlignment="1">
      <alignment horizontal="center" vertical="center"/>
    </xf>
    <xf numFmtId="1" fontId="2" fillId="0" borderId="27" xfId="5" applyNumberFormat="1" applyFont="1" applyFill="1" applyBorder="1" applyAlignment="1">
      <alignment horizontal="center" vertical="center"/>
    </xf>
    <xf numFmtId="1" fontId="2" fillId="0" borderId="1" xfId="1" applyNumberFormat="1" applyFont="1" applyFill="1" applyBorder="1" applyAlignment="1">
      <alignment horizontal="center" vertical="center"/>
    </xf>
    <xf numFmtId="1" fontId="2" fillId="0" borderId="1" xfId="5" applyNumberFormat="1" applyFont="1" applyFill="1" applyBorder="1" applyAlignment="1">
      <alignment horizontal="center" vertical="center"/>
    </xf>
    <xf numFmtId="170" fontId="10" fillId="0" borderId="1" xfId="1" applyNumberFormat="1" applyFont="1" applyBorder="1" applyAlignment="1">
      <alignment horizontal="center" vertical="center"/>
    </xf>
    <xf numFmtId="1" fontId="18" fillId="0" borderId="1" xfId="5" applyNumberFormat="1" applyFont="1" applyFill="1" applyBorder="1" applyAlignment="1">
      <alignment horizontal="center" vertical="center"/>
    </xf>
    <xf numFmtId="1" fontId="18" fillId="0" borderId="1" xfId="1" applyNumberFormat="1" applyFont="1" applyFill="1" applyBorder="1" applyAlignment="1">
      <alignment horizontal="center" vertical="center"/>
    </xf>
    <xf numFmtId="43" fontId="18" fillId="0" borderId="1" xfId="5" applyFont="1" applyFill="1" applyBorder="1" applyAlignment="1">
      <alignment horizontal="center" vertical="center"/>
    </xf>
    <xf numFmtId="166" fontId="10" fillId="0" borderId="5" xfId="1" applyNumberFormat="1" applyFont="1" applyFill="1" applyBorder="1" applyAlignment="1">
      <alignment horizontal="center" vertical="center"/>
    </xf>
    <xf numFmtId="1" fontId="18" fillId="0" borderId="27" xfId="1" applyNumberFormat="1" applyFont="1" applyFill="1" applyBorder="1" applyAlignment="1">
      <alignment horizontal="center" vertical="center"/>
    </xf>
    <xf numFmtId="1" fontId="18" fillId="0" borderId="27" xfId="5" applyNumberFormat="1" applyFont="1" applyFill="1" applyBorder="1" applyAlignment="1">
      <alignment horizontal="center" vertical="center"/>
    </xf>
    <xf numFmtId="43" fontId="18" fillId="0" borderId="27" xfId="5" applyFont="1" applyFill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43" fontId="2" fillId="0" borderId="1" xfId="5" applyFont="1" applyFill="1" applyBorder="1" applyAlignment="1">
      <alignment horizontal="center" vertical="center"/>
    </xf>
    <xf numFmtId="1" fontId="19" fillId="0" borderId="1" xfId="1" applyNumberFormat="1" applyFont="1" applyFill="1" applyBorder="1" applyAlignment="1">
      <alignment horizontal="center" vertical="center"/>
    </xf>
    <xf numFmtId="43" fontId="19" fillId="0" borderId="1" xfId="5" applyFont="1" applyFill="1" applyBorder="1" applyAlignment="1">
      <alignment horizontal="center" vertical="center"/>
    </xf>
    <xf numFmtId="9" fontId="16" fillId="0" borderId="1" xfId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14" fontId="4" fillId="8" borderId="5" xfId="0" applyNumberFormat="1" applyFont="1" applyFill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66" fontId="10" fillId="0" borderId="30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9" fontId="2" fillId="0" borderId="0" xfId="1" applyFont="1"/>
    <xf numFmtId="14" fontId="4" fillId="5" borderId="6" xfId="0" applyNumberFormat="1" applyFont="1" applyFill="1" applyBorder="1" applyAlignment="1">
      <alignment horizontal="center" vertical="center"/>
    </xf>
    <xf numFmtId="170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8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9" fontId="6" fillId="7" borderId="22" xfId="0" applyNumberFormat="1" applyFont="1" applyFill="1" applyBorder="1" applyAlignment="1">
      <alignment horizontal="center"/>
    </xf>
    <xf numFmtId="9" fontId="6" fillId="7" borderId="23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7" borderId="16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0" fontId="0" fillId="0" borderId="0" xfId="0" applyNumberFormat="1"/>
  </cellXfs>
  <cellStyles count="7">
    <cellStyle name="Comma" xfId="5" builtinId="3"/>
    <cellStyle name="Comma 2" xfId="6" xr:uid="{B48DB623-84EF-47FB-B5D5-5E48194FB578}"/>
    <cellStyle name="Normal" xfId="0" builtinId="0"/>
    <cellStyle name="Normal 2" xfId="2" xr:uid="{054E91FE-AF1F-4BEB-9EE7-B890776E87C7}"/>
    <cellStyle name="Normal 3" xfId="3" xr:uid="{BDA3982A-1972-4C47-90CA-DFB743AEFAEA}"/>
    <cellStyle name="Normal 4" xfId="4" xr:uid="{319551B5-D651-4071-971C-86368CC7DE48}"/>
    <cellStyle name="Percent" xfId="1" builtinId="5"/>
  </cellStyles>
  <dxfs count="1228"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3" formatCode="0%"/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7" formatCode="[$-409]d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70" formatCode="[$-409]h:mm\ AM/P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yyyy\-mm\-d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yyyy\-mm\-d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EBDFF"/>
        </patternFill>
      </fill>
    </dxf>
    <dxf>
      <fill>
        <patternFill>
          <bgColor rgb="FF7030A0"/>
        </patternFill>
      </fill>
    </dxf>
    <dxf>
      <fill>
        <patternFill>
          <bgColor rgb="FFCC99FF"/>
        </patternFill>
      </fill>
    </dxf>
  </dxfs>
  <tableStyles count="2" defaultTableStyle="TableStyleMedium2" defaultPivotStyle="PivotStyleLight16">
    <tableStyle name="Table Style 1" pivot="0" count="1" xr9:uid="{BAE5DEBB-BF4A-4C5B-AF50-DA3E12808DD0}">
      <tableStyleElement type="firstRowStripe" dxfId="1227"/>
    </tableStyle>
    <tableStyle name="Table Style 2" pivot="0" count="2" xr9:uid="{18C1CFA2-D327-418D-9CE3-705B1B857C1A}">
      <tableStyleElement type="headerRow" dxfId="1226"/>
      <tableStyleElement type="firstRowStripe" dxfId="1225"/>
    </tableStyle>
  </tableStyles>
  <colors>
    <mruColors>
      <color rgb="FFFFFFFF"/>
      <color rgb="FFCC99FF"/>
      <color rgb="FFCC66FF"/>
      <color rgb="FF9900CC"/>
      <color rgb="FFDE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diradim/Desktop/AUH1-2408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nudamo/Documents/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 vs roster validation"/>
      <sheetName val="HC split"/>
      <sheetName val="Roster"/>
      <sheetName val="Released"/>
      <sheetName val="Adj OFF &amp; Shift Roster changes"/>
      <sheetName val="Transferred"/>
      <sheetName val="Management"/>
      <sheetName val="Termination Types-Reasons"/>
      <sheetName val="Termination codes"/>
    </sheetNames>
    <sheetDataSet>
      <sheetData sheetId="0"/>
      <sheetData sheetId="1"/>
      <sheetData sheetId="2">
        <row r="2">
          <cell r="C2">
            <v>206875258</v>
          </cell>
          <cell r="D2" t="str">
            <v>bakabdal</v>
          </cell>
          <cell r="E2" t="str">
            <v>ABDALLAH ABDALLAH ISSA</v>
          </cell>
          <cell r="F2" t="str">
            <v>Temporary</v>
          </cell>
          <cell r="G2" t="str">
            <v>UAE</v>
          </cell>
          <cell r="H2" t="str">
            <v>AUH1</v>
          </cell>
        </row>
        <row r="3">
          <cell r="C3">
            <v>206873715</v>
          </cell>
          <cell r="D3" t="str">
            <v>zkasabda</v>
          </cell>
          <cell r="E3" t="str">
            <v xml:space="preserve">ABDALLAH KASSIM </v>
          </cell>
          <cell r="F3" t="str">
            <v>Temporary</v>
          </cell>
          <cell r="G3" t="str">
            <v>UAE</v>
          </cell>
          <cell r="H3" t="str">
            <v>AUH1</v>
          </cell>
        </row>
        <row r="4">
          <cell r="C4">
            <v>203679309</v>
          </cell>
          <cell r="D4" t="str">
            <v>njitaria</v>
          </cell>
          <cell r="E4" t="str">
            <v>Abdel Koudous Njitari Mah</v>
          </cell>
          <cell r="F4" t="str">
            <v>Temporary</v>
          </cell>
          <cell r="G4" t="str">
            <v>UAE</v>
          </cell>
          <cell r="H4" t="str">
            <v>AUH1</v>
          </cell>
        </row>
        <row r="5">
          <cell r="C5">
            <v>204864408</v>
          </cell>
          <cell r="D5" t="str">
            <v>iddabdud</v>
          </cell>
          <cell r="E5" t="str">
            <v>ABDULMALIK IDDRISU</v>
          </cell>
          <cell r="F5" t="str">
            <v>Temporary</v>
          </cell>
          <cell r="G5" t="str">
            <v>UAE</v>
          </cell>
          <cell r="H5" t="str">
            <v>AUH1</v>
          </cell>
        </row>
        <row r="6">
          <cell r="C6">
            <v>203800376</v>
          </cell>
          <cell r="D6" t="str">
            <v>kiwanuab</v>
          </cell>
          <cell r="E6" t="str">
            <v>ABDURASHID KIWANUKA</v>
          </cell>
          <cell r="F6" t="str">
            <v>Temporary</v>
          </cell>
          <cell r="G6" t="str">
            <v>UAE</v>
          </cell>
          <cell r="H6" t="str">
            <v>AUH1</v>
          </cell>
        </row>
        <row r="7">
          <cell r="C7">
            <v>206953791</v>
          </cell>
          <cell r="D7" t="str">
            <v>abubodon</v>
          </cell>
          <cell r="E7" t="str">
            <v>ABUBAKAESWIDIQ ODONGO</v>
          </cell>
          <cell r="F7" t="str">
            <v>Temporary</v>
          </cell>
          <cell r="G7" t="str">
            <v>UAE</v>
          </cell>
          <cell r="H7" t="str">
            <v>AUH1</v>
          </cell>
        </row>
        <row r="8">
          <cell r="C8">
            <v>205608373</v>
          </cell>
          <cell r="D8" t="str">
            <v>tiacquah</v>
          </cell>
          <cell r="E8" t="str">
            <v>ACQUAH TIMOTHY</v>
          </cell>
          <cell r="F8" t="str">
            <v>Temporary</v>
          </cell>
          <cell r="G8" t="str">
            <v>UAE</v>
          </cell>
          <cell r="H8" t="str">
            <v>AUH1</v>
          </cell>
        </row>
        <row r="9">
          <cell r="C9">
            <v>204869098</v>
          </cell>
          <cell r="D9" t="str">
            <v>rosadamu</v>
          </cell>
          <cell r="E9" t="str">
            <v>Adams,Rose</v>
          </cell>
          <cell r="F9" t="str">
            <v>Temporary</v>
          </cell>
          <cell r="G9" t="str">
            <v>UAE</v>
          </cell>
          <cell r="H9" t="str">
            <v>AUH1</v>
          </cell>
        </row>
        <row r="10">
          <cell r="C10">
            <v>206875144</v>
          </cell>
          <cell r="D10" t="str">
            <v>ramaafid</v>
          </cell>
          <cell r="E10" t="str">
            <v>AFIDHU SWAMADU RAMADHANI</v>
          </cell>
          <cell r="F10" t="str">
            <v>Temporary</v>
          </cell>
          <cell r="G10" t="str">
            <v>UAE</v>
          </cell>
          <cell r="H10" t="str">
            <v>AUH1</v>
          </cell>
        </row>
        <row r="11">
          <cell r="C11">
            <v>204299542</v>
          </cell>
          <cell r="D11" t="str">
            <v>ahmeumef</v>
          </cell>
          <cell r="E11" t="str">
            <v>Ahmed Tidjan Mefire Nchankou</v>
          </cell>
          <cell r="F11" t="str">
            <v>Temporary</v>
          </cell>
          <cell r="G11" t="str">
            <v>UAE</v>
          </cell>
          <cell r="H11" t="str">
            <v>AUH1</v>
          </cell>
        </row>
        <row r="12">
          <cell r="C12">
            <v>206873708</v>
          </cell>
          <cell r="D12" t="str">
            <v>xaijueli</v>
          </cell>
          <cell r="E12" t="str">
            <v xml:space="preserve">AIJUKA ELIYA </v>
          </cell>
          <cell r="F12" t="str">
            <v>Temporary</v>
          </cell>
          <cell r="G12" t="str">
            <v>UAE</v>
          </cell>
          <cell r="H12" t="str">
            <v>AUH1</v>
          </cell>
        </row>
        <row r="13">
          <cell r="C13">
            <v>107117478</v>
          </cell>
          <cell r="D13" t="str">
            <v>lmohsyed</v>
          </cell>
          <cell r="E13" t="str">
            <v>Ajeem,Syed</v>
          </cell>
          <cell r="F13" t="str">
            <v>Regular</v>
          </cell>
          <cell r="G13" t="str">
            <v>UAE</v>
          </cell>
          <cell r="H13" t="str">
            <v>AUH1</v>
          </cell>
        </row>
        <row r="14">
          <cell r="C14">
            <v>204403651</v>
          </cell>
          <cell r="D14" t="str">
            <v>jalanssh</v>
          </cell>
          <cell r="E14" t="str">
            <v>ALAN SHIJU SHIJU</v>
          </cell>
          <cell r="F14" t="str">
            <v>Temporary</v>
          </cell>
          <cell r="G14" t="str">
            <v>UAE</v>
          </cell>
          <cell r="H14" t="str">
            <v>AUH1</v>
          </cell>
        </row>
        <row r="15">
          <cell r="C15">
            <v>204299562</v>
          </cell>
          <cell r="D15" t="str">
            <v>alectilo</v>
          </cell>
          <cell r="E15" t="str">
            <v>AlecTilowakuti</v>
          </cell>
          <cell r="F15" t="str">
            <v>Temporary</v>
          </cell>
          <cell r="G15" t="str">
            <v>UAE</v>
          </cell>
          <cell r="H15" t="str">
            <v>AUH1</v>
          </cell>
        </row>
        <row r="16">
          <cell r="C16">
            <v>206949071</v>
          </cell>
          <cell r="D16" t="str">
            <v>alemuyom</v>
          </cell>
          <cell r="E16" t="str">
            <v>ALEX MUYOMBA</v>
          </cell>
          <cell r="F16" t="str">
            <v>Temporary</v>
          </cell>
          <cell r="G16" t="str">
            <v>UAE</v>
          </cell>
          <cell r="H16" t="str">
            <v>AUH1</v>
          </cell>
        </row>
        <row r="17">
          <cell r="C17">
            <v>203083928</v>
          </cell>
          <cell r="D17" t="str">
            <v>galeowus</v>
          </cell>
          <cell r="E17" t="str">
            <v>Alex Owusu</v>
          </cell>
          <cell r="F17" t="str">
            <v>Temporary</v>
          </cell>
          <cell r="G17" t="str">
            <v>UAE</v>
          </cell>
          <cell r="H17" t="str">
            <v>AUH1</v>
          </cell>
        </row>
        <row r="18">
          <cell r="C18">
            <v>206926473</v>
          </cell>
          <cell r="D18" t="str">
            <v>kwailaga</v>
          </cell>
          <cell r="E18" t="str">
            <v>ALI WAILAGALA</v>
          </cell>
          <cell r="F18" t="str">
            <v>Temporary</v>
          </cell>
          <cell r="G18" t="str">
            <v>UAE</v>
          </cell>
          <cell r="H18" t="str">
            <v>AUH1</v>
          </cell>
        </row>
        <row r="19">
          <cell r="C19">
            <v>203469072</v>
          </cell>
          <cell r="D19" t="str">
            <v>aliallaf</v>
          </cell>
          <cell r="E19" t="str">
            <v>Allafha Ali</v>
          </cell>
          <cell r="F19" t="str">
            <v>Temporary</v>
          </cell>
          <cell r="G19" t="str">
            <v>UAE</v>
          </cell>
          <cell r="H19" t="str">
            <v>AUH1</v>
          </cell>
        </row>
        <row r="20">
          <cell r="C20">
            <v>206875142</v>
          </cell>
          <cell r="D20" t="str">
            <v>ddumalla</v>
          </cell>
          <cell r="E20" t="str">
            <v>ALLAN DDUMBA SSENTAMU</v>
          </cell>
          <cell r="F20" t="str">
            <v>Temporary</v>
          </cell>
          <cell r="G20" t="str">
            <v>UAE</v>
          </cell>
          <cell r="H20" t="str">
            <v>AUH1</v>
          </cell>
        </row>
        <row r="21">
          <cell r="C21">
            <v>206953811</v>
          </cell>
          <cell r="D21" t="str">
            <v>allanmub</v>
          </cell>
          <cell r="E21" t="str">
            <v>ALLAN MUBANGIZI</v>
          </cell>
          <cell r="F21" t="str">
            <v>Temporary</v>
          </cell>
          <cell r="G21" t="str">
            <v>UAE</v>
          </cell>
          <cell r="H21" t="str">
            <v>AUH1</v>
          </cell>
        </row>
        <row r="22">
          <cell r="C22">
            <v>206875146</v>
          </cell>
          <cell r="D22" t="str">
            <v>alphaatk</v>
          </cell>
          <cell r="E22" t="str">
            <v>ALPHA ATHANASIO KINYAPALA</v>
          </cell>
          <cell r="F22" t="str">
            <v>Temporary</v>
          </cell>
          <cell r="G22" t="str">
            <v>UAE</v>
          </cell>
          <cell r="H22" t="str">
            <v>AUH1</v>
          </cell>
        </row>
        <row r="23">
          <cell r="C23">
            <v>205496017</v>
          </cell>
          <cell r="D23" t="str">
            <v>roambili</v>
          </cell>
          <cell r="E23" t="str">
            <v>AmbiliaRop</v>
          </cell>
          <cell r="F23" t="str">
            <v>Temporary</v>
          </cell>
          <cell r="G23" t="str">
            <v>UAE</v>
          </cell>
          <cell r="H23" t="str">
            <v>AUH1</v>
          </cell>
        </row>
        <row r="24">
          <cell r="C24">
            <v>206294541</v>
          </cell>
          <cell r="D24" t="str">
            <v>amkkamar</v>
          </cell>
          <cell r="E24" t="str">
            <v>AMIDU KAMARA</v>
          </cell>
          <cell r="F24" t="str">
            <v>Temporary</v>
          </cell>
          <cell r="G24" t="str">
            <v>UAE</v>
          </cell>
          <cell r="H24" t="str">
            <v>AUH1</v>
          </cell>
        </row>
        <row r="25">
          <cell r="C25">
            <v>203800382</v>
          </cell>
          <cell r="D25" t="str">
            <v>abaaamon</v>
          </cell>
          <cell r="E25" t="str">
            <v>AMON ABAASA</v>
          </cell>
          <cell r="F25" t="str">
            <v>Temporary</v>
          </cell>
          <cell r="G25" t="str">
            <v>UAE</v>
          </cell>
          <cell r="H25" t="str">
            <v>AUH1</v>
          </cell>
        </row>
        <row r="26">
          <cell r="C26">
            <v>206930700</v>
          </cell>
          <cell r="D26" t="str">
            <v>andmutun</v>
          </cell>
          <cell r="E26" t="str">
            <v>ANDREW MUTUNGI</v>
          </cell>
          <cell r="F26" t="str">
            <v>Temporary</v>
          </cell>
          <cell r="G26" t="str">
            <v>UAE</v>
          </cell>
          <cell r="H26" t="str">
            <v>AUH1</v>
          </cell>
        </row>
        <row r="27">
          <cell r="C27">
            <v>206953786</v>
          </cell>
          <cell r="D27" t="str">
            <v>qnamacha</v>
          </cell>
          <cell r="E27" t="str">
            <v>asante namacha</v>
          </cell>
          <cell r="F27" t="str">
            <v>Temporary</v>
          </cell>
          <cell r="G27" t="str">
            <v>UAE</v>
          </cell>
          <cell r="H27" t="str">
            <v>AUH1</v>
          </cell>
        </row>
        <row r="28">
          <cell r="C28">
            <v>206875143</v>
          </cell>
          <cell r="D28" t="str">
            <v>asantimb</v>
          </cell>
          <cell r="E28" t="str">
            <v>ASANTIANO MICHAEL MWANGULE</v>
          </cell>
          <cell r="F28" t="str">
            <v>Temporary</v>
          </cell>
          <cell r="G28" t="str">
            <v>UAE</v>
          </cell>
          <cell r="H28" t="str">
            <v>AUH1</v>
          </cell>
        </row>
        <row r="29">
          <cell r="C29">
            <v>205647826</v>
          </cell>
          <cell r="D29" t="str">
            <v>bjemuasc</v>
          </cell>
          <cell r="E29" t="str">
            <v>AscaJemutai</v>
          </cell>
          <cell r="F29" t="str">
            <v>Temporary</v>
          </cell>
          <cell r="G29" t="str">
            <v>UAE</v>
          </cell>
          <cell r="H29" t="str">
            <v>AUH1</v>
          </cell>
        </row>
        <row r="30">
          <cell r="C30">
            <v>206875148</v>
          </cell>
          <cell r="D30" t="str">
            <v>kiyimash</v>
          </cell>
          <cell r="E30" t="str">
            <v>ASHIRAF KIYIMBA</v>
          </cell>
          <cell r="F30" t="str">
            <v>Temporary</v>
          </cell>
          <cell r="G30" t="str">
            <v>UAE</v>
          </cell>
          <cell r="H30" t="str">
            <v>AUH1</v>
          </cell>
        </row>
        <row r="31">
          <cell r="C31">
            <v>205609430</v>
          </cell>
          <cell r="D31" t="str">
            <v>sarpoatt</v>
          </cell>
          <cell r="E31" t="str">
            <v>ATTA AGYEKUM SARPONG</v>
          </cell>
          <cell r="F31" t="str">
            <v>Temporary</v>
          </cell>
          <cell r="G31" t="str">
            <v>UAE</v>
          </cell>
          <cell r="H31" t="str">
            <v>AUH1</v>
          </cell>
        </row>
        <row r="32">
          <cell r="C32">
            <v>203555399</v>
          </cell>
          <cell r="D32" t="str">
            <v>berchimh</v>
          </cell>
          <cell r="E32" t="str">
            <v>Bernadette Tarrio Chimhau</v>
          </cell>
          <cell r="F32" t="str">
            <v>Temporary</v>
          </cell>
          <cell r="G32" t="str">
            <v>UAE</v>
          </cell>
          <cell r="H32" t="str">
            <v>AUH1</v>
          </cell>
        </row>
        <row r="33">
          <cell r="C33">
            <v>205997628</v>
          </cell>
          <cell r="D33" t="str">
            <v>gbnyiren</v>
          </cell>
          <cell r="E33" t="str">
            <v>BRENDANYIRENDASINGINI</v>
          </cell>
          <cell r="F33" t="str">
            <v>Temporary</v>
          </cell>
          <cell r="G33" t="str">
            <v>UAE</v>
          </cell>
          <cell r="H33" t="str">
            <v>AUH1</v>
          </cell>
        </row>
        <row r="34">
          <cell r="C34">
            <v>203555402</v>
          </cell>
          <cell r="D34" t="str">
            <v>brerubay</v>
          </cell>
          <cell r="E34" t="str">
            <v>BrendaRubaya</v>
          </cell>
          <cell r="F34" t="str">
            <v>Temporary</v>
          </cell>
          <cell r="G34" t="str">
            <v>UAE</v>
          </cell>
          <cell r="H34" t="str">
            <v>AUH1</v>
          </cell>
        </row>
        <row r="35">
          <cell r="C35">
            <v>206953810</v>
          </cell>
          <cell r="D35" t="str">
            <v>pbmateke</v>
          </cell>
          <cell r="E35" t="str">
            <v>BRIAN MATEKE</v>
          </cell>
          <cell r="F35" t="str">
            <v>Temporary</v>
          </cell>
          <cell r="G35" t="str">
            <v>UAE</v>
          </cell>
          <cell r="H35" t="str">
            <v>AUH1</v>
          </cell>
        </row>
        <row r="36">
          <cell r="C36">
            <v>204299899</v>
          </cell>
          <cell r="D36" t="str">
            <v>ybbright</v>
          </cell>
          <cell r="E36" t="str">
            <v>BrightBonah</v>
          </cell>
          <cell r="F36" t="str">
            <v>Temporary</v>
          </cell>
          <cell r="G36" t="str">
            <v>UAE</v>
          </cell>
          <cell r="H36" t="str">
            <v>AUH1</v>
          </cell>
        </row>
        <row r="37">
          <cell r="C37">
            <v>206953815</v>
          </cell>
          <cell r="D37" t="str">
            <v>muhbrigh</v>
          </cell>
          <cell r="E37" t="str">
            <v>BRIGHTON MUHEREZA</v>
          </cell>
          <cell r="F37" t="str">
            <v>Temporary</v>
          </cell>
          <cell r="G37" t="str">
            <v>UAE</v>
          </cell>
          <cell r="H37" t="str">
            <v>AUH1</v>
          </cell>
        </row>
        <row r="38">
          <cell r="C38">
            <v>206016551</v>
          </cell>
          <cell r="D38" t="str">
            <v>brigtawu</v>
          </cell>
          <cell r="E38" t="str">
            <v>BRIGHTONTAWUYANARGWO</v>
          </cell>
          <cell r="F38" t="str">
            <v>Temporary</v>
          </cell>
          <cell r="G38" t="str">
            <v>UAE</v>
          </cell>
          <cell r="H38" t="str">
            <v>AUH1</v>
          </cell>
        </row>
        <row r="39">
          <cell r="C39">
            <v>203741547</v>
          </cell>
          <cell r="D39" t="str">
            <v>okrahcha</v>
          </cell>
          <cell r="E39" t="str">
            <v>CHARLESOKRAH</v>
          </cell>
          <cell r="F39" t="str">
            <v>Temporary</v>
          </cell>
          <cell r="G39" t="str">
            <v>UAE</v>
          </cell>
          <cell r="H39" t="str">
            <v>AUH1</v>
          </cell>
        </row>
        <row r="40">
          <cell r="C40">
            <v>205608617</v>
          </cell>
          <cell r="D40" t="str">
            <v>chaoseip</v>
          </cell>
          <cell r="E40" t="str">
            <v>CHARLESOSEI-POKU</v>
          </cell>
          <cell r="F40" t="str">
            <v>Temporary</v>
          </cell>
          <cell r="G40" t="str">
            <v>UAE</v>
          </cell>
          <cell r="H40" t="str">
            <v>AUH1</v>
          </cell>
        </row>
        <row r="41">
          <cell r="C41">
            <v>206953974</v>
          </cell>
          <cell r="D41" t="str">
            <v>chawezih</v>
          </cell>
          <cell r="E41" t="str">
            <v>CHAWEZI GERESHOM HARAWA</v>
          </cell>
          <cell r="F41" t="str">
            <v>Temporary</v>
          </cell>
          <cell r="G41" t="str">
            <v>UAE</v>
          </cell>
          <cell r="H41" t="str">
            <v>AUH1</v>
          </cell>
        </row>
        <row r="42">
          <cell r="C42">
            <v>203555403</v>
          </cell>
          <cell r="D42" t="str">
            <v>chsampan</v>
          </cell>
          <cell r="E42" t="str">
            <v>ChristianaYamigmahSampana</v>
          </cell>
          <cell r="F42" t="str">
            <v>Temporary</v>
          </cell>
          <cell r="G42" t="str">
            <v>UAE</v>
          </cell>
          <cell r="H42" t="str">
            <v>AUH1</v>
          </cell>
        </row>
        <row r="43">
          <cell r="C43">
            <v>203469458</v>
          </cell>
          <cell r="D43" t="str">
            <v>ndanzyco</v>
          </cell>
          <cell r="E43" t="str">
            <v>CongratesMoforkengNdanze</v>
          </cell>
          <cell r="F43" t="str">
            <v>Temporary</v>
          </cell>
          <cell r="G43" t="str">
            <v>UAE</v>
          </cell>
          <cell r="H43" t="str">
            <v>AUH1</v>
          </cell>
        </row>
        <row r="44">
          <cell r="C44">
            <v>206072867</v>
          </cell>
          <cell r="D44" t="str">
            <v>ngabirco</v>
          </cell>
          <cell r="E44" t="str">
            <v>CosmaNgabirano</v>
          </cell>
          <cell r="F44" t="str">
            <v>Temporary</v>
          </cell>
          <cell r="G44" t="str">
            <v>UAE</v>
          </cell>
          <cell r="H44" t="str">
            <v>AUH1</v>
          </cell>
        </row>
        <row r="45">
          <cell r="C45">
            <v>206953984</v>
          </cell>
          <cell r="D45" t="str">
            <v>kamwadan</v>
          </cell>
          <cell r="E45" t="str">
            <v>DANIEL KAMWATHENDO</v>
          </cell>
          <cell r="F45" t="str">
            <v>Temporary</v>
          </cell>
          <cell r="G45" t="str">
            <v>UAE</v>
          </cell>
          <cell r="H45" t="str">
            <v>AUH1</v>
          </cell>
        </row>
        <row r="46">
          <cell r="C46">
            <v>203469449</v>
          </cell>
          <cell r="D46" t="str">
            <v>daniboah</v>
          </cell>
          <cell r="E46" t="str">
            <v>DanielBoahen</v>
          </cell>
          <cell r="F46" t="str">
            <v>Temporary</v>
          </cell>
          <cell r="G46" t="str">
            <v>UAE</v>
          </cell>
          <cell r="H46" t="str">
            <v>AUH1</v>
          </cell>
        </row>
        <row r="47">
          <cell r="C47">
            <v>204299548</v>
          </cell>
          <cell r="D47" t="str">
            <v>tamahdan</v>
          </cell>
          <cell r="E47" t="str">
            <v>DanielKwekuTamah</v>
          </cell>
          <cell r="F47" t="str">
            <v>Temporary</v>
          </cell>
          <cell r="G47" t="str">
            <v>UAE</v>
          </cell>
          <cell r="H47" t="str">
            <v>AUH1</v>
          </cell>
        </row>
        <row r="48">
          <cell r="C48">
            <v>203469051</v>
          </cell>
          <cell r="D48" t="str">
            <v>bowusuda</v>
          </cell>
          <cell r="E48" t="str">
            <v>DanielOwusu</v>
          </cell>
          <cell r="F48" t="str">
            <v>Temporary</v>
          </cell>
          <cell r="G48" t="str">
            <v>UAE</v>
          </cell>
          <cell r="H48" t="str">
            <v>AUH1</v>
          </cell>
        </row>
        <row r="49">
          <cell r="C49">
            <v>204299544</v>
          </cell>
          <cell r="D49" t="str">
            <v>daangmor</v>
          </cell>
          <cell r="E49" t="str">
            <v>DanielTeye-KwasiAngmortey</v>
          </cell>
          <cell r="F49" t="str">
            <v>Temporary</v>
          </cell>
          <cell r="G49" t="str">
            <v>UAE</v>
          </cell>
          <cell r="H49" t="str">
            <v>AUH1</v>
          </cell>
        </row>
        <row r="50">
          <cell r="C50">
            <v>206949308</v>
          </cell>
          <cell r="D50" t="str">
            <v>dxogwang</v>
          </cell>
          <cell r="E50" t="str">
            <v>DAVID OGWANG</v>
          </cell>
          <cell r="F50" t="str">
            <v>Temporary</v>
          </cell>
          <cell r="G50" t="str">
            <v>UAE</v>
          </cell>
          <cell r="H50" t="str">
            <v>AUH1</v>
          </cell>
        </row>
        <row r="51">
          <cell r="C51">
            <v>206949309</v>
          </cell>
          <cell r="D51" t="str">
            <v>devssebb</v>
          </cell>
          <cell r="E51" t="str">
            <v>DEVIS SSEBBUGGA</v>
          </cell>
          <cell r="F51" t="str">
            <v>Temporary</v>
          </cell>
          <cell r="G51" t="str">
            <v>UAE</v>
          </cell>
          <cell r="H51" t="str">
            <v>AUH1</v>
          </cell>
        </row>
        <row r="52">
          <cell r="C52">
            <v>102207650</v>
          </cell>
          <cell r="D52" t="str">
            <v>SUNDARAD</v>
          </cell>
          <cell r="E52" t="str">
            <v>DhakshinamoorthySundaramoorthy</v>
          </cell>
          <cell r="F52" t="str">
            <v>Regular</v>
          </cell>
          <cell r="G52" t="str">
            <v>UAE</v>
          </cell>
          <cell r="H52" t="str">
            <v>AUH1</v>
          </cell>
        </row>
        <row r="53">
          <cell r="C53">
            <v>204095444</v>
          </cell>
          <cell r="D53" t="str">
            <v>larteydo</v>
          </cell>
          <cell r="E53" t="str">
            <v>DorcasLarteleyLartey</v>
          </cell>
          <cell r="F53" t="str">
            <v>Temporary</v>
          </cell>
          <cell r="G53" t="str">
            <v>UAE</v>
          </cell>
          <cell r="H53" t="str">
            <v>AUH1</v>
          </cell>
        </row>
        <row r="54">
          <cell r="C54">
            <v>206348021</v>
          </cell>
          <cell r="D54" t="str">
            <v>getaMale</v>
          </cell>
          <cell r="E54" t="str">
            <v>EdwardTaMale</v>
          </cell>
          <cell r="F54" t="str">
            <v>Temporary</v>
          </cell>
          <cell r="G54" t="str">
            <v>UAE</v>
          </cell>
          <cell r="H54" t="str">
            <v>AUH1</v>
          </cell>
        </row>
        <row r="55">
          <cell r="C55">
            <v>206957735</v>
          </cell>
          <cell r="D55" t="str">
            <v>bfedwink</v>
          </cell>
          <cell r="E55" t="str">
            <v>Edwin Kiplimo Bomet</v>
          </cell>
          <cell r="F55" t="str">
            <v>Temporary</v>
          </cell>
          <cell r="G55" t="str">
            <v>UAE</v>
          </cell>
          <cell r="H55" t="str">
            <v>AUH1</v>
          </cell>
        </row>
        <row r="56">
          <cell r="C56">
            <v>203679313</v>
          </cell>
          <cell r="D56" t="str">
            <v>kadelias</v>
          </cell>
          <cell r="E56" t="str">
            <v>EliasKaduwa</v>
          </cell>
          <cell r="F56" t="str">
            <v>Temporary</v>
          </cell>
          <cell r="G56" t="str">
            <v>UAE</v>
          </cell>
          <cell r="H56" t="str">
            <v>AUH1</v>
          </cell>
        </row>
        <row r="57">
          <cell r="C57">
            <v>206957724</v>
          </cell>
          <cell r="D57" t="str">
            <v>elizmunu</v>
          </cell>
          <cell r="E57" t="str">
            <v>Elizabeth Njeri Mungai</v>
          </cell>
          <cell r="F57" t="str">
            <v>Temporary</v>
          </cell>
          <cell r="G57" t="str">
            <v>UAE</v>
          </cell>
          <cell r="H57" t="str">
            <v>AUH1</v>
          </cell>
        </row>
        <row r="58">
          <cell r="C58">
            <v>206954239</v>
          </cell>
          <cell r="D58" t="str">
            <v>elviskyl</v>
          </cell>
          <cell r="E58" t="str">
            <v>ELVIS KYLE KAYEMBA</v>
          </cell>
          <cell r="F58" t="str">
            <v>Temporary</v>
          </cell>
          <cell r="G58" t="str">
            <v>UAE</v>
          </cell>
          <cell r="H58" t="str">
            <v>AUH1</v>
          </cell>
        </row>
        <row r="59">
          <cell r="C59">
            <v>206875150</v>
          </cell>
          <cell r="D59" t="str">
            <v>emmanajo</v>
          </cell>
          <cell r="E59" t="str">
            <v>EMMANUEL JOSEPH KALEMBO</v>
          </cell>
          <cell r="F59" t="str">
            <v>Temporary</v>
          </cell>
          <cell r="G59" t="str">
            <v>UAE</v>
          </cell>
          <cell r="H59" t="str">
            <v>AUH1</v>
          </cell>
        </row>
        <row r="60">
          <cell r="C60">
            <v>203469452</v>
          </cell>
          <cell r="D60" t="str">
            <v>emmbrobb</v>
          </cell>
          <cell r="E60" t="str">
            <v>EmmanuelBrobbey</v>
          </cell>
          <cell r="F60" t="str">
            <v>Temporary</v>
          </cell>
          <cell r="G60" t="str">
            <v>UAE</v>
          </cell>
          <cell r="H60" t="str">
            <v>AUH1</v>
          </cell>
        </row>
        <row r="61">
          <cell r="C61">
            <v>204299903</v>
          </cell>
          <cell r="D61" t="str">
            <v>emmfofie</v>
          </cell>
          <cell r="E61" t="str">
            <v>EmmanuelFofie</v>
          </cell>
          <cell r="F61" t="str">
            <v>Temporary</v>
          </cell>
          <cell r="G61" t="str">
            <v>UAE</v>
          </cell>
          <cell r="H61" t="str">
            <v>AUH1</v>
          </cell>
        </row>
        <row r="62">
          <cell r="C62">
            <v>204299902</v>
          </cell>
          <cell r="D62" t="str">
            <v>opoemman</v>
          </cell>
          <cell r="E62" t="str">
            <v>EmmanuelGyamfiOpoku</v>
          </cell>
          <cell r="F62" t="str">
            <v>Temporary</v>
          </cell>
          <cell r="G62" t="str">
            <v>UAE</v>
          </cell>
          <cell r="H62" t="str">
            <v>AUH1</v>
          </cell>
        </row>
        <row r="63">
          <cell r="C63">
            <v>204319462</v>
          </cell>
          <cell r="D63" t="str">
            <v>emmanhme</v>
          </cell>
          <cell r="E63" t="str">
            <v>EmmanuelMensah</v>
          </cell>
          <cell r="F63" t="str">
            <v>Temporary</v>
          </cell>
          <cell r="G63" t="str">
            <v>UAE</v>
          </cell>
          <cell r="H63" t="str">
            <v>AUH1</v>
          </cell>
        </row>
        <row r="64">
          <cell r="C64">
            <v>204299911</v>
          </cell>
          <cell r="D64" t="str">
            <v>emekweni</v>
          </cell>
          <cell r="E64" t="str">
            <v>EmmanuelObaseEkweni</v>
          </cell>
          <cell r="F64" t="str">
            <v>Temporary</v>
          </cell>
          <cell r="G64" t="str">
            <v>UAE</v>
          </cell>
          <cell r="H64" t="str">
            <v>AUH1</v>
          </cell>
        </row>
        <row r="65">
          <cell r="C65">
            <v>203679308</v>
          </cell>
          <cell r="D65" t="str">
            <v>cenocasa</v>
          </cell>
          <cell r="E65" t="str">
            <v>EnockAsante</v>
          </cell>
          <cell r="F65" t="str">
            <v>Temporary</v>
          </cell>
          <cell r="G65" t="str">
            <v>UAE</v>
          </cell>
          <cell r="H65" t="str">
            <v>AUH1</v>
          </cell>
        </row>
        <row r="66">
          <cell r="C66">
            <v>206072869</v>
          </cell>
          <cell r="D66" t="str">
            <v>erameng</v>
          </cell>
          <cell r="E66" t="str">
            <v>EricAmengor</v>
          </cell>
          <cell r="F66" t="str">
            <v>Temporary</v>
          </cell>
          <cell r="G66" t="str">
            <v>UAE</v>
          </cell>
          <cell r="H66" t="str">
            <v>AUH1</v>
          </cell>
        </row>
        <row r="67">
          <cell r="C67">
            <v>204299913</v>
          </cell>
          <cell r="D67" t="str">
            <v>bericyaw</v>
          </cell>
          <cell r="E67" t="str">
            <v>EricYawBruku</v>
          </cell>
          <cell r="F67" t="str">
            <v>Temporary</v>
          </cell>
          <cell r="G67" t="str">
            <v>UAE</v>
          </cell>
          <cell r="H67" t="str">
            <v>AUH1</v>
          </cell>
        </row>
        <row r="68">
          <cell r="C68">
            <v>203635601</v>
          </cell>
          <cell r="D68" t="str">
            <v>awesmail</v>
          </cell>
          <cell r="E68" t="str">
            <v>EsmailaChambanAwawou</v>
          </cell>
          <cell r="F68" t="str">
            <v>Temporary</v>
          </cell>
          <cell r="G68" t="str">
            <v>UAE</v>
          </cell>
          <cell r="H68" t="str">
            <v>AUH1</v>
          </cell>
        </row>
        <row r="69">
          <cell r="C69">
            <v>206953385</v>
          </cell>
          <cell r="D69" t="str">
            <v>mueunice</v>
          </cell>
          <cell r="E69" t="str">
            <v>Eunice Muthoni</v>
          </cell>
          <cell r="F69" t="str">
            <v>Temporary</v>
          </cell>
          <cell r="G69" t="str">
            <v>UAE</v>
          </cell>
          <cell r="H69" t="str">
            <v>AUH1</v>
          </cell>
        </row>
        <row r="70">
          <cell r="C70">
            <v>206015572</v>
          </cell>
          <cell r="D70" t="str">
            <v>owuevely</v>
          </cell>
          <cell r="E70" t="str">
            <v>EVELYNOWUSUAMENSAH</v>
          </cell>
          <cell r="F70" t="str">
            <v>Temporary</v>
          </cell>
          <cell r="G70" t="str">
            <v>UAE</v>
          </cell>
          <cell r="H70" t="str">
            <v>AUH1</v>
          </cell>
        </row>
        <row r="71">
          <cell r="C71">
            <v>203469399</v>
          </cell>
          <cell r="D71" t="str">
            <v>everxmil</v>
          </cell>
          <cell r="E71" t="str">
            <v>EverlyneMills</v>
          </cell>
          <cell r="F71" t="str">
            <v>Temporary</v>
          </cell>
          <cell r="G71" t="str">
            <v>UAE</v>
          </cell>
          <cell r="H71" t="str">
            <v>AUH1</v>
          </cell>
        </row>
        <row r="72">
          <cell r="C72">
            <v>206953383</v>
          </cell>
          <cell r="D72" t="str">
            <v>faitjepk</v>
          </cell>
          <cell r="E72" t="str">
            <v>Faith Jepkoech</v>
          </cell>
          <cell r="F72" t="str">
            <v>Temporary</v>
          </cell>
          <cell r="G72" t="str">
            <v>UAE</v>
          </cell>
          <cell r="H72" t="str">
            <v>AUH1</v>
          </cell>
        </row>
        <row r="73">
          <cell r="C73">
            <v>205647827</v>
          </cell>
          <cell r="D73" t="str">
            <v>chepkodf</v>
          </cell>
          <cell r="E73" t="str">
            <v>FaithChepkosgei</v>
          </cell>
          <cell r="F73" t="str">
            <v>Temporary</v>
          </cell>
          <cell r="G73" t="str">
            <v>UAE</v>
          </cell>
          <cell r="H73" t="str">
            <v>AUH1</v>
          </cell>
        </row>
        <row r="74">
          <cell r="C74">
            <v>206873779</v>
          </cell>
          <cell r="D74" t="str">
            <v>faroukyj</v>
          </cell>
          <cell r="E74" t="str">
            <v>FAROUK KYOBE</v>
          </cell>
          <cell r="F74" t="str">
            <v>Temporary</v>
          </cell>
          <cell r="G74" t="str">
            <v>UAE</v>
          </cell>
          <cell r="H74" t="str">
            <v>AUH1</v>
          </cell>
        </row>
        <row r="75">
          <cell r="C75">
            <v>203635497</v>
          </cell>
          <cell r="D75" t="str">
            <v>fotsigeo</v>
          </cell>
          <cell r="E75" t="str">
            <v>Fotsing,GeorgyOmerDorian</v>
          </cell>
          <cell r="F75" t="str">
            <v>Temporary</v>
          </cell>
          <cell r="G75" t="str">
            <v>UAE</v>
          </cell>
          <cell r="H75" t="str">
            <v>AUH1</v>
          </cell>
        </row>
        <row r="76">
          <cell r="C76">
            <v>204246172</v>
          </cell>
          <cell r="D76" t="str">
            <v>dogfranc</v>
          </cell>
          <cell r="E76" t="str">
            <v>Francis Yaw Dogli</v>
          </cell>
          <cell r="F76" t="str">
            <v>Temporary</v>
          </cell>
          <cell r="G76" t="str">
            <v>UAE</v>
          </cell>
          <cell r="H76" t="str">
            <v>AUH1</v>
          </cell>
        </row>
        <row r="77">
          <cell r="C77">
            <v>206296189</v>
          </cell>
          <cell r="D77" t="str">
            <v>mambbfra</v>
          </cell>
          <cell r="E77" t="str">
            <v>FrancisMambwe</v>
          </cell>
          <cell r="F77" t="str">
            <v>Temporary</v>
          </cell>
          <cell r="G77" t="str">
            <v>UAE</v>
          </cell>
          <cell r="H77" t="str">
            <v>AUH1</v>
          </cell>
        </row>
        <row r="78">
          <cell r="C78">
            <v>203682331</v>
          </cell>
          <cell r="D78" t="str">
            <v>franokai</v>
          </cell>
          <cell r="E78" t="str">
            <v>FrancisOkai</v>
          </cell>
          <cell r="F78" t="str">
            <v>Temporary</v>
          </cell>
          <cell r="G78" t="str">
            <v>UAE</v>
          </cell>
          <cell r="H78" t="str">
            <v>AUH1</v>
          </cell>
        </row>
        <row r="79">
          <cell r="C79">
            <v>206846113</v>
          </cell>
          <cell r="D79" t="str">
            <v>afrbakun</v>
          </cell>
          <cell r="E79" t="str">
            <v>FRED BAKUNDANA</v>
          </cell>
          <cell r="F79" t="str">
            <v>Temporary</v>
          </cell>
          <cell r="G79" t="str">
            <v>UAE</v>
          </cell>
          <cell r="H79" t="str">
            <v>AUH1</v>
          </cell>
        </row>
        <row r="80">
          <cell r="C80">
            <v>206953981</v>
          </cell>
          <cell r="D80" t="str">
            <v>fsangula</v>
          </cell>
          <cell r="E80" t="str">
            <v>FREDO SANGULAYA</v>
          </cell>
          <cell r="F80" t="str">
            <v>Temporary</v>
          </cell>
          <cell r="G80" t="str">
            <v>UAE</v>
          </cell>
          <cell r="H80" t="str">
            <v>AUH1</v>
          </cell>
        </row>
        <row r="81">
          <cell r="C81">
            <v>203555400</v>
          </cell>
          <cell r="D81" t="str">
            <v>asiamahb</v>
          </cell>
          <cell r="E81" t="str">
            <v>GeorginaAsiamah</v>
          </cell>
          <cell r="F81" t="str">
            <v>Temporary</v>
          </cell>
          <cell r="G81" t="str">
            <v>UAE</v>
          </cell>
          <cell r="H81" t="str">
            <v>AUH1</v>
          </cell>
        </row>
        <row r="82">
          <cell r="C82">
            <v>203800483</v>
          </cell>
          <cell r="D82" t="str">
            <v>germubir</v>
          </cell>
          <cell r="E82" t="str">
            <v>GERALDMUBIRU</v>
          </cell>
          <cell r="F82" t="str">
            <v>Temporary</v>
          </cell>
          <cell r="G82" t="str">
            <v>UAE</v>
          </cell>
          <cell r="H82" t="str">
            <v>AUH1</v>
          </cell>
        </row>
        <row r="83">
          <cell r="C83">
            <v>103476446</v>
          </cell>
          <cell r="D83" t="str">
            <v>RAJUGHIM</v>
          </cell>
          <cell r="E83" t="str">
            <v>Ghimire,Raju</v>
          </cell>
          <cell r="F83" t="str">
            <v>Regular</v>
          </cell>
          <cell r="G83" t="str">
            <v>UAE</v>
          </cell>
          <cell r="H83" t="str">
            <v>AUH1</v>
          </cell>
        </row>
        <row r="84">
          <cell r="C84">
            <v>206065204</v>
          </cell>
          <cell r="D84" t="str">
            <v>alusgidf</v>
          </cell>
          <cell r="E84" t="str">
            <v>GideonAlusineMannah</v>
          </cell>
          <cell r="F84" t="str">
            <v>Temporary</v>
          </cell>
          <cell r="G84" t="str">
            <v>UAE</v>
          </cell>
          <cell r="H84" t="str">
            <v>AUH1</v>
          </cell>
        </row>
        <row r="85">
          <cell r="C85">
            <v>203469400</v>
          </cell>
          <cell r="D85" t="str">
            <v>jglakuma</v>
          </cell>
          <cell r="E85" t="str">
            <v>GloryAkumawah</v>
          </cell>
          <cell r="F85" t="str">
            <v>Temporary</v>
          </cell>
          <cell r="G85" t="str">
            <v>UAE</v>
          </cell>
          <cell r="H85" t="str">
            <v>AUH1</v>
          </cell>
        </row>
        <row r="86">
          <cell r="C86">
            <v>206926477</v>
          </cell>
          <cell r="D86" t="str">
            <v>ssentumg</v>
          </cell>
          <cell r="E86" t="str">
            <v>GODFREY SSENTUMBWE</v>
          </cell>
          <cell r="F86" t="str">
            <v>Temporary</v>
          </cell>
          <cell r="G86" t="str">
            <v>UAE</v>
          </cell>
          <cell r="H86" t="str">
            <v>AUH1</v>
          </cell>
        </row>
        <row r="87">
          <cell r="C87">
            <v>203679317</v>
          </cell>
          <cell r="D87" t="str">
            <v>goodeuge</v>
          </cell>
          <cell r="E87" t="str">
            <v>GoodluckEugenShiyo</v>
          </cell>
          <cell r="F87" t="str">
            <v>Temporary</v>
          </cell>
          <cell r="G87" t="str">
            <v>UAE</v>
          </cell>
          <cell r="H87" t="str">
            <v>AUH1</v>
          </cell>
        </row>
        <row r="88">
          <cell r="C88">
            <v>203469060</v>
          </cell>
          <cell r="D88" t="str">
            <v>manjegra</v>
          </cell>
          <cell r="E88" t="str">
            <v>GraceManjengwa</v>
          </cell>
          <cell r="F88" t="str">
            <v>Temporary</v>
          </cell>
          <cell r="G88" t="str">
            <v>UAE</v>
          </cell>
          <cell r="H88" t="str">
            <v>AUH1</v>
          </cell>
        </row>
        <row r="89">
          <cell r="C89">
            <v>206875152</v>
          </cell>
          <cell r="D89" t="str">
            <v>xfunhami</v>
          </cell>
          <cell r="E89" t="str">
            <v>HAMISI FUNDI MUSSA</v>
          </cell>
          <cell r="F89" t="str">
            <v>Temporary</v>
          </cell>
          <cell r="G89" t="str">
            <v>UAE</v>
          </cell>
          <cell r="H89" t="str">
            <v>AUH1</v>
          </cell>
        </row>
        <row r="90">
          <cell r="C90">
            <v>206174727</v>
          </cell>
          <cell r="D90" t="str">
            <v>harickda</v>
          </cell>
          <cell r="E90" t="str">
            <v>HARICKDANSO</v>
          </cell>
          <cell r="F90" t="str">
            <v>Temporary</v>
          </cell>
          <cell r="G90" t="str">
            <v>UAE</v>
          </cell>
          <cell r="H90" t="str">
            <v>AUH1</v>
          </cell>
        </row>
        <row r="91">
          <cell r="C91">
            <v>206296194</v>
          </cell>
          <cell r="D91" t="str">
            <v>bwalhell</v>
          </cell>
          <cell r="E91" t="str">
            <v>HELLEN tanasho BWALYA</v>
          </cell>
          <cell r="F91" t="str">
            <v>Temporary</v>
          </cell>
          <cell r="G91" t="str">
            <v>UAE</v>
          </cell>
          <cell r="H91" t="str">
            <v>AUH1</v>
          </cell>
        </row>
        <row r="92">
          <cell r="C92">
            <v>206937730</v>
          </cell>
          <cell r="D92" t="str">
            <v>hethesak</v>
          </cell>
          <cell r="E92" t="str">
            <v>HETHERWICK SAKA NJATI</v>
          </cell>
          <cell r="F92" t="str">
            <v>Temporary</v>
          </cell>
          <cell r="G92" t="str">
            <v>UAE</v>
          </cell>
          <cell r="H92" t="str">
            <v>AUH1</v>
          </cell>
        </row>
        <row r="93">
          <cell r="C93">
            <v>206192253</v>
          </cell>
          <cell r="D93" t="str">
            <v>kipngehi</v>
          </cell>
          <cell r="E93" t="str">
            <v>Hillary kipropkipngetich</v>
          </cell>
          <cell r="F93" t="str">
            <v>Temporary</v>
          </cell>
          <cell r="G93" t="str">
            <v>UAE</v>
          </cell>
          <cell r="H93" t="str">
            <v>AUH1</v>
          </cell>
        </row>
        <row r="94">
          <cell r="C94">
            <v>204373675</v>
          </cell>
          <cell r="D94" t="str">
            <v>hishkutt</v>
          </cell>
          <cell r="E94" t="str">
            <v>HishamhashimHashimonEssaKutty</v>
          </cell>
          <cell r="F94" t="str">
            <v>Temporary</v>
          </cell>
          <cell r="G94" t="str">
            <v>UAE</v>
          </cell>
          <cell r="H94" t="str">
            <v>AUH1</v>
          </cell>
        </row>
        <row r="95">
          <cell r="C95">
            <v>204319464</v>
          </cell>
          <cell r="D95" t="str">
            <v>conteiby</v>
          </cell>
          <cell r="E95" t="str">
            <v>IbrahimAConteh</v>
          </cell>
          <cell r="F95" t="str">
            <v>Temporary</v>
          </cell>
          <cell r="G95" t="str">
            <v>UAE</v>
          </cell>
          <cell r="H95" t="str">
            <v>AUH1</v>
          </cell>
        </row>
        <row r="96">
          <cell r="C96">
            <v>206015673</v>
          </cell>
          <cell r="D96" t="str">
            <v>ikomhari</v>
          </cell>
          <cell r="E96" t="str">
            <v xml:space="preserve">Ikome Mbah,Harikia </v>
          </cell>
          <cell r="F96" t="str">
            <v>Temporary</v>
          </cell>
          <cell r="G96" t="str">
            <v>UAE</v>
          </cell>
          <cell r="H96" t="str">
            <v>AUH1</v>
          </cell>
        </row>
        <row r="97">
          <cell r="C97">
            <v>206006079</v>
          </cell>
          <cell r="D97" t="str">
            <v>agyarjac</v>
          </cell>
          <cell r="E97" t="str">
            <v>JACOBELAGYARE</v>
          </cell>
          <cell r="F97" t="str">
            <v>Temporary</v>
          </cell>
          <cell r="G97" t="str">
            <v>UAE</v>
          </cell>
          <cell r="H97" t="str">
            <v>AUH1</v>
          </cell>
        </row>
        <row r="98">
          <cell r="C98">
            <v>204373628</v>
          </cell>
          <cell r="D98" t="str">
            <v>jafarsab</v>
          </cell>
          <cell r="E98" t="str">
            <v>JafarAbdallah</v>
          </cell>
          <cell r="F98" t="str">
            <v>Temporary</v>
          </cell>
          <cell r="G98" t="str">
            <v>UAE</v>
          </cell>
          <cell r="H98" t="str">
            <v>AUH1</v>
          </cell>
        </row>
        <row r="99">
          <cell r="C99">
            <v>206957730</v>
          </cell>
          <cell r="D99" t="str">
            <v>ochijame</v>
          </cell>
          <cell r="E99" t="str">
            <v>James Ochieng</v>
          </cell>
          <cell r="F99" t="str">
            <v>Temporary</v>
          </cell>
          <cell r="G99" t="str">
            <v>UAE</v>
          </cell>
          <cell r="H99" t="str">
            <v>AUH1</v>
          </cell>
        </row>
        <row r="100">
          <cell r="C100">
            <v>201456034</v>
          </cell>
          <cell r="D100" t="str">
            <v>sessijam</v>
          </cell>
          <cell r="E100" t="str">
            <v>JamilatuSessie</v>
          </cell>
          <cell r="F100" t="str">
            <v>Temporary</v>
          </cell>
          <cell r="G100" t="str">
            <v>UAE</v>
          </cell>
          <cell r="H100" t="str">
            <v>AUH1</v>
          </cell>
        </row>
        <row r="101">
          <cell r="C101">
            <v>206953803</v>
          </cell>
          <cell r="D101" t="str">
            <v>maijanew</v>
          </cell>
          <cell r="E101" t="str">
            <v>Jane Wangari Maina</v>
          </cell>
          <cell r="F101" t="str">
            <v>Temporary</v>
          </cell>
          <cell r="G101" t="str">
            <v>UAE</v>
          </cell>
          <cell r="H101" t="str">
            <v>AUH1</v>
          </cell>
        </row>
        <row r="102">
          <cell r="C102">
            <v>206192268</v>
          </cell>
          <cell r="D102" t="str">
            <v>janewanm</v>
          </cell>
          <cell r="E102" t="str">
            <v>Janewanguiwambui</v>
          </cell>
          <cell r="F102" t="str">
            <v>Temporary</v>
          </cell>
          <cell r="G102" t="str">
            <v>UAE</v>
          </cell>
          <cell r="H102" t="str">
            <v>AUH1</v>
          </cell>
        </row>
        <row r="103">
          <cell r="C103">
            <v>203469395</v>
          </cell>
          <cell r="D103" t="str">
            <v>mwiiroja</v>
          </cell>
          <cell r="E103" t="str">
            <v>JaneWanjikuMwiiro</v>
          </cell>
          <cell r="F103" t="str">
            <v>Temporary</v>
          </cell>
          <cell r="G103" t="str">
            <v>UAE</v>
          </cell>
          <cell r="H103" t="str">
            <v>AUH1</v>
          </cell>
        </row>
        <row r="104">
          <cell r="C104">
            <v>102582334</v>
          </cell>
          <cell r="D104" t="str">
            <v>JAYPEEL</v>
          </cell>
          <cell r="E104" t="str">
            <v>JaypeeLopez</v>
          </cell>
          <cell r="F104" t="str">
            <v>Regular</v>
          </cell>
          <cell r="G104" t="str">
            <v>UAE</v>
          </cell>
          <cell r="H104" t="str">
            <v>AUH1</v>
          </cell>
        </row>
        <row r="105">
          <cell r="C105">
            <v>203687851</v>
          </cell>
          <cell r="D105" t="str">
            <v>nbalakji</v>
          </cell>
          <cell r="E105" t="str">
            <v>JISHNUKIDANGAYATHBALAKRISHNAN</v>
          </cell>
          <cell r="F105" t="str">
            <v>Temporary</v>
          </cell>
          <cell r="G105" t="str">
            <v>UAE</v>
          </cell>
          <cell r="H105" t="str">
            <v>AUH1</v>
          </cell>
        </row>
        <row r="106">
          <cell r="C106">
            <v>206953570</v>
          </cell>
          <cell r="D106" t="str">
            <v>chepjoan</v>
          </cell>
          <cell r="E106" t="str">
            <v>Joan Chepngetich</v>
          </cell>
          <cell r="F106" t="str">
            <v>Temporary</v>
          </cell>
          <cell r="G106" t="str">
            <v>UAE</v>
          </cell>
          <cell r="H106" t="str">
            <v>AUH1</v>
          </cell>
        </row>
        <row r="107">
          <cell r="C107">
            <v>203469053</v>
          </cell>
          <cell r="D107" t="str">
            <v>joaagyek</v>
          </cell>
          <cell r="E107" t="str">
            <v>JoanaAliceAgyekum</v>
          </cell>
          <cell r="F107" t="str">
            <v>Temporary</v>
          </cell>
          <cell r="G107" t="str">
            <v>UAE</v>
          </cell>
          <cell r="H107" t="str">
            <v>AUH1</v>
          </cell>
        </row>
        <row r="108">
          <cell r="C108">
            <v>206949312</v>
          </cell>
          <cell r="D108" t="str">
            <v>odekjohn</v>
          </cell>
          <cell r="E108" t="str">
            <v>JOHN ODEKE</v>
          </cell>
          <cell r="F108" t="str">
            <v>Temporary</v>
          </cell>
          <cell r="G108" t="str">
            <v>UAE</v>
          </cell>
          <cell r="H108" t="str">
            <v>AUH1</v>
          </cell>
        </row>
        <row r="109">
          <cell r="C109">
            <v>203469401</v>
          </cell>
          <cell r="D109" t="str">
            <v>pmwauraj</v>
          </cell>
          <cell r="E109" t="str">
            <v>JohnNdung'UMwaura</v>
          </cell>
          <cell r="F109" t="str">
            <v>Temporary</v>
          </cell>
          <cell r="G109" t="str">
            <v>UAE</v>
          </cell>
          <cell r="H109" t="str">
            <v>AUH1</v>
          </cell>
        </row>
        <row r="110">
          <cell r="C110">
            <v>206192274</v>
          </cell>
          <cell r="D110" t="str">
            <v>johnngek</v>
          </cell>
          <cell r="E110" t="str">
            <v>Johnngerekiarie</v>
          </cell>
          <cell r="F110" t="str">
            <v>Temporary</v>
          </cell>
          <cell r="G110" t="str">
            <v>UAE</v>
          </cell>
          <cell r="H110" t="str">
            <v>AUH1</v>
          </cell>
        </row>
        <row r="111">
          <cell r="C111">
            <v>203469078</v>
          </cell>
          <cell r="D111" t="str">
            <v>karugaba</v>
          </cell>
          <cell r="E111" t="str">
            <v>JohnpaulJeckinzKarugaba</v>
          </cell>
          <cell r="F111" t="str">
            <v>Temporary</v>
          </cell>
          <cell r="G111" t="str">
            <v>UAE</v>
          </cell>
          <cell r="H111" t="str">
            <v>AUH1</v>
          </cell>
        </row>
        <row r="112">
          <cell r="C112">
            <v>206953972</v>
          </cell>
          <cell r="D112" t="str">
            <v>ukijonat</v>
          </cell>
          <cell r="E112" t="str">
            <v>JONATHAN MWESIGWA KIBUYE</v>
          </cell>
          <cell r="F112" t="str">
            <v>Temporary</v>
          </cell>
          <cell r="G112" t="str">
            <v>UAE</v>
          </cell>
          <cell r="H112" t="str">
            <v>AUH1</v>
          </cell>
        </row>
        <row r="113">
          <cell r="C113">
            <v>203469052</v>
          </cell>
          <cell r="D113" t="str">
            <v>jonztutu</v>
          </cell>
          <cell r="E113" t="str">
            <v>JonnathanOseiTutu</v>
          </cell>
          <cell r="F113" t="str">
            <v>Temporary</v>
          </cell>
          <cell r="G113" t="str">
            <v>UAE</v>
          </cell>
          <cell r="H113" t="str">
            <v>AUH1</v>
          </cell>
        </row>
        <row r="114">
          <cell r="C114">
            <v>206875598</v>
          </cell>
          <cell r="D114" t="str">
            <v>ssekanje</v>
          </cell>
          <cell r="E114" t="str">
            <v>JOSEPH SSEKANDI</v>
          </cell>
          <cell r="F114" t="str">
            <v>Temporary</v>
          </cell>
          <cell r="G114" t="str">
            <v>UAE</v>
          </cell>
          <cell r="H114" t="str">
            <v>AUH1</v>
          </cell>
        </row>
        <row r="115">
          <cell r="C115">
            <v>206957734</v>
          </cell>
          <cell r="D115" t="str">
            <v>wekejose</v>
          </cell>
          <cell r="E115" t="str">
            <v>Joseph Wekesa</v>
          </cell>
          <cell r="F115" t="str">
            <v>Temporary</v>
          </cell>
          <cell r="G115" t="str">
            <v>UAE</v>
          </cell>
          <cell r="H115" t="str">
            <v>AUH1</v>
          </cell>
        </row>
        <row r="116">
          <cell r="C116">
            <v>202199024</v>
          </cell>
          <cell r="D116" t="str">
            <v>josdohmo</v>
          </cell>
          <cell r="E116" t="str">
            <v>JosephGanaDohmovat</v>
          </cell>
          <cell r="F116" t="str">
            <v>Temporary</v>
          </cell>
          <cell r="G116" t="str">
            <v>UAE</v>
          </cell>
          <cell r="H116" t="str">
            <v>AUH1</v>
          </cell>
        </row>
        <row r="117">
          <cell r="C117">
            <v>203817155</v>
          </cell>
          <cell r="D117" t="str">
            <v>ananjosp</v>
          </cell>
          <cell r="E117" t="str">
            <v>JOSEPHOBLIEANANG</v>
          </cell>
          <cell r="F117" t="str">
            <v>Temporary</v>
          </cell>
          <cell r="G117" t="str">
            <v>UAE</v>
          </cell>
          <cell r="H117" t="str">
            <v>AUH1</v>
          </cell>
        </row>
        <row r="118">
          <cell r="C118">
            <v>203679319</v>
          </cell>
          <cell r="D118" t="str">
            <v>osjosepf</v>
          </cell>
          <cell r="E118" t="str">
            <v>JosephOsei</v>
          </cell>
          <cell r="F118" t="str">
            <v>Temporary</v>
          </cell>
          <cell r="G118" t="str">
            <v>UAE</v>
          </cell>
          <cell r="H118" t="str">
            <v>AUH1</v>
          </cell>
        </row>
        <row r="119">
          <cell r="C119">
            <v>206953967</v>
          </cell>
          <cell r="D119" t="str">
            <v>chijosua</v>
          </cell>
          <cell r="E119" t="str">
            <v>JOSUA CHISAMBA</v>
          </cell>
          <cell r="F119" t="str">
            <v>Temporary</v>
          </cell>
          <cell r="G119" t="str">
            <v>UAE</v>
          </cell>
          <cell r="H119" t="str">
            <v>AUH1</v>
          </cell>
        </row>
        <row r="120">
          <cell r="C120">
            <v>206174652</v>
          </cell>
          <cell r="D120" t="str">
            <v>fnjuliet</v>
          </cell>
          <cell r="E120" t="str">
            <v>JulietNanyombi</v>
          </cell>
          <cell r="F120" t="str">
            <v>Temporary</v>
          </cell>
          <cell r="G120" t="str">
            <v>UAE</v>
          </cell>
          <cell r="H120" t="str">
            <v>AUH1</v>
          </cell>
        </row>
        <row r="121">
          <cell r="C121">
            <v>203679318</v>
          </cell>
          <cell r="D121" t="str">
            <v>julieoky</v>
          </cell>
          <cell r="E121" t="str">
            <v>JulietOkyere</v>
          </cell>
          <cell r="F121" t="str">
            <v>Temporary</v>
          </cell>
          <cell r="G121" t="str">
            <v>UAE</v>
          </cell>
          <cell r="H121" t="str">
            <v>AUH1</v>
          </cell>
        </row>
        <row r="122">
          <cell r="C122">
            <v>206853664</v>
          </cell>
          <cell r="D122" t="str">
            <v>mugenkag</v>
          </cell>
          <cell r="E122" t="str">
            <v>KAAWA MUGENYI</v>
          </cell>
          <cell r="F122" t="str">
            <v>Temporary</v>
          </cell>
          <cell r="G122" t="str">
            <v>UAE</v>
          </cell>
          <cell r="H122" t="str">
            <v>AUH1</v>
          </cell>
        </row>
        <row r="123">
          <cell r="C123">
            <v>206875332</v>
          </cell>
          <cell r="D123" t="str">
            <v>jkaboggo</v>
          </cell>
          <cell r="E123" t="str">
            <v>KABOGGOZA JORAM</v>
          </cell>
          <cell r="F123" t="str">
            <v>Temporary</v>
          </cell>
          <cell r="G123" t="str">
            <v>UAE</v>
          </cell>
          <cell r="H123" t="str">
            <v>AUH1</v>
          </cell>
        </row>
        <row r="124">
          <cell r="C124">
            <v>206873877</v>
          </cell>
          <cell r="D124" t="str">
            <v>kalugerk</v>
          </cell>
          <cell r="E124" t="str">
            <v>KALULE GERALD</v>
          </cell>
          <cell r="F124" t="str">
            <v>Temporary</v>
          </cell>
          <cell r="G124" t="str">
            <v>UAE</v>
          </cell>
          <cell r="H124" t="str">
            <v>AUH1</v>
          </cell>
        </row>
        <row r="125">
          <cell r="C125">
            <v>204883244</v>
          </cell>
          <cell r="D125" t="str">
            <v>pkamhuru</v>
          </cell>
          <cell r="E125" t="str">
            <v>Kamhuru,SharonShingirirai</v>
          </cell>
          <cell r="F125" t="str">
            <v>Temporary</v>
          </cell>
          <cell r="G125" t="str">
            <v>UAE</v>
          </cell>
          <cell r="H125" t="str">
            <v>AUH1</v>
          </cell>
        </row>
        <row r="126">
          <cell r="C126">
            <v>203594431</v>
          </cell>
          <cell r="D126" t="str">
            <v>twenewka</v>
          </cell>
          <cell r="E126" t="str">
            <v>KATETWENEWAA</v>
          </cell>
          <cell r="F126" t="str">
            <v>Temporary</v>
          </cell>
          <cell r="G126" t="str">
            <v>UAE</v>
          </cell>
          <cell r="H126" t="str">
            <v>AUH1</v>
          </cell>
        </row>
        <row r="127">
          <cell r="C127">
            <v>206962042</v>
          </cell>
          <cell r="D127" t="str">
            <v>kellkama</v>
          </cell>
          <cell r="E127" t="str">
            <v>KELLY WAMBUI KAMAU</v>
          </cell>
          <cell r="F127" t="str">
            <v>Temporary</v>
          </cell>
          <cell r="G127" t="str">
            <v>UAE</v>
          </cell>
          <cell r="H127" t="str">
            <v>AUH1</v>
          </cell>
        </row>
        <row r="128">
          <cell r="C128">
            <v>205608624</v>
          </cell>
          <cell r="D128" t="str">
            <v>kyeqeben</v>
          </cell>
          <cell r="E128" t="str">
            <v>KYEMSTEPHENEBENEZER</v>
          </cell>
          <cell r="F128" t="str">
            <v>Temporary</v>
          </cell>
          <cell r="G128" t="str">
            <v>UAE</v>
          </cell>
          <cell r="H128" t="str">
            <v>AUH1</v>
          </cell>
        </row>
        <row r="129">
          <cell r="C129">
            <v>204869091</v>
          </cell>
          <cell r="D129" t="str">
            <v>skyeseli</v>
          </cell>
          <cell r="E129" t="str">
            <v>Kyerewaa,Selina</v>
          </cell>
          <cell r="F129" t="str">
            <v>Temporary</v>
          </cell>
          <cell r="G129" t="str">
            <v>UAE</v>
          </cell>
          <cell r="H129" t="str">
            <v>AUH1</v>
          </cell>
        </row>
        <row r="130">
          <cell r="C130">
            <v>203850779</v>
          </cell>
          <cell r="D130" t="str">
            <v>lamissia</v>
          </cell>
          <cell r="E130" t="str">
            <v>LamissiAbatala</v>
          </cell>
          <cell r="F130" t="str">
            <v>Temporary</v>
          </cell>
          <cell r="G130" t="str">
            <v>UAE</v>
          </cell>
          <cell r="H130" t="str">
            <v>AUH1</v>
          </cell>
        </row>
        <row r="131">
          <cell r="C131">
            <v>206958279</v>
          </cell>
          <cell r="D131" t="str">
            <v>lmbeneka</v>
          </cell>
          <cell r="E131" t="str">
            <v>Lawrencious Mutindi Mbeneka</v>
          </cell>
          <cell r="F131" t="str">
            <v>Temporary</v>
          </cell>
          <cell r="G131" t="str">
            <v>UAE</v>
          </cell>
          <cell r="H131" t="str">
            <v>AUH1</v>
          </cell>
        </row>
        <row r="132">
          <cell r="C132">
            <v>203555407</v>
          </cell>
          <cell r="D132" t="str">
            <v>leeyntem</v>
          </cell>
          <cell r="E132" t="str">
            <v>LeeyntengMarienette</v>
          </cell>
          <cell r="F132" t="str">
            <v>Temporary</v>
          </cell>
          <cell r="G132" t="str">
            <v>UAE</v>
          </cell>
          <cell r="H132" t="str">
            <v>AUH1</v>
          </cell>
        </row>
        <row r="133">
          <cell r="C133">
            <v>206175159</v>
          </cell>
          <cell r="D133" t="str">
            <v>nanziril</v>
          </cell>
          <cell r="E133" t="str">
            <v>LillianNanziri</v>
          </cell>
          <cell r="F133" t="str">
            <v>Temporary</v>
          </cell>
          <cell r="G133" t="str">
            <v>UAE</v>
          </cell>
          <cell r="H133" t="str">
            <v>AUH1</v>
          </cell>
        </row>
        <row r="134">
          <cell r="C134">
            <v>203850775</v>
          </cell>
          <cell r="D134" t="str">
            <v>abwlinda</v>
          </cell>
          <cell r="E134" t="str">
            <v>LindaSallyAbit</v>
          </cell>
          <cell r="F134" t="str">
            <v>Temporary</v>
          </cell>
          <cell r="G134" t="str">
            <v>UAE</v>
          </cell>
          <cell r="H134" t="str">
            <v>AUH1</v>
          </cell>
        </row>
        <row r="135">
          <cell r="C135">
            <v>203469169</v>
          </cell>
          <cell r="D135" t="str">
            <v>quayeell</v>
          </cell>
          <cell r="E135" t="str">
            <v>LloydQuaye</v>
          </cell>
          <cell r="F135" t="str">
            <v>Temporary</v>
          </cell>
          <cell r="G135" t="str">
            <v>UAE</v>
          </cell>
          <cell r="H135" t="str">
            <v>AUH1</v>
          </cell>
        </row>
        <row r="136">
          <cell r="C136">
            <v>205502952</v>
          </cell>
          <cell r="D136" t="str">
            <v>lydiawwa</v>
          </cell>
          <cell r="E136" t="str">
            <v>LydiaWangari</v>
          </cell>
          <cell r="F136" t="str">
            <v>Temporary</v>
          </cell>
          <cell r="G136" t="str">
            <v>UAE</v>
          </cell>
          <cell r="H136" t="str">
            <v>AUH1</v>
          </cell>
        </row>
        <row r="137">
          <cell r="C137">
            <v>205608619</v>
          </cell>
          <cell r="D137" t="str">
            <v>omamudka</v>
          </cell>
          <cell r="E137" t="str">
            <v>MAMUDUKASSIM</v>
          </cell>
          <cell r="F137" t="str">
            <v>Temporary</v>
          </cell>
          <cell r="G137" t="str">
            <v>UAE</v>
          </cell>
          <cell r="H137" t="str">
            <v>AUH1</v>
          </cell>
        </row>
        <row r="138">
          <cell r="C138">
            <v>202219229</v>
          </cell>
          <cell r="D138" t="str">
            <v>mavconte</v>
          </cell>
          <cell r="E138" t="str">
            <v>MARIONCONTEH</v>
          </cell>
          <cell r="F138" t="str">
            <v>Temporary</v>
          </cell>
          <cell r="G138" t="str">
            <v>UAE</v>
          </cell>
          <cell r="H138" t="str">
            <v>AUH1</v>
          </cell>
        </row>
        <row r="139">
          <cell r="C139">
            <v>206953971</v>
          </cell>
          <cell r="D139" t="str">
            <v>lwangazm</v>
          </cell>
          <cell r="E139" t="str">
            <v>MARTIN GOSHEN LWANGA</v>
          </cell>
          <cell r="F139" t="str">
            <v>Temporary</v>
          </cell>
          <cell r="G139" t="str">
            <v>UAE</v>
          </cell>
          <cell r="H139" t="str">
            <v>AUH1</v>
          </cell>
        </row>
        <row r="140">
          <cell r="C140">
            <v>203800602</v>
          </cell>
          <cell r="D140" t="str">
            <v>agabamag</v>
          </cell>
          <cell r="E140" t="str">
            <v>MARTINAGABA</v>
          </cell>
          <cell r="F140" t="str">
            <v>Temporary</v>
          </cell>
          <cell r="G140" t="str">
            <v>UAE</v>
          </cell>
          <cell r="H140" t="str">
            <v>AUH1</v>
          </cell>
        </row>
        <row r="141">
          <cell r="C141">
            <v>203800375</v>
          </cell>
          <cell r="D141" t="str">
            <v>mwrmarti</v>
          </cell>
          <cell r="E141" t="str">
            <v>MARTINMWANGU</v>
          </cell>
          <cell r="F141" t="str">
            <v>Temporary</v>
          </cell>
          <cell r="G141" t="str">
            <v>UAE</v>
          </cell>
          <cell r="H141" t="str">
            <v>AUH1</v>
          </cell>
        </row>
        <row r="142">
          <cell r="C142">
            <v>203555405</v>
          </cell>
          <cell r="D142" t="str">
            <v>essummau</v>
          </cell>
          <cell r="E142" t="str">
            <v>MaryEssumang</v>
          </cell>
          <cell r="F142" t="str">
            <v>Temporary</v>
          </cell>
          <cell r="G142" t="str">
            <v>UAE</v>
          </cell>
          <cell r="H142" t="str">
            <v>AUH1</v>
          </cell>
        </row>
        <row r="143">
          <cell r="C143">
            <v>203469396</v>
          </cell>
          <cell r="D143" t="str">
            <v>namutmar</v>
          </cell>
          <cell r="E143" t="str">
            <v>MaryNamutebi</v>
          </cell>
          <cell r="F143" t="str">
            <v>Temporary</v>
          </cell>
          <cell r="G143" t="str">
            <v>UAE</v>
          </cell>
          <cell r="H143" t="str">
            <v>AUH1</v>
          </cell>
        </row>
        <row r="144">
          <cell r="C144">
            <v>206514852</v>
          </cell>
          <cell r="D144" t="str">
            <v>tamawand</v>
          </cell>
          <cell r="E144" t="str">
            <v>MawandaAndrewKasagga</v>
          </cell>
          <cell r="F144" t="str">
            <v>Temporary</v>
          </cell>
          <cell r="G144" t="str">
            <v>UAE</v>
          </cell>
          <cell r="H144" t="str">
            <v>AUH1</v>
          </cell>
        </row>
        <row r="145">
          <cell r="C145">
            <v>203555401</v>
          </cell>
          <cell r="D145" t="str">
            <v>chingmel</v>
          </cell>
          <cell r="E145" t="str">
            <v>MelodyChingore</v>
          </cell>
          <cell r="F145" t="str">
            <v>Temporary</v>
          </cell>
          <cell r="G145" t="str">
            <v>UAE</v>
          </cell>
          <cell r="H145" t="str">
            <v>AUH1</v>
          </cell>
        </row>
        <row r="146">
          <cell r="C146">
            <v>205647583</v>
          </cell>
          <cell r="D146" t="str">
            <v>abedmkas</v>
          </cell>
          <cell r="E146" t="str">
            <v>MkasiMwalimuAbedi</v>
          </cell>
          <cell r="F146" t="str">
            <v>Temporary</v>
          </cell>
          <cell r="G146" t="str">
            <v>UAE</v>
          </cell>
          <cell r="H146" t="str">
            <v>AUH1</v>
          </cell>
        </row>
        <row r="147">
          <cell r="C147">
            <v>206949318</v>
          </cell>
          <cell r="D147" t="str">
            <v>mogumusi</v>
          </cell>
          <cell r="E147" t="str">
            <v>MOSES GUMUSIRIZA</v>
          </cell>
          <cell r="F147" t="str">
            <v>Temporary</v>
          </cell>
          <cell r="G147" t="str">
            <v>UAE</v>
          </cell>
          <cell r="H147" t="str">
            <v>AUH1</v>
          </cell>
        </row>
        <row r="148">
          <cell r="C148">
            <v>206934491</v>
          </cell>
          <cell r="D148" t="str">
            <v>munsaamu</v>
          </cell>
          <cell r="E148" t="str">
            <v>MUDASHIRU NSAAMU</v>
          </cell>
          <cell r="F148" t="str">
            <v>Temporary</v>
          </cell>
          <cell r="G148" t="str">
            <v>UAE</v>
          </cell>
          <cell r="H148" t="str">
            <v>AUH1</v>
          </cell>
        </row>
        <row r="149">
          <cell r="C149">
            <v>103775146</v>
          </cell>
          <cell r="D149" t="str">
            <v>SMUHAMA</v>
          </cell>
          <cell r="E149" t="str">
            <v>Muhammad Shahzad</v>
          </cell>
          <cell r="F149" t="str">
            <v>Regular</v>
          </cell>
          <cell r="G149" t="str">
            <v>UAE</v>
          </cell>
          <cell r="H149" t="str">
            <v>AUH1</v>
          </cell>
        </row>
        <row r="150">
          <cell r="C150">
            <v>102206211</v>
          </cell>
          <cell r="D150" t="str">
            <v>ADIMUHAM</v>
          </cell>
          <cell r="E150" t="str">
            <v>MuhammadAdil</v>
          </cell>
          <cell r="F150" t="str">
            <v>Regular</v>
          </cell>
          <cell r="G150" t="str">
            <v>UAE</v>
          </cell>
          <cell r="H150" t="str">
            <v>AUH1</v>
          </cell>
        </row>
        <row r="151">
          <cell r="C151">
            <v>203816296</v>
          </cell>
          <cell r="D151" t="str">
            <v>Malemuhg</v>
          </cell>
          <cell r="E151" t="str">
            <v>MUHAMMEDKIWANUKAMale</v>
          </cell>
          <cell r="F151" t="str">
            <v>Temporary</v>
          </cell>
          <cell r="G151" t="str">
            <v>UAE</v>
          </cell>
          <cell r="H151" t="str">
            <v>AUH1</v>
          </cell>
        </row>
        <row r="152">
          <cell r="C152">
            <v>102205456</v>
          </cell>
          <cell r="D152" t="str">
            <v>PURAKKAL</v>
          </cell>
          <cell r="E152" t="str">
            <v>MuhammedPurakkal</v>
          </cell>
          <cell r="F152" t="str">
            <v>Regular</v>
          </cell>
          <cell r="G152" t="str">
            <v>UAE</v>
          </cell>
          <cell r="H152" t="str">
            <v>AUH1</v>
          </cell>
        </row>
        <row r="153">
          <cell r="C153">
            <v>203469404</v>
          </cell>
          <cell r="D153" t="str">
            <v>musakmwe</v>
          </cell>
          <cell r="E153" t="str">
            <v>MusaNkataMwebe</v>
          </cell>
          <cell r="F153" t="str">
            <v>Temporary</v>
          </cell>
          <cell r="G153" t="str">
            <v>UAE</v>
          </cell>
          <cell r="H153" t="str">
            <v>AUH1</v>
          </cell>
        </row>
        <row r="154">
          <cell r="C154">
            <v>206514788</v>
          </cell>
          <cell r="D154" t="str">
            <v>nabaeria</v>
          </cell>
          <cell r="E154" t="str">
            <v>NabasaEriah</v>
          </cell>
          <cell r="F154" t="str">
            <v>Temporary</v>
          </cell>
          <cell r="G154" t="str">
            <v>UAE</v>
          </cell>
          <cell r="H154" t="str">
            <v>AUH1</v>
          </cell>
        </row>
        <row r="155">
          <cell r="C155">
            <v>205647581</v>
          </cell>
          <cell r="D155" t="str">
            <v>murdnase</v>
          </cell>
          <cell r="E155" t="str">
            <v>NaserianNaiponiMurdaa</v>
          </cell>
          <cell r="F155" t="str">
            <v>Temporary</v>
          </cell>
          <cell r="G155" t="str">
            <v>UAE</v>
          </cell>
          <cell r="H155" t="str">
            <v>AUH1</v>
          </cell>
        </row>
        <row r="156">
          <cell r="C156">
            <v>102981768</v>
          </cell>
          <cell r="D156" t="str">
            <v>nmbella</v>
          </cell>
          <cell r="E156" t="str">
            <v>NdutuMbellaGilbert</v>
          </cell>
          <cell r="F156" t="str">
            <v>Regular</v>
          </cell>
          <cell r="G156" t="str">
            <v>UAE</v>
          </cell>
          <cell r="H156" t="str">
            <v>AUH1</v>
          </cell>
        </row>
        <row r="157">
          <cell r="C157">
            <v>203801393</v>
          </cell>
          <cell r="D157" t="str">
            <v>akonelso</v>
          </cell>
          <cell r="E157" t="str">
            <v>NELSONNDIMAKO</v>
          </cell>
          <cell r="F157" t="str">
            <v>Temporary</v>
          </cell>
          <cell r="G157" t="str">
            <v>UAE</v>
          </cell>
          <cell r="H157" t="str">
            <v>AUH1</v>
          </cell>
        </row>
        <row r="158">
          <cell r="C158">
            <v>204864416</v>
          </cell>
          <cell r="D158" t="str">
            <v>adarkwno</v>
          </cell>
          <cell r="E158" t="str">
            <v>NOAHADARKWAH</v>
          </cell>
          <cell r="F158" t="str">
            <v>Temporary</v>
          </cell>
          <cell r="G158" t="str">
            <v>UAE</v>
          </cell>
          <cell r="H158" t="str">
            <v>AUH1</v>
          </cell>
        </row>
        <row r="159">
          <cell r="C159">
            <v>206016552</v>
          </cell>
          <cell r="D159" t="str">
            <v>nyasnoah</v>
          </cell>
          <cell r="E159" t="str">
            <v>NOAHNYASHABUNU</v>
          </cell>
          <cell r="F159" t="str">
            <v>Temporary</v>
          </cell>
          <cell r="G159" t="str">
            <v>UAE</v>
          </cell>
          <cell r="H159" t="str">
            <v>AUH1</v>
          </cell>
        </row>
        <row r="160">
          <cell r="C160">
            <v>204403811</v>
          </cell>
          <cell r="D160" t="str">
            <v>ntongopo</v>
          </cell>
          <cell r="E160" t="str">
            <v>NoemiTongoPosas</v>
          </cell>
          <cell r="F160" t="str">
            <v>Temporary</v>
          </cell>
          <cell r="G160" t="str">
            <v>UAE</v>
          </cell>
          <cell r="H160" t="str">
            <v>AUH1</v>
          </cell>
        </row>
        <row r="161">
          <cell r="C161">
            <v>206348053</v>
          </cell>
          <cell r="D161" t="str">
            <v>kunorahk</v>
          </cell>
          <cell r="E161" t="str">
            <v>NORAHKULUDHI</v>
          </cell>
          <cell r="F161" t="str">
            <v>Temporary</v>
          </cell>
          <cell r="G161" t="str">
            <v>UAE</v>
          </cell>
          <cell r="H161" t="str">
            <v>AUH1</v>
          </cell>
        </row>
        <row r="162">
          <cell r="C162">
            <v>206915011</v>
          </cell>
          <cell r="D162" t="str">
            <v>arnonsub</v>
          </cell>
          <cell r="E162" t="str">
            <v xml:space="preserve">NSUBUGA ARNOLD AMOS </v>
          </cell>
          <cell r="F162" t="str">
            <v>Temporary</v>
          </cell>
          <cell r="G162" t="str">
            <v>UAE</v>
          </cell>
          <cell r="H162" t="str">
            <v>AUH1</v>
          </cell>
        </row>
        <row r="163">
          <cell r="C163">
            <v>203850788</v>
          </cell>
          <cell r="D163" t="str">
            <v>nurenisd</v>
          </cell>
          <cell r="E163" t="str">
            <v>NureniSalifu</v>
          </cell>
          <cell r="F163" t="str">
            <v>Temporary</v>
          </cell>
          <cell r="G163" t="str">
            <v>UAE</v>
          </cell>
          <cell r="H163" t="str">
            <v>AUH1</v>
          </cell>
        </row>
        <row r="164">
          <cell r="C164">
            <v>206873785</v>
          </cell>
          <cell r="D164" t="str">
            <v>ocpjohnc</v>
          </cell>
          <cell r="E164" t="str">
            <v>OCHOM JOHN CHARLES</v>
          </cell>
          <cell r="F164" t="str">
            <v>Temporary</v>
          </cell>
          <cell r="G164" t="str">
            <v>UAE</v>
          </cell>
          <cell r="H164" t="str">
            <v>AUH1</v>
          </cell>
        </row>
        <row r="165">
          <cell r="C165">
            <v>204319468</v>
          </cell>
          <cell r="D165" t="str">
            <v>onacisbr</v>
          </cell>
          <cell r="E165" t="str">
            <v>OnacisBrew</v>
          </cell>
          <cell r="F165" t="str">
            <v>Temporary</v>
          </cell>
          <cell r="G165" t="str">
            <v>UAE</v>
          </cell>
          <cell r="H165" t="str">
            <v>AUH1</v>
          </cell>
        </row>
        <row r="166">
          <cell r="C166">
            <v>204868856</v>
          </cell>
          <cell r="D166" t="str">
            <v>otooemml</v>
          </cell>
          <cell r="E166" t="str">
            <v>Otoo,Emmanuel</v>
          </cell>
          <cell r="F166" t="str">
            <v>Temporary</v>
          </cell>
          <cell r="G166" t="str">
            <v>UAE</v>
          </cell>
          <cell r="H166" t="str">
            <v>AUH1</v>
          </cell>
        </row>
        <row r="167">
          <cell r="C167">
            <v>206953812</v>
          </cell>
          <cell r="D167" t="str">
            <v>magepaul</v>
          </cell>
          <cell r="E167" t="str">
            <v>Paul Magembe</v>
          </cell>
          <cell r="F167" t="str">
            <v>Temporary</v>
          </cell>
          <cell r="G167" t="str">
            <v>UAE</v>
          </cell>
          <cell r="H167" t="str">
            <v>AUH1</v>
          </cell>
        </row>
        <row r="168">
          <cell r="C168">
            <v>205495602</v>
          </cell>
          <cell r="D168" t="str">
            <v>pechikoz</v>
          </cell>
          <cell r="E168" t="str">
            <v>PeterMwakuniChikodza</v>
          </cell>
          <cell r="F168" t="str">
            <v>Temporary</v>
          </cell>
          <cell r="G168" t="str">
            <v>UAE</v>
          </cell>
          <cell r="H168" t="str">
            <v>AUH1</v>
          </cell>
        </row>
        <row r="169">
          <cell r="C169">
            <v>204299909</v>
          </cell>
          <cell r="D169" t="str">
            <v>bpetenti</v>
          </cell>
          <cell r="E169" t="str">
            <v>PeterNti</v>
          </cell>
          <cell r="F169" t="str">
            <v>Temporary</v>
          </cell>
          <cell r="G169" t="str">
            <v>UAE</v>
          </cell>
          <cell r="H169" t="str">
            <v>AUH1</v>
          </cell>
        </row>
        <row r="170">
          <cell r="C170">
            <v>203850935</v>
          </cell>
          <cell r="D170" t="str">
            <v>phumuzin</v>
          </cell>
          <cell r="E170" t="str">
            <v>PhumuzileNdlovu</v>
          </cell>
          <cell r="F170" t="str">
            <v>Temporary</v>
          </cell>
          <cell r="G170" t="str">
            <v>UAE</v>
          </cell>
          <cell r="H170" t="str">
            <v>AUH1</v>
          </cell>
        </row>
        <row r="171">
          <cell r="C171">
            <v>203679325</v>
          </cell>
          <cell r="D171" t="str">
            <v>nyanprin</v>
          </cell>
          <cell r="E171" t="str">
            <v>PrinceNyanson</v>
          </cell>
          <cell r="F171" t="str">
            <v>Temporary</v>
          </cell>
          <cell r="G171" t="str">
            <v>UAE</v>
          </cell>
          <cell r="H171" t="str">
            <v>AUH1</v>
          </cell>
        </row>
        <row r="172">
          <cell r="C172">
            <v>202238249</v>
          </cell>
          <cell r="D172" t="str">
            <v>princeor</v>
          </cell>
          <cell r="E172" t="str">
            <v>PrinceOhenebaJackson</v>
          </cell>
          <cell r="F172" t="str">
            <v>Temporary</v>
          </cell>
          <cell r="G172" t="str">
            <v>UAE</v>
          </cell>
          <cell r="H172" t="str">
            <v>AUH1</v>
          </cell>
        </row>
        <row r="173">
          <cell r="C173">
            <v>102207652</v>
          </cell>
          <cell r="D173" t="str">
            <v>RVEETIL</v>
          </cell>
          <cell r="E173" t="str">
            <v>RafeekTheruvathVeettil</v>
          </cell>
          <cell r="F173" t="str">
            <v>Regular</v>
          </cell>
          <cell r="G173" t="str">
            <v>UAE</v>
          </cell>
          <cell r="H173" t="str">
            <v>AUH1</v>
          </cell>
        </row>
        <row r="174">
          <cell r="C174">
            <v>203813085</v>
          </cell>
          <cell r="D174" t="str">
            <v>rahanraj</v>
          </cell>
          <cell r="E174" t="str">
            <v>RAHANRAJRAJEEVAN</v>
          </cell>
          <cell r="F174" t="str">
            <v>Temporary</v>
          </cell>
          <cell r="G174" t="str">
            <v>UAE</v>
          </cell>
          <cell r="H174" t="str">
            <v>AUH1</v>
          </cell>
        </row>
        <row r="175">
          <cell r="C175">
            <v>206875145</v>
          </cell>
          <cell r="D175" t="str">
            <v>zinrakib</v>
          </cell>
          <cell r="E175" t="str">
            <v>RAKIB ZINGIRA</v>
          </cell>
          <cell r="F175" t="str">
            <v>Temporary</v>
          </cell>
          <cell r="G175" t="str">
            <v>UAE</v>
          </cell>
          <cell r="H175" t="str">
            <v>AUH1</v>
          </cell>
        </row>
        <row r="176">
          <cell r="C176">
            <v>206136724</v>
          </cell>
          <cell r="D176" t="str">
            <v>musahrap</v>
          </cell>
          <cell r="E176" t="str">
            <v>RaphaelMusah</v>
          </cell>
          <cell r="F176" t="str">
            <v>Temporary</v>
          </cell>
          <cell r="G176" t="str">
            <v>UAE</v>
          </cell>
          <cell r="H176" t="str">
            <v>AUH1</v>
          </cell>
        </row>
        <row r="177">
          <cell r="C177">
            <v>204329123</v>
          </cell>
          <cell r="D177" t="str">
            <v>ribnyame</v>
          </cell>
          <cell r="E177" t="str">
            <v>RichmondNyame</v>
          </cell>
          <cell r="F177" t="str">
            <v>Temporary</v>
          </cell>
          <cell r="G177" t="str">
            <v>UAE</v>
          </cell>
          <cell r="H177" t="str">
            <v>AUH1</v>
          </cell>
        </row>
        <row r="178">
          <cell r="C178">
            <v>206851163</v>
          </cell>
          <cell r="D178" t="str">
            <v>roberkig</v>
          </cell>
          <cell r="E178" t="str">
            <v>ROBERT KIGGUNDU</v>
          </cell>
          <cell r="F178" t="str">
            <v>Temporary</v>
          </cell>
          <cell r="G178" t="str">
            <v>UAE</v>
          </cell>
          <cell r="H178" t="str">
            <v>AUH1</v>
          </cell>
        </row>
        <row r="179">
          <cell r="C179">
            <v>203469083</v>
          </cell>
          <cell r="D179" t="str">
            <v>jrockson</v>
          </cell>
          <cell r="E179" t="str">
            <v>RocksonAwusiJunior</v>
          </cell>
          <cell r="F179" t="str">
            <v>Temporary</v>
          </cell>
          <cell r="G179" t="str">
            <v>UAE</v>
          </cell>
          <cell r="H179" t="str">
            <v>AUH1</v>
          </cell>
        </row>
        <row r="180">
          <cell r="C180">
            <v>203679326</v>
          </cell>
          <cell r="D180" t="str">
            <v>ruteshun</v>
          </cell>
          <cell r="E180" t="str">
            <v>RuthJacklineEshun</v>
          </cell>
          <cell r="F180" t="str">
            <v>Temporary</v>
          </cell>
          <cell r="G180" t="str">
            <v>UAE</v>
          </cell>
          <cell r="H180" t="str">
            <v>AUH1</v>
          </cell>
        </row>
        <row r="181">
          <cell r="C181">
            <v>205301874</v>
          </cell>
          <cell r="D181" t="str">
            <v>opariyar</v>
          </cell>
          <cell r="E181" t="str">
            <v>SabinaPariyar</v>
          </cell>
          <cell r="F181" t="str">
            <v>Temporary</v>
          </cell>
          <cell r="G181" t="str">
            <v>UAE</v>
          </cell>
          <cell r="H181" t="str">
            <v>AUH1</v>
          </cell>
        </row>
        <row r="182">
          <cell r="C182">
            <v>206008708</v>
          </cell>
          <cell r="D182" t="str">
            <v>vsadimoh</v>
          </cell>
          <cell r="E182" t="str">
            <v>SADIQMOHAMMED</v>
          </cell>
          <cell r="F182" t="str">
            <v>Temporary</v>
          </cell>
          <cell r="G182" t="str">
            <v>UAE</v>
          </cell>
          <cell r="H182" t="str">
            <v>AUH1</v>
          </cell>
        </row>
        <row r="183">
          <cell r="C183">
            <v>206873881</v>
          </cell>
          <cell r="D183" t="str">
            <v>mugwanas</v>
          </cell>
          <cell r="E183" t="str">
            <v>SALIMU MUGWANA</v>
          </cell>
          <cell r="F183" t="str">
            <v>Temporary</v>
          </cell>
          <cell r="G183" t="str">
            <v>UAE</v>
          </cell>
          <cell r="H183" t="str">
            <v>AUH1</v>
          </cell>
        </row>
        <row r="184">
          <cell r="C184">
            <v>206175107</v>
          </cell>
          <cell r="D184" t="str">
            <v>mwansamw</v>
          </cell>
          <cell r="E184" t="str">
            <v>SamwelMwangiKamau</v>
          </cell>
          <cell r="F184" t="str">
            <v>Temporary</v>
          </cell>
          <cell r="G184" t="str">
            <v>UAE</v>
          </cell>
          <cell r="H184" t="str">
            <v>AUH1</v>
          </cell>
        </row>
        <row r="185">
          <cell r="C185">
            <v>203469455</v>
          </cell>
          <cell r="D185" t="str">
            <v>sandrtka</v>
          </cell>
          <cell r="E185" t="str">
            <v>SandrtaNalubegaKasozi</v>
          </cell>
          <cell r="F185" t="str">
            <v>Temporary</v>
          </cell>
          <cell r="G185" t="str">
            <v>UAE</v>
          </cell>
          <cell r="H185" t="str">
            <v>AUH1</v>
          </cell>
        </row>
        <row r="186">
          <cell r="C186">
            <v>203813088</v>
          </cell>
          <cell r="D186" t="str">
            <v>thosanjq</v>
          </cell>
          <cell r="E186" t="str">
            <v>SANJUTHOMAS</v>
          </cell>
          <cell r="F186" t="str">
            <v>Temporary</v>
          </cell>
          <cell r="G186" t="str">
            <v>UAE</v>
          </cell>
          <cell r="H186" t="str">
            <v>AUH1</v>
          </cell>
        </row>
        <row r="187">
          <cell r="C187">
            <v>204072320</v>
          </cell>
          <cell r="D187" t="str">
            <v>mosaselv</v>
          </cell>
          <cell r="E187" t="str">
            <v>SELVAK.M.MOSAS</v>
          </cell>
          <cell r="F187" t="str">
            <v>Temporary</v>
          </cell>
          <cell r="G187" t="str">
            <v>UAE</v>
          </cell>
          <cell r="H187" t="str">
            <v>AUH1</v>
          </cell>
        </row>
        <row r="188">
          <cell r="C188">
            <v>204299908</v>
          </cell>
          <cell r="D188" t="str">
            <v>senncube</v>
          </cell>
          <cell r="E188" t="str">
            <v>SenzoNcube</v>
          </cell>
          <cell r="F188" t="str">
            <v>Temporary</v>
          </cell>
          <cell r="G188" t="str">
            <v>UAE</v>
          </cell>
          <cell r="H188" t="str">
            <v>AUH1</v>
          </cell>
        </row>
        <row r="189">
          <cell r="C189">
            <v>205647585</v>
          </cell>
          <cell r="D189" t="str">
            <v>sentshaf</v>
          </cell>
          <cell r="E189" t="str">
            <v>ShafikSentongo</v>
          </cell>
          <cell r="F189" t="str">
            <v>Temporary</v>
          </cell>
          <cell r="G189" t="str">
            <v>UAE</v>
          </cell>
          <cell r="H189" t="str">
            <v>AUH1</v>
          </cell>
        </row>
        <row r="190">
          <cell r="C190">
            <v>205647825</v>
          </cell>
          <cell r="D190" t="str">
            <v>psharonc</v>
          </cell>
          <cell r="E190" t="str">
            <v>SharonCheronoPsaima</v>
          </cell>
          <cell r="F190" t="str">
            <v>Temporary</v>
          </cell>
          <cell r="G190" t="str">
            <v>UAE</v>
          </cell>
          <cell r="H190" t="str">
            <v>AUH1</v>
          </cell>
        </row>
        <row r="191">
          <cell r="C191">
            <v>206297429</v>
          </cell>
          <cell r="D191" t="str">
            <v>jfsheila</v>
          </cell>
          <cell r="E191" t="str">
            <v>SheilahKuttohJeptoo</v>
          </cell>
          <cell r="F191" t="str">
            <v>Temporary</v>
          </cell>
          <cell r="G191" t="str">
            <v>UAE</v>
          </cell>
          <cell r="H191" t="str">
            <v>AUH1</v>
          </cell>
        </row>
        <row r="192">
          <cell r="C192">
            <v>203469406</v>
          </cell>
          <cell r="D192" t="str">
            <v>ncusilet</v>
          </cell>
          <cell r="E192" t="str">
            <v>SilethembaNcube</v>
          </cell>
          <cell r="F192" t="str">
            <v>Temporary</v>
          </cell>
          <cell r="G192" t="str">
            <v>UAE</v>
          </cell>
          <cell r="H192" t="str">
            <v>AUH1</v>
          </cell>
        </row>
        <row r="193">
          <cell r="C193">
            <v>203555408</v>
          </cell>
          <cell r="D193" t="str">
            <v>ngwesola</v>
          </cell>
          <cell r="E193" t="str">
            <v>SolangeSombongNgwemukum</v>
          </cell>
          <cell r="F193" t="str">
            <v>Temporary</v>
          </cell>
          <cell r="G193" t="str">
            <v>UAE</v>
          </cell>
          <cell r="H193" t="str">
            <v>AUH1</v>
          </cell>
        </row>
        <row r="194">
          <cell r="C194">
            <v>203469114</v>
          </cell>
          <cell r="D194" t="str">
            <v>owususol</v>
          </cell>
          <cell r="E194" t="str">
            <v>SolomonOwusu</v>
          </cell>
          <cell r="F194" t="str">
            <v>Temporary</v>
          </cell>
          <cell r="G194" t="str">
            <v>UAE</v>
          </cell>
          <cell r="H194" t="str">
            <v>AUH1</v>
          </cell>
        </row>
        <row r="195">
          <cell r="C195">
            <v>203813078</v>
          </cell>
          <cell r="D195" t="str">
            <v>sudqsonu</v>
          </cell>
          <cell r="E195" t="str">
            <v>SONUKRISHNASUDHA</v>
          </cell>
          <cell r="F195" t="str">
            <v>Temporary</v>
          </cell>
          <cell r="G195" t="str">
            <v>UAE</v>
          </cell>
          <cell r="H195" t="str">
            <v>AUH1</v>
          </cell>
        </row>
        <row r="196">
          <cell r="C196">
            <v>206952968</v>
          </cell>
          <cell r="D196" t="str">
            <v>samssema</v>
          </cell>
          <cell r="E196" t="str">
            <v>SSEMAKULA SAM</v>
          </cell>
          <cell r="F196" t="str">
            <v>Temporary</v>
          </cell>
          <cell r="G196" t="str">
            <v>UAE</v>
          </cell>
          <cell r="H196" t="str">
            <v>AUH1</v>
          </cell>
        </row>
        <row r="197">
          <cell r="C197">
            <v>205608882</v>
          </cell>
          <cell r="D197" t="str">
            <v>stepagye</v>
          </cell>
          <cell r="E197" t="str">
            <v>STEPHENAGYEI</v>
          </cell>
          <cell r="F197" t="str">
            <v>Temporary</v>
          </cell>
          <cell r="G197" t="str">
            <v>UAE</v>
          </cell>
          <cell r="H197" t="str">
            <v>AUH1</v>
          </cell>
        </row>
        <row r="198">
          <cell r="C198">
            <v>205276100</v>
          </cell>
          <cell r="D198" t="str">
            <v>stepheof</v>
          </cell>
          <cell r="E198" t="str">
            <v>STEPHENNYADUOFORI</v>
          </cell>
          <cell r="F198" t="str">
            <v>Temporary</v>
          </cell>
          <cell r="G198" t="str">
            <v>UAE</v>
          </cell>
          <cell r="H198" t="str">
            <v>AUH1</v>
          </cell>
        </row>
        <row r="199">
          <cell r="C199">
            <v>203908354</v>
          </cell>
          <cell r="D199" t="str">
            <v>ksesteph</v>
          </cell>
          <cell r="E199" t="str">
            <v>STEPHENSEETA</v>
          </cell>
          <cell r="F199" t="str">
            <v>Temporary</v>
          </cell>
          <cell r="G199" t="str">
            <v>UAE</v>
          </cell>
          <cell r="H199" t="str">
            <v>AUH1</v>
          </cell>
        </row>
        <row r="200">
          <cell r="C200">
            <v>205647835</v>
          </cell>
          <cell r="D200" t="str">
            <v>ustemain</v>
          </cell>
          <cell r="E200" t="str">
            <v>STEVEMBUGUAMAINA</v>
          </cell>
          <cell r="F200" t="str">
            <v>Temporary</v>
          </cell>
          <cell r="G200" t="str">
            <v>UAE</v>
          </cell>
          <cell r="H200" t="str">
            <v>AUH1</v>
          </cell>
        </row>
        <row r="201">
          <cell r="C201">
            <v>203850776</v>
          </cell>
          <cell r="D201" t="str">
            <v>folisuzw</v>
          </cell>
          <cell r="E201" t="str">
            <v>SuzzyFoli</v>
          </cell>
          <cell r="F201" t="str">
            <v>Temporary</v>
          </cell>
          <cell r="G201" t="str">
            <v>UAE</v>
          </cell>
          <cell r="H201" t="str">
            <v>AUH1</v>
          </cell>
        </row>
        <row r="202">
          <cell r="C202">
            <v>203469168</v>
          </cell>
          <cell r="D202" t="str">
            <v>tabtabi</v>
          </cell>
          <cell r="E202" t="str">
            <v>TabiPeterTabi</v>
          </cell>
          <cell r="F202" t="str">
            <v>Temporary</v>
          </cell>
          <cell r="G202" t="str">
            <v>UAE</v>
          </cell>
          <cell r="H202" t="str">
            <v>AUH1</v>
          </cell>
        </row>
        <row r="203">
          <cell r="C203">
            <v>205651024</v>
          </cell>
          <cell r="D203" t="str">
            <v>taatinde</v>
          </cell>
          <cell r="E203" t="str">
            <v>TabithaMonicaAtinde</v>
          </cell>
          <cell r="F203" t="str">
            <v>Temporary</v>
          </cell>
          <cell r="G203" t="str">
            <v>UAE</v>
          </cell>
          <cell r="H203" t="str">
            <v>AUH1</v>
          </cell>
        </row>
        <row r="204">
          <cell r="C204">
            <v>205647828</v>
          </cell>
          <cell r="D204" t="str">
            <v>gittabit</v>
          </cell>
          <cell r="E204" t="str">
            <v>TABITHAWANJIRAGITAU</v>
          </cell>
          <cell r="F204" t="str">
            <v>Temporary</v>
          </cell>
          <cell r="G204" t="str">
            <v>UAE</v>
          </cell>
          <cell r="H204" t="str">
            <v>AUH1</v>
          </cell>
        </row>
        <row r="205">
          <cell r="C205">
            <v>203555404</v>
          </cell>
          <cell r="D205" t="str">
            <v>tashindu</v>
          </cell>
          <cell r="E205" t="str">
            <v>TashingaWiddyDumba</v>
          </cell>
          <cell r="F205" t="str">
            <v>Temporary</v>
          </cell>
          <cell r="G205" t="str">
            <v>UAE</v>
          </cell>
          <cell r="H205" t="str">
            <v>AUH1</v>
          </cell>
        </row>
        <row r="206">
          <cell r="C206">
            <v>102434105</v>
          </cell>
          <cell r="D206" t="str">
            <v>THATTYOD</v>
          </cell>
          <cell r="E206" t="str">
            <v>Thattyodan,Sarang</v>
          </cell>
          <cell r="F206" t="str">
            <v>Regular</v>
          </cell>
          <cell r="G206" t="str">
            <v>UAE</v>
          </cell>
          <cell r="H206" t="str">
            <v>AUH1</v>
          </cell>
        </row>
        <row r="207">
          <cell r="C207">
            <v>204319805</v>
          </cell>
          <cell r="D207" t="str">
            <v>thtorgbo</v>
          </cell>
          <cell r="E207" t="str">
            <v>TheophilusTorgbor</v>
          </cell>
          <cell r="F207" t="str">
            <v>Temporary</v>
          </cell>
          <cell r="G207" t="str">
            <v>UAE</v>
          </cell>
          <cell r="H207" t="str">
            <v>AUH1</v>
          </cell>
        </row>
        <row r="208">
          <cell r="C208">
            <v>206949310</v>
          </cell>
          <cell r="D208" t="str">
            <v>simwtimo</v>
          </cell>
          <cell r="E208" t="str">
            <v>TIMOTHY SIMWENDE</v>
          </cell>
          <cell r="F208" t="str">
            <v>Temporary</v>
          </cell>
          <cell r="G208" t="str">
            <v>UAE</v>
          </cell>
          <cell r="H208" t="str">
            <v>AUH1</v>
          </cell>
        </row>
        <row r="209">
          <cell r="C209">
            <v>206007530</v>
          </cell>
          <cell r="D209" t="str">
            <v>netofikz</v>
          </cell>
          <cell r="E209" t="str">
            <v>TofikNegash</v>
          </cell>
          <cell r="F209" t="str">
            <v>Temporary</v>
          </cell>
          <cell r="G209" t="str">
            <v>UAE</v>
          </cell>
          <cell r="H209" t="str">
            <v>AUH1</v>
          </cell>
        </row>
        <row r="210">
          <cell r="C210">
            <v>203800377</v>
          </cell>
          <cell r="D210" t="str">
            <v>totuhais</v>
          </cell>
          <cell r="E210" t="str">
            <v>TOMTUHAISE</v>
          </cell>
          <cell r="F210" t="str">
            <v>Temporary</v>
          </cell>
          <cell r="G210" t="str">
            <v>UAE</v>
          </cell>
          <cell r="H210" t="str">
            <v>AUH1</v>
          </cell>
        </row>
        <row r="211">
          <cell r="C211">
            <v>205609143</v>
          </cell>
          <cell r="D211" t="str">
            <v>umaymusa</v>
          </cell>
          <cell r="E211" t="str">
            <v>UMARUMUSAMUBI</v>
          </cell>
          <cell r="F211" t="str">
            <v>Temporary</v>
          </cell>
          <cell r="G211" t="str">
            <v>UAE</v>
          </cell>
          <cell r="H211" t="str">
            <v>AUH1</v>
          </cell>
        </row>
        <row r="212">
          <cell r="C212">
            <v>206296205</v>
          </cell>
          <cell r="D212" t="str">
            <v>conteeun</v>
          </cell>
          <cell r="E212" t="str">
            <v>UNISAA.CONTEH</v>
          </cell>
          <cell r="F212" t="str">
            <v>Temporary</v>
          </cell>
          <cell r="G212" t="str">
            <v>UAE</v>
          </cell>
          <cell r="H212" t="str">
            <v>AUH1</v>
          </cell>
        </row>
        <row r="213">
          <cell r="C213">
            <v>203555406</v>
          </cell>
          <cell r="D213" t="str">
            <v>bihveraf</v>
          </cell>
          <cell r="E213" t="str">
            <v>VeraAnyangweBih</v>
          </cell>
          <cell r="F213" t="str">
            <v>Temporary</v>
          </cell>
          <cell r="G213" t="str">
            <v>UAE</v>
          </cell>
          <cell r="H213" t="str">
            <v>AUH1</v>
          </cell>
        </row>
        <row r="214">
          <cell r="C214">
            <v>203817154</v>
          </cell>
          <cell r="D214" t="str">
            <v>vicwquay</v>
          </cell>
          <cell r="E214" t="str">
            <v>VICTORIAQUAYSON</v>
          </cell>
          <cell r="F214" t="str">
            <v>Temporary</v>
          </cell>
          <cell r="G214" t="str">
            <v>UAE</v>
          </cell>
          <cell r="H214" t="str">
            <v>AUH1</v>
          </cell>
        </row>
        <row r="215">
          <cell r="C215">
            <v>206192235</v>
          </cell>
          <cell r="D215" t="str">
            <v>chirviol</v>
          </cell>
          <cell r="E215" t="str">
            <v>Violachepkemboichirchir</v>
          </cell>
          <cell r="F215" t="str">
            <v>Temporary</v>
          </cell>
          <cell r="G215" t="str">
            <v>UAE</v>
          </cell>
          <cell r="H215" t="str">
            <v>AUH1</v>
          </cell>
        </row>
        <row r="216">
          <cell r="C216">
            <v>203813132</v>
          </cell>
          <cell r="D216" t="str">
            <v>ovirajan</v>
          </cell>
          <cell r="E216" t="str">
            <v>VISHNURAJBABYRAJAN</v>
          </cell>
          <cell r="F216" t="str">
            <v>Temporary</v>
          </cell>
          <cell r="G216" t="str">
            <v>UAE</v>
          </cell>
          <cell r="H216" t="str">
            <v>AUH1</v>
          </cell>
        </row>
        <row r="217">
          <cell r="C217">
            <v>203735945</v>
          </cell>
          <cell r="D217" t="str">
            <v>wmasolwi</v>
          </cell>
          <cell r="E217" t="str">
            <v>WILLIAMMASOLE</v>
          </cell>
          <cell r="F217" t="str">
            <v>Temporary</v>
          </cell>
          <cell r="G217" t="str">
            <v>UAE</v>
          </cell>
          <cell r="H217" t="str">
            <v>AUH1</v>
          </cell>
        </row>
        <row r="218">
          <cell r="C218">
            <v>203816755</v>
          </cell>
          <cell r="D218" t="str">
            <v>abonekay</v>
          </cell>
          <cell r="E218" t="str">
            <v>YAKUBUABONEKA</v>
          </cell>
          <cell r="F218" t="str">
            <v>Temporary</v>
          </cell>
          <cell r="G218" t="str">
            <v>UAE</v>
          </cell>
          <cell r="H218" t="str">
            <v>AUH1</v>
          </cell>
        </row>
        <row r="219">
          <cell r="C219">
            <v>205275635</v>
          </cell>
          <cell r="D219" t="str">
            <v>nyazacha</v>
          </cell>
          <cell r="E219" t="str">
            <v>ZachariaNyaosiNyang</v>
          </cell>
          <cell r="F219" t="str">
            <v>Temporary</v>
          </cell>
          <cell r="G219" t="str">
            <v>UAE</v>
          </cell>
          <cell r="H219" t="str">
            <v>AUH1</v>
          </cell>
        </row>
        <row r="220">
          <cell r="C220">
            <v>203468510</v>
          </cell>
          <cell r="D220" t="str">
            <v>kombabep</v>
          </cell>
          <cell r="E220" t="str">
            <v>Abel Bayelema Kombat</v>
          </cell>
          <cell r="F220" t="str">
            <v>Temporary</v>
          </cell>
          <cell r="G220" t="str">
            <v>UAE</v>
          </cell>
          <cell r="H220" t="str">
            <v>AUH1</v>
          </cell>
        </row>
        <row r="221">
          <cell r="C221">
            <v>202308467</v>
          </cell>
          <cell r="D221" t="str">
            <v>oppongla</v>
          </cell>
          <cell r="E221" t="str">
            <v>ABRAHAM SENIOR OPPONG</v>
          </cell>
          <cell r="F221" t="str">
            <v>Temporary</v>
          </cell>
          <cell r="G221" t="str">
            <v>UAE</v>
          </cell>
          <cell r="H221" t="str">
            <v>AUH1</v>
          </cell>
        </row>
        <row r="222">
          <cell r="C222">
            <v>204246160</v>
          </cell>
          <cell r="D222" t="str">
            <v>danjuali</v>
          </cell>
          <cell r="E222" t="str">
            <v>Ali Muhammad Danjuma</v>
          </cell>
          <cell r="F222" t="str">
            <v>Temporary</v>
          </cell>
          <cell r="G222" t="str">
            <v>UAE</v>
          </cell>
          <cell r="H222" t="str">
            <v>AUH1</v>
          </cell>
        </row>
        <row r="223">
          <cell r="C223">
            <v>207220266</v>
          </cell>
          <cell r="D223" t="str">
            <v>halzaabi</v>
          </cell>
          <cell r="E223" t="str">
            <v>Alzaabi,Hamad</v>
          </cell>
          <cell r="F223" t="str">
            <v>Regular</v>
          </cell>
          <cell r="G223" t="str">
            <v>UAE</v>
          </cell>
          <cell r="H223" t="str">
            <v>AUH1</v>
          </cell>
        </row>
        <row r="224">
          <cell r="C224">
            <v>203850930</v>
          </cell>
          <cell r="D224" t="str">
            <v>vmustapa</v>
          </cell>
          <cell r="E224" t="str">
            <v>Aminatu Korkor Mustapha</v>
          </cell>
          <cell r="F224" t="str">
            <v>Temporary</v>
          </cell>
          <cell r="G224" t="str">
            <v>UAE</v>
          </cell>
          <cell r="H224" t="str">
            <v>AUH1</v>
          </cell>
        </row>
        <row r="225">
          <cell r="C225">
            <v>206953795</v>
          </cell>
          <cell r="D225" t="str">
            <v>nalhaudr</v>
          </cell>
          <cell r="E225" t="str">
            <v>Audrey Rael Naliaka</v>
          </cell>
          <cell r="F225" t="str">
            <v>Temporary</v>
          </cell>
          <cell r="G225" t="str">
            <v>UAE</v>
          </cell>
          <cell r="H225" t="str">
            <v>AUH1</v>
          </cell>
        </row>
        <row r="226">
          <cell r="C226">
            <v>206348033</v>
          </cell>
          <cell r="D226" t="str">
            <v>esiraben</v>
          </cell>
          <cell r="E226" t="str">
            <v>BENEDICTA ESI RAMSON</v>
          </cell>
          <cell r="F226" t="str">
            <v>Temporary</v>
          </cell>
          <cell r="G226" t="str">
            <v>UAE</v>
          </cell>
          <cell r="H226" t="str">
            <v>AUH1</v>
          </cell>
        </row>
        <row r="227">
          <cell r="C227">
            <v>205977130</v>
          </cell>
          <cell r="D227" t="str">
            <v>tumwgben</v>
          </cell>
          <cell r="E227" t="str">
            <v>BENSON TUMWINE</v>
          </cell>
          <cell r="F227" t="str">
            <v>Temporary</v>
          </cell>
          <cell r="G227" t="str">
            <v>UAE</v>
          </cell>
          <cell r="H227" t="str">
            <v>AUH1</v>
          </cell>
        </row>
        <row r="228">
          <cell r="C228">
            <v>203555224</v>
          </cell>
          <cell r="D228" t="str">
            <v>beryllin</v>
          </cell>
          <cell r="E228" t="str">
            <v>Berylline Naa Ayeley Okine</v>
          </cell>
          <cell r="F228" t="str">
            <v>Temporary</v>
          </cell>
          <cell r="G228" t="str">
            <v>UAE</v>
          </cell>
          <cell r="H228" t="str">
            <v>AUH1</v>
          </cell>
        </row>
        <row r="229">
          <cell r="C229">
            <v>206953381</v>
          </cell>
          <cell r="D229" t="str">
            <v>karerahb</v>
          </cell>
          <cell r="E229" t="str">
            <v>Brenda Wambui Karerah</v>
          </cell>
          <cell r="F229" t="str">
            <v>Temporary</v>
          </cell>
          <cell r="G229" t="str">
            <v>UAE</v>
          </cell>
          <cell r="H229" t="str">
            <v>AUH1</v>
          </cell>
        </row>
        <row r="230">
          <cell r="C230">
            <v>205996683</v>
          </cell>
          <cell r="D230" t="str">
            <v>cmaforun</v>
          </cell>
          <cell r="E230" t="str">
            <v>CHANTAL MAFOR UNABI</v>
          </cell>
          <cell r="F230" t="str">
            <v>Temporary</v>
          </cell>
          <cell r="G230" t="str">
            <v>UAE</v>
          </cell>
          <cell r="H230" t="str">
            <v>AUH1</v>
          </cell>
        </row>
        <row r="231">
          <cell r="C231">
            <v>206192647</v>
          </cell>
          <cell r="D231" t="str">
            <v>cchrisas</v>
          </cell>
          <cell r="E231" t="str">
            <v>Christiana Asamoah Boatemaa</v>
          </cell>
          <cell r="F231" t="str">
            <v>Temporary</v>
          </cell>
          <cell r="G231" t="str">
            <v>UAE</v>
          </cell>
          <cell r="H231" t="str">
            <v>AUH1</v>
          </cell>
        </row>
        <row r="232">
          <cell r="C232">
            <v>206953797</v>
          </cell>
          <cell r="D232" t="str">
            <v>dianajek</v>
          </cell>
          <cell r="E232" t="str">
            <v>Diana Jerono Kimutai</v>
          </cell>
          <cell r="F232" t="str">
            <v>Temporary</v>
          </cell>
          <cell r="G232" t="str">
            <v>UAE</v>
          </cell>
          <cell r="H232" t="str">
            <v>AUH1</v>
          </cell>
        </row>
        <row r="233">
          <cell r="C233">
            <v>203850932</v>
          </cell>
          <cell r="D233" t="str">
            <v>ayumuwdo</v>
          </cell>
          <cell r="E233" t="str">
            <v>Doreen Demor Ayumu</v>
          </cell>
          <cell r="F233" t="str">
            <v>Temporary</v>
          </cell>
          <cell r="G233" t="str">
            <v>UAE</v>
          </cell>
          <cell r="H233" t="str">
            <v>AUH1</v>
          </cell>
        </row>
        <row r="234">
          <cell r="C234">
            <v>203709877</v>
          </cell>
          <cell r="D234" t="str">
            <v>nyeineb</v>
          </cell>
          <cell r="E234" t="str">
            <v>Ei Ei Nyein</v>
          </cell>
          <cell r="F234" t="str">
            <v>Temporary</v>
          </cell>
          <cell r="G234" t="str">
            <v>UAE</v>
          </cell>
          <cell r="H234" t="str">
            <v>AUH1</v>
          </cell>
        </row>
        <row r="235">
          <cell r="C235">
            <v>206953796</v>
          </cell>
          <cell r="D235" t="str">
            <v>elisenco</v>
          </cell>
          <cell r="E235" t="str">
            <v>Elise Nyatuka Colonel</v>
          </cell>
          <cell r="F235" t="str">
            <v>Temporary</v>
          </cell>
          <cell r="G235" t="str">
            <v>UAE</v>
          </cell>
          <cell r="H235" t="str">
            <v>AUH1</v>
          </cell>
        </row>
        <row r="236">
          <cell r="C236">
            <v>203850933</v>
          </cell>
          <cell r="D236" t="str">
            <v>emmaabug</v>
          </cell>
          <cell r="E236" t="str">
            <v>Emmanuel Abugri</v>
          </cell>
          <cell r="F236" t="str">
            <v>Temporary</v>
          </cell>
          <cell r="G236" t="str">
            <v>UAE</v>
          </cell>
          <cell r="H236" t="str">
            <v>AUH1</v>
          </cell>
        </row>
        <row r="237">
          <cell r="C237">
            <v>203468509</v>
          </cell>
          <cell r="D237" t="str">
            <v>xcemmanu</v>
          </cell>
          <cell r="E237" t="str">
            <v>Emmanuel Cudjoe</v>
          </cell>
          <cell r="F237" t="str">
            <v>Temporary</v>
          </cell>
          <cell r="G237" t="str">
            <v>UAE</v>
          </cell>
          <cell r="H237" t="str">
            <v>AUH1</v>
          </cell>
        </row>
        <row r="238">
          <cell r="C238">
            <v>206361763</v>
          </cell>
          <cell r="D238" t="str">
            <v>embaziir</v>
          </cell>
          <cell r="E238" t="str">
            <v>EMMANUEL MBAZIIRA</v>
          </cell>
          <cell r="F238" t="str">
            <v>Temporary</v>
          </cell>
          <cell r="G238" t="str">
            <v>UAE</v>
          </cell>
          <cell r="H238" t="str">
            <v>AUH1</v>
          </cell>
        </row>
        <row r="239">
          <cell r="C239">
            <v>203850934</v>
          </cell>
          <cell r="D239" t="str">
            <v>uemodoom</v>
          </cell>
          <cell r="E239" t="str">
            <v>Emmanuel Odoom</v>
          </cell>
          <cell r="F239" t="str">
            <v>Temporary</v>
          </cell>
          <cell r="G239" t="str">
            <v>UAE</v>
          </cell>
          <cell r="H239" t="str">
            <v>AUH1</v>
          </cell>
        </row>
        <row r="240">
          <cell r="C240">
            <v>205996686</v>
          </cell>
          <cell r="D240" t="str">
            <v>timfelig</v>
          </cell>
          <cell r="E240" t="str">
            <v>FELICIA TIMAH</v>
          </cell>
          <cell r="F240" t="str">
            <v>Temporary</v>
          </cell>
          <cell r="G240" t="str">
            <v>UAE</v>
          </cell>
          <cell r="H240" t="str">
            <v>AUH1</v>
          </cell>
        </row>
        <row r="241">
          <cell r="C241">
            <v>203468508</v>
          </cell>
          <cell r="D241" t="str">
            <v>amaduga</v>
          </cell>
          <cell r="E241" t="str">
            <v>Ganiu Amadu</v>
          </cell>
          <cell r="F241" t="str">
            <v>Temporary</v>
          </cell>
          <cell r="G241" t="str">
            <v>UAE</v>
          </cell>
          <cell r="H241" t="str">
            <v>AUH1</v>
          </cell>
        </row>
        <row r="242">
          <cell r="C242">
            <v>204941770</v>
          </cell>
          <cell r="D242" t="str">
            <v>moghazy</v>
          </cell>
          <cell r="E242" t="str">
            <v>Ghazy,Mohamed </v>
          </cell>
          <cell r="F242" t="str">
            <v>Regular</v>
          </cell>
          <cell r="G242" t="str">
            <v>UAE</v>
          </cell>
          <cell r="H242" t="str">
            <v>AUH1</v>
          </cell>
        </row>
        <row r="243">
          <cell r="C243">
            <v>203468507</v>
          </cell>
          <cell r="D243" t="str">
            <v>boamhenr</v>
          </cell>
          <cell r="E243" t="str">
            <v>Henry Asiamah Boamah</v>
          </cell>
          <cell r="F243" t="str">
            <v>Temporary</v>
          </cell>
          <cell r="G243" t="str">
            <v>UAE</v>
          </cell>
          <cell r="H243" t="str">
            <v>AUH1</v>
          </cell>
        </row>
        <row r="244">
          <cell r="C244">
            <v>106268319</v>
          </cell>
          <cell r="D244" t="str">
            <v>jemaisen</v>
          </cell>
          <cell r="E244" t="str">
            <v>Jemaisen Hermano Plaza</v>
          </cell>
          <cell r="F244" t="str">
            <v>Regular</v>
          </cell>
          <cell r="G244" t="str">
            <v>UAE</v>
          </cell>
          <cell r="H244" t="str">
            <v>AUH1</v>
          </cell>
        </row>
        <row r="245">
          <cell r="C245">
            <v>206149617</v>
          </cell>
          <cell r="D245" t="str">
            <v>kaijudit</v>
          </cell>
          <cell r="E245" t="str">
            <v>JUDITH KABUGHO</v>
          </cell>
          <cell r="F245" t="str">
            <v>Temporary</v>
          </cell>
          <cell r="G245" t="str">
            <v>UAE</v>
          </cell>
          <cell r="H245" t="str">
            <v>AUH1</v>
          </cell>
        </row>
        <row r="246">
          <cell r="C246">
            <v>102577243</v>
          </cell>
          <cell r="D246" t="str">
            <v>kmmohami</v>
          </cell>
          <cell r="E246" t="str">
            <v>K M Mohamed Imran</v>
          </cell>
          <cell r="F246" t="str">
            <v>Regular</v>
          </cell>
          <cell r="G246" t="str">
            <v>UAE</v>
          </cell>
          <cell r="H246" t="str">
            <v>AUH1</v>
          </cell>
        </row>
        <row r="247">
          <cell r="C247">
            <v>204095446</v>
          </cell>
          <cell r="D247" t="str">
            <v>ndugakue</v>
          </cell>
          <cell r="E247" t="str">
            <v>Kelvin Anankeng Azem Ndugakue</v>
          </cell>
          <cell r="F247" t="str">
            <v>Temporary</v>
          </cell>
          <cell r="G247" t="str">
            <v>UAE</v>
          </cell>
          <cell r="H247" t="str">
            <v>AUH1</v>
          </cell>
        </row>
        <row r="248">
          <cell r="C248">
            <v>206239528</v>
          </cell>
          <cell r="D248" t="str">
            <v>oykeziah</v>
          </cell>
          <cell r="E248" t="str">
            <v>KEZIAH OYE</v>
          </cell>
          <cell r="F248" t="str">
            <v>Temporary</v>
          </cell>
          <cell r="G248" t="str">
            <v>UAE</v>
          </cell>
          <cell r="H248" t="str">
            <v>AUH1</v>
          </cell>
        </row>
        <row r="249">
          <cell r="C249">
            <v>203709876</v>
          </cell>
          <cell r="D249" t="str">
            <v>qkhinmek</v>
          </cell>
          <cell r="E249" t="str">
            <v>Khin Me Me Ko</v>
          </cell>
          <cell r="F249" t="str">
            <v>Temporary</v>
          </cell>
          <cell r="G249" t="str">
            <v>UAE</v>
          </cell>
          <cell r="H249" t="str">
            <v>AUH1</v>
          </cell>
        </row>
        <row r="250">
          <cell r="C250">
            <v>201228114</v>
          </cell>
          <cell r="D250" t="str">
            <v>tuleoleo</v>
          </cell>
          <cell r="E250" t="str">
            <v>Leo Leonardo Tumay</v>
          </cell>
          <cell r="F250" t="str">
            <v>Temporary</v>
          </cell>
          <cell r="G250" t="str">
            <v>UAE</v>
          </cell>
          <cell r="H250" t="str">
            <v>AUH1</v>
          </cell>
        </row>
        <row r="251">
          <cell r="C251">
            <v>206348034</v>
          </cell>
          <cell r="D251" t="str">
            <v>marimudi</v>
          </cell>
          <cell r="E251" t="str">
            <v>MARTINE MUDIMI WONIALA</v>
          </cell>
          <cell r="F251" t="str">
            <v>Temporary</v>
          </cell>
          <cell r="G251" t="str">
            <v>UAE</v>
          </cell>
          <cell r="H251" t="str">
            <v>AUH1</v>
          </cell>
        </row>
        <row r="252">
          <cell r="C252">
            <v>203850938</v>
          </cell>
          <cell r="D252" t="str">
            <v>maryabua</v>
          </cell>
          <cell r="E252" t="str">
            <v>Mary Abudu</v>
          </cell>
          <cell r="F252" t="str">
            <v>Temporary</v>
          </cell>
          <cell r="G252" t="str">
            <v>UAE</v>
          </cell>
          <cell r="H252" t="str">
            <v>AUH1</v>
          </cell>
        </row>
        <row r="253">
          <cell r="C253">
            <v>203709886</v>
          </cell>
          <cell r="D253" t="str">
            <v>kyawqmin</v>
          </cell>
          <cell r="E253" t="str">
            <v>Min Khant Kyaw</v>
          </cell>
          <cell r="F253" t="str">
            <v>Temporary</v>
          </cell>
          <cell r="G253" t="str">
            <v>UAE</v>
          </cell>
          <cell r="H253" t="str">
            <v>AUH1</v>
          </cell>
        </row>
        <row r="254">
          <cell r="C254">
            <v>103875256</v>
          </cell>
          <cell r="D254" t="str">
            <v>mkhlim</v>
          </cell>
          <cell r="E254" t="str">
            <v>Muhammad Khalid</v>
          </cell>
          <cell r="F254" t="str">
            <v>Regular</v>
          </cell>
          <cell r="G254" t="str">
            <v>UAE</v>
          </cell>
          <cell r="H254" t="str">
            <v>AUH1</v>
          </cell>
        </row>
        <row r="255">
          <cell r="C255">
            <v>204883087</v>
          </cell>
          <cell r="D255" t="str">
            <v>firstmup</v>
          </cell>
          <cell r="E255" t="str">
            <v>Mupetiwa,First</v>
          </cell>
          <cell r="F255" t="str">
            <v>Temporary</v>
          </cell>
          <cell r="G255" t="str">
            <v>UAE</v>
          </cell>
          <cell r="H255" t="str">
            <v>AUH1</v>
          </cell>
        </row>
        <row r="256">
          <cell r="C256">
            <v>204967040</v>
          </cell>
          <cell r="D256" t="str">
            <v>dprincer</v>
          </cell>
          <cell r="E256" t="str">
            <v>PRINCE RICHARD DARKO SRAHA</v>
          </cell>
          <cell r="F256" t="str">
            <v>Temporary</v>
          </cell>
          <cell r="G256" t="str">
            <v>UAE</v>
          </cell>
          <cell r="H256" t="str">
            <v>AUH1</v>
          </cell>
        </row>
        <row r="257">
          <cell r="C257">
            <v>203470082</v>
          </cell>
          <cell r="D257" t="str">
            <v>pyaeomau</v>
          </cell>
          <cell r="E257" t="str">
            <v>Pyae Phyo Maung</v>
          </cell>
          <cell r="F257" t="str">
            <v>Temporary</v>
          </cell>
          <cell r="G257" t="str">
            <v>UAE</v>
          </cell>
          <cell r="H257" t="str">
            <v>AUH1</v>
          </cell>
        </row>
        <row r="258">
          <cell r="C258">
            <v>206015654</v>
          </cell>
          <cell r="D258" t="str">
            <v>roedieme</v>
          </cell>
          <cell r="E258" t="str">
            <v>Roland Ediemejang Muankume</v>
          </cell>
          <cell r="F258" t="str">
            <v>Temporary</v>
          </cell>
          <cell r="G258" t="str">
            <v>UAE</v>
          </cell>
          <cell r="H258" t="str">
            <v>AUH1</v>
          </cell>
        </row>
        <row r="259">
          <cell r="C259">
            <v>203635600</v>
          </cell>
          <cell r="D259" t="str">
            <v>ansahfsa</v>
          </cell>
          <cell r="E259" t="str">
            <v xml:space="preserve">Samuel Kwesi Ansah </v>
          </cell>
          <cell r="F259" t="str">
            <v>Temporary</v>
          </cell>
          <cell r="G259" t="str">
            <v>UAE</v>
          </cell>
          <cell r="H259" t="str">
            <v>AUH1</v>
          </cell>
        </row>
        <row r="260">
          <cell r="C260">
            <v>204013736</v>
          </cell>
          <cell r="D260" t="str">
            <v>tabifors</v>
          </cell>
          <cell r="E260" t="str">
            <v>Sergeo Tabifor</v>
          </cell>
          <cell r="F260" t="str">
            <v>Temporary</v>
          </cell>
          <cell r="G260" t="str">
            <v>UAE</v>
          </cell>
          <cell r="H260" t="str">
            <v>AUH1</v>
          </cell>
        </row>
        <row r="261">
          <cell r="C261">
            <v>206953819</v>
          </cell>
          <cell r="D261" t="str">
            <v>suwanjik</v>
          </cell>
          <cell r="E261" t="str">
            <v>SUSAN RUGURU WANJIKU</v>
          </cell>
          <cell r="F261" t="str">
            <v>Temporary</v>
          </cell>
          <cell r="G261" t="str">
            <v>UAE</v>
          </cell>
          <cell r="H261" t="str">
            <v>AUH1</v>
          </cell>
        </row>
        <row r="262">
          <cell r="C262">
            <v>206348214</v>
          </cell>
          <cell r="D262" t="str">
            <v>lestanak</v>
          </cell>
          <cell r="E262" t="str">
            <v>TANAKA LESLIE NYAMVURA</v>
          </cell>
          <cell r="F262" t="str">
            <v>Temporary</v>
          </cell>
          <cell r="G262" t="str">
            <v>UAE</v>
          </cell>
          <cell r="H262" t="str">
            <v>AUH1</v>
          </cell>
        </row>
        <row r="263">
          <cell r="C263">
            <v>206148779</v>
          </cell>
          <cell r="D263" t="str">
            <v>thxnakop</v>
          </cell>
          <cell r="E263" t="str">
            <v>Theresa Nako Petiafo</v>
          </cell>
          <cell r="F263" t="str">
            <v>Temporary</v>
          </cell>
          <cell r="G263" t="str">
            <v>UAE</v>
          </cell>
          <cell r="H263" t="str">
            <v>AUH1</v>
          </cell>
        </row>
        <row r="264">
          <cell r="C264">
            <v>206192491</v>
          </cell>
          <cell r="D264" t="str">
            <v>tewveron</v>
          </cell>
          <cell r="E264" t="str">
            <v>Veronica Tetteh</v>
          </cell>
          <cell r="F264" t="str">
            <v>Temporary</v>
          </cell>
          <cell r="G264" t="str">
            <v>UAE</v>
          </cell>
          <cell r="H264" t="str">
            <v>AUH1</v>
          </cell>
        </row>
        <row r="265">
          <cell r="C265">
            <v>206953568</v>
          </cell>
          <cell r="D265" t="str">
            <v>chepkvio</v>
          </cell>
          <cell r="E265" t="str">
            <v>Violah Chepkirui</v>
          </cell>
          <cell r="F265" t="str">
            <v>Temporary</v>
          </cell>
          <cell r="G265" t="str">
            <v>UAE</v>
          </cell>
          <cell r="H265" t="str">
            <v>AUH1</v>
          </cell>
        </row>
        <row r="266">
          <cell r="C266">
            <v>206953818</v>
          </cell>
          <cell r="D266" t="str">
            <v>winwayua</v>
          </cell>
          <cell r="E266" t="str">
            <v>Winfred Wayua</v>
          </cell>
          <cell r="F266" t="str">
            <v>Temporary</v>
          </cell>
          <cell r="G266" t="str">
            <v>UAE</v>
          </cell>
          <cell r="H266" t="str">
            <v>AUH1</v>
          </cell>
        </row>
        <row r="267">
          <cell r="C267">
            <v>203709884</v>
          </cell>
          <cell r="D267" t="str">
            <v>pyaminso</v>
          </cell>
          <cell r="E267" t="str">
            <v>Yamin Kyaw Soe</v>
          </cell>
          <cell r="F267" t="str">
            <v>Temporary</v>
          </cell>
          <cell r="G267" t="str">
            <v>UAE</v>
          </cell>
          <cell r="H267" t="str">
            <v>AUH1</v>
          </cell>
        </row>
        <row r="268">
          <cell r="C268">
            <v>203709883</v>
          </cell>
          <cell r="D268" t="str">
            <v>minooxye</v>
          </cell>
          <cell r="E268" t="str">
            <v>Ye Min Oo</v>
          </cell>
          <cell r="F268" t="str">
            <v>Temporary</v>
          </cell>
          <cell r="G268" t="str">
            <v>UAE</v>
          </cell>
          <cell r="H268" t="str">
            <v>AUH1</v>
          </cell>
        </row>
        <row r="269">
          <cell r="C269">
            <v>203470579</v>
          </cell>
          <cell r="D269" t="str">
            <v>fzizinga</v>
          </cell>
          <cell r="E269" t="str">
            <v>Zizinga Faizal</v>
          </cell>
          <cell r="F269" t="str">
            <v>Temporary</v>
          </cell>
          <cell r="G269" t="str">
            <v>UAE</v>
          </cell>
          <cell r="H269" t="str">
            <v>AUH1</v>
          </cell>
        </row>
        <row r="270">
          <cell r="C270">
            <v>206791751</v>
          </cell>
          <cell r="D270" t="str">
            <v>abanebar</v>
          </cell>
          <cell r="E270" t="str">
            <v>ABAHO,NEBART</v>
          </cell>
          <cell r="F270" t="str">
            <v>Temporary</v>
          </cell>
          <cell r="G270" t="str">
            <v>UAE</v>
          </cell>
          <cell r="H270" t="str">
            <v>AUH1</v>
          </cell>
        </row>
        <row r="271">
          <cell r="C271">
            <v>111231851</v>
          </cell>
          <cell r="D271" t="str">
            <v>ajmalaa</v>
          </cell>
          <cell r="E271" t="str">
            <v>Abdul Qadir Muhammad Ajmal</v>
          </cell>
          <cell r="F271" t="str">
            <v>Regular</v>
          </cell>
          <cell r="G271" t="str">
            <v>UAE</v>
          </cell>
          <cell r="H271" t="str">
            <v>AUH1</v>
          </cell>
        </row>
        <row r="272">
          <cell r="C272">
            <v>206791753</v>
          </cell>
          <cell r="D272" t="str">
            <v>kasasabd</v>
          </cell>
          <cell r="E272" t="str">
            <v>ABDUL,KASASA</v>
          </cell>
          <cell r="F272" t="str">
            <v>Temporary</v>
          </cell>
          <cell r="G272" t="str">
            <v>UAE</v>
          </cell>
          <cell r="H272" t="str">
            <v>AUH1</v>
          </cell>
        </row>
        <row r="273">
          <cell r="C273">
            <v>203850647</v>
          </cell>
          <cell r="D273" t="str">
            <v>abkasawu</v>
          </cell>
          <cell r="E273" t="str">
            <v>ABDUMALIK KASAWULI</v>
          </cell>
          <cell r="F273" t="str">
            <v>Temporary</v>
          </cell>
          <cell r="G273" t="str">
            <v>UAE</v>
          </cell>
          <cell r="H273" t="str">
            <v>AUH1</v>
          </cell>
        </row>
        <row r="274">
          <cell r="C274">
            <v>203816837</v>
          </cell>
          <cell r="D274" t="str">
            <v>abhiybab</v>
          </cell>
          <cell r="E274" t="str">
            <v>ABHITH KUTTI PUNATHIL THAZHA BABU</v>
          </cell>
          <cell r="F274" t="str">
            <v>Temporary</v>
          </cell>
          <cell r="G274" t="str">
            <v>UAE</v>
          </cell>
          <cell r="H274" t="str">
            <v>AUH1</v>
          </cell>
        </row>
        <row r="275">
          <cell r="C275">
            <v>206006416</v>
          </cell>
          <cell r="D275" t="str">
            <v>chinaabo</v>
          </cell>
          <cell r="E275" t="str">
            <v>ABOUH CHINARINE EFEUTLAKA</v>
          </cell>
          <cell r="F275" t="str">
            <v>Temporary</v>
          </cell>
          <cell r="G275" t="str">
            <v>UAE</v>
          </cell>
          <cell r="H275" t="str">
            <v>AUH1</v>
          </cell>
        </row>
        <row r="276">
          <cell r="C276">
            <v>203850646</v>
          </cell>
          <cell r="D276" t="str">
            <v>abrajnse</v>
          </cell>
          <cell r="E276" t="str">
            <v>ABRAHAM NSENGIUNVA</v>
          </cell>
          <cell r="F276" t="str">
            <v>Temporary</v>
          </cell>
          <cell r="G276" t="str">
            <v>UAE</v>
          </cell>
          <cell r="H276" t="str">
            <v>AUH1</v>
          </cell>
        </row>
        <row r="277">
          <cell r="C277">
            <v>203741314</v>
          </cell>
          <cell r="D277" t="str">
            <v>agnestwu</v>
          </cell>
          <cell r="E277" t="str">
            <v>AGNES TWUMWAA</v>
          </cell>
          <cell r="F277" t="str">
            <v>Temporary</v>
          </cell>
          <cell r="G277" t="str">
            <v>UAE</v>
          </cell>
          <cell r="H277" t="str">
            <v>AUH1</v>
          </cell>
        </row>
        <row r="278">
          <cell r="C278">
            <v>203813034</v>
          </cell>
          <cell r="D278" t="str">
            <v>manoajay</v>
          </cell>
          <cell r="E278" t="str">
            <v>AJAY MANOHAR</v>
          </cell>
          <cell r="F278" t="str">
            <v>Temporary</v>
          </cell>
          <cell r="G278" t="str">
            <v>UAE</v>
          </cell>
          <cell r="H278" t="str">
            <v>AUH1</v>
          </cell>
        </row>
        <row r="279">
          <cell r="C279">
            <v>203813038</v>
          </cell>
          <cell r="D279" t="str">
            <v>kodataks</v>
          </cell>
          <cell r="E279" t="str">
            <v>AKSHAY KODATHAMVALLY</v>
          </cell>
          <cell r="F279" t="str">
            <v>Temporary</v>
          </cell>
          <cell r="G279" t="str">
            <v>UAE</v>
          </cell>
          <cell r="H279" t="str">
            <v>AUH1</v>
          </cell>
        </row>
        <row r="280">
          <cell r="C280">
            <v>203813033</v>
          </cell>
          <cell r="D280" t="str">
            <v>jospalbi</v>
          </cell>
          <cell r="E280" t="str">
            <v>ALBIN JOSE</v>
          </cell>
          <cell r="F280" t="str">
            <v>Temporary</v>
          </cell>
          <cell r="G280" t="str">
            <v>UAE</v>
          </cell>
          <cell r="H280" t="str">
            <v>AUH1</v>
          </cell>
        </row>
        <row r="281">
          <cell r="C281">
            <v>205977111</v>
          </cell>
          <cell r="D281" t="str">
            <v>mpandeal</v>
          </cell>
          <cell r="E281" t="str">
            <v>ALEX MPANDE</v>
          </cell>
          <cell r="F281" t="str">
            <v>Temporary</v>
          </cell>
          <cell r="G281" t="str">
            <v>UAE</v>
          </cell>
          <cell r="H281" t="str">
            <v>AUH1</v>
          </cell>
        </row>
        <row r="282">
          <cell r="C282">
            <v>204319797</v>
          </cell>
          <cell r="D282" t="str">
            <v>nkrumaai</v>
          </cell>
          <cell r="E282" t="str">
            <v>Alex Nkrumah</v>
          </cell>
          <cell r="F282" t="str">
            <v>Temporary</v>
          </cell>
          <cell r="G282" t="str">
            <v>UAE</v>
          </cell>
          <cell r="H282" t="str">
            <v>AUH3</v>
          </cell>
        </row>
        <row r="283">
          <cell r="C283">
            <v>206871907</v>
          </cell>
          <cell r="D283" t="str">
            <v>naralexu</v>
          </cell>
          <cell r="E283" t="str">
            <v>ALEXANDER NARTEY KUSI</v>
          </cell>
          <cell r="F283" t="str">
            <v>Temporary</v>
          </cell>
          <cell r="G283" t="str">
            <v>UAE</v>
          </cell>
          <cell r="H283" t="str">
            <v>AUH1</v>
          </cell>
        </row>
        <row r="284">
          <cell r="C284">
            <v>110330601</v>
          </cell>
          <cell r="D284" t="str">
            <v>alhajban</v>
          </cell>
          <cell r="E284" t="str">
            <v>Alhaji Amara Rahman Bangura</v>
          </cell>
          <cell r="F284" t="str">
            <v>Regular</v>
          </cell>
          <cell r="G284" t="str">
            <v>UAE</v>
          </cell>
          <cell r="H284" t="str">
            <v>AUH1</v>
          </cell>
        </row>
        <row r="285">
          <cell r="C285">
            <v>203796734</v>
          </cell>
          <cell r="D285" t="str">
            <v>alhaslis</v>
          </cell>
          <cell r="E285" t="str">
            <v>ALHASSAN ISSAKA</v>
          </cell>
          <cell r="F285" t="str">
            <v>Temporary</v>
          </cell>
          <cell r="G285" t="str">
            <v>UAE</v>
          </cell>
          <cell r="H285" t="str">
            <v>AUH1</v>
          </cell>
        </row>
        <row r="286">
          <cell r="C286">
            <v>206883746</v>
          </cell>
          <cell r="D286" t="str">
            <v>alicewan</v>
          </cell>
          <cell r="E286" t="str">
            <v>ALICE NJAMBI WANJIKU</v>
          </cell>
          <cell r="F286" t="str">
            <v>Temporary</v>
          </cell>
          <cell r="G286" t="str">
            <v>UAE</v>
          </cell>
          <cell r="H286" t="str">
            <v>AUH1</v>
          </cell>
        </row>
        <row r="287">
          <cell r="C287">
            <v>205477618</v>
          </cell>
          <cell r="D287" t="str">
            <v>alusikor</v>
          </cell>
          <cell r="E287" t="str">
            <v>ALUSINE KOROMA</v>
          </cell>
          <cell r="F287" t="str">
            <v>Temporary</v>
          </cell>
          <cell r="G287" t="str">
            <v>UAE</v>
          </cell>
          <cell r="H287" t="str">
            <v>AUH1</v>
          </cell>
        </row>
        <row r="288">
          <cell r="C288">
            <v>206015600</v>
          </cell>
          <cell r="D288" t="str">
            <v>bamehami</v>
          </cell>
          <cell r="E288" t="str">
            <v>AMINATA BAMEH MARAH</v>
          </cell>
          <cell r="F288" t="str">
            <v>Temporary</v>
          </cell>
          <cell r="G288" t="str">
            <v>UAE</v>
          </cell>
          <cell r="H288" t="str">
            <v>AUH1</v>
          </cell>
        </row>
        <row r="289">
          <cell r="C289">
            <v>203880236</v>
          </cell>
          <cell r="D289" t="str">
            <v>amoakviw</v>
          </cell>
          <cell r="E289" t="str">
            <v>Amoako Vida</v>
          </cell>
          <cell r="F289" t="str">
            <v>Temporary</v>
          </cell>
          <cell r="G289" t="str">
            <v>UAE</v>
          </cell>
          <cell r="H289" t="str">
            <v>AUH1</v>
          </cell>
        </row>
        <row r="290">
          <cell r="C290">
            <v>203741612</v>
          </cell>
          <cell r="D290" t="str">
            <v>yankeant</v>
          </cell>
          <cell r="E290" t="str">
            <v>ANTHONY YANKEY</v>
          </cell>
          <cell r="F290" t="str">
            <v>Temporary</v>
          </cell>
          <cell r="G290" t="str">
            <v>UAE</v>
          </cell>
          <cell r="H290" t="str">
            <v>AUH1</v>
          </cell>
        </row>
        <row r="291">
          <cell r="C291">
            <v>203737145</v>
          </cell>
          <cell r="D291" t="str">
            <v>kukulago</v>
          </cell>
          <cell r="E291" t="str">
            <v>Anusha Dilrukshi Gunathilake</v>
          </cell>
          <cell r="F291" t="str">
            <v>Temporary</v>
          </cell>
          <cell r="G291" t="str">
            <v>UAE</v>
          </cell>
          <cell r="H291" t="str">
            <v>AUH1</v>
          </cell>
        </row>
        <row r="292">
          <cell r="C292">
            <v>203813036</v>
          </cell>
          <cell r="D292" t="str">
            <v>arshshaj</v>
          </cell>
          <cell r="E292" t="str">
            <v>ARSHAD  SHAJAHAN</v>
          </cell>
          <cell r="F292" t="str">
            <v>Temporary</v>
          </cell>
          <cell r="G292" t="str">
            <v>UAE</v>
          </cell>
          <cell r="H292" t="str">
            <v>AUH1</v>
          </cell>
        </row>
        <row r="293">
          <cell r="C293">
            <v>203813037</v>
          </cell>
          <cell r="D293" t="str">
            <v>hbabuaru</v>
          </cell>
          <cell r="E293" t="str">
            <v>ARUN BABU</v>
          </cell>
          <cell r="F293" t="str">
            <v>Temporary</v>
          </cell>
          <cell r="G293" t="str">
            <v>UAE</v>
          </cell>
          <cell r="H293" t="str">
            <v>AUH1</v>
          </cell>
        </row>
        <row r="294">
          <cell r="C294">
            <v>206958086</v>
          </cell>
          <cell r="D294" t="str">
            <v>ullazasa</v>
          </cell>
          <cell r="E294" t="str">
            <v>asad ullah</v>
          </cell>
          <cell r="F294" t="str">
            <v>Temporary</v>
          </cell>
          <cell r="G294" t="str">
            <v>UAE</v>
          </cell>
          <cell r="H294" t="str">
            <v>AUH1</v>
          </cell>
        </row>
        <row r="295">
          <cell r="C295">
            <v>204868861</v>
          </cell>
          <cell r="D295" t="str">
            <v>stelasar</v>
          </cell>
          <cell r="E295" t="str">
            <v>Asare,Stella Nyarko</v>
          </cell>
          <cell r="F295" t="str">
            <v>Temporary</v>
          </cell>
          <cell r="G295" t="str">
            <v>UAE</v>
          </cell>
          <cell r="H295" t="str">
            <v>AUH1</v>
          </cell>
        </row>
        <row r="296">
          <cell r="C296">
            <v>206883741</v>
          </cell>
          <cell r="D296" t="str">
            <v>jerutaum</v>
          </cell>
          <cell r="E296" t="str">
            <v>AUDIA JERUTO</v>
          </cell>
          <cell r="F296" t="str">
            <v>Temporary</v>
          </cell>
          <cell r="G296" t="str">
            <v>UAE</v>
          </cell>
          <cell r="H296" t="str">
            <v>AUH1</v>
          </cell>
        </row>
        <row r="297">
          <cell r="C297">
            <v>203813035</v>
          </cell>
          <cell r="D297" t="str">
            <v>zauguaug</v>
          </cell>
          <cell r="E297" t="str">
            <v>AUGUSTIN AUGUSTIN</v>
          </cell>
          <cell r="F297" t="str">
            <v>Temporary</v>
          </cell>
          <cell r="G297" t="str">
            <v>UAE</v>
          </cell>
          <cell r="H297" t="str">
            <v>AUH1</v>
          </cell>
        </row>
        <row r="298">
          <cell r="C298">
            <v>203736754</v>
          </cell>
          <cell r="D298" t="str">
            <v>myasaung</v>
          </cell>
          <cell r="E298" t="str">
            <v>Aung Kaung Myat</v>
          </cell>
          <cell r="F298" t="str">
            <v>Temporary</v>
          </cell>
          <cell r="G298" t="str">
            <v>UAE</v>
          </cell>
          <cell r="H298" t="str">
            <v>AUH1</v>
          </cell>
        </row>
        <row r="299">
          <cell r="C299">
            <v>203709740</v>
          </cell>
          <cell r="D299" t="str">
            <v>aungphy</v>
          </cell>
          <cell r="E299" t="str">
            <v>Aung Thu Ya Phyo</v>
          </cell>
          <cell r="F299" t="str">
            <v>Temporary</v>
          </cell>
          <cell r="G299" t="str">
            <v>UAE</v>
          </cell>
          <cell r="H299" t="str">
            <v>AUH1</v>
          </cell>
        </row>
        <row r="300">
          <cell r="C300">
            <v>203802272</v>
          </cell>
          <cell r="D300" t="str">
            <v>fuseawal</v>
          </cell>
          <cell r="E300" t="str">
            <v>AWAL FUSEINI</v>
          </cell>
          <cell r="F300" t="str">
            <v>Temporary</v>
          </cell>
          <cell r="G300" t="str">
            <v>UAE</v>
          </cell>
          <cell r="H300" t="str">
            <v>AUH1</v>
          </cell>
        </row>
        <row r="301">
          <cell r="C301">
            <v>204869090</v>
          </cell>
          <cell r="D301" t="str">
            <v>noeliayo</v>
          </cell>
          <cell r="E301" t="str">
            <v>Ayong,Noeline Nuck</v>
          </cell>
          <cell r="F301" t="str">
            <v>Temporary</v>
          </cell>
          <cell r="G301" t="str">
            <v>UAE</v>
          </cell>
          <cell r="H301" t="str">
            <v>AUH1</v>
          </cell>
        </row>
        <row r="302">
          <cell r="C302">
            <v>206845692</v>
          </cell>
          <cell r="D302" t="str">
            <v>mukamaay</v>
          </cell>
          <cell r="E302" t="str">
            <v>Ayubu Mukama</v>
          </cell>
          <cell r="F302" t="str">
            <v>Temporary</v>
          </cell>
          <cell r="G302" t="str">
            <v>UAE</v>
          </cell>
          <cell r="H302" t="str">
            <v>AUH1</v>
          </cell>
        </row>
        <row r="303">
          <cell r="C303">
            <v>203635501</v>
          </cell>
          <cell r="D303" t="str">
            <v>sedbakoh</v>
          </cell>
          <cell r="E303" t="str">
            <v>Bakoh,Sedoline Ndongo</v>
          </cell>
          <cell r="F303" t="str">
            <v>Temporary</v>
          </cell>
          <cell r="G303" t="str">
            <v>UAE</v>
          </cell>
          <cell r="H303" t="str">
            <v>AUH1</v>
          </cell>
        </row>
        <row r="304">
          <cell r="C304">
            <v>206915298</v>
          </cell>
          <cell r="D304" t="str">
            <v>bakawesa</v>
          </cell>
          <cell r="E304" t="str">
            <v>Bashiri Kawesa</v>
          </cell>
          <cell r="F304" t="str">
            <v>Temporary</v>
          </cell>
          <cell r="G304" t="str">
            <v>UAE</v>
          </cell>
          <cell r="H304" t="str">
            <v>AUH1</v>
          </cell>
        </row>
        <row r="305">
          <cell r="C305">
            <v>206504126</v>
          </cell>
          <cell r="D305" t="str">
            <v>andebayi</v>
          </cell>
          <cell r="E305" t="str">
            <v>Bayingana Anderson</v>
          </cell>
          <cell r="F305" t="str">
            <v>Temporary</v>
          </cell>
          <cell r="G305" t="str">
            <v>UAE</v>
          </cell>
          <cell r="H305" t="str">
            <v>AUH1</v>
          </cell>
        </row>
        <row r="306">
          <cell r="C306">
            <v>203881598</v>
          </cell>
          <cell r="D306" t="str">
            <v>bwamoako</v>
          </cell>
          <cell r="E306" t="str">
            <v>Benjamin Kwarteng Amoako</v>
          </cell>
          <cell r="F306" t="str">
            <v>Temporary</v>
          </cell>
          <cell r="G306" t="str">
            <v>UAE</v>
          </cell>
          <cell r="H306" t="str">
            <v>AUH1</v>
          </cell>
        </row>
        <row r="307">
          <cell r="C307">
            <v>206915295</v>
          </cell>
          <cell r="D307" t="str">
            <v>btayebwe</v>
          </cell>
          <cell r="E307" t="str">
            <v>Benon Tayebwe</v>
          </cell>
          <cell r="F307" t="str">
            <v>Temporary</v>
          </cell>
          <cell r="G307" t="str">
            <v>UAE</v>
          </cell>
          <cell r="H307" t="str">
            <v>AUH1</v>
          </cell>
        </row>
        <row r="308">
          <cell r="C308">
            <v>203712972</v>
          </cell>
          <cell r="D308" t="str">
            <v>hbinepal</v>
          </cell>
          <cell r="E308" t="str">
            <v>BIKASH NEPALI</v>
          </cell>
          <cell r="F308" t="str">
            <v>Temporary</v>
          </cell>
          <cell r="G308" t="str">
            <v>UAE</v>
          </cell>
          <cell r="H308" t="str">
            <v>AUH1</v>
          </cell>
        </row>
        <row r="309">
          <cell r="C309">
            <v>204883250</v>
          </cell>
          <cell r="D309" t="str">
            <v>bisophij</v>
          </cell>
          <cell r="E309" t="str">
            <v>Bio,Sophia</v>
          </cell>
          <cell r="F309" t="str">
            <v>Temporary</v>
          </cell>
          <cell r="G309" t="str">
            <v>UAE</v>
          </cell>
          <cell r="H309" t="str">
            <v>AUH1</v>
          </cell>
        </row>
        <row r="310">
          <cell r="C310">
            <v>203521129</v>
          </cell>
          <cell r="D310" t="str">
            <v>bismopok</v>
          </cell>
          <cell r="E310" t="str">
            <v>Bismark Opoku</v>
          </cell>
          <cell r="F310" t="str">
            <v>Temporary</v>
          </cell>
          <cell r="G310" t="str">
            <v>UAE</v>
          </cell>
          <cell r="H310" t="str">
            <v>AUH1</v>
          </cell>
        </row>
        <row r="311">
          <cell r="C311">
            <v>205236900</v>
          </cell>
          <cell r="D311" t="str">
            <v>sarpbism</v>
          </cell>
          <cell r="E311" t="str">
            <v>BISMARK SARPONG</v>
          </cell>
          <cell r="F311" t="str">
            <v>Temporary</v>
          </cell>
          <cell r="G311" t="str">
            <v>UAE</v>
          </cell>
          <cell r="H311" t="str">
            <v>AUH1</v>
          </cell>
        </row>
        <row r="312">
          <cell r="C312">
            <v>203468310</v>
          </cell>
          <cell r="D312" t="str">
            <v>blesndu</v>
          </cell>
          <cell r="E312" t="str">
            <v>Blessing Anya Ndu</v>
          </cell>
          <cell r="F312" t="str">
            <v>Temporary</v>
          </cell>
          <cell r="G312" t="str">
            <v>UAE</v>
          </cell>
          <cell r="H312" t="str">
            <v>AUH1</v>
          </cell>
        </row>
        <row r="313">
          <cell r="C313">
            <v>206873865</v>
          </cell>
          <cell r="D313" t="str">
            <v>bogerabd</v>
          </cell>
          <cell r="E313" t="str">
            <v>BOGERE ABDU</v>
          </cell>
          <cell r="F313" t="str">
            <v>Temporary</v>
          </cell>
          <cell r="G313" t="str">
            <v>UAE</v>
          </cell>
          <cell r="H313" t="str">
            <v>AUH1</v>
          </cell>
        </row>
        <row r="314">
          <cell r="C314">
            <v>203800480</v>
          </cell>
          <cell r="D314" t="str">
            <v>braimuha</v>
          </cell>
          <cell r="E314" t="str">
            <v>BRAIN CHOSEN MUHUMUZA</v>
          </cell>
          <cell r="F314" t="str">
            <v>Temporary</v>
          </cell>
          <cell r="G314" t="str">
            <v>UAE</v>
          </cell>
          <cell r="H314" t="str">
            <v>AUH1</v>
          </cell>
        </row>
        <row r="315">
          <cell r="C315">
            <v>206958910</v>
          </cell>
          <cell r="D315" t="str">
            <v>bredacko</v>
          </cell>
          <cell r="E315" t="str">
            <v>Breda chepkmoi Koech</v>
          </cell>
          <cell r="F315" t="str">
            <v>Temporary</v>
          </cell>
          <cell r="G315" t="str">
            <v>UAE</v>
          </cell>
          <cell r="H315" t="str">
            <v>AUH1</v>
          </cell>
        </row>
        <row r="316">
          <cell r="C316">
            <v>203521521</v>
          </cell>
          <cell r="D316" t="str">
            <v>kabbrigg</v>
          </cell>
          <cell r="E316" t="str">
            <v>Briggs Mudiwa Kabaya</v>
          </cell>
          <cell r="F316" t="str">
            <v>Temporary</v>
          </cell>
          <cell r="G316" t="str">
            <v>UAE</v>
          </cell>
          <cell r="H316" t="str">
            <v>AUH1</v>
          </cell>
        </row>
        <row r="317">
          <cell r="C317">
            <v>203965524</v>
          </cell>
          <cell r="D317" t="str">
            <v>adufbrig</v>
          </cell>
          <cell r="E317" t="str">
            <v>Bright Adu</v>
          </cell>
          <cell r="F317" t="str">
            <v>Temporary</v>
          </cell>
          <cell r="G317" t="str">
            <v>UAE</v>
          </cell>
          <cell r="H317" t="str">
            <v>AUH1</v>
          </cell>
        </row>
        <row r="318">
          <cell r="C318">
            <v>205609884</v>
          </cell>
          <cell r="D318" t="str">
            <v>sattabob</v>
          </cell>
          <cell r="E318" t="str">
            <v>BRIGHT ATTA BOAHENE</v>
          </cell>
          <cell r="F318" t="str">
            <v>Temporary</v>
          </cell>
          <cell r="G318" t="str">
            <v>UAE</v>
          </cell>
          <cell r="H318" t="str">
            <v>AUH1</v>
          </cell>
        </row>
        <row r="319">
          <cell r="C319">
            <v>206006412</v>
          </cell>
          <cell r="D319" t="str">
            <v>cathprom</v>
          </cell>
          <cell r="E319" t="str">
            <v>CATHERINE PROMISE NAMale</v>
          </cell>
          <cell r="F319" t="str">
            <v>Temporary</v>
          </cell>
          <cell r="G319" t="str">
            <v>UAE</v>
          </cell>
          <cell r="H319" t="str">
            <v>AUH1</v>
          </cell>
        </row>
        <row r="320">
          <cell r="C320">
            <v>203965495</v>
          </cell>
          <cell r="D320" t="str">
            <v>vachampa</v>
          </cell>
          <cell r="E320" t="str">
            <v>Champagne Vanessa Djaba</v>
          </cell>
          <cell r="F320" t="str">
            <v>Temporary</v>
          </cell>
          <cell r="G320" t="str">
            <v>UAE</v>
          </cell>
          <cell r="H320" t="str">
            <v>AUH1</v>
          </cell>
        </row>
        <row r="321">
          <cell r="C321">
            <v>203802274</v>
          </cell>
          <cell r="D321" t="str">
            <v>chicharf</v>
          </cell>
          <cell r="E321" t="str">
            <v>CHARLES CHIBINDI</v>
          </cell>
          <cell r="F321" t="str">
            <v>Temporary</v>
          </cell>
          <cell r="G321" t="str">
            <v>UAE</v>
          </cell>
          <cell r="H321" t="str">
            <v>AUH1</v>
          </cell>
        </row>
        <row r="322">
          <cell r="C322">
            <v>205506017</v>
          </cell>
          <cell r="D322" t="str">
            <v>mainaoso</v>
          </cell>
          <cell r="E322" t="str">
            <v>Charles Maina Osora</v>
          </cell>
          <cell r="F322" t="str">
            <v>Temporary</v>
          </cell>
          <cell r="G322" t="str">
            <v>UAE</v>
          </cell>
          <cell r="H322" t="str">
            <v>AUH1</v>
          </cell>
        </row>
        <row r="323">
          <cell r="C323">
            <v>205608618</v>
          </cell>
          <cell r="D323" t="str">
            <v>zchowusu</v>
          </cell>
          <cell r="E323" t="str">
            <v>CHARLES TONTO OWUSU</v>
          </cell>
          <cell r="F323" t="str">
            <v>Temporary</v>
          </cell>
          <cell r="G323" t="str">
            <v>UAE</v>
          </cell>
          <cell r="H323" t="str">
            <v>AUH1</v>
          </cell>
        </row>
        <row r="324">
          <cell r="C324">
            <v>203965520</v>
          </cell>
          <cell r="D324" t="str">
            <v>achungak</v>
          </cell>
          <cell r="E324" t="str">
            <v>Chelsea Achu Ngako</v>
          </cell>
          <cell r="F324" t="str">
            <v>Temporary</v>
          </cell>
          <cell r="G324" t="str">
            <v>UAE</v>
          </cell>
          <cell r="H324" t="str">
            <v>AUH1</v>
          </cell>
        </row>
        <row r="325">
          <cell r="C325">
            <v>203851006</v>
          </cell>
          <cell r="D325" t="str">
            <v>chrbaid</v>
          </cell>
          <cell r="E325" t="str">
            <v>Christian Ampofo Baiden</v>
          </cell>
          <cell r="F325" t="str">
            <v>Temporary</v>
          </cell>
          <cell r="G325" t="str">
            <v>UAE</v>
          </cell>
          <cell r="H325" t="str">
            <v>AUH1</v>
          </cell>
        </row>
        <row r="326">
          <cell r="C326">
            <v>203881601</v>
          </cell>
          <cell r="D326" t="str">
            <v>ashiegbi</v>
          </cell>
          <cell r="E326" t="str">
            <v>Clemence Ashiegbi</v>
          </cell>
          <cell r="F326" t="str">
            <v>Temporary</v>
          </cell>
          <cell r="G326" t="str">
            <v>UAE</v>
          </cell>
          <cell r="H326" t="str">
            <v>AUH1</v>
          </cell>
        </row>
        <row r="327">
          <cell r="C327">
            <v>204967143</v>
          </cell>
          <cell r="D327" t="str">
            <v>ananecle</v>
          </cell>
          <cell r="E327" t="str">
            <v>CLEMENT ANANE GEYI</v>
          </cell>
          <cell r="F327" t="str">
            <v>Temporary</v>
          </cell>
          <cell r="G327" t="str">
            <v>UAE</v>
          </cell>
          <cell r="H327" t="str">
            <v>AUH1</v>
          </cell>
        </row>
        <row r="328">
          <cell r="C328">
            <v>206065200</v>
          </cell>
          <cell r="D328" t="str">
            <v>abiadcon</v>
          </cell>
          <cell r="E328" t="str">
            <v>Constance Abiadoo Bentum</v>
          </cell>
          <cell r="F328" t="str">
            <v>Temporary</v>
          </cell>
          <cell r="G328" t="str">
            <v>UAE</v>
          </cell>
          <cell r="H328" t="str">
            <v>AUH1</v>
          </cell>
        </row>
        <row r="329">
          <cell r="C329">
            <v>205495596</v>
          </cell>
          <cell r="D329" t="str">
            <v>cokipchu</v>
          </cell>
          <cell r="E329" t="str">
            <v>Cosmas Kipchumba</v>
          </cell>
          <cell r="F329" t="str">
            <v>Temporary</v>
          </cell>
          <cell r="G329" t="str">
            <v>UAE</v>
          </cell>
          <cell r="H329" t="str">
            <v>AUH1</v>
          </cell>
        </row>
        <row r="330">
          <cell r="C330">
            <v>204246157</v>
          </cell>
          <cell r="D330" t="str">
            <v>dhobhada</v>
          </cell>
          <cell r="E330" t="str">
            <v>Dadirai Dhobha</v>
          </cell>
          <cell r="F330" t="str">
            <v>Temporary</v>
          </cell>
          <cell r="G330" t="str">
            <v>UAE</v>
          </cell>
          <cell r="H330" t="str">
            <v>AUH1</v>
          </cell>
        </row>
        <row r="331">
          <cell r="C331">
            <v>204868859</v>
          </cell>
          <cell r="D331" t="str">
            <v>ridadzid</v>
          </cell>
          <cell r="E331" t="str">
            <v>Dadzie,Richard</v>
          </cell>
          <cell r="F331" t="str">
            <v>Temporary</v>
          </cell>
          <cell r="G331" t="str">
            <v>UAE</v>
          </cell>
          <cell r="H331" t="str">
            <v>AUH1</v>
          </cell>
        </row>
        <row r="332">
          <cell r="C332">
            <v>204872907</v>
          </cell>
          <cell r="D332" t="str">
            <v>danabuak</v>
          </cell>
          <cell r="E332" t="str">
            <v>Daniel Abu Akparibo</v>
          </cell>
          <cell r="F332" t="str">
            <v>Temporary</v>
          </cell>
          <cell r="G332" t="str">
            <v>UAE</v>
          </cell>
          <cell r="H332" t="str">
            <v>AUH1</v>
          </cell>
        </row>
        <row r="333">
          <cell r="C333">
            <v>206065195</v>
          </cell>
          <cell r="D333" t="str">
            <v>dangbaso</v>
          </cell>
          <cell r="E333" t="str">
            <v>Daniel Basonege</v>
          </cell>
          <cell r="F333" t="str">
            <v>Temporary</v>
          </cell>
          <cell r="G333" t="str">
            <v>UAE</v>
          </cell>
          <cell r="H333" t="str">
            <v>AUH1</v>
          </cell>
        </row>
        <row r="334">
          <cell r="C334">
            <v>203468317</v>
          </cell>
          <cell r="D334" t="str">
            <v>pdavadom</v>
          </cell>
          <cell r="E334" t="str">
            <v>David Benjamin Adom</v>
          </cell>
          <cell r="F334" t="str">
            <v>Temporary</v>
          </cell>
          <cell r="G334" t="str">
            <v>UAE</v>
          </cell>
          <cell r="H334" t="str">
            <v>AUH1</v>
          </cell>
        </row>
        <row r="335">
          <cell r="C335">
            <v>205671334</v>
          </cell>
          <cell r="D335" t="str">
            <v>denjeria</v>
          </cell>
          <cell r="E335" t="str">
            <v>Denin Jeril</v>
          </cell>
          <cell r="F335" t="str">
            <v>Regular</v>
          </cell>
          <cell r="G335" t="str">
            <v>UAE</v>
          </cell>
          <cell r="H335" t="str">
            <v>AUH1</v>
          </cell>
        </row>
        <row r="336">
          <cell r="C336">
            <v>203851004</v>
          </cell>
          <cell r="D336" t="str">
            <v>denniaap</v>
          </cell>
          <cell r="E336" t="str">
            <v>Dennis Kwabena Appau</v>
          </cell>
          <cell r="F336" t="str">
            <v>Temporary</v>
          </cell>
          <cell r="G336" t="str">
            <v>UAE</v>
          </cell>
          <cell r="H336" t="str">
            <v>AUH1</v>
          </cell>
        </row>
        <row r="337">
          <cell r="C337">
            <v>203736252</v>
          </cell>
          <cell r="D337" t="str">
            <v>mukaderi</v>
          </cell>
          <cell r="E337" t="str">
            <v>DERICK MUKAMA</v>
          </cell>
          <cell r="F337" t="str">
            <v>Temporary</v>
          </cell>
          <cell r="G337" t="str">
            <v>UAE</v>
          </cell>
          <cell r="H337" t="str">
            <v>AUH1</v>
          </cell>
        </row>
        <row r="338">
          <cell r="C338">
            <v>204246170</v>
          </cell>
          <cell r="D338" t="str">
            <v>inkooder</v>
          </cell>
          <cell r="E338" t="str">
            <v>Derrick Inkoom</v>
          </cell>
          <cell r="F338" t="str">
            <v>Temporary</v>
          </cell>
          <cell r="G338" t="str">
            <v>UAE</v>
          </cell>
          <cell r="H338" t="str">
            <v>AUH1</v>
          </cell>
        </row>
        <row r="339">
          <cell r="C339">
            <v>204246161</v>
          </cell>
          <cell r="D339" t="str">
            <v>diclklin</v>
          </cell>
          <cell r="E339" t="str">
            <v>Dickson Kojo Klinogo</v>
          </cell>
          <cell r="F339" t="str">
            <v>Temporary</v>
          </cell>
          <cell r="G339" t="str">
            <v>UAE</v>
          </cell>
          <cell r="H339" t="str">
            <v>AUH1</v>
          </cell>
        </row>
        <row r="340">
          <cell r="C340">
            <v>102582327</v>
          </cell>
          <cell r="D340" t="str">
            <v>dimohanr</v>
          </cell>
          <cell r="E340" t="str">
            <v>DineshKumar Mohanraj</v>
          </cell>
          <cell r="F340" t="str">
            <v>Regular</v>
          </cell>
          <cell r="G340" t="str">
            <v>UAE</v>
          </cell>
          <cell r="H340" t="str">
            <v>AUH1</v>
          </cell>
        </row>
        <row r="341">
          <cell r="C341">
            <v>203555714</v>
          </cell>
          <cell r="D341" t="str">
            <v>tsadorca</v>
          </cell>
          <cell r="E341" t="str">
            <v>Dorcas Sakyiamah</v>
          </cell>
          <cell r="F341" t="str">
            <v>Temporary</v>
          </cell>
          <cell r="G341" t="str">
            <v>UAE</v>
          </cell>
          <cell r="H341" t="str">
            <v>AUH1</v>
          </cell>
        </row>
        <row r="342">
          <cell r="C342">
            <v>203468318</v>
          </cell>
          <cell r="D342" t="str">
            <v>dorasare</v>
          </cell>
          <cell r="E342" t="str">
            <v>Dorothy Asare</v>
          </cell>
          <cell r="F342" t="str">
            <v>Temporary</v>
          </cell>
          <cell r="G342" t="str">
            <v>UAE</v>
          </cell>
          <cell r="H342" t="str">
            <v>AUH1</v>
          </cell>
        </row>
        <row r="343">
          <cell r="C343">
            <v>206873868</v>
          </cell>
          <cell r="D343" t="str">
            <v>douglalx</v>
          </cell>
          <cell r="E343" t="str">
            <v>DOUGLAS ALEXANDA BIYUNGU</v>
          </cell>
          <cell r="F343" t="str">
            <v>Temporary</v>
          </cell>
          <cell r="G343" t="str">
            <v>UAE</v>
          </cell>
          <cell r="H343" t="str">
            <v>AUH1</v>
          </cell>
        </row>
        <row r="344">
          <cell r="C344">
            <v>204868858</v>
          </cell>
          <cell r="D344" t="str">
            <v>durodori</v>
          </cell>
          <cell r="E344" t="str">
            <v>Durowaa,Doris</v>
          </cell>
          <cell r="F344" t="str">
            <v>Temporary</v>
          </cell>
          <cell r="G344" t="str">
            <v>UAE</v>
          </cell>
          <cell r="H344" t="str">
            <v>AUH1</v>
          </cell>
        </row>
        <row r="345">
          <cell r="C345">
            <v>203521428</v>
          </cell>
          <cell r="D345" t="str">
            <v>soebenep</v>
          </cell>
          <cell r="E345" t="str">
            <v>Ebenezer Somiah</v>
          </cell>
          <cell r="F345" t="str">
            <v>Temporary</v>
          </cell>
          <cell r="G345" t="str">
            <v>UAE</v>
          </cell>
          <cell r="H345" t="str">
            <v>AUH1</v>
          </cell>
        </row>
        <row r="346">
          <cell r="C346">
            <v>204246156</v>
          </cell>
          <cell r="D346" t="str">
            <v>twumeben</v>
          </cell>
          <cell r="E346" t="str">
            <v>Ebenezer Twumasi</v>
          </cell>
          <cell r="F346" t="str">
            <v>Temporary</v>
          </cell>
          <cell r="G346" t="str">
            <v>UAE</v>
          </cell>
          <cell r="H346" t="str">
            <v>AUH1</v>
          </cell>
        </row>
        <row r="347">
          <cell r="C347">
            <v>103060279</v>
          </cell>
          <cell r="D347" t="str">
            <v>BENTEROE</v>
          </cell>
          <cell r="E347" t="str">
            <v>Edito Bentero</v>
          </cell>
          <cell r="F347" t="str">
            <v>Regular</v>
          </cell>
          <cell r="G347" t="str">
            <v>UAE</v>
          </cell>
          <cell r="H347" t="str">
            <v>AUH1</v>
          </cell>
        </row>
        <row r="348">
          <cell r="C348">
            <v>204880567</v>
          </cell>
          <cell r="D348" t="str">
            <v>edwamans</v>
          </cell>
          <cell r="E348" t="str">
            <v>Edward Ibrahim Mansaray</v>
          </cell>
          <cell r="F348" t="str">
            <v>Temporary</v>
          </cell>
          <cell r="G348" t="str">
            <v>UAE</v>
          </cell>
          <cell r="H348" t="str">
            <v>AUH1</v>
          </cell>
        </row>
        <row r="349">
          <cell r="C349">
            <v>203736250</v>
          </cell>
          <cell r="D349" t="str">
            <v>okisakye</v>
          </cell>
          <cell r="E349" t="str">
            <v>EDWARD SSEMPIJJA KISAKYE</v>
          </cell>
          <cell r="F349" t="str">
            <v>Temporary</v>
          </cell>
          <cell r="G349" t="str">
            <v>UAE</v>
          </cell>
          <cell r="H349" t="str">
            <v>AUH1</v>
          </cell>
        </row>
        <row r="350">
          <cell r="C350">
            <v>205495355</v>
          </cell>
          <cell r="D350" t="str">
            <v>biyeahe</v>
          </cell>
          <cell r="E350" t="str">
            <v>EDWIN BIYEAH</v>
          </cell>
          <cell r="F350" t="str">
            <v>Temporary</v>
          </cell>
          <cell r="G350" t="str">
            <v>UAE</v>
          </cell>
          <cell r="H350" t="str">
            <v>AUH1</v>
          </cell>
        </row>
        <row r="351">
          <cell r="C351">
            <v>206873870</v>
          </cell>
          <cell r="D351" t="str">
            <v>elimukis</v>
          </cell>
          <cell r="E351" t="str">
            <v>ELIJAH MUKISA WABWIRE</v>
          </cell>
          <cell r="F351" t="str">
            <v>Temporary</v>
          </cell>
          <cell r="G351" t="str">
            <v>UAE</v>
          </cell>
          <cell r="H351" t="str">
            <v>AUH1</v>
          </cell>
        </row>
        <row r="352">
          <cell r="C352">
            <v>203741310</v>
          </cell>
          <cell r="D352" t="str">
            <v>eliavony</v>
          </cell>
          <cell r="E352" t="str">
            <v>ELIZABETH ABENA AVONYO</v>
          </cell>
          <cell r="F352" t="str">
            <v>Temporary</v>
          </cell>
          <cell r="G352" t="str">
            <v>UAE</v>
          </cell>
          <cell r="H352" t="str">
            <v>AUH1</v>
          </cell>
        </row>
        <row r="353">
          <cell r="C353">
            <v>203741317</v>
          </cell>
          <cell r="D353" t="str">
            <v>remmanai</v>
          </cell>
          <cell r="E353" t="str">
            <v>Emmanuel Aidoo</v>
          </cell>
          <cell r="F353" t="str">
            <v>Temporary</v>
          </cell>
          <cell r="G353" t="str">
            <v>UAE</v>
          </cell>
          <cell r="H353" t="str">
            <v>AUH1</v>
          </cell>
        </row>
        <row r="354">
          <cell r="C354">
            <v>206065199</v>
          </cell>
          <cell r="D354" t="str">
            <v>enanemma</v>
          </cell>
          <cell r="E354" t="str">
            <v>Emmanuel Enang Nkwonji</v>
          </cell>
          <cell r="F354" t="str">
            <v>Temporary</v>
          </cell>
          <cell r="G354" t="str">
            <v>UAE</v>
          </cell>
          <cell r="H354" t="str">
            <v>AUH1</v>
          </cell>
        </row>
        <row r="355">
          <cell r="C355">
            <v>203736253</v>
          </cell>
          <cell r="D355" t="str">
            <v>obwemman</v>
          </cell>
          <cell r="E355" t="str">
            <v>EMMANUEL OBWANA</v>
          </cell>
          <cell r="F355" t="str">
            <v>Temporary</v>
          </cell>
          <cell r="G355" t="str">
            <v>UAE</v>
          </cell>
          <cell r="H355" t="str">
            <v>AUH1</v>
          </cell>
        </row>
        <row r="356">
          <cell r="C356">
            <v>203521133</v>
          </cell>
          <cell r="D356" t="str">
            <v>agyeieem</v>
          </cell>
          <cell r="E356" t="str">
            <v>Emmanuel Yeboah Agyei</v>
          </cell>
          <cell r="F356" t="str">
            <v>Temporary</v>
          </cell>
          <cell r="G356" t="str">
            <v>UAE</v>
          </cell>
          <cell r="H356" t="str">
            <v>AUH3</v>
          </cell>
        </row>
        <row r="357">
          <cell r="C357">
            <v>204013733</v>
          </cell>
          <cell r="D357" t="str">
            <v>geoppong</v>
          </cell>
          <cell r="E357" t="str">
            <v>Enoch Oppong</v>
          </cell>
          <cell r="F357" t="str">
            <v>Temporary</v>
          </cell>
          <cell r="G357" t="str">
            <v>UAE</v>
          </cell>
          <cell r="H357" t="str">
            <v>AUH1</v>
          </cell>
        </row>
        <row r="358">
          <cell r="C358">
            <v>204967151</v>
          </cell>
          <cell r="D358" t="str">
            <v>koomsoer</v>
          </cell>
          <cell r="E358" t="str">
            <v>ERIC KUM KOOMSON</v>
          </cell>
          <cell r="F358" t="str">
            <v>Temporary</v>
          </cell>
          <cell r="G358" t="str">
            <v>UAE</v>
          </cell>
          <cell r="H358" t="str">
            <v>AUH1</v>
          </cell>
        </row>
        <row r="359">
          <cell r="C359">
            <v>203965496</v>
          </cell>
          <cell r="D359" t="str">
            <v>abongger</v>
          </cell>
          <cell r="E359" t="str">
            <v>Erica Abong Ghogah</v>
          </cell>
          <cell r="F359" t="str">
            <v>Temporary</v>
          </cell>
          <cell r="G359" t="str">
            <v>UAE</v>
          </cell>
          <cell r="H359" t="str">
            <v>AUH1</v>
          </cell>
        </row>
        <row r="360">
          <cell r="C360">
            <v>203965492</v>
          </cell>
          <cell r="D360" t="str">
            <v>uernesme</v>
          </cell>
          <cell r="E360" t="str">
            <v>Ernest Mensah Awudi</v>
          </cell>
          <cell r="F360" t="str">
            <v>Temporary</v>
          </cell>
          <cell r="G360" t="str">
            <v>UAE</v>
          </cell>
          <cell r="H360" t="str">
            <v>AUH3</v>
          </cell>
        </row>
        <row r="361">
          <cell r="C361">
            <v>205502951</v>
          </cell>
          <cell r="D361" t="str">
            <v>kamaesth</v>
          </cell>
          <cell r="E361" t="str">
            <v>Esther Wairimu Kamau</v>
          </cell>
          <cell r="F361" t="str">
            <v>Temporary</v>
          </cell>
          <cell r="G361" t="str">
            <v>UAE</v>
          </cell>
          <cell r="H361" t="str">
            <v>AUH1</v>
          </cell>
        </row>
        <row r="362">
          <cell r="C362">
            <v>203521134</v>
          </cell>
          <cell r="D362" t="str">
            <v>evanasam</v>
          </cell>
          <cell r="E362" t="str">
            <v>Evans Asamoah</v>
          </cell>
          <cell r="F362" t="str">
            <v>Temporary</v>
          </cell>
          <cell r="G362" t="str">
            <v>UAE</v>
          </cell>
          <cell r="H362" t="str">
            <v>AUH1</v>
          </cell>
        </row>
        <row r="363">
          <cell r="C363">
            <v>206886729</v>
          </cell>
          <cell r="D363" t="str">
            <v>evermbul</v>
          </cell>
          <cell r="E363" t="str">
            <v>EVERLYNE MBULA</v>
          </cell>
          <cell r="F363" t="str">
            <v>Temporary</v>
          </cell>
          <cell r="G363" t="str">
            <v>UAE</v>
          </cell>
          <cell r="H363" t="str">
            <v>AUH1</v>
          </cell>
        </row>
        <row r="364">
          <cell r="C364">
            <v>206886638</v>
          </cell>
          <cell r="D364" t="str">
            <v>faitdngi</v>
          </cell>
          <cell r="E364" t="str">
            <v>FAITH JEPNGETICH NGIROIN</v>
          </cell>
          <cell r="F364" t="str">
            <v>Temporary</v>
          </cell>
          <cell r="G364" t="str">
            <v>UAE</v>
          </cell>
          <cell r="H364" t="str">
            <v>AUH1</v>
          </cell>
        </row>
        <row r="365">
          <cell r="C365">
            <v>206890228</v>
          </cell>
          <cell r="D365" t="str">
            <v>jerodfai</v>
          </cell>
          <cell r="E365" t="str">
            <v>FAITH JEROTICH</v>
          </cell>
          <cell r="F365" t="str">
            <v>Temporary</v>
          </cell>
          <cell r="G365" t="str">
            <v>UAE</v>
          </cell>
          <cell r="H365" t="str">
            <v>AUH1</v>
          </cell>
        </row>
        <row r="366">
          <cell r="C366">
            <v>206015637</v>
          </cell>
          <cell r="D366" t="str">
            <v>chepfanc</v>
          </cell>
          <cell r="E366" t="str">
            <v>FANCY CHEPKEMOI</v>
          </cell>
          <cell r="F366" t="str">
            <v>Temporary</v>
          </cell>
          <cell r="G366" t="str">
            <v>UAE</v>
          </cell>
          <cell r="H366" t="str">
            <v>AUH1</v>
          </cell>
        </row>
        <row r="367">
          <cell r="C367">
            <v>206065197</v>
          </cell>
          <cell r="D367" t="str">
            <v>fatawabd</v>
          </cell>
          <cell r="E367" t="str">
            <v>Fataw Abdulai</v>
          </cell>
          <cell r="F367" t="str">
            <v>Temporary</v>
          </cell>
          <cell r="G367" t="str">
            <v>UAE</v>
          </cell>
          <cell r="H367" t="str">
            <v>AUH1</v>
          </cell>
        </row>
        <row r="368">
          <cell r="C368">
            <v>206873556</v>
          </cell>
          <cell r="D368" t="str">
            <v>ferawerk</v>
          </cell>
          <cell r="E368" t="str">
            <v>FERAND WERENGA AMANG</v>
          </cell>
          <cell r="F368" t="str">
            <v>Temporary</v>
          </cell>
          <cell r="G368" t="str">
            <v>UAE</v>
          </cell>
          <cell r="H368" t="str">
            <v>AUH1</v>
          </cell>
        </row>
        <row r="369">
          <cell r="C369">
            <v>204246158</v>
          </cell>
          <cell r="D369" t="str">
            <v>festusnd</v>
          </cell>
          <cell r="E369" t="str">
            <v>Festus Nii Darko</v>
          </cell>
          <cell r="F369" t="str">
            <v>Temporary</v>
          </cell>
          <cell r="G369" t="str">
            <v>UAE</v>
          </cell>
          <cell r="H369" t="str">
            <v>AUH1</v>
          </cell>
        </row>
        <row r="370">
          <cell r="C370">
            <v>205495359</v>
          </cell>
          <cell r="D370" t="str">
            <v>florndis</v>
          </cell>
          <cell r="E370" t="str">
            <v>Florence Nzulya Ndijya</v>
          </cell>
          <cell r="F370" t="str">
            <v>Temporary</v>
          </cell>
          <cell r="G370" t="str">
            <v>UAE</v>
          </cell>
          <cell r="H370" t="str">
            <v>AUH1</v>
          </cell>
        </row>
        <row r="371">
          <cell r="C371">
            <v>206873551</v>
          </cell>
          <cell r="D371" t="str">
            <v>valdezfo</v>
          </cell>
          <cell r="E371" t="str">
            <v>FON VALDEZ TAMSANG</v>
          </cell>
          <cell r="F371" t="str">
            <v>Temporary</v>
          </cell>
          <cell r="G371" t="str">
            <v>UAE</v>
          </cell>
          <cell r="H371" t="str">
            <v>AUH1</v>
          </cell>
        </row>
        <row r="372">
          <cell r="C372">
            <v>203468401</v>
          </cell>
          <cell r="D372" t="str">
            <v>francpam</v>
          </cell>
          <cell r="E372" t="str">
            <v>Francis Ampong</v>
          </cell>
          <cell r="F372" t="str">
            <v>Temporary</v>
          </cell>
          <cell r="G372" t="str">
            <v>UAE</v>
          </cell>
          <cell r="H372" t="str">
            <v>AUH1</v>
          </cell>
        </row>
        <row r="373">
          <cell r="C373">
            <v>206873639</v>
          </cell>
          <cell r="D373" t="str">
            <v>ganifran</v>
          </cell>
          <cell r="E373" t="str">
            <v>FRANCIS ANIM</v>
          </cell>
          <cell r="F373" t="str">
            <v>Temporary</v>
          </cell>
          <cell r="G373" t="str">
            <v>UAE</v>
          </cell>
          <cell r="H373" t="str">
            <v>AUH1</v>
          </cell>
        </row>
        <row r="374">
          <cell r="C374">
            <v>206504141</v>
          </cell>
          <cell r="D374" t="str">
            <v>kasobfra</v>
          </cell>
          <cell r="E374" t="str">
            <v>Francis Kasobya</v>
          </cell>
          <cell r="F374" t="str">
            <v>Temporary</v>
          </cell>
          <cell r="G374" t="str">
            <v>UAE</v>
          </cell>
          <cell r="H374" t="str">
            <v>AUH1</v>
          </cell>
        </row>
        <row r="375">
          <cell r="C375">
            <v>203468395</v>
          </cell>
          <cell r="D375" t="str">
            <v>frimpofr</v>
          </cell>
          <cell r="E375" t="str">
            <v>Francis Owusu Frimpong</v>
          </cell>
          <cell r="F375" t="str">
            <v>Temporary</v>
          </cell>
          <cell r="G375" t="str">
            <v>UAE</v>
          </cell>
          <cell r="H375" t="str">
            <v>AUH1</v>
          </cell>
        </row>
        <row r="376">
          <cell r="C376">
            <v>204406416</v>
          </cell>
          <cell r="D376" t="str">
            <v>frgontra</v>
          </cell>
          <cell r="E376" t="str">
            <v>Francois C Gontran Gbekonsi</v>
          </cell>
          <cell r="F376" t="str">
            <v>Temporary</v>
          </cell>
          <cell r="G376" t="str">
            <v>UAE</v>
          </cell>
          <cell r="H376" t="str">
            <v>AUH1</v>
          </cell>
        </row>
        <row r="377">
          <cell r="C377">
            <v>203741324</v>
          </cell>
          <cell r="D377" t="str">
            <v>iahfrank</v>
          </cell>
          <cell r="E377" t="str">
            <v>FRANK AHEN</v>
          </cell>
          <cell r="F377" t="str">
            <v>Temporary</v>
          </cell>
          <cell r="G377" t="str">
            <v>UAE</v>
          </cell>
          <cell r="H377" t="str">
            <v>AUH1</v>
          </cell>
        </row>
        <row r="378">
          <cell r="C378">
            <v>203816301</v>
          </cell>
          <cell r="D378" t="str">
            <v>geoekiye</v>
          </cell>
          <cell r="E378" t="str">
            <v>GEORGE KIYEMBA</v>
          </cell>
          <cell r="F378" t="str">
            <v>Temporary</v>
          </cell>
          <cell r="G378" t="str">
            <v>UAE</v>
          </cell>
          <cell r="H378" t="str">
            <v>AUH1</v>
          </cell>
        </row>
        <row r="379">
          <cell r="C379">
            <v>203800383</v>
          </cell>
          <cell r="D379" t="str">
            <v>geokiwan</v>
          </cell>
          <cell r="E379" t="str">
            <v>GEORGE WILLIAM KIWANUKA</v>
          </cell>
          <cell r="F379" t="str">
            <v>Temporary</v>
          </cell>
          <cell r="G379" t="str">
            <v>UAE</v>
          </cell>
          <cell r="H379" t="str">
            <v>AUH1</v>
          </cell>
        </row>
        <row r="380">
          <cell r="C380">
            <v>203521427</v>
          </cell>
          <cell r="D380" t="str">
            <v>kamargib</v>
          </cell>
          <cell r="E380" t="str">
            <v>Gibrilla Kamara</v>
          </cell>
          <cell r="F380" t="str">
            <v>Temporary</v>
          </cell>
          <cell r="G380" t="str">
            <v>UAE</v>
          </cell>
          <cell r="H380" t="str">
            <v>AUH1</v>
          </cell>
        </row>
        <row r="381">
          <cell r="C381">
            <v>203965502</v>
          </cell>
          <cell r="D381" t="str">
            <v>gikwameg</v>
          </cell>
          <cell r="E381" t="str">
            <v>Gideon Kwame Gyasi</v>
          </cell>
          <cell r="F381" t="str">
            <v>Temporary</v>
          </cell>
          <cell r="G381" t="str">
            <v>UAE</v>
          </cell>
          <cell r="H381" t="str">
            <v>AUH1</v>
          </cell>
        </row>
        <row r="382">
          <cell r="C382">
            <v>206072868</v>
          </cell>
          <cell r="D382" t="str">
            <v>andohogi</v>
          </cell>
          <cell r="E382" t="str">
            <v>Gifty Andoh</v>
          </cell>
          <cell r="F382" t="str">
            <v>Temporary</v>
          </cell>
          <cell r="G382" t="str">
            <v>UAE</v>
          </cell>
          <cell r="H382" t="str">
            <v>AUH1</v>
          </cell>
        </row>
        <row r="383">
          <cell r="C383">
            <v>206504132</v>
          </cell>
          <cell r="D383" t="str">
            <v>ssegilbe</v>
          </cell>
          <cell r="E383" t="str">
            <v>Gilbert Ssembogga</v>
          </cell>
          <cell r="F383" t="str">
            <v>Temporary</v>
          </cell>
          <cell r="G383" t="str">
            <v>UAE</v>
          </cell>
          <cell r="H383" t="str">
            <v>AUH1</v>
          </cell>
        </row>
        <row r="384">
          <cell r="C384">
            <v>205608625</v>
          </cell>
          <cell r="D384" t="str">
            <v>takpalgo</v>
          </cell>
          <cell r="E384" t="str">
            <v>GODWIN AKPALU</v>
          </cell>
          <cell r="F384" t="str">
            <v>Temporary</v>
          </cell>
          <cell r="G384" t="str">
            <v>UAE</v>
          </cell>
          <cell r="H384" t="str">
            <v>AUH1</v>
          </cell>
        </row>
        <row r="385">
          <cell r="C385">
            <v>206873552</v>
          </cell>
          <cell r="D385" t="str">
            <v>gmikesse</v>
          </cell>
          <cell r="E385" t="str">
            <v>GONZAGA MIKE SSEBUTINDE</v>
          </cell>
          <cell r="F385" t="str">
            <v>Temporary</v>
          </cell>
          <cell r="G385" t="str">
            <v>UAE</v>
          </cell>
          <cell r="H385" t="str">
            <v>AUH1</v>
          </cell>
        </row>
        <row r="386">
          <cell r="C386">
            <v>202218633</v>
          </cell>
          <cell r="D386" t="str">
            <v>wiafgord</v>
          </cell>
          <cell r="E386" t="str">
            <v>Gordon Wiafe</v>
          </cell>
          <cell r="F386" t="str">
            <v>Temporary</v>
          </cell>
          <cell r="G386" t="str">
            <v>UAE</v>
          </cell>
          <cell r="H386" t="str">
            <v>AUH1</v>
          </cell>
        </row>
        <row r="387">
          <cell r="C387">
            <v>206073369</v>
          </cell>
          <cell r="D387" t="str">
            <v>asargrav</v>
          </cell>
          <cell r="E387" t="str">
            <v>Grace Asare</v>
          </cell>
          <cell r="F387" t="str">
            <v>Temporary</v>
          </cell>
          <cell r="G387" t="str">
            <v>UAE</v>
          </cell>
          <cell r="H387" t="str">
            <v>AUH1</v>
          </cell>
        </row>
        <row r="388">
          <cell r="C388">
            <v>206874115</v>
          </cell>
          <cell r="D388" t="str">
            <v>gumoshab</v>
          </cell>
          <cell r="E388" t="str">
            <v>GUMOSHABE JONAN</v>
          </cell>
          <cell r="F388" t="str">
            <v>Temporary</v>
          </cell>
          <cell r="G388" t="str">
            <v>UAE</v>
          </cell>
          <cell r="H388" t="str">
            <v>AUH1</v>
          </cell>
        </row>
        <row r="389">
          <cell r="C389">
            <v>206873567</v>
          </cell>
          <cell r="D389" t="str">
            <v>lkofhenr</v>
          </cell>
          <cell r="E389" t="str">
            <v>HENRY KOFI</v>
          </cell>
          <cell r="F389" t="str">
            <v>Temporary</v>
          </cell>
          <cell r="G389" t="str">
            <v>UAE</v>
          </cell>
          <cell r="H389" t="str">
            <v>AUH1</v>
          </cell>
        </row>
        <row r="390">
          <cell r="C390">
            <v>203737200</v>
          </cell>
          <cell r="D390" t="str">
            <v>kabhenry</v>
          </cell>
          <cell r="E390" t="str">
            <v>HENRY PETER KABANDA</v>
          </cell>
          <cell r="F390" t="str">
            <v>Temporary</v>
          </cell>
          <cell r="G390" t="str">
            <v>UAE</v>
          </cell>
          <cell r="H390" t="str">
            <v>AUH1</v>
          </cell>
        </row>
        <row r="391">
          <cell r="C391">
            <v>206873643</v>
          </cell>
          <cell r="D391" t="str">
            <v>hekibuuk</v>
          </cell>
          <cell r="E391" t="str">
            <v>HERMAN KIBUUKA</v>
          </cell>
          <cell r="F391" t="str">
            <v>Temporary</v>
          </cell>
          <cell r="G391" t="str">
            <v>UAE</v>
          </cell>
          <cell r="H391" t="str">
            <v>AUH1</v>
          </cell>
        </row>
        <row r="392">
          <cell r="C392">
            <v>204246601</v>
          </cell>
          <cell r="D392" t="str">
            <v>honoadan</v>
          </cell>
          <cell r="E392" t="str">
            <v>Honorine Eyandong Adang</v>
          </cell>
          <cell r="F392" t="str">
            <v>Temporary</v>
          </cell>
          <cell r="G392" t="str">
            <v>UAE</v>
          </cell>
          <cell r="H392" t="str">
            <v>AUH1</v>
          </cell>
        </row>
        <row r="393">
          <cell r="C393">
            <v>206874042</v>
          </cell>
          <cell r="D393" t="str">
            <v>obanhuss</v>
          </cell>
          <cell r="E393" t="str">
            <v>HUSSEIN OBANDYO</v>
          </cell>
          <cell r="F393" t="str">
            <v>Temporary</v>
          </cell>
          <cell r="G393" t="str">
            <v>UAE</v>
          </cell>
          <cell r="H393" t="str">
            <v>AUH1</v>
          </cell>
        </row>
        <row r="394">
          <cell r="C394">
            <v>206846115</v>
          </cell>
          <cell r="D394" t="str">
            <v>ibratuha</v>
          </cell>
          <cell r="E394" t="str">
            <v>Ibrahim Atuhairwe</v>
          </cell>
          <cell r="F394" t="str">
            <v>Temporary</v>
          </cell>
          <cell r="G394" t="str">
            <v>UAE</v>
          </cell>
          <cell r="H394" t="str">
            <v>AUH1</v>
          </cell>
        </row>
        <row r="395">
          <cell r="C395">
            <v>203816298</v>
          </cell>
          <cell r="D395" t="str">
            <v>ainisaac</v>
          </cell>
          <cell r="E395" t="str">
            <v>ISAAC AINEBYONA</v>
          </cell>
          <cell r="F395" t="str">
            <v>Temporary</v>
          </cell>
          <cell r="G395" t="str">
            <v>UAE</v>
          </cell>
          <cell r="H395" t="str">
            <v>AUH1</v>
          </cell>
        </row>
        <row r="396">
          <cell r="C396">
            <v>204246603</v>
          </cell>
          <cell r="D396" t="str">
            <v>isaankru</v>
          </cell>
          <cell r="E396" t="str">
            <v>Isaac Kwame Nkrumah</v>
          </cell>
          <cell r="F396" t="str">
            <v>Temporary</v>
          </cell>
          <cell r="G396" t="str">
            <v>UAE</v>
          </cell>
          <cell r="H396" t="str">
            <v>AUH3</v>
          </cell>
        </row>
        <row r="397">
          <cell r="C397">
            <v>205977115</v>
          </cell>
          <cell r="D397" t="str">
            <v>masinois</v>
          </cell>
          <cell r="E397" t="str">
            <v>ISAAC MASINDE</v>
          </cell>
          <cell r="F397" t="str">
            <v>Temporary</v>
          </cell>
          <cell r="G397" t="str">
            <v>UAE</v>
          </cell>
          <cell r="H397" t="str">
            <v>AUH1</v>
          </cell>
        </row>
        <row r="398">
          <cell r="C398">
            <v>206504129</v>
          </cell>
          <cell r="D398" t="str">
            <v>isandyam</v>
          </cell>
          <cell r="E398" t="str">
            <v>Isaac ndyamuhaki</v>
          </cell>
          <cell r="F398" t="str">
            <v>Temporary</v>
          </cell>
          <cell r="G398" t="str">
            <v>UAE</v>
          </cell>
          <cell r="H398" t="str">
            <v>AUH1</v>
          </cell>
        </row>
        <row r="399">
          <cell r="C399">
            <v>203521425</v>
          </cell>
          <cell r="D399" t="str">
            <v>samlisaa</v>
          </cell>
          <cell r="E399" t="str">
            <v>Isaac Sam</v>
          </cell>
          <cell r="F399" t="str">
            <v>Temporary</v>
          </cell>
          <cell r="G399" t="str">
            <v>UAE</v>
          </cell>
          <cell r="H399" t="str">
            <v>AUH1</v>
          </cell>
        </row>
        <row r="400">
          <cell r="C400">
            <v>203736254</v>
          </cell>
          <cell r="D400" t="str">
            <v>mukujung</v>
          </cell>
          <cell r="E400" t="str">
            <v>ISAAH MUKUJUNGU</v>
          </cell>
          <cell r="F400" t="str">
            <v>Temporary</v>
          </cell>
          <cell r="G400" t="str">
            <v>UAE</v>
          </cell>
          <cell r="H400" t="str">
            <v>AUH1</v>
          </cell>
        </row>
        <row r="401">
          <cell r="C401">
            <v>203800481</v>
          </cell>
          <cell r="D401" t="str">
            <v>aivamule</v>
          </cell>
          <cell r="E401" t="str">
            <v>IVAN MULEMA</v>
          </cell>
          <cell r="F401" t="str">
            <v>Temporary</v>
          </cell>
          <cell r="G401" t="str">
            <v>UAE</v>
          </cell>
          <cell r="H401" t="str">
            <v>AUH1</v>
          </cell>
        </row>
        <row r="402">
          <cell r="C402">
            <v>205977117</v>
          </cell>
          <cell r="D402" t="str">
            <v>ssemuyai</v>
          </cell>
          <cell r="E402" t="str">
            <v>IVAN SSEMUYABA</v>
          </cell>
          <cell r="F402" t="str">
            <v>Temporary</v>
          </cell>
          <cell r="G402" t="str">
            <v>UAE</v>
          </cell>
          <cell r="H402" t="str">
            <v>AUH1</v>
          </cell>
        </row>
        <row r="403">
          <cell r="C403">
            <v>205236908</v>
          </cell>
          <cell r="D403" t="str">
            <v>adnjames</v>
          </cell>
          <cell r="E403" t="str">
            <v>JAMES ADADE</v>
          </cell>
          <cell r="F403" t="str">
            <v>Temporary</v>
          </cell>
          <cell r="G403" t="str">
            <v>UAE</v>
          </cell>
          <cell r="H403" t="str">
            <v>AUH1</v>
          </cell>
        </row>
        <row r="404">
          <cell r="C404">
            <v>206846689</v>
          </cell>
          <cell r="D404" t="str">
            <v>asiimwja</v>
          </cell>
          <cell r="E404" t="str">
            <v>James Asiimwe</v>
          </cell>
          <cell r="F404" t="str">
            <v>Temporary</v>
          </cell>
          <cell r="G404" t="str">
            <v>UAE</v>
          </cell>
          <cell r="H404" t="str">
            <v>AUH1</v>
          </cell>
        </row>
        <row r="405">
          <cell r="C405">
            <v>206934195</v>
          </cell>
          <cell r="D405" t="str">
            <v>javahmai</v>
          </cell>
          <cell r="E405" t="str">
            <v>Javanes Kingori Maina</v>
          </cell>
          <cell r="F405" t="str">
            <v>Temporary</v>
          </cell>
          <cell r="G405" t="str">
            <v>UAE</v>
          </cell>
          <cell r="H405" t="str">
            <v>AUH1</v>
          </cell>
        </row>
        <row r="406">
          <cell r="C406">
            <v>206791755</v>
          </cell>
          <cell r="D406" t="str">
            <v>katojavi</v>
          </cell>
          <cell r="E406" t="str">
            <v>JAVIIRA,KATO</v>
          </cell>
          <cell r="F406" t="str">
            <v>Temporary</v>
          </cell>
          <cell r="G406" t="str">
            <v>UAE</v>
          </cell>
          <cell r="H406" t="str">
            <v>AUH1</v>
          </cell>
        </row>
        <row r="407">
          <cell r="C407">
            <v>203736255</v>
          </cell>
          <cell r="D407" t="str">
            <v>javiramu</v>
          </cell>
          <cell r="E407" t="str">
            <v>JAVIRA MUTEBI</v>
          </cell>
          <cell r="F407" t="str">
            <v>Temporary</v>
          </cell>
          <cell r="G407" t="str">
            <v>UAE</v>
          </cell>
          <cell r="H407" t="str">
            <v>AUH3</v>
          </cell>
        </row>
        <row r="408">
          <cell r="C408">
            <v>204246163</v>
          </cell>
          <cell r="D408" t="str">
            <v>jescmapu</v>
          </cell>
          <cell r="E408" t="str">
            <v>Jescar Mapuranga</v>
          </cell>
          <cell r="F408" t="str">
            <v>Temporary</v>
          </cell>
          <cell r="G408" t="str">
            <v>UAE</v>
          </cell>
          <cell r="H408" t="str">
            <v>AUH1</v>
          </cell>
        </row>
        <row r="409">
          <cell r="C409">
            <v>206846692</v>
          </cell>
          <cell r="D409" t="str">
            <v>jobubolo</v>
          </cell>
          <cell r="E409" t="str">
            <v>Joel Bubolo</v>
          </cell>
          <cell r="F409" t="str">
            <v>Temporary</v>
          </cell>
          <cell r="G409" t="str">
            <v>UAE</v>
          </cell>
          <cell r="H409" t="str">
            <v>AUH1</v>
          </cell>
        </row>
        <row r="410">
          <cell r="C410">
            <v>206072876</v>
          </cell>
          <cell r="D410" t="str">
            <v>cjoheyia</v>
          </cell>
          <cell r="E410" t="str">
            <v>John Eyiah</v>
          </cell>
          <cell r="F410" t="str">
            <v>Temporary</v>
          </cell>
          <cell r="G410" t="str">
            <v>UAE</v>
          </cell>
          <cell r="H410" t="str">
            <v>AUH1</v>
          </cell>
        </row>
        <row r="411">
          <cell r="C411">
            <v>203736329</v>
          </cell>
          <cell r="D411" t="str">
            <v>joolubeg</v>
          </cell>
          <cell r="E411" t="str">
            <v>JOHN LUBEGA</v>
          </cell>
          <cell r="F411" t="str">
            <v>Temporary</v>
          </cell>
          <cell r="G411" t="str">
            <v>UAE</v>
          </cell>
          <cell r="H411" t="str">
            <v>AUH1</v>
          </cell>
        </row>
        <row r="412">
          <cell r="C412">
            <v>205477624</v>
          </cell>
          <cell r="D412" t="str">
            <v>xjonyank</v>
          </cell>
          <cell r="E412" t="str">
            <v>JOHN NYANKEY</v>
          </cell>
          <cell r="F412" t="str">
            <v>Temporary</v>
          </cell>
          <cell r="G412" t="str">
            <v>UAE</v>
          </cell>
          <cell r="H412" t="str">
            <v>AUH1</v>
          </cell>
        </row>
        <row r="413">
          <cell r="C413">
            <v>203599606</v>
          </cell>
          <cell r="D413" t="str">
            <v>johnyoky</v>
          </cell>
          <cell r="E413" t="str">
            <v>John Okyere</v>
          </cell>
          <cell r="F413" t="str">
            <v>Temporary</v>
          </cell>
          <cell r="G413" t="str">
            <v>UAE</v>
          </cell>
          <cell r="H413" t="str">
            <v>AUH1</v>
          </cell>
        </row>
        <row r="414">
          <cell r="C414">
            <v>202334276</v>
          </cell>
          <cell r="D414" t="str">
            <v>kamarjoy</v>
          </cell>
          <cell r="E414" t="str">
            <v>John Philip Kamara</v>
          </cell>
          <cell r="F414" t="str">
            <v>Temporary</v>
          </cell>
          <cell r="G414" t="str">
            <v>UAE</v>
          </cell>
          <cell r="H414" t="str">
            <v>AUH1</v>
          </cell>
        </row>
        <row r="415">
          <cell r="C415">
            <v>203521525</v>
          </cell>
          <cell r="D415" t="str">
            <v>agorgije</v>
          </cell>
          <cell r="E415" t="str">
            <v>Jonathan Agorgi</v>
          </cell>
          <cell r="F415" t="str">
            <v>Temporary</v>
          </cell>
          <cell r="G415" t="str">
            <v>UAE</v>
          </cell>
          <cell r="H415" t="str">
            <v>AUH1</v>
          </cell>
        </row>
        <row r="416">
          <cell r="C416">
            <v>206073366</v>
          </cell>
          <cell r="D416" t="str">
            <v>vjoasare</v>
          </cell>
          <cell r="E416" t="str">
            <v>Josep Asare Yalley</v>
          </cell>
          <cell r="F416" t="str">
            <v>Temporary</v>
          </cell>
          <cell r="G416" t="str">
            <v>UAE</v>
          </cell>
          <cell r="H416" t="str">
            <v>AUH1</v>
          </cell>
        </row>
        <row r="417">
          <cell r="C417">
            <v>203851007</v>
          </cell>
          <cell r="D417" t="str">
            <v>joagyeku</v>
          </cell>
          <cell r="E417" t="str">
            <v>Joseph Agyekum</v>
          </cell>
          <cell r="F417" t="str">
            <v>Temporary</v>
          </cell>
          <cell r="G417" t="str">
            <v>UAE</v>
          </cell>
          <cell r="H417" t="str">
            <v>AUH1</v>
          </cell>
        </row>
        <row r="418">
          <cell r="C418">
            <v>205608629</v>
          </cell>
          <cell r="D418" t="str">
            <v>thembjos</v>
          </cell>
          <cell r="E418" t="str">
            <v>JOSEPH MUNEYI THEMBO</v>
          </cell>
          <cell r="F418" t="str">
            <v>Temporary</v>
          </cell>
          <cell r="G418" t="str">
            <v>UAE</v>
          </cell>
          <cell r="H418" t="str">
            <v>AUH1</v>
          </cell>
        </row>
        <row r="419">
          <cell r="C419">
            <v>203521131</v>
          </cell>
          <cell r="D419" t="str">
            <v>ndedjose</v>
          </cell>
          <cell r="E419" t="str">
            <v>Joseph Ndede</v>
          </cell>
          <cell r="F419" t="str">
            <v>Temporary</v>
          </cell>
          <cell r="G419" t="str">
            <v>UAE</v>
          </cell>
          <cell r="H419" t="str">
            <v>AUH1</v>
          </cell>
        </row>
        <row r="420">
          <cell r="C420">
            <v>206953801</v>
          </cell>
          <cell r="D420" t="str">
            <v>jkusasir</v>
          </cell>
          <cell r="E420" t="str">
            <v>JOSEPHATE KUSASIRA</v>
          </cell>
          <cell r="F420" t="str">
            <v>Temporary</v>
          </cell>
          <cell r="G420" t="str">
            <v>UAE</v>
          </cell>
          <cell r="H420" t="str">
            <v>AUH1</v>
          </cell>
        </row>
        <row r="421">
          <cell r="C421">
            <v>204246608</v>
          </cell>
          <cell r="D421" t="str">
            <v>uknijosh</v>
          </cell>
          <cell r="E421" t="str">
            <v>Joshua Chuchuboy Knight</v>
          </cell>
          <cell r="F421" t="str">
            <v>Temporary</v>
          </cell>
          <cell r="G421" t="str">
            <v>UAE</v>
          </cell>
          <cell r="H421" t="str">
            <v>AUH1</v>
          </cell>
        </row>
        <row r="422">
          <cell r="C422">
            <v>204869083</v>
          </cell>
          <cell r="D422" t="str">
            <v>jospatie</v>
          </cell>
          <cell r="E422" t="str">
            <v>Joso,Patience Nganje</v>
          </cell>
          <cell r="F422" t="str">
            <v>Temporary</v>
          </cell>
          <cell r="G422" t="str">
            <v>UAE</v>
          </cell>
          <cell r="H422" t="str">
            <v>AUH1</v>
          </cell>
        </row>
        <row r="423">
          <cell r="C423">
            <v>204241393</v>
          </cell>
          <cell r="D423" t="str">
            <v>ofosuhjo</v>
          </cell>
          <cell r="E423" t="str">
            <v>Joyce Ofosuhene</v>
          </cell>
          <cell r="F423" t="str">
            <v>Temporary</v>
          </cell>
          <cell r="G423" t="str">
            <v>UAE</v>
          </cell>
          <cell r="H423" t="str">
            <v>AUH1</v>
          </cell>
        </row>
        <row r="424">
          <cell r="C424">
            <v>204246616</v>
          </cell>
          <cell r="D424" t="str">
            <v>tchuinok</v>
          </cell>
          <cell r="E424" t="str">
            <v>Julienne Tchuino Kamche</v>
          </cell>
          <cell r="F424" t="str">
            <v>Temporary</v>
          </cell>
          <cell r="G424" t="str">
            <v>UAE</v>
          </cell>
          <cell r="H424" t="str">
            <v>AUH1</v>
          </cell>
        </row>
        <row r="425">
          <cell r="C425">
            <v>204246611</v>
          </cell>
          <cell r="D425" t="str">
            <v>appiajul</v>
          </cell>
          <cell r="E425" t="str">
            <v>Juliet Appiah</v>
          </cell>
          <cell r="F425" t="str">
            <v>Temporary</v>
          </cell>
          <cell r="G425" t="str">
            <v>UAE</v>
          </cell>
          <cell r="H425" t="str">
            <v>AUH1</v>
          </cell>
        </row>
        <row r="426">
          <cell r="C426">
            <v>206004604</v>
          </cell>
          <cell r="D426" t="str">
            <v>qkejulie</v>
          </cell>
          <cell r="E426" t="str">
            <v>JULIET KENEMA</v>
          </cell>
          <cell r="F426" t="str">
            <v>Temporary</v>
          </cell>
          <cell r="G426" t="str">
            <v>UAE</v>
          </cell>
          <cell r="H426" t="str">
            <v>AUH1</v>
          </cell>
        </row>
        <row r="427">
          <cell r="C427">
            <v>206846703</v>
          </cell>
          <cell r="D427" t="str">
            <v>wasjustu</v>
          </cell>
          <cell r="E427" t="str">
            <v>Justus Wasswa Kakulu</v>
          </cell>
          <cell r="F427" t="str">
            <v>Temporary</v>
          </cell>
          <cell r="G427" t="str">
            <v>UAE</v>
          </cell>
          <cell r="H427" t="str">
            <v>AUH1</v>
          </cell>
        </row>
        <row r="428">
          <cell r="C428">
            <v>204882795</v>
          </cell>
          <cell r="D428" t="str">
            <v>aliikama</v>
          </cell>
          <cell r="E428" t="str">
            <v>KAMARA,ALIE</v>
          </cell>
          <cell r="F428" t="str">
            <v>Temporary</v>
          </cell>
          <cell r="G428" t="str">
            <v>UAE</v>
          </cell>
          <cell r="H428" t="str">
            <v>AUH1</v>
          </cell>
        </row>
        <row r="429">
          <cell r="C429">
            <v>203737144</v>
          </cell>
          <cell r="D429" t="str">
            <v>kahermaj</v>
          </cell>
          <cell r="E429" t="str">
            <v>KAMOGA HERMAN</v>
          </cell>
          <cell r="F429" t="str">
            <v>Temporary</v>
          </cell>
          <cell r="G429" t="str">
            <v>UAE</v>
          </cell>
          <cell r="H429" t="str">
            <v>AUH1</v>
          </cell>
        </row>
        <row r="430">
          <cell r="C430">
            <v>102434104</v>
          </cell>
          <cell r="D430" t="str">
            <v>kmadhusr</v>
          </cell>
          <cell r="E430" t="str">
            <v>Kandala Madhusudhan Rao</v>
          </cell>
          <cell r="F430" t="str">
            <v>Regular</v>
          </cell>
          <cell r="G430" t="str">
            <v>UAE</v>
          </cell>
          <cell r="H430" t="str">
            <v>AUH1</v>
          </cell>
        </row>
        <row r="431">
          <cell r="C431">
            <v>204967153</v>
          </cell>
          <cell r="D431" t="str">
            <v>jkissawk</v>
          </cell>
          <cell r="E431" t="str">
            <v>KASIM KISSAW</v>
          </cell>
          <cell r="F431" t="str">
            <v>Temporary</v>
          </cell>
          <cell r="G431" t="str">
            <v>UAE</v>
          </cell>
          <cell r="H431" t="str">
            <v>AUH1</v>
          </cell>
        </row>
        <row r="432">
          <cell r="C432">
            <v>206015634</v>
          </cell>
          <cell r="D432" t="str">
            <v>umarkas</v>
          </cell>
          <cell r="E432" t="str">
            <v>Kassim Umar</v>
          </cell>
          <cell r="F432" t="str">
            <v>Temporary</v>
          </cell>
          <cell r="G432" t="str">
            <v>UAE</v>
          </cell>
          <cell r="H432" t="str">
            <v>AUH1</v>
          </cell>
        </row>
        <row r="433">
          <cell r="C433">
            <v>203736757</v>
          </cell>
          <cell r="D433" t="str">
            <v>vkaunght</v>
          </cell>
          <cell r="E433" t="str">
            <v>Kaung Htet</v>
          </cell>
          <cell r="F433" t="str">
            <v>Temporary</v>
          </cell>
          <cell r="G433" t="str">
            <v>UAE</v>
          </cell>
          <cell r="H433" t="str">
            <v>AUH1</v>
          </cell>
        </row>
        <row r="434">
          <cell r="C434">
            <v>206874057</v>
          </cell>
          <cell r="D434" t="str">
            <v>kayimose</v>
          </cell>
          <cell r="E434" t="str">
            <v>KAYIRA MOSES</v>
          </cell>
          <cell r="F434" t="str">
            <v>Temporary</v>
          </cell>
          <cell r="G434" t="str">
            <v>UAE</v>
          </cell>
          <cell r="H434" t="str">
            <v>AUH1</v>
          </cell>
        </row>
        <row r="435">
          <cell r="C435">
            <v>206874041</v>
          </cell>
          <cell r="D435" t="str">
            <v>kazibwas</v>
          </cell>
          <cell r="E435" t="str">
            <v>KAZIBWA SIRAGI</v>
          </cell>
          <cell r="F435" t="str">
            <v>Temporary</v>
          </cell>
          <cell r="G435" t="str">
            <v>UAE</v>
          </cell>
          <cell r="H435" t="str">
            <v>AUH1</v>
          </cell>
        </row>
        <row r="436">
          <cell r="C436">
            <v>203736776</v>
          </cell>
          <cell r="D436" t="str">
            <v>ikeharsa</v>
          </cell>
          <cell r="E436" t="str">
            <v>Kehar Sing Sarki</v>
          </cell>
          <cell r="F436" t="str">
            <v>Temporary</v>
          </cell>
          <cell r="G436" t="str">
            <v>UAE</v>
          </cell>
          <cell r="H436" t="str">
            <v>AUH1</v>
          </cell>
        </row>
        <row r="437">
          <cell r="C437">
            <v>204868850</v>
          </cell>
          <cell r="D437" t="str">
            <v>kkecarls</v>
          </cell>
          <cell r="E437" t="str">
            <v>Kendang,Carlson Esah</v>
          </cell>
          <cell r="F437" t="str">
            <v>Temporary</v>
          </cell>
          <cell r="G437" t="str">
            <v>UAE</v>
          </cell>
          <cell r="H437" t="str">
            <v>AUH1</v>
          </cell>
        </row>
        <row r="438">
          <cell r="C438">
            <v>204246610</v>
          </cell>
          <cell r="D438" t="str">
            <v>appiakin</v>
          </cell>
          <cell r="E438" t="str">
            <v>Kingsley Appiah</v>
          </cell>
          <cell r="F438" t="str">
            <v>Temporary</v>
          </cell>
          <cell r="G438" t="str">
            <v>UAE</v>
          </cell>
          <cell r="H438" t="str">
            <v>AUH3</v>
          </cell>
        </row>
        <row r="439">
          <cell r="C439">
            <v>109468376</v>
          </cell>
          <cell r="D439" t="str">
            <v>ykkoffi</v>
          </cell>
          <cell r="E439" t="str">
            <v>Koffi,Yao Pacome</v>
          </cell>
          <cell r="F439" t="str">
            <v>Regular</v>
          </cell>
          <cell r="G439" t="str">
            <v>UAE</v>
          </cell>
          <cell r="H439" t="str">
            <v>AUH1</v>
          </cell>
        </row>
        <row r="440">
          <cell r="C440">
            <v>205986151</v>
          </cell>
          <cell r="D440" t="str">
            <v>kufkamid</v>
          </cell>
          <cell r="E440" t="str">
            <v>KUFAM AMIDU</v>
          </cell>
          <cell r="F440" t="str">
            <v>Temporary</v>
          </cell>
          <cell r="G440" t="str">
            <v>UAE</v>
          </cell>
          <cell r="H440" t="str">
            <v>AUH1</v>
          </cell>
        </row>
        <row r="441">
          <cell r="C441">
            <v>204246607</v>
          </cell>
          <cell r="D441" t="str">
            <v>kwaaboag</v>
          </cell>
          <cell r="E441" t="str">
            <v>Kwabena Aboagye-Acheampong</v>
          </cell>
          <cell r="F441" t="str">
            <v>Temporary</v>
          </cell>
          <cell r="G441" t="str">
            <v>UAE</v>
          </cell>
          <cell r="H441" t="str">
            <v>AUH1</v>
          </cell>
        </row>
        <row r="442">
          <cell r="C442">
            <v>205608621</v>
          </cell>
          <cell r="D442" t="str">
            <v>abkwaben</v>
          </cell>
          <cell r="E442" t="str">
            <v>KWABENA ABOBIRE</v>
          </cell>
          <cell r="F442" t="str">
            <v>Temporary</v>
          </cell>
          <cell r="G442" t="str">
            <v>UAE</v>
          </cell>
          <cell r="H442" t="str">
            <v>AUH1</v>
          </cell>
        </row>
        <row r="443">
          <cell r="C443">
            <v>205506107</v>
          </cell>
          <cell r="D443" t="str">
            <v>lameckoe</v>
          </cell>
          <cell r="E443" t="str">
            <v>LAMECK KIPKURGAT KOECH</v>
          </cell>
          <cell r="F443" t="str">
            <v>Temporary</v>
          </cell>
          <cell r="G443" t="str">
            <v>UAE</v>
          </cell>
          <cell r="H443" t="str">
            <v>AUH1</v>
          </cell>
        </row>
        <row r="444">
          <cell r="C444">
            <v>203881600</v>
          </cell>
          <cell r="D444" t="str">
            <v>lajlawso</v>
          </cell>
          <cell r="E444" t="str">
            <v>Late Flynn Lawson</v>
          </cell>
          <cell r="F444" t="str">
            <v>Temporary</v>
          </cell>
          <cell r="G444" t="str">
            <v>UAE</v>
          </cell>
          <cell r="H444" t="str">
            <v>AUH1</v>
          </cell>
        </row>
        <row r="445">
          <cell r="C445">
            <v>206073365</v>
          </cell>
          <cell r="D445" t="str">
            <v>letiowus</v>
          </cell>
          <cell r="E445" t="str">
            <v>Leticia Owusu</v>
          </cell>
          <cell r="F445" t="str">
            <v>Temporary</v>
          </cell>
          <cell r="G445" t="str">
            <v>UAE</v>
          </cell>
          <cell r="H445" t="str">
            <v>AUH1</v>
          </cell>
        </row>
        <row r="446">
          <cell r="C446">
            <v>206934198</v>
          </cell>
          <cell r="D446" t="str">
            <v>njugulil</v>
          </cell>
          <cell r="E446" t="str">
            <v>Lilian Njuguna</v>
          </cell>
          <cell r="F446" t="str">
            <v>Temporary</v>
          </cell>
          <cell r="G446" t="str">
            <v>UAE</v>
          </cell>
          <cell r="H446" t="str">
            <v>AUH1</v>
          </cell>
        </row>
        <row r="447">
          <cell r="C447">
            <v>206874046</v>
          </cell>
          <cell r="D447" t="str">
            <v>zluwunge</v>
          </cell>
          <cell r="E447" t="str">
            <v>LUWUNGE JAMES</v>
          </cell>
          <cell r="F447" t="str">
            <v>Temporary</v>
          </cell>
          <cell r="G447" t="str">
            <v>UAE</v>
          </cell>
          <cell r="H447" t="str">
            <v>AUH1</v>
          </cell>
        </row>
        <row r="448">
          <cell r="C448">
            <v>206873657</v>
          </cell>
          <cell r="D448" t="str">
            <v>magdanya</v>
          </cell>
          <cell r="E448" t="str">
            <v>MAGDALENE NYARKOA ASANT</v>
          </cell>
          <cell r="F448" t="str">
            <v>Temporary</v>
          </cell>
          <cell r="G448" t="str">
            <v>UAE</v>
          </cell>
          <cell r="H448" t="str">
            <v>AUH1</v>
          </cell>
        </row>
        <row r="449">
          <cell r="C449">
            <v>206873651</v>
          </cell>
          <cell r="D449" t="str">
            <v>mtsagued</v>
          </cell>
          <cell r="E449" t="str">
            <v>MAIVA TSAGUE DONFACK EPSE NDONGO</v>
          </cell>
          <cell r="F449" t="str">
            <v>Temporary</v>
          </cell>
          <cell r="G449" t="str">
            <v>UAE</v>
          </cell>
          <cell r="H449" t="str">
            <v>AUH1</v>
          </cell>
        </row>
        <row r="450">
          <cell r="C450">
            <v>205608623</v>
          </cell>
          <cell r="D450" t="str">
            <v>daudmaji</v>
          </cell>
          <cell r="E450" t="str">
            <v>MAJID DAUDA</v>
          </cell>
          <cell r="F450" t="str">
            <v>Temporary</v>
          </cell>
          <cell r="G450" t="str">
            <v>UAE</v>
          </cell>
          <cell r="H450" t="str">
            <v>AUH1</v>
          </cell>
        </row>
        <row r="451">
          <cell r="C451">
            <v>204883236</v>
          </cell>
          <cell r="D451" t="str">
            <v>makaflor</v>
          </cell>
          <cell r="E451" t="str">
            <v>Makamure,Florence Ottilia Tsitsi</v>
          </cell>
          <cell r="F451" t="str">
            <v>Temporary</v>
          </cell>
          <cell r="G451" t="str">
            <v>UAE</v>
          </cell>
          <cell r="H451" t="str">
            <v>AUH1</v>
          </cell>
        </row>
        <row r="452">
          <cell r="C452">
            <v>206915008</v>
          </cell>
          <cell r="D452" t="str">
            <v>malingum</v>
          </cell>
          <cell r="E452" t="str">
            <v>Malingumu Jackson</v>
          </cell>
          <cell r="F452" t="str">
            <v>Temporary</v>
          </cell>
          <cell r="G452" t="str">
            <v>UAE</v>
          </cell>
          <cell r="H452" t="str">
            <v>AUH1</v>
          </cell>
        </row>
        <row r="453">
          <cell r="C453">
            <v>109749061</v>
          </cell>
          <cell r="D453" t="str">
            <v>naemalla</v>
          </cell>
          <cell r="E453" t="str">
            <v>Malladi, NagaBhushananm</v>
          </cell>
          <cell r="F453" t="str">
            <v>Regular</v>
          </cell>
          <cell r="G453" t="str">
            <v>UAE</v>
          </cell>
          <cell r="H453" t="str">
            <v>AUH1</v>
          </cell>
        </row>
        <row r="454">
          <cell r="C454">
            <v>204883085</v>
          </cell>
          <cell r="D454" t="str">
            <v>mambflor</v>
          </cell>
          <cell r="E454" t="str">
            <v>Mambo,Flora Nde</v>
          </cell>
          <cell r="F454" t="str">
            <v>Temporary</v>
          </cell>
          <cell r="G454" t="str">
            <v>UAE</v>
          </cell>
          <cell r="H454" t="str">
            <v>AUH1</v>
          </cell>
        </row>
        <row r="455">
          <cell r="C455">
            <v>102207617</v>
          </cell>
          <cell r="D455" t="str">
            <v>mangondi</v>
          </cell>
          <cell r="E455" t="str">
            <v>Mangondili,Lilac Jayawon</v>
          </cell>
          <cell r="F455" t="str">
            <v>Regular</v>
          </cell>
          <cell r="G455" t="str">
            <v>UAE</v>
          </cell>
          <cell r="H455" t="str">
            <v>AUH1</v>
          </cell>
        </row>
        <row r="456">
          <cell r="C456">
            <v>204967049</v>
          </cell>
          <cell r="D456" t="str">
            <v>markumek</v>
          </cell>
          <cell r="E456" t="str">
            <v>MARTIN KUMEKPE</v>
          </cell>
          <cell r="F456" t="str">
            <v>Temporary</v>
          </cell>
          <cell r="G456" t="str">
            <v>UAE</v>
          </cell>
          <cell r="H456" t="str">
            <v>AUH1</v>
          </cell>
        </row>
        <row r="457">
          <cell r="C457">
            <v>203881597</v>
          </cell>
          <cell r="D457" t="str">
            <v>marvingx</v>
          </cell>
          <cell r="E457" t="str">
            <v>Marvinge Mokabe Akanang</v>
          </cell>
          <cell r="F457" t="str">
            <v>Temporary</v>
          </cell>
          <cell r="G457" t="str">
            <v>UAE</v>
          </cell>
          <cell r="H457" t="str">
            <v>AUH1</v>
          </cell>
        </row>
        <row r="458">
          <cell r="C458">
            <v>203881599</v>
          </cell>
          <cell r="D458" t="str">
            <v>mmensahf</v>
          </cell>
          <cell r="E458" t="str">
            <v>Mary Mensah</v>
          </cell>
          <cell r="F458" t="str">
            <v>Temporary</v>
          </cell>
          <cell r="G458" t="str">
            <v>UAE</v>
          </cell>
          <cell r="H458" t="str">
            <v>AUH1</v>
          </cell>
        </row>
        <row r="459">
          <cell r="C459">
            <v>204869096</v>
          </cell>
          <cell r="D459" t="str">
            <v>mercyema</v>
          </cell>
          <cell r="E459" t="str">
            <v>Masuka,Mercy</v>
          </cell>
          <cell r="F459" t="str">
            <v>Temporary</v>
          </cell>
          <cell r="G459" t="str">
            <v>UAE</v>
          </cell>
          <cell r="H459" t="str">
            <v>AUH1</v>
          </cell>
        </row>
        <row r="460">
          <cell r="C460">
            <v>204869088</v>
          </cell>
          <cell r="D460" t="str">
            <v>maththum</v>
          </cell>
          <cell r="E460" t="str">
            <v>Mathe,Thumelo Ethan</v>
          </cell>
          <cell r="F460" t="str">
            <v>Temporary</v>
          </cell>
          <cell r="G460" t="str">
            <v>UAE</v>
          </cell>
          <cell r="H460" t="str">
            <v>AUH1</v>
          </cell>
        </row>
        <row r="461">
          <cell r="C461">
            <v>203521523</v>
          </cell>
          <cell r="D461" t="str">
            <v>ayematil</v>
          </cell>
          <cell r="E461" t="str">
            <v>Matilda Ayesu</v>
          </cell>
          <cell r="F461" t="str">
            <v>Temporary</v>
          </cell>
          <cell r="G461" t="str">
            <v>UAE</v>
          </cell>
          <cell r="H461" t="str">
            <v>AUH1</v>
          </cell>
        </row>
        <row r="462">
          <cell r="C462">
            <v>206874059</v>
          </cell>
          <cell r="D462" t="str">
            <v>momatovu</v>
          </cell>
          <cell r="E462" t="str">
            <v>MATOVUMOHAMMAD</v>
          </cell>
          <cell r="F462" t="str">
            <v>Temporary</v>
          </cell>
          <cell r="G462" t="str">
            <v>UAE</v>
          </cell>
          <cell r="H462" t="str">
            <v>AUH1</v>
          </cell>
        </row>
        <row r="463">
          <cell r="C463">
            <v>204252239</v>
          </cell>
          <cell r="D463" t="str">
            <v>alamavis</v>
          </cell>
          <cell r="E463" t="str">
            <v>Mavis Akua Alabila</v>
          </cell>
          <cell r="F463" t="str">
            <v>Temporary</v>
          </cell>
          <cell r="G463" t="str">
            <v>UAE</v>
          </cell>
          <cell r="H463" t="str">
            <v>AUH1</v>
          </cell>
        </row>
        <row r="464">
          <cell r="C464">
            <v>206934437</v>
          </cell>
          <cell r="D464" t="str">
            <v>maxmijer</v>
          </cell>
          <cell r="E464" t="str">
            <v>Maxmillila Jeruto</v>
          </cell>
          <cell r="F464" t="str">
            <v>Temporary</v>
          </cell>
          <cell r="G464" t="str">
            <v>UAE</v>
          </cell>
          <cell r="H464" t="str">
            <v>AUH1</v>
          </cell>
        </row>
        <row r="465">
          <cell r="C465">
            <v>203881596</v>
          </cell>
          <cell r="D465" t="str">
            <v>maxtokpr</v>
          </cell>
          <cell r="E465" t="str">
            <v>Maxwell Tokpor</v>
          </cell>
          <cell r="F465" t="str">
            <v>Temporary</v>
          </cell>
          <cell r="G465" t="str">
            <v>UAE</v>
          </cell>
          <cell r="H465" t="str">
            <v>AUH1</v>
          </cell>
        </row>
        <row r="466">
          <cell r="C466">
            <v>204869092</v>
          </cell>
          <cell r="D466" t="str">
            <v>tanakasm</v>
          </cell>
          <cell r="E466" t="str">
            <v>Mbawa,Tanaka Shantel</v>
          </cell>
          <cell r="F466" t="str">
            <v>Temporary</v>
          </cell>
          <cell r="G466" t="str">
            <v>UAE</v>
          </cell>
          <cell r="H466" t="str">
            <v>AUH1</v>
          </cell>
        </row>
        <row r="467">
          <cell r="C467">
            <v>204883247</v>
          </cell>
          <cell r="D467" t="str">
            <v>mdutygwe</v>
          </cell>
          <cell r="E467" t="str">
            <v>Mdutshulwa,Gwendoline</v>
          </cell>
          <cell r="F467" t="str">
            <v>Temporary</v>
          </cell>
          <cell r="G467" t="str">
            <v>UAE</v>
          </cell>
          <cell r="H467" t="str">
            <v>AUH1</v>
          </cell>
        </row>
        <row r="468">
          <cell r="C468">
            <v>204868854</v>
          </cell>
          <cell r="D468" t="str">
            <v>mensacon</v>
          </cell>
          <cell r="E468" t="str">
            <v>Mensah,Confidence</v>
          </cell>
          <cell r="F468" t="str">
            <v>Temporary</v>
          </cell>
          <cell r="G468" t="str">
            <v>UAE</v>
          </cell>
          <cell r="H468" t="str">
            <v>AUH1</v>
          </cell>
        </row>
        <row r="469">
          <cell r="C469">
            <v>203521526</v>
          </cell>
          <cell r="D469" t="str">
            <v>darkwamj</v>
          </cell>
          <cell r="E469" t="str">
            <v>Michael Darkwah</v>
          </cell>
          <cell r="F469" t="str">
            <v>Temporary</v>
          </cell>
          <cell r="G469" t="str">
            <v>UAE</v>
          </cell>
          <cell r="H469" t="str">
            <v>AUH1</v>
          </cell>
        </row>
        <row r="470">
          <cell r="C470">
            <v>203521132</v>
          </cell>
          <cell r="D470" t="str">
            <v>qmichtut</v>
          </cell>
          <cell r="E470" t="str">
            <v>Michael Osei Tutu</v>
          </cell>
          <cell r="F470" t="str">
            <v>Temporary</v>
          </cell>
          <cell r="G470" t="str">
            <v>UAE</v>
          </cell>
          <cell r="H470" t="str">
            <v>AUH1</v>
          </cell>
        </row>
        <row r="471">
          <cell r="C471">
            <v>203800381</v>
          </cell>
          <cell r="D471" t="str">
            <v>mikegalc</v>
          </cell>
          <cell r="E471" t="str">
            <v>MIKE GALIWANGO</v>
          </cell>
          <cell r="F471" t="str">
            <v>Temporary</v>
          </cell>
          <cell r="G471" t="str">
            <v>UAE</v>
          </cell>
          <cell r="H471" t="str">
            <v>AUH1</v>
          </cell>
        </row>
        <row r="472">
          <cell r="C472">
            <v>203736777</v>
          </cell>
          <cell r="D472" t="str">
            <v>minkhine</v>
          </cell>
          <cell r="E472" t="str">
            <v>Min Thway Khine</v>
          </cell>
          <cell r="F472" t="str">
            <v>Temporary</v>
          </cell>
          <cell r="G472" t="str">
            <v>UAE</v>
          </cell>
          <cell r="H472" t="str">
            <v>AUH1</v>
          </cell>
        </row>
        <row r="473">
          <cell r="C473">
            <v>206953970</v>
          </cell>
          <cell r="D473" t="str">
            <v>misaelst</v>
          </cell>
          <cell r="E473" t="str">
            <v>MISAEL STEVEN BULIANI</v>
          </cell>
          <cell r="F473" t="str">
            <v>Temporary</v>
          </cell>
          <cell r="G473" t="str">
            <v>UAE</v>
          </cell>
          <cell r="H473" t="str">
            <v>AUH1</v>
          </cell>
        </row>
        <row r="474">
          <cell r="C474">
            <v>206873867</v>
          </cell>
          <cell r="D474" t="str">
            <v>damisuse</v>
          </cell>
          <cell r="E474" t="str">
            <v>MISUSERA DAVID LUBWAMA</v>
          </cell>
          <cell r="F474" t="str">
            <v>Temporary</v>
          </cell>
          <cell r="G474" t="str">
            <v>UAE</v>
          </cell>
          <cell r="H474" t="str">
            <v>AUH1</v>
          </cell>
        </row>
        <row r="475">
          <cell r="C475">
            <v>203468399</v>
          </cell>
          <cell r="D475" t="str">
            <v>nrahamoh</v>
          </cell>
          <cell r="E475" t="str">
            <v>Mohammad Abdul Rahaman</v>
          </cell>
          <cell r="F475" t="str">
            <v>Temporary</v>
          </cell>
          <cell r="G475" t="str">
            <v>UAE</v>
          </cell>
          <cell r="H475" t="str">
            <v>AUH1</v>
          </cell>
        </row>
        <row r="476">
          <cell r="C476">
            <v>203736772</v>
          </cell>
          <cell r="D476" t="str">
            <v>shahidgm</v>
          </cell>
          <cell r="E476" t="str">
            <v>MOHAMMAD SARFARAZ ANSARI SHAHID</v>
          </cell>
          <cell r="F476" t="str">
            <v>Temporary</v>
          </cell>
          <cell r="G476" t="str">
            <v>UAE</v>
          </cell>
          <cell r="H476" t="str">
            <v>AUH1</v>
          </cell>
        </row>
        <row r="477">
          <cell r="C477">
            <v>204246604</v>
          </cell>
          <cell r="D477" t="str">
            <v>amizmoha</v>
          </cell>
          <cell r="E477" t="str">
            <v>Mohammed Aminu</v>
          </cell>
          <cell r="F477" t="str">
            <v>Temporary</v>
          </cell>
          <cell r="G477" t="str">
            <v>UAE</v>
          </cell>
          <cell r="H477" t="str">
            <v>AUH3</v>
          </cell>
        </row>
        <row r="478">
          <cell r="C478">
            <v>203709595</v>
          </cell>
          <cell r="D478" t="str">
            <v>moshareb</v>
          </cell>
          <cell r="E478" t="str">
            <v>MOHAMMED SHAREEF KUTTILA VALAPPIL</v>
          </cell>
          <cell r="F478" t="str">
            <v>Temporary</v>
          </cell>
          <cell r="G478" t="str">
            <v>UAE</v>
          </cell>
          <cell r="H478" t="str">
            <v>AUH1</v>
          </cell>
        </row>
        <row r="479">
          <cell r="C479">
            <v>204882806</v>
          </cell>
          <cell r="D479" t="str">
            <v>moiddris</v>
          </cell>
          <cell r="E479" t="str">
            <v>MOHAMMED,IDDRISS</v>
          </cell>
          <cell r="F479" t="str">
            <v>Temporary</v>
          </cell>
          <cell r="G479" t="str">
            <v>UAE</v>
          </cell>
          <cell r="H479" t="str">
            <v>AUH1</v>
          </cell>
        </row>
        <row r="480">
          <cell r="C480">
            <v>204967150</v>
          </cell>
          <cell r="D480" t="str">
            <v>ibramoro</v>
          </cell>
          <cell r="E480" t="str">
            <v>MORO IBRAHIM</v>
          </cell>
          <cell r="F480" t="str">
            <v>Temporary</v>
          </cell>
          <cell r="G480" t="str">
            <v>UAE</v>
          </cell>
          <cell r="H480" t="str">
            <v>AUH1</v>
          </cell>
        </row>
        <row r="481">
          <cell r="C481">
            <v>203816300</v>
          </cell>
          <cell r="D481" t="str">
            <v>tugumemo</v>
          </cell>
          <cell r="E481" t="str">
            <v>MORRIS TUGUME</v>
          </cell>
          <cell r="F481" t="str">
            <v>Temporary</v>
          </cell>
          <cell r="G481" t="str">
            <v>UAE</v>
          </cell>
          <cell r="H481" t="str">
            <v>AUH1</v>
          </cell>
        </row>
        <row r="482">
          <cell r="C482">
            <v>203735944</v>
          </cell>
          <cell r="D482" t="str">
            <v>twasmose</v>
          </cell>
          <cell r="E482" t="str">
            <v>MOSES WASSWA</v>
          </cell>
          <cell r="F482" t="str">
            <v>Temporary</v>
          </cell>
          <cell r="G482" t="str">
            <v>UAE</v>
          </cell>
          <cell r="H482" t="str">
            <v>AUH1</v>
          </cell>
        </row>
        <row r="483">
          <cell r="C483">
            <v>203736755</v>
          </cell>
          <cell r="D483" t="str">
            <v>maxmrith</v>
          </cell>
          <cell r="E483" t="str">
            <v xml:space="preserve">Mrithul Maxy </v>
          </cell>
          <cell r="F483" t="str">
            <v>Temporary</v>
          </cell>
          <cell r="G483" t="str">
            <v>UAE</v>
          </cell>
          <cell r="H483" t="str">
            <v>AUH1</v>
          </cell>
        </row>
        <row r="484">
          <cell r="C484">
            <v>206873871</v>
          </cell>
          <cell r="D484" t="str">
            <v>ramugeny</v>
          </cell>
          <cell r="E484" t="str">
            <v>MUGENYI RAYMOND</v>
          </cell>
          <cell r="F484" t="str">
            <v>Temporary</v>
          </cell>
          <cell r="G484" t="str">
            <v>UAE</v>
          </cell>
          <cell r="H484" t="str">
            <v>AUH1</v>
          </cell>
        </row>
        <row r="485">
          <cell r="C485">
            <v>204890367</v>
          </cell>
          <cell r="D485" t="str">
            <v>mugandrn</v>
          </cell>
          <cell r="E485" t="str">
            <v>MUGISHA,ANDREW</v>
          </cell>
          <cell r="F485" t="str">
            <v>Temporary</v>
          </cell>
          <cell r="G485" t="str">
            <v>UAE</v>
          </cell>
          <cell r="H485" t="str">
            <v>AUH1</v>
          </cell>
        </row>
        <row r="486">
          <cell r="C486">
            <v>201633155</v>
          </cell>
          <cell r="D486" t="str">
            <v>oafmuham</v>
          </cell>
          <cell r="E486" t="str">
            <v>Muhammad Farhan</v>
          </cell>
          <cell r="F486" t="str">
            <v>Temporary</v>
          </cell>
          <cell r="G486" t="str">
            <v>UAE</v>
          </cell>
          <cell r="H486" t="str">
            <v>AUH1</v>
          </cell>
        </row>
        <row r="487">
          <cell r="C487">
            <v>103986189</v>
          </cell>
          <cell r="D487" t="str">
            <v>irfmali</v>
          </cell>
          <cell r="E487" t="str">
            <v>Muhammad,Malik</v>
          </cell>
          <cell r="F487" t="str">
            <v>Regular</v>
          </cell>
          <cell r="G487" t="str">
            <v>UAE</v>
          </cell>
          <cell r="H487" t="str">
            <v>AUH1</v>
          </cell>
        </row>
        <row r="488">
          <cell r="C488">
            <v>204403653</v>
          </cell>
          <cell r="D488" t="str">
            <v>muhathod</v>
          </cell>
          <cell r="E488" t="str">
            <v>MUHAMMED FAYIS PATER</v>
          </cell>
          <cell r="F488" t="str">
            <v>Temporary</v>
          </cell>
          <cell r="G488" t="str">
            <v>UAE</v>
          </cell>
          <cell r="H488" t="str">
            <v>AUH1</v>
          </cell>
        </row>
        <row r="489">
          <cell r="C489">
            <v>204967148</v>
          </cell>
          <cell r="D489" t="str">
            <v>muhapibr</v>
          </cell>
          <cell r="E489" t="str">
            <v>MUHAMMED IBRAHIM</v>
          </cell>
          <cell r="F489" t="str">
            <v>Temporary</v>
          </cell>
          <cell r="G489" t="str">
            <v>UAE</v>
          </cell>
          <cell r="H489" t="str">
            <v>AUH1</v>
          </cell>
        </row>
        <row r="490">
          <cell r="C490">
            <v>203813080</v>
          </cell>
          <cell r="D490" t="str">
            <v>veetmuha</v>
          </cell>
          <cell r="E490" t="str">
            <v>MUHAMMED MIKTHATH NOTTAM VEETTIL</v>
          </cell>
          <cell r="F490" t="str">
            <v>Temporary</v>
          </cell>
          <cell r="G490" t="str">
            <v>UAE</v>
          </cell>
          <cell r="H490" t="str">
            <v>AUH1</v>
          </cell>
        </row>
        <row r="491">
          <cell r="C491">
            <v>206846697</v>
          </cell>
          <cell r="D491" t="str">
            <v>muhanrod</v>
          </cell>
          <cell r="E491" t="str">
            <v>Muhangi Rodgers</v>
          </cell>
          <cell r="F491" t="str">
            <v>Temporary</v>
          </cell>
          <cell r="G491" t="str">
            <v>UAE</v>
          </cell>
          <cell r="H491" t="str">
            <v>AUH1</v>
          </cell>
        </row>
        <row r="492">
          <cell r="C492">
            <v>204883234</v>
          </cell>
          <cell r="D492" t="str">
            <v>nymunemw</v>
          </cell>
          <cell r="E492" t="str">
            <v>Munemo,Nyasha Millicent</v>
          </cell>
          <cell r="F492" t="str">
            <v>Temporary</v>
          </cell>
          <cell r="G492" t="str">
            <v>UAE</v>
          </cell>
          <cell r="H492" t="str">
            <v>AUH1</v>
          </cell>
        </row>
        <row r="493">
          <cell r="C493">
            <v>203851274</v>
          </cell>
          <cell r="D493" t="str">
            <v>munisuku</v>
          </cell>
          <cell r="E493" t="str">
            <v>Munish Kumar</v>
          </cell>
          <cell r="F493" t="str">
            <v>Temporary</v>
          </cell>
          <cell r="G493" t="str">
            <v>UAE</v>
          </cell>
          <cell r="H493" t="str">
            <v>AUH1</v>
          </cell>
        </row>
        <row r="494">
          <cell r="C494">
            <v>205495599</v>
          </cell>
          <cell r="D494" t="str">
            <v>muriipau</v>
          </cell>
          <cell r="E494" t="str">
            <v>Muriithi Pauline</v>
          </cell>
          <cell r="F494" t="str">
            <v>Temporary</v>
          </cell>
          <cell r="G494" t="str">
            <v>UAE</v>
          </cell>
          <cell r="H494" t="str">
            <v>AUH1</v>
          </cell>
        </row>
        <row r="495">
          <cell r="C495">
            <v>203737250</v>
          </cell>
          <cell r="D495" t="str">
            <v>murssesa</v>
          </cell>
          <cell r="E495" t="str">
            <v>MURSHID SSESANGA</v>
          </cell>
          <cell r="F495" t="str">
            <v>Temporary</v>
          </cell>
          <cell r="G495" t="str">
            <v>UAE</v>
          </cell>
          <cell r="H495" t="str">
            <v>AUH1</v>
          </cell>
        </row>
        <row r="496">
          <cell r="C496">
            <v>204967146</v>
          </cell>
          <cell r="D496" t="str">
            <v>issakmuz</v>
          </cell>
          <cell r="E496" t="str">
            <v>MUSTAPHA SABIT ISSAKA</v>
          </cell>
          <cell r="F496" t="str">
            <v>Temporary</v>
          </cell>
          <cell r="G496" t="str">
            <v>UAE</v>
          </cell>
          <cell r="H496" t="str">
            <v>AUH1</v>
          </cell>
        </row>
        <row r="497">
          <cell r="C497">
            <v>206791444</v>
          </cell>
          <cell r="D497" t="str">
            <v>muwofaha</v>
          </cell>
          <cell r="E497" t="str">
            <v>MUWONGE,FAHAD</v>
          </cell>
          <cell r="F497" t="str">
            <v>Temporary</v>
          </cell>
          <cell r="G497" t="str">
            <v>UAE</v>
          </cell>
          <cell r="H497" t="str">
            <v>AUH1</v>
          </cell>
        </row>
        <row r="498">
          <cell r="C498">
            <v>206953813</v>
          </cell>
          <cell r="D498" t="str">
            <v>rpnahabw</v>
          </cell>
          <cell r="E498" t="str">
            <v>NAHABWE RODGERS</v>
          </cell>
          <cell r="F498" t="str">
            <v>Temporary</v>
          </cell>
          <cell r="G498" t="str">
            <v>UAE</v>
          </cell>
          <cell r="H498" t="str">
            <v>AUH1</v>
          </cell>
        </row>
        <row r="499">
          <cell r="C499">
            <v>206873780</v>
          </cell>
          <cell r="D499" t="str">
            <v>sharrifn</v>
          </cell>
          <cell r="E499" t="str">
            <v>NAJJIBU SHARRIFU</v>
          </cell>
          <cell r="F499" t="str">
            <v>Temporary</v>
          </cell>
          <cell r="G499" t="str">
            <v>UAE</v>
          </cell>
          <cell r="H499" t="str">
            <v>AUH1</v>
          </cell>
        </row>
        <row r="500">
          <cell r="C500">
            <v>203800374</v>
          </cell>
          <cell r="D500" t="str">
            <v>znambusa</v>
          </cell>
          <cell r="E500" t="str">
            <v>NATHAN BAGHENDA MBUSA</v>
          </cell>
          <cell r="F500" t="str">
            <v>Temporary</v>
          </cell>
          <cell r="G500" t="str">
            <v>UAE</v>
          </cell>
          <cell r="H500" t="str">
            <v>AUH1</v>
          </cell>
        </row>
        <row r="501">
          <cell r="C501">
            <v>204883245</v>
          </cell>
          <cell r="D501" t="str">
            <v>wgracech</v>
          </cell>
          <cell r="E501" t="str">
            <v>Nhau,Grace Chido</v>
          </cell>
          <cell r="F501" t="str">
            <v>Temporary</v>
          </cell>
          <cell r="G501" t="str">
            <v>UAE</v>
          </cell>
          <cell r="H501" t="str">
            <v>AUH1</v>
          </cell>
        </row>
        <row r="502">
          <cell r="C502">
            <v>205506476</v>
          </cell>
          <cell r="D502" t="str">
            <v>ukimtani</v>
          </cell>
          <cell r="E502" t="str">
            <v>NICHOLAS KIRWA KIMTAI</v>
          </cell>
          <cell r="F502" t="str">
            <v>Temporary</v>
          </cell>
          <cell r="G502" t="str">
            <v>UAE</v>
          </cell>
          <cell r="H502" t="str">
            <v>AUH1</v>
          </cell>
        </row>
        <row r="503">
          <cell r="C503">
            <v>204405779</v>
          </cell>
          <cell r="D503" t="str">
            <v>nichwtak</v>
          </cell>
          <cell r="E503" t="str">
            <v>Nicholas Takyi</v>
          </cell>
          <cell r="F503" t="str">
            <v>Temporary</v>
          </cell>
          <cell r="G503" t="str">
            <v>UAE</v>
          </cell>
          <cell r="H503" t="str">
            <v>AUH1</v>
          </cell>
        </row>
        <row r="504">
          <cell r="C504">
            <v>205495595</v>
          </cell>
          <cell r="D504" t="str">
            <v>nyabuniv</v>
          </cell>
          <cell r="E504" t="str">
            <v>Nivah Moraa Nyabuto</v>
          </cell>
          <cell r="F504" t="str">
            <v>Temporary</v>
          </cell>
          <cell r="G504" t="str">
            <v>UAE</v>
          </cell>
          <cell r="H504" t="str">
            <v>AUH1</v>
          </cell>
        </row>
        <row r="505">
          <cell r="C505">
            <v>203850937</v>
          </cell>
          <cell r="D505" t="str">
            <v>yenorber</v>
          </cell>
          <cell r="E505" t="str">
            <v>Norbert Yeboah</v>
          </cell>
          <cell r="F505" t="str">
            <v>Temporary</v>
          </cell>
          <cell r="G505" t="str">
            <v>UAE</v>
          </cell>
          <cell r="H505" t="str">
            <v>AUH1</v>
          </cell>
        </row>
        <row r="506">
          <cell r="C506">
            <v>203736774</v>
          </cell>
          <cell r="D506" t="str">
            <v>nyanahte</v>
          </cell>
          <cell r="E506" t="str">
            <v>Nyan Lin Htet</v>
          </cell>
          <cell r="F506" t="str">
            <v>Temporary</v>
          </cell>
          <cell r="G506" t="str">
            <v>UAE</v>
          </cell>
          <cell r="H506" t="str">
            <v>AUH1</v>
          </cell>
        </row>
        <row r="507">
          <cell r="C507">
            <v>204869089</v>
          </cell>
          <cell r="D507" t="str">
            <v>nyikadzp</v>
          </cell>
          <cell r="E507" t="str">
            <v>Nyikadzino,Patson</v>
          </cell>
          <cell r="F507" t="str">
            <v>Temporary</v>
          </cell>
          <cell r="G507" t="str">
            <v>UAE</v>
          </cell>
          <cell r="H507" t="str">
            <v>AUH1</v>
          </cell>
        </row>
        <row r="508">
          <cell r="C508">
            <v>206873793</v>
          </cell>
          <cell r="D508" t="str">
            <v>freokelc</v>
          </cell>
          <cell r="E508" t="str">
            <v>OKELLO FRED</v>
          </cell>
          <cell r="F508" t="str">
            <v>Temporary</v>
          </cell>
          <cell r="G508" t="str">
            <v>UAE</v>
          </cell>
          <cell r="H508" t="str">
            <v>AUH1</v>
          </cell>
        </row>
        <row r="509">
          <cell r="C509">
            <v>204883081</v>
          </cell>
          <cell r="D509" t="str">
            <v>alberokr</v>
          </cell>
          <cell r="E509" t="str">
            <v>Okrah,Alberta Yuwaah</v>
          </cell>
          <cell r="F509" t="str">
            <v>Temporary</v>
          </cell>
          <cell r="G509" t="str">
            <v>UAE</v>
          </cell>
          <cell r="H509" t="str">
            <v>AUH1</v>
          </cell>
        </row>
        <row r="510">
          <cell r="C510">
            <v>102718052</v>
          </cell>
          <cell r="D510" t="str">
            <v>PRASADOP</v>
          </cell>
          <cell r="E510" t="str">
            <v>Omprakash Prasad</v>
          </cell>
          <cell r="F510" t="str">
            <v>Regular</v>
          </cell>
          <cell r="G510" t="str">
            <v>UAE</v>
          </cell>
          <cell r="H510" t="str">
            <v>AUH1</v>
          </cell>
        </row>
        <row r="511">
          <cell r="C511">
            <v>204882798</v>
          </cell>
          <cell r="D511" t="str">
            <v>tchaosei</v>
          </cell>
          <cell r="E511" t="str">
            <v>OSEI,CHARLES</v>
          </cell>
          <cell r="F511" t="str">
            <v>Temporary</v>
          </cell>
          <cell r="G511" t="str">
            <v>UAE</v>
          </cell>
          <cell r="H511" t="str">
            <v>AUH1</v>
          </cell>
        </row>
        <row r="512">
          <cell r="C512">
            <v>204883239</v>
          </cell>
          <cell r="D512" t="str">
            <v>oserichm</v>
          </cell>
          <cell r="E512" t="str">
            <v>Osei,Richmond</v>
          </cell>
          <cell r="F512" t="str">
            <v>Temporary</v>
          </cell>
          <cell r="G512" t="str">
            <v>UAE</v>
          </cell>
          <cell r="H512" t="str">
            <v>AUH1</v>
          </cell>
        </row>
        <row r="513">
          <cell r="C513">
            <v>203965493</v>
          </cell>
          <cell r="D513" t="str">
            <v>bibrahio</v>
          </cell>
          <cell r="E513" t="str">
            <v>Osman Ibrahim</v>
          </cell>
          <cell r="F513" t="str">
            <v>Temporary</v>
          </cell>
          <cell r="G513" t="str">
            <v>UAE</v>
          </cell>
          <cell r="H513" t="str">
            <v>AUH1</v>
          </cell>
        </row>
        <row r="514">
          <cell r="C514">
            <v>204882810</v>
          </cell>
          <cell r="D514" t="str">
            <v>owusukda</v>
          </cell>
          <cell r="E514" t="str">
            <v>OWUSU,DAVID</v>
          </cell>
          <cell r="F514" t="str">
            <v>Temporary</v>
          </cell>
          <cell r="G514" t="str">
            <v>UAE</v>
          </cell>
          <cell r="H514" t="str">
            <v>AUH1</v>
          </cell>
        </row>
        <row r="515">
          <cell r="C515">
            <v>206873650</v>
          </cell>
          <cell r="D515" t="str">
            <v>paswellx</v>
          </cell>
          <cell r="E515" t="str">
            <v>PASWELL GYAMFI</v>
          </cell>
          <cell r="F515" t="str">
            <v>Temporary</v>
          </cell>
          <cell r="G515" t="str">
            <v>UAE</v>
          </cell>
          <cell r="H515" t="str">
            <v>AUH1</v>
          </cell>
        </row>
        <row r="516">
          <cell r="C516">
            <v>203800486</v>
          </cell>
          <cell r="D516" t="str">
            <v>petekamu</v>
          </cell>
          <cell r="E516" t="str">
            <v>PETER KAMULEGEYA</v>
          </cell>
          <cell r="F516" t="str">
            <v>Temporary</v>
          </cell>
          <cell r="G516" t="str">
            <v>UAE</v>
          </cell>
          <cell r="H516" t="str">
            <v>AUH3</v>
          </cell>
        </row>
        <row r="517">
          <cell r="C517">
            <v>205977126</v>
          </cell>
          <cell r="D517" t="str">
            <v>ssettinp</v>
          </cell>
          <cell r="E517" t="str">
            <v>PETER SSETTINBA</v>
          </cell>
          <cell r="F517" t="str">
            <v>Temporary</v>
          </cell>
          <cell r="G517" t="str">
            <v>UAE</v>
          </cell>
          <cell r="H517" t="str">
            <v>AUH1</v>
          </cell>
        </row>
        <row r="518">
          <cell r="C518">
            <v>203816295</v>
          </cell>
          <cell r="D518" t="str">
            <v>posiblji</v>
          </cell>
          <cell r="E518" t="str">
            <v>POSIBLE JINGO</v>
          </cell>
          <cell r="F518" t="str">
            <v>Temporary</v>
          </cell>
          <cell r="G518" t="str">
            <v>UAE</v>
          </cell>
          <cell r="H518" t="str">
            <v>AUH1</v>
          </cell>
        </row>
        <row r="519">
          <cell r="C519">
            <v>205608627</v>
          </cell>
          <cell r="D519" t="str">
            <v>aglagopr</v>
          </cell>
          <cell r="E519" t="str">
            <v>PRINCE AGLAGOVI</v>
          </cell>
          <cell r="F519" t="str">
            <v>Temporary</v>
          </cell>
          <cell r="G519" t="str">
            <v>UAE</v>
          </cell>
          <cell r="H519" t="str">
            <v>AUH1</v>
          </cell>
        </row>
        <row r="520">
          <cell r="C520">
            <v>203813082</v>
          </cell>
          <cell r="D520" t="str">
            <v>gprincsi</v>
          </cell>
          <cell r="E520" t="str">
            <v>PRINCEPAL SINGH</v>
          </cell>
          <cell r="F520" t="str">
            <v>Temporary</v>
          </cell>
          <cell r="G520" t="str">
            <v>UAE</v>
          </cell>
          <cell r="H520" t="str">
            <v>AUH1</v>
          </cell>
        </row>
        <row r="521">
          <cell r="C521">
            <v>206873561</v>
          </cell>
          <cell r="D521" t="str">
            <v>melvprin</v>
          </cell>
          <cell r="E521" t="str">
            <v>PRINCESS MELVINA YALLEY</v>
          </cell>
          <cell r="F521" t="str">
            <v>Temporary</v>
          </cell>
          <cell r="G521" t="str">
            <v>UAE</v>
          </cell>
          <cell r="H521" t="str">
            <v>AUH1</v>
          </cell>
        </row>
        <row r="522">
          <cell r="C522">
            <v>204246169</v>
          </cell>
          <cell r="D522" t="str">
            <v>eprisbmo</v>
          </cell>
          <cell r="E522" t="str">
            <v>Prisbetty Moyo</v>
          </cell>
          <cell r="F522" t="str">
            <v>Temporary</v>
          </cell>
          <cell r="G522" t="str">
            <v>UAE</v>
          </cell>
          <cell r="H522" t="str">
            <v>AUH1</v>
          </cell>
        </row>
        <row r="523">
          <cell r="C523">
            <v>204967046</v>
          </cell>
          <cell r="D523" t="str">
            <v>anniipro</v>
          </cell>
          <cell r="E523" t="str">
            <v>PROSPER ANNI</v>
          </cell>
          <cell r="F523" t="str">
            <v>Temporary</v>
          </cell>
          <cell r="G523" t="str">
            <v>UAE</v>
          </cell>
          <cell r="H523" t="str">
            <v>AUH1</v>
          </cell>
        </row>
        <row r="524">
          <cell r="C524">
            <v>204246605</v>
          </cell>
          <cell r="D524" t="str">
            <v>gamprosp</v>
          </cell>
          <cell r="E524" t="str">
            <v>Prosper Gamah</v>
          </cell>
          <cell r="F524" t="str">
            <v>Temporary</v>
          </cell>
          <cell r="G524" t="str">
            <v>UAE</v>
          </cell>
          <cell r="H524" t="str">
            <v>AUH1</v>
          </cell>
        </row>
        <row r="525">
          <cell r="C525">
            <v>203965523</v>
          </cell>
          <cell r="D525" t="str">
            <v>proskwak</v>
          </cell>
          <cell r="E525" t="str">
            <v>Prosper Kwaku Boateng</v>
          </cell>
          <cell r="F525" t="str">
            <v>Temporary</v>
          </cell>
          <cell r="G525" t="str">
            <v>UAE</v>
          </cell>
          <cell r="H525" t="str">
            <v>AUH1</v>
          </cell>
        </row>
        <row r="526">
          <cell r="C526">
            <v>206513281</v>
          </cell>
          <cell r="D526" t="str">
            <v>adebugar</v>
          </cell>
          <cell r="E526" t="str">
            <v>Rahumata Adebuga</v>
          </cell>
          <cell r="F526" t="str">
            <v>Temporary</v>
          </cell>
          <cell r="G526" t="str">
            <v>UAE</v>
          </cell>
          <cell r="H526" t="str">
            <v>AUH1</v>
          </cell>
        </row>
        <row r="527">
          <cell r="C527">
            <v>203796750</v>
          </cell>
          <cell r="D527" t="str">
            <v>ramsemap</v>
          </cell>
          <cell r="E527" t="str">
            <v>RAMDHAN SEMAJONGI</v>
          </cell>
          <cell r="F527" t="str">
            <v>Temporary</v>
          </cell>
          <cell r="G527" t="str">
            <v>UAE</v>
          </cell>
          <cell r="H527" t="str">
            <v>AUH1</v>
          </cell>
        </row>
        <row r="528">
          <cell r="C528">
            <v>206073367</v>
          </cell>
          <cell r="D528" t="str">
            <v>kinenray</v>
          </cell>
          <cell r="E528" t="str">
            <v>Raymond Kinene</v>
          </cell>
          <cell r="F528" t="str">
            <v>Temporary</v>
          </cell>
          <cell r="G528" t="str">
            <v>UAE</v>
          </cell>
          <cell r="H528" t="str">
            <v>AUH1</v>
          </cell>
        </row>
        <row r="529">
          <cell r="C529">
            <v>203816757</v>
          </cell>
          <cell r="D529" t="str">
            <v>ssereaga</v>
          </cell>
          <cell r="E529" t="str">
            <v>REAGAN MAGUNGA SSEMBAJJWE</v>
          </cell>
          <cell r="F529" t="str">
            <v>Temporary</v>
          </cell>
          <cell r="G529" t="str">
            <v>UAE</v>
          </cell>
          <cell r="H529" t="str">
            <v>AUH1</v>
          </cell>
        </row>
        <row r="530">
          <cell r="C530">
            <v>205496019</v>
          </cell>
          <cell r="D530" t="str">
            <v>rejinaae</v>
          </cell>
          <cell r="E530" t="str">
            <v>Regina Aba Annan</v>
          </cell>
          <cell r="F530" t="str">
            <v>Temporary</v>
          </cell>
          <cell r="G530" t="str">
            <v>UAE</v>
          </cell>
          <cell r="H530" t="str">
            <v>AUH1</v>
          </cell>
        </row>
        <row r="531">
          <cell r="C531">
            <v>206513285</v>
          </cell>
          <cell r="D531" t="str">
            <v>keizokre</v>
          </cell>
          <cell r="E531" t="str">
            <v>Reuben Keizo Kisembo</v>
          </cell>
          <cell r="F531" t="str">
            <v>Temporary</v>
          </cell>
          <cell r="G531" t="str">
            <v>UAE</v>
          </cell>
          <cell r="H531" t="str">
            <v>AUH1</v>
          </cell>
        </row>
        <row r="532">
          <cell r="C532">
            <v>206004608</v>
          </cell>
          <cell r="D532" t="str">
            <v>drichani</v>
          </cell>
          <cell r="E532" t="str">
            <v>RICHARD ANIM</v>
          </cell>
          <cell r="F532" t="str">
            <v>Temporary</v>
          </cell>
          <cell r="G532" t="str">
            <v>UAE</v>
          </cell>
          <cell r="H532" t="str">
            <v>AUH1</v>
          </cell>
        </row>
        <row r="533">
          <cell r="C533">
            <v>206873879</v>
          </cell>
          <cell r="D533" t="str">
            <v>turyaric</v>
          </cell>
          <cell r="E533" t="str">
            <v>RICHARD TURYASINGURA</v>
          </cell>
          <cell r="F533" t="str">
            <v>Temporary</v>
          </cell>
          <cell r="G533" t="str">
            <v>UAE</v>
          </cell>
          <cell r="H533" t="str">
            <v>AUH1</v>
          </cell>
        </row>
        <row r="534">
          <cell r="C534">
            <v>203736258</v>
          </cell>
          <cell r="D534" t="str">
            <v>robembug</v>
          </cell>
          <cell r="E534" t="str">
            <v>ROBERT MBUGHEKI</v>
          </cell>
          <cell r="F534" t="str">
            <v>Temporary</v>
          </cell>
          <cell r="G534" t="str">
            <v>UAE</v>
          </cell>
          <cell r="H534" t="str">
            <v>AUH1</v>
          </cell>
        </row>
        <row r="535">
          <cell r="C535">
            <v>203468402</v>
          </cell>
          <cell r="D535" t="str">
            <v>mbvirapf</v>
          </cell>
          <cell r="E535" t="str">
            <v>Rogers Francis Mbvira Pfouma</v>
          </cell>
          <cell r="F535" t="str">
            <v>Temporary</v>
          </cell>
          <cell r="G535" t="str">
            <v>UAE</v>
          </cell>
          <cell r="H535" t="str">
            <v>AUH1</v>
          </cell>
        </row>
        <row r="536">
          <cell r="C536">
            <v>204013737</v>
          </cell>
          <cell r="D536" t="str">
            <v>roabatab</v>
          </cell>
          <cell r="E536" t="str">
            <v>Roland Aba Taboh</v>
          </cell>
          <cell r="F536" t="str">
            <v>Temporary</v>
          </cell>
          <cell r="G536" t="str">
            <v>UAE</v>
          </cell>
          <cell r="H536" t="str">
            <v>AUH1</v>
          </cell>
        </row>
        <row r="537">
          <cell r="C537">
            <v>202444409</v>
          </cell>
          <cell r="D537" t="str">
            <v>romemetu</v>
          </cell>
          <cell r="E537" t="str">
            <v>Romeo Mesape Metuge</v>
          </cell>
          <cell r="F537" t="str">
            <v>Temporary</v>
          </cell>
          <cell r="G537" t="str">
            <v>UAE</v>
          </cell>
          <cell r="H537" t="str">
            <v>AUH3</v>
          </cell>
        </row>
        <row r="538">
          <cell r="C538">
            <v>204246606</v>
          </cell>
          <cell r="D538" t="str">
            <v>rosethea</v>
          </cell>
          <cell r="E538" t="str">
            <v>Rose Thea</v>
          </cell>
          <cell r="F538" t="str">
            <v>Temporary</v>
          </cell>
          <cell r="G538" t="str">
            <v>UAE</v>
          </cell>
          <cell r="H538" t="str">
            <v>AUH1</v>
          </cell>
        </row>
        <row r="539">
          <cell r="C539">
            <v>203521426</v>
          </cell>
          <cell r="D539" t="str">
            <v>sadatayu</v>
          </cell>
          <cell r="E539" t="str">
            <v>Sadat Ayuba</v>
          </cell>
          <cell r="F539" t="str">
            <v>Temporary</v>
          </cell>
          <cell r="G539" t="str">
            <v>UAE</v>
          </cell>
          <cell r="H539" t="str">
            <v>AUH1</v>
          </cell>
        </row>
        <row r="540">
          <cell r="C540">
            <v>203736781</v>
          </cell>
          <cell r="D540" t="str">
            <v>zsagramd</v>
          </cell>
          <cell r="E540" t="str">
            <v>Sagar Ramdan</v>
          </cell>
          <cell r="F540" t="str">
            <v>Temporary</v>
          </cell>
          <cell r="G540" t="str">
            <v>UAE</v>
          </cell>
          <cell r="H540" t="str">
            <v>AUH1</v>
          </cell>
        </row>
        <row r="541">
          <cell r="C541">
            <v>203965521</v>
          </cell>
          <cell r="D541" t="str">
            <v>sunashir</v>
          </cell>
          <cell r="E541" t="str">
            <v>Samsudeen Nashiru</v>
          </cell>
          <cell r="F541" t="str">
            <v>Temporary</v>
          </cell>
          <cell r="G541" t="str">
            <v>UAE</v>
          </cell>
          <cell r="H541" t="str">
            <v>AUH3</v>
          </cell>
        </row>
        <row r="542">
          <cell r="C542">
            <v>204864420</v>
          </cell>
          <cell r="D542" t="str">
            <v>jsamuean</v>
          </cell>
          <cell r="E542" t="str">
            <v>SAMUEL ANNOR BOAITEY</v>
          </cell>
          <cell r="F542" t="str">
            <v>Temporary</v>
          </cell>
          <cell r="G542" t="str">
            <v>UAE</v>
          </cell>
          <cell r="H542" t="str">
            <v>AUH1</v>
          </cell>
        </row>
        <row r="543">
          <cell r="C543">
            <v>206873658</v>
          </cell>
          <cell r="D543" t="str">
            <v>samukasz</v>
          </cell>
          <cell r="E543" t="str">
            <v>SAMUEL KASSAH</v>
          </cell>
          <cell r="F543" t="str">
            <v>Temporary</v>
          </cell>
          <cell r="G543" t="str">
            <v>UAE</v>
          </cell>
          <cell r="H543" t="str">
            <v>AUH1</v>
          </cell>
        </row>
        <row r="544">
          <cell r="C544">
            <v>203736780</v>
          </cell>
          <cell r="D544" t="str">
            <v>msanmyin</v>
          </cell>
          <cell r="E544" t="str">
            <v>San Myint</v>
          </cell>
          <cell r="F544" t="str">
            <v>Temporary</v>
          </cell>
          <cell r="G544" t="str">
            <v>UAE</v>
          </cell>
          <cell r="H544" t="str">
            <v>AUH1</v>
          </cell>
        </row>
        <row r="545">
          <cell r="C545">
            <v>206873654</v>
          </cell>
          <cell r="D545" t="str">
            <v>ahiakosa</v>
          </cell>
          <cell r="E545" t="str">
            <v>SANDRA AHIAKOR</v>
          </cell>
          <cell r="F545" t="str">
            <v>Temporary</v>
          </cell>
          <cell r="G545" t="str">
            <v>UAE</v>
          </cell>
          <cell r="H545" t="str">
            <v>AUH1</v>
          </cell>
        </row>
        <row r="546">
          <cell r="C546">
            <v>206016554</v>
          </cell>
          <cell r="D546" t="str">
            <v>fynsarah</v>
          </cell>
          <cell r="E546" t="str">
            <v>Sarah Fynn Arthur</v>
          </cell>
          <cell r="F546" t="str">
            <v>Temporary</v>
          </cell>
          <cell r="G546" t="str">
            <v>UAE</v>
          </cell>
          <cell r="H546" t="str">
            <v>AUH1</v>
          </cell>
        </row>
        <row r="547">
          <cell r="C547">
            <v>203709743</v>
          </cell>
          <cell r="D547" t="str">
            <v>nardsa</v>
          </cell>
          <cell r="E547" t="str">
            <v xml:space="preserve">Saw lwe Nar </v>
          </cell>
          <cell r="F547" t="str">
            <v>Temporary</v>
          </cell>
          <cell r="G547" t="str">
            <v>UAE</v>
          </cell>
          <cell r="H547" t="str">
            <v>AUH1</v>
          </cell>
        </row>
        <row r="548">
          <cell r="C548">
            <v>206008709</v>
          </cell>
          <cell r="D548" t="str">
            <v>ayukakos</v>
          </cell>
          <cell r="E548" t="str">
            <v>SCHOLASTIKA AYUK AKO</v>
          </cell>
          <cell r="F548" t="str">
            <v>Temporary</v>
          </cell>
          <cell r="G548" t="str">
            <v>UAE</v>
          </cell>
          <cell r="H548" t="str">
            <v>AUH1</v>
          </cell>
        </row>
        <row r="549">
          <cell r="C549">
            <v>206015636</v>
          </cell>
          <cell r="D549" t="str">
            <v>kkengtis</v>
          </cell>
          <cell r="E549" t="str">
            <v>SCOLITITH KENG TIBA</v>
          </cell>
          <cell r="F549" t="str">
            <v>Temporary</v>
          </cell>
          <cell r="G549" t="str">
            <v>UAE</v>
          </cell>
          <cell r="H549" t="str">
            <v>AUH1</v>
          </cell>
        </row>
        <row r="550">
          <cell r="C550">
            <v>204869087</v>
          </cell>
          <cell r="D550" t="str">
            <v>seugrace</v>
          </cell>
          <cell r="E550" t="str">
            <v>Serwaa,Grace</v>
          </cell>
          <cell r="F550" t="str">
            <v>Temporary</v>
          </cell>
          <cell r="G550" t="str">
            <v>UAE</v>
          </cell>
          <cell r="H550" t="str">
            <v>AUH1</v>
          </cell>
        </row>
        <row r="551">
          <cell r="C551">
            <v>204967051</v>
          </cell>
          <cell r="D551" t="str">
            <v>selaryea</v>
          </cell>
          <cell r="E551" t="str">
            <v>SETH LARYEA</v>
          </cell>
          <cell r="F551" t="str">
            <v>Temporary</v>
          </cell>
          <cell r="G551" t="str">
            <v>UAE</v>
          </cell>
          <cell r="H551" t="str">
            <v>AUH1</v>
          </cell>
        </row>
        <row r="552">
          <cell r="C552">
            <v>203737252</v>
          </cell>
          <cell r="D552" t="str">
            <v>shafinda</v>
          </cell>
          <cell r="E552" t="str">
            <v>SHAFIK KYAZE NDAWULA</v>
          </cell>
          <cell r="F552" t="str">
            <v>Temporary</v>
          </cell>
          <cell r="G552" t="str">
            <v>UAE</v>
          </cell>
          <cell r="H552" t="str">
            <v>AUH1</v>
          </cell>
        </row>
        <row r="553">
          <cell r="C553">
            <v>203737015</v>
          </cell>
          <cell r="D553" t="str">
            <v>uakatuks</v>
          </cell>
          <cell r="E553" t="str">
            <v>Sheila Precious Akatukunda</v>
          </cell>
          <cell r="F553" t="str">
            <v>Temporary</v>
          </cell>
          <cell r="G553" t="str">
            <v>UAE</v>
          </cell>
          <cell r="H553" t="str">
            <v>AUH1</v>
          </cell>
        </row>
        <row r="554">
          <cell r="C554">
            <v>204883095</v>
          </cell>
          <cell r="D554" t="str">
            <v>sillahei</v>
          </cell>
          <cell r="E554" t="str">
            <v>SILLAH,IDRISSA</v>
          </cell>
          <cell r="F554" t="str">
            <v>Temporary</v>
          </cell>
          <cell r="G554" t="str">
            <v>UAE</v>
          </cell>
          <cell r="H554" t="str">
            <v>AUH1</v>
          </cell>
        </row>
        <row r="555">
          <cell r="C555">
            <v>204967558</v>
          </cell>
          <cell r="D555" t="str">
            <v>kwlsimon</v>
          </cell>
          <cell r="E555" t="str">
            <v>SIMON KWAO</v>
          </cell>
          <cell r="F555" t="str">
            <v>Temporary</v>
          </cell>
          <cell r="G555" t="str">
            <v>UAE</v>
          </cell>
          <cell r="H555" t="str">
            <v>AUH1</v>
          </cell>
        </row>
        <row r="556">
          <cell r="C556">
            <v>112648320</v>
          </cell>
          <cell r="D556" t="str">
            <v>kyeisolo</v>
          </cell>
          <cell r="E556" t="str">
            <v>Solomon Kyei</v>
          </cell>
          <cell r="F556" t="str">
            <v>Regular</v>
          </cell>
          <cell r="G556" t="str">
            <v>UAE</v>
          </cell>
          <cell r="H556" t="str">
            <v>AUH1</v>
          </cell>
        </row>
        <row r="557">
          <cell r="C557">
            <v>203813083</v>
          </cell>
          <cell r="D557" t="str">
            <v>janarsre</v>
          </cell>
          <cell r="E557" t="str">
            <v>SREEKUTTAN KOTTUKKALPARAMBU
 JANARDHANAN</v>
          </cell>
          <cell r="F557" t="str">
            <v>Temporary</v>
          </cell>
          <cell r="G557" t="str">
            <v>UAE</v>
          </cell>
          <cell r="H557" t="str">
            <v>AUH3</v>
          </cell>
        </row>
        <row r="558">
          <cell r="C558">
            <v>206791445</v>
          </cell>
          <cell r="D558" t="str">
            <v>huslssen</v>
          </cell>
          <cell r="E558" t="str">
            <v>SSENYONGA,HUSAMA</v>
          </cell>
          <cell r="F558" t="str">
            <v>Temporary</v>
          </cell>
          <cell r="G558" t="str">
            <v>UAE</v>
          </cell>
          <cell r="H558" t="str">
            <v>AUH1</v>
          </cell>
        </row>
        <row r="559">
          <cell r="C559">
            <v>206072878</v>
          </cell>
          <cell r="D559" t="str">
            <v>wiafstep</v>
          </cell>
          <cell r="E559" t="str">
            <v>Stephen Wiafe</v>
          </cell>
          <cell r="F559" t="str">
            <v>Temporary</v>
          </cell>
          <cell r="G559" t="str">
            <v>UAE</v>
          </cell>
          <cell r="H559" t="str">
            <v>AUH1</v>
          </cell>
        </row>
        <row r="560">
          <cell r="C560">
            <v>206915156</v>
          </cell>
          <cell r="D560" t="str">
            <v>otchaste</v>
          </cell>
          <cell r="E560" t="str">
            <v>Steven Bills Otchan</v>
          </cell>
          <cell r="F560" t="str">
            <v>Temporary</v>
          </cell>
          <cell r="G560" t="str">
            <v>UAE</v>
          </cell>
          <cell r="H560" t="str">
            <v>AUH1</v>
          </cell>
        </row>
        <row r="561">
          <cell r="C561">
            <v>203816396</v>
          </cell>
          <cell r="D561" t="str">
            <v>muhwebst</v>
          </cell>
          <cell r="E561" t="str">
            <v>STEVEN MUHWEZI</v>
          </cell>
          <cell r="F561" t="str">
            <v>Temporary</v>
          </cell>
          <cell r="G561" t="str">
            <v>UAE</v>
          </cell>
          <cell r="H561" t="str">
            <v>AUH1</v>
          </cell>
        </row>
        <row r="562">
          <cell r="C562">
            <v>206873878</v>
          </cell>
          <cell r="D562" t="str">
            <v>lubsulah</v>
          </cell>
          <cell r="E562" t="str">
            <v>SULAH LUBWAMA</v>
          </cell>
          <cell r="F562" t="str">
            <v>Temporary</v>
          </cell>
          <cell r="G562" t="str">
            <v>UAE</v>
          </cell>
          <cell r="H562" t="str">
            <v>AUH1</v>
          </cell>
        </row>
        <row r="563">
          <cell r="C563">
            <v>203800482</v>
          </cell>
          <cell r="D563" t="str">
            <v>kabalisu</v>
          </cell>
          <cell r="E563" t="str">
            <v>SULAIT KABALI</v>
          </cell>
          <cell r="F563" t="str">
            <v>Temporary</v>
          </cell>
          <cell r="G563" t="str">
            <v>UAE</v>
          </cell>
          <cell r="H563" t="str">
            <v>AUH1</v>
          </cell>
        </row>
        <row r="564">
          <cell r="C564">
            <v>206953817</v>
          </cell>
          <cell r="D564" t="str">
            <v>sagsumaq</v>
          </cell>
          <cell r="E564" t="str">
            <v>SUMAN SAG</v>
          </cell>
          <cell r="F564" t="str">
            <v>Temporary</v>
          </cell>
          <cell r="G564" t="str">
            <v>UAE</v>
          </cell>
          <cell r="H564" t="str">
            <v>AUH1</v>
          </cell>
        </row>
        <row r="565">
          <cell r="C565">
            <v>106262694</v>
          </cell>
          <cell r="D565" t="str">
            <v>gautasu</v>
          </cell>
          <cell r="E565" t="str">
            <v>Suresh Gautam</v>
          </cell>
          <cell r="F565" t="str">
            <v>Regular</v>
          </cell>
          <cell r="G565" t="str">
            <v>UAE</v>
          </cell>
          <cell r="H565" t="str">
            <v>AUH1</v>
          </cell>
        </row>
        <row r="566">
          <cell r="C566">
            <v>205506109</v>
          </cell>
          <cell r="D566" t="str">
            <v>osnganga</v>
          </cell>
          <cell r="E566" t="str">
            <v>SUSAN WANJIKU NG'ANG'A</v>
          </cell>
          <cell r="F566" t="str">
            <v>Temporary</v>
          </cell>
          <cell r="G566" t="str">
            <v>UAE</v>
          </cell>
          <cell r="H566" t="str">
            <v>AUH1</v>
          </cell>
        </row>
        <row r="567">
          <cell r="C567">
            <v>204967149</v>
          </cell>
          <cell r="D567" t="str">
            <v>kisssylv</v>
          </cell>
          <cell r="E567" t="str">
            <v>SYLVESTER KISSEIH</v>
          </cell>
          <cell r="F567" t="str">
            <v>Temporary</v>
          </cell>
          <cell r="G567" t="str">
            <v>UAE</v>
          </cell>
          <cell r="H567" t="str">
            <v>AUH1</v>
          </cell>
        </row>
        <row r="568">
          <cell r="C568">
            <v>205496022</v>
          </cell>
          <cell r="D568" t="str">
            <v>meswsylv</v>
          </cell>
          <cell r="E568" t="str">
            <v>Sylvia Jelagat Meswo</v>
          </cell>
          <cell r="F568" t="str">
            <v>Temporary</v>
          </cell>
          <cell r="G568" t="str">
            <v>UAE</v>
          </cell>
          <cell r="H568" t="str">
            <v>AUH1</v>
          </cell>
        </row>
        <row r="569">
          <cell r="C569">
            <v>206504596</v>
          </cell>
          <cell r="D569" t="str">
            <v>tadekizi</v>
          </cell>
          <cell r="E569" t="str">
            <v>Tadeo Kizito</v>
          </cell>
          <cell r="F569" t="str">
            <v>Temporary</v>
          </cell>
          <cell r="G569" t="str">
            <v>UAE</v>
          </cell>
          <cell r="H569" t="str">
            <v>AUH1</v>
          </cell>
        </row>
        <row r="570">
          <cell r="C570">
            <v>204246613</v>
          </cell>
          <cell r="D570" t="str">
            <v>talenzim</v>
          </cell>
          <cell r="E570" t="str">
            <v>Talent Zimbuma</v>
          </cell>
          <cell r="F570" t="str">
            <v>Temporary</v>
          </cell>
          <cell r="G570" t="str">
            <v>UAE</v>
          </cell>
          <cell r="H570" t="str">
            <v>AUH1</v>
          </cell>
        </row>
        <row r="571">
          <cell r="C571">
            <v>206015633</v>
          </cell>
          <cell r="D571" t="str">
            <v>ciliatan</v>
          </cell>
          <cell r="E571" t="str">
            <v>TANDU CILIA NAMA</v>
          </cell>
          <cell r="F571" t="str">
            <v>Temporary</v>
          </cell>
          <cell r="G571" t="str">
            <v>UAE</v>
          </cell>
          <cell r="H571" t="str">
            <v>AUH1</v>
          </cell>
        </row>
        <row r="572">
          <cell r="C572">
            <v>206875751</v>
          </cell>
          <cell r="D572" t="str">
            <v>jurutapi</v>
          </cell>
          <cell r="E572" t="str">
            <v>TAPIWA JURU</v>
          </cell>
          <cell r="F572" t="str">
            <v>Temporary</v>
          </cell>
          <cell r="G572" t="str">
            <v>UAE</v>
          </cell>
          <cell r="H572" t="str">
            <v>AUH1</v>
          </cell>
        </row>
        <row r="573">
          <cell r="C573">
            <v>204246612</v>
          </cell>
          <cell r="D573" t="str">
            <v>tamanyet</v>
          </cell>
          <cell r="E573" t="str">
            <v>Tariro Manyetu</v>
          </cell>
          <cell r="F573" t="str">
            <v>Temporary</v>
          </cell>
          <cell r="G573" t="str">
            <v>UAE</v>
          </cell>
          <cell r="H573" t="str">
            <v>AUH1</v>
          </cell>
        </row>
        <row r="574">
          <cell r="C574">
            <v>206933423</v>
          </cell>
          <cell r="D574" t="str">
            <v>utraicym</v>
          </cell>
          <cell r="E574" t="str">
            <v>Traicy Chebet Maina</v>
          </cell>
          <cell r="F574" t="str">
            <v>Temporary</v>
          </cell>
          <cell r="G574" t="str">
            <v>UAE</v>
          </cell>
          <cell r="H574" t="str">
            <v>AUH1</v>
          </cell>
        </row>
        <row r="575">
          <cell r="C575">
            <v>206513292</v>
          </cell>
          <cell r="D575" t="str">
            <v>tumufran</v>
          </cell>
          <cell r="E575" t="str">
            <v>Tumusiime Frank</v>
          </cell>
          <cell r="F575" t="str">
            <v>Temporary</v>
          </cell>
          <cell r="G575" t="str">
            <v>UAE</v>
          </cell>
          <cell r="H575" t="str">
            <v>AUH1</v>
          </cell>
        </row>
        <row r="576">
          <cell r="C576">
            <v>206791438</v>
          </cell>
          <cell r="D576" t="str">
            <v>twinamas</v>
          </cell>
          <cell r="E576" t="str">
            <v>TWINAMASIKO,COLLINS</v>
          </cell>
          <cell r="F576" t="str">
            <v>Temporary</v>
          </cell>
          <cell r="G576" t="str">
            <v>UAE</v>
          </cell>
          <cell r="H576" t="str">
            <v>AUH1</v>
          </cell>
        </row>
        <row r="577">
          <cell r="C577">
            <v>203736259</v>
          </cell>
          <cell r="D577" t="str">
            <v>tysnabas</v>
          </cell>
          <cell r="E577" t="str">
            <v>TYSON NABASA</v>
          </cell>
          <cell r="F577" t="str">
            <v>Temporary</v>
          </cell>
          <cell r="G577" t="str">
            <v>UAE</v>
          </cell>
          <cell r="H577" t="str">
            <v>AUH1</v>
          </cell>
        </row>
        <row r="578">
          <cell r="C578">
            <v>206873645</v>
          </cell>
          <cell r="D578" t="str">
            <v>umarmabi</v>
          </cell>
          <cell r="E578" t="str">
            <v>UMARUH MABIRIZI</v>
          </cell>
          <cell r="F578" t="str">
            <v>Temporary</v>
          </cell>
          <cell r="G578" t="str">
            <v>UAE</v>
          </cell>
          <cell r="H578" t="str">
            <v>AUH1</v>
          </cell>
        </row>
        <row r="579">
          <cell r="C579">
            <v>203813134</v>
          </cell>
          <cell r="D579" t="str">
            <v>unainalu</v>
          </cell>
          <cell r="E579" t="str">
            <v>UNAIS NALUPURAPPATTIL</v>
          </cell>
          <cell r="F579" t="str">
            <v>Temporary</v>
          </cell>
          <cell r="G579" t="str">
            <v>UAE</v>
          </cell>
          <cell r="H579" t="str">
            <v>AUH1</v>
          </cell>
        </row>
        <row r="580">
          <cell r="C580">
            <v>112911448</v>
          </cell>
          <cell r="D580" t="str">
            <v>khaliuus</v>
          </cell>
          <cell r="E580" t="str">
            <v>Usman Khalid</v>
          </cell>
          <cell r="F580" t="str">
            <v>Regular</v>
          </cell>
          <cell r="G580" t="str">
            <v>UAE</v>
          </cell>
          <cell r="H580" t="str">
            <v>AUH1</v>
          </cell>
        </row>
        <row r="581">
          <cell r="C581">
            <v>104147044</v>
          </cell>
          <cell r="D581" t="str">
            <v>madhavau</v>
          </cell>
          <cell r="E581" t="str">
            <v>Valiyaparambil Madhavan,Unnikrishnan</v>
          </cell>
          <cell r="F581" t="str">
            <v>Regular</v>
          </cell>
          <cell r="G581" t="str">
            <v>UAE</v>
          </cell>
          <cell r="H581" t="str">
            <v>AUH1</v>
          </cell>
        </row>
        <row r="582">
          <cell r="C582">
            <v>203687852</v>
          </cell>
          <cell r="D582" t="str">
            <v>ivashimk</v>
          </cell>
          <cell r="E582" t="str">
            <v>Vashim Khan</v>
          </cell>
          <cell r="F582" t="str">
            <v>Temporary</v>
          </cell>
          <cell r="G582" t="str">
            <v>UAE</v>
          </cell>
          <cell r="H582" t="str">
            <v>AUH1</v>
          </cell>
        </row>
        <row r="583">
          <cell r="C583">
            <v>206934652</v>
          </cell>
          <cell r="D583" t="str">
            <v>venemoku</v>
          </cell>
          <cell r="E583" t="str">
            <v>Venick Kemuma Mokua</v>
          </cell>
          <cell r="F583" t="str">
            <v>Temporary</v>
          </cell>
          <cell r="G583" t="str">
            <v>UAE</v>
          </cell>
          <cell r="H583" t="str">
            <v>AUH1</v>
          </cell>
        </row>
        <row r="584">
          <cell r="C584">
            <v>202435289</v>
          </cell>
          <cell r="D584" t="str">
            <v>vingohma</v>
          </cell>
          <cell r="E584" t="str">
            <v>Violet Ngoh Mayah</v>
          </cell>
          <cell r="F584" t="str">
            <v>Temporary</v>
          </cell>
          <cell r="G584" t="str">
            <v>UAE</v>
          </cell>
          <cell r="H584" t="str">
            <v>AUH1</v>
          </cell>
        </row>
        <row r="585">
          <cell r="C585">
            <v>203813135</v>
          </cell>
          <cell r="D585" t="str">
            <v>vislrave</v>
          </cell>
          <cell r="E585" t="str">
            <v>VISHNU KIZHAKKERIKAL RAVEENDRAN</v>
          </cell>
          <cell r="F585" t="str">
            <v>Temporary</v>
          </cell>
          <cell r="G585" t="str">
            <v>UAE</v>
          </cell>
          <cell r="H585" t="str">
            <v>AUH1</v>
          </cell>
        </row>
        <row r="586">
          <cell r="C586">
            <v>203965526</v>
          </cell>
          <cell r="D586" t="str">
            <v>sibwelli</v>
          </cell>
          <cell r="E586" t="str">
            <v>Wellington Sibanda</v>
          </cell>
          <cell r="F586" t="str">
            <v>Temporary</v>
          </cell>
          <cell r="G586" t="str">
            <v>UAE</v>
          </cell>
          <cell r="H586" t="str">
            <v>AUH3</v>
          </cell>
        </row>
        <row r="587">
          <cell r="C587">
            <v>206962049</v>
          </cell>
          <cell r="D587" t="str">
            <v>kinyawen</v>
          </cell>
          <cell r="E587" t="str">
            <v>Wendy Wanja KINYAGA</v>
          </cell>
          <cell r="F587" t="str">
            <v>Temporary</v>
          </cell>
          <cell r="G587" t="str">
            <v>UAE</v>
          </cell>
          <cell r="H587" t="str">
            <v>AUH1</v>
          </cell>
        </row>
        <row r="588">
          <cell r="C588">
            <v>203741319</v>
          </cell>
          <cell r="D588" t="str">
            <v>kouwilfr</v>
          </cell>
          <cell r="E588" t="str">
            <v>WILFRIED MANGA KOUNGOU</v>
          </cell>
          <cell r="F588" t="str">
            <v>Temporary</v>
          </cell>
          <cell r="G588" t="str">
            <v>UAE</v>
          </cell>
          <cell r="H588" t="str">
            <v>AUH1</v>
          </cell>
        </row>
        <row r="589">
          <cell r="C589">
            <v>206858475</v>
          </cell>
          <cell r="D589" t="str">
            <v>kadumbul</v>
          </cell>
          <cell r="E589" t="str">
            <v>William Kadumbula</v>
          </cell>
          <cell r="F589" t="str">
            <v>Temporary</v>
          </cell>
          <cell r="G589" t="str">
            <v>UAE</v>
          </cell>
          <cell r="H589" t="str">
            <v>AUH1</v>
          </cell>
        </row>
        <row r="590">
          <cell r="C590">
            <v>203737198</v>
          </cell>
          <cell r="D590" t="str">
            <v>wrkilama</v>
          </cell>
          <cell r="E590" t="str">
            <v>WILLIAM KILAMA</v>
          </cell>
          <cell r="F590" t="str">
            <v>Temporary</v>
          </cell>
          <cell r="G590" t="str">
            <v>UAE</v>
          </cell>
          <cell r="H590" t="str">
            <v>AUH1</v>
          </cell>
        </row>
        <row r="591">
          <cell r="C591">
            <v>203800379</v>
          </cell>
          <cell r="D591" t="str">
            <v>mavuzaid</v>
          </cell>
          <cell r="E591" t="str">
            <v>ZAIDI MAVUGA</v>
          </cell>
          <cell r="F591" t="str">
            <v>Temporary</v>
          </cell>
          <cell r="G591" t="str">
            <v>UAE</v>
          </cell>
          <cell r="H591" t="str">
            <v>AUH1</v>
          </cell>
        </row>
        <row r="592">
          <cell r="C592">
            <v>203521128</v>
          </cell>
          <cell r="D592" t="str">
            <v>hissahza</v>
          </cell>
          <cell r="E592" t="str">
            <v>Zainab Issah</v>
          </cell>
          <cell r="F592" t="str">
            <v>Regular</v>
          </cell>
          <cell r="G592" t="str">
            <v>UAE</v>
          </cell>
          <cell r="H592" t="str">
            <v>AUH1</v>
          </cell>
        </row>
        <row r="593">
          <cell r="C593">
            <v>206137330</v>
          </cell>
          <cell r="D593" t="str">
            <v>abdalomc</v>
          </cell>
          <cell r="E593" t="str">
            <v>ABDALLA OMAR</v>
          </cell>
          <cell r="F593" t="str">
            <v>Temporary</v>
          </cell>
          <cell r="G593" t="str">
            <v>UAE</v>
          </cell>
          <cell r="H593" t="str">
            <v>AUH1</v>
          </cell>
        </row>
        <row r="594">
          <cell r="C594">
            <v>205256720</v>
          </cell>
          <cell r="D594" t="str">
            <v>abdallhg</v>
          </cell>
          <cell r="E594" t="str">
            <v>Abdallah Haza</v>
          </cell>
          <cell r="F594" t="str">
            <v>Temporary</v>
          </cell>
          <cell r="G594" t="str">
            <v>UAE</v>
          </cell>
          <cell r="H594" t="str">
            <v>AUH1</v>
          </cell>
        </row>
        <row r="595">
          <cell r="C595">
            <v>200061207</v>
          </cell>
          <cell r="D595" t="str">
            <v>xaboppon</v>
          </cell>
          <cell r="E595" t="str">
            <v>Abdul Aziz Oppong</v>
          </cell>
          <cell r="F595" t="str">
            <v>Temporary</v>
          </cell>
          <cell r="G595" t="str">
            <v>UAE</v>
          </cell>
          <cell r="H595" t="str">
            <v>AUH1</v>
          </cell>
        </row>
        <row r="596">
          <cell r="C596">
            <v>204117189</v>
          </cell>
          <cell r="D596" t="str">
            <v>diddabdu</v>
          </cell>
          <cell r="E596" t="str">
            <v>Abdul Hadi Iddrisu</v>
          </cell>
          <cell r="F596" t="str">
            <v>Temporary</v>
          </cell>
          <cell r="G596" t="str">
            <v>UAE</v>
          </cell>
          <cell r="H596" t="str">
            <v>AUH1</v>
          </cell>
        </row>
        <row r="597">
          <cell r="C597">
            <v>204172240</v>
          </cell>
          <cell r="D597" t="str">
            <v>abdwaak</v>
          </cell>
          <cell r="E597" t="str">
            <v>ABDUL WAAKO</v>
          </cell>
          <cell r="F597" t="str">
            <v>Temporary</v>
          </cell>
          <cell r="G597" t="str">
            <v>UAE</v>
          </cell>
          <cell r="H597" t="str">
            <v>AUH1</v>
          </cell>
        </row>
        <row r="598">
          <cell r="C598">
            <v>206129609</v>
          </cell>
          <cell r="D598" t="str">
            <v>abdababa</v>
          </cell>
          <cell r="E598" t="str">
            <v>Abdulai Babah Turay</v>
          </cell>
          <cell r="F598" t="str">
            <v>Temporary</v>
          </cell>
          <cell r="G598" t="str">
            <v>UAE</v>
          </cell>
          <cell r="H598" t="str">
            <v>AUH1</v>
          </cell>
        </row>
        <row r="599">
          <cell r="C599">
            <v>203908320</v>
          </cell>
          <cell r="D599" t="str">
            <v>abdxmulu</v>
          </cell>
          <cell r="E599" t="str">
            <v>Abdulhakim Mulumba</v>
          </cell>
          <cell r="F599" t="str">
            <v>Temporary</v>
          </cell>
          <cell r="G599" t="str">
            <v>UAE</v>
          </cell>
          <cell r="H599" t="str">
            <v>AUH1</v>
          </cell>
        </row>
        <row r="600">
          <cell r="C600">
            <v>206137331</v>
          </cell>
          <cell r="D600" t="str">
            <v>amoahabe</v>
          </cell>
          <cell r="E600" t="str">
            <v>Abednego Amoah</v>
          </cell>
          <cell r="F600" t="str">
            <v>Temporary</v>
          </cell>
          <cell r="G600" t="str">
            <v>UAE</v>
          </cell>
          <cell r="H600" t="str">
            <v>AUH1</v>
          </cell>
        </row>
        <row r="601">
          <cell r="C601">
            <v>204373723</v>
          </cell>
          <cell r="D601" t="str">
            <v>kjoseabi</v>
          </cell>
          <cell r="E601" t="str">
            <v>ABIN JOSEPH JOSE</v>
          </cell>
          <cell r="F601" t="str">
            <v>Temporary</v>
          </cell>
          <cell r="G601" t="str">
            <v>UAE</v>
          </cell>
          <cell r="H601" t="str">
            <v>AUH1</v>
          </cell>
        </row>
        <row r="602">
          <cell r="C602">
            <v>206239522</v>
          </cell>
          <cell r="D602" t="str">
            <v>aboaerne</v>
          </cell>
          <cell r="E602" t="str">
            <v>ABOAGYE ERNEST</v>
          </cell>
          <cell r="F602" t="str">
            <v>Temporary</v>
          </cell>
          <cell r="G602" t="str">
            <v>UAE</v>
          </cell>
          <cell r="H602" t="str">
            <v>AUH1</v>
          </cell>
        </row>
        <row r="603">
          <cell r="C603">
            <v>203965455</v>
          </cell>
          <cell r="D603" t="str">
            <v>abraalfo</v>
          </cell>
          <cell r="E603" t="str">
            <v>Abrahim AL Fofana</v>
          </cell>
          <cell r="F603" t="str">
            <v>Temporary</v>
          </cell>
          <cell r="G603" t="str">
            <v>UAE</v>
          </cell>
          <cell r="H603" t="str">
            <v>AUH1</v>
          </cell>
        </row>
        <row r="604">
          <cell r="C604">
            <v>203468743</v>
          </cell>
          <cell r="D604" t="str">
            <v>abfsesay</v>
          </cell>
          <cell r="E604" t="str">
            <v>Abu Sesay</v>
          </cell>
          <cell r="F604" t="str">
            <v>Temporary</v>
          </cell>
          <cell r="G604" t="str">
            <v>UAE</v>
          </cell>
          <cell r="H604" t="str">
            <v>AUH1</v>
          </cell>
        </row>
        <row r="605">
          <cell r="C605">
            <v>206897640</v>
          </cell>
          <cell r="D605" t="str">
            <v>eliasabu</v>
          </cell>
          <cell r="E605" t="str">
            <v>ABUBAKARI,ELIASU</v>
          </cell>
          <cell r="F605" t="str">
            <v>Temporary</v>
          </cell>
          <cell r="G605" t="str">
            <v>UAE</v>
          </cell>
          <cell r="H605" t="str">
            <v>AUH1</v>
          </cell>
        </row>
        <row r="606">
          <cell r="C606">
            <v>203908861</v>
          </cell>
          <cell r="D606" t="str">
            <v>sserutua</v>
          </cell>
          <cell r="E606" t="str">
            <v>Adam Sserutuka</v>
          </cell>
          <cell r="F606" t="str">
            <v>Temporary</v>
          </cell>
          <cell r="G606" t="str">
            <v>UAE</v>
          </cell>
          <cell r="H606" t="str">
            <v>AUH1</v>
          </cell>
        </row>
        <row r="607">
          <cell r="C607">
            <v>204946685</v>
          </cell>
          <cell r="D607" t="str">
            <v>yadamsad</v>
          </cell>
          <cell r="E607" t="str">
            <v>ADAMS SADICK</v>
          </cell>
          <cell r="F607" t="str">
            <v>Temporary</v>
          </cell>
          <cell r="G607" t="str">
            <v>UAE</v>
          </cell>
          <cell r="H607" t="str">
            <v>AUH1</v>
          </cell>
        </row>
        <row r="608">
          <cell r="C608">
            <v>201502749</v>
          </cell>
          <cell r="D608" t="str">
            <v>abrighta</v>
          </cell>
          <cell r="E608" t="str">
            <v>Adu,Bright Adu </v>
          </cell>
          <cell r="F608" t="str">
            <v>Temporary</v>
          </cell>
          <cell r="G608" t="str">
            <v>UAE</v>
          </cell>
          <cell r="H608" t="str">
            <v>AUH1</v>
          </cell>
        </row>
        <row r="609">
          <cell r="C609">
            <v>206503618</v>
          </cell>
          <cell r="D609" t="str">
            <v>dianahje</v>
          </cell>
          <cell r="E609" t="str">
            <v>AGUI,DIANAH JEROTICH</v>
          </cell>
          <cell r="F609" t="str">
            <v>Temporary</v>
          </cell>
          <cell r="G609" t="str">
            <v>UAE</v>
          </cell>
          <cell r="H609" t="str">
            <v>AUH1</v>
          </cell>
        </row>
        <row r="610">
          <cell r="C610">
            <v>110804937</v>
          </cell>
          <cell r="D610" t="str">
            <v>agsamue</v>
          </cell>
          <cell r="E610" t="str">
            <v>Agyemang,Samuel</v>
          </cell>
          <cell r="F610" t="str">
            <v>Regular</v>
          </cell>
          <cell r="G610" t="str">
            <v>UAE</v>
          </cell>
          <cell r="H610" t="str">
            <v>AUH1</v>
          </cell>
        </row>
        <row r="611">
          <cell r="C611">
            <v>205236906</v>
          </cell>
          <cell r="D611" t="str">
            <v>emuhamia</v>
          </cell>
          <cell r="E611" t="str">
            <v>AHMED,MUHAMIN</v>
          </cell>
          <cell r="F611" t="str">
            <v>Temporary</v>
          </cell>
          <cell r="G611" t="str">
            <v>UAE</v>
          </cell>
          <cell r="H611" t="str">
            <v>AUH1</v>
          </cell>
        </row>
        <row r="612">
          <cell r="C612">
            <v>204299070</v>
          </cell>
          <cell r="D612" t="str">
            <v>naimejes</v>
          </cell>
          <cell r="E612" t="str">
            <v>Aime Jesus Nkurunziza</v>
          </cell>
          <cell r="F612" t="str">
            <v>Temporary</v>
          </cell>
          <cell r="G612" t="str">
            <v>UAE</v>
          </cell>
          <cell r="H612" t="str">
            <v>AUH1</v>
          </cell>
        </row>
        <row r="613">
          <cell r="C613">
            <v>203522193</v>
          </cell>
          <cell r="D613" t="str">
            <v>devisain</v>
          </cell>
          <cell r="E613" t="str">
            <v xml:space="preserve">Ainembabazi Devis </v>
          </cell>
          <cell r="F613" t="str">
            <v>Temporary</v>
          </cell>
          <cell r="G613" t="str">
            <v>UAE</v>
          </cell>
          <cell r="H613" t="str">
            <v>AUH1</v>
          </cell>
        </row>
        <row r="614">
          <cell r="C614">
            <v>203851103</v>
          </cell>
          <cell r="D614" t="str">
            <v>tuajenic</v>
          </cell>
          <cell r="E614" t="str">
            <v>Ajenical Baby Tucker</v>
          </cell>
          <cell r="F614" t="str">
            <v>Temporary</v>
          </cell>
          <cell r="G614" t="str">
            <v>UAE</v>
          </cell>
          <cell r="H614" t="str">
            <v>AUH1</v>
          </cell>
        </row>
        <row r="615">
          <cell r="C615">
            <v>206850851</v>
          </cell>
          <cell r="D615" t="str">
            <v>akanbria</v>
          </cell>
          <cell r="E615" t="str">
            <v>Akankwatsa Brian</v>
          </cell>
          <cell r="F615" t="str">
            <v>Temporary</v>
          </cell>
          <cell r="G615" t="str">
            <v>UAE</v>
          </cell>
          <cell r="H615" t="str">
            <v>AUH1</v>
          </cell>
        </row>
        <row r="616">
          <cell r="C616">
            <v>203965006</v>
          </cell>
          <cell r="D616" t="str">
            <v>joakhili</v>
          </cell>
          <cell r="E616" t="str">
            <v>Akhil Joy</v>
          </cell>
          <cell r="F616" t="str">
            <v>Temporary</v>
          </cell>
          <cell r="G616" t="str">
            <v>UAE</v>
          </cell>
          <cell r="H616" t="str">
            <v>AUH1</v>
          </cell>
        </row>
        <row r="617">
          <cell r="C617">
            <v>204864796</v>
          </cell>
          <cell r="D617" t="str">
            <v>charmakp</v>
          </cell>
          <cell r="E617" t="str">
            <v>AKPAKA,CHARLES</v>
          </cell>
          <cell r="F617" t="str">
            <v>Temporary</v>
          </cell>
          <cell r="G617" t="str">
            <v>UAE</v>
          </cell>
          <cell r="H617" t="str">
            <v>AUH1</v>
          </cell>
        </row>
        <row r="618">
          <cell r="C618">
            <v>203477173</v>
          </cell>
          <cell r="D618" t="str">
            <v>noreeaku</v>
          </cell>
          <cell r="E618" t="str">
            <v xml:space="preserve">Akullu Noreen </v>
          </cell>
          <cell r="F618" t="str">
            <v>Temporary</v>
          </cell>
          <cell r="G618" t="str">
            <v>UAE</v>
          </cell>
          <cell r="H618" t="str">
            <v>AUH1</v>
          </cell>
        </row>
        <row r="619">
          <cell r="C619">
            <v>206915466</v>
          </cell>
          <cell r="D619" t="str">
            <v>almsukwf</v>
          </cell>
          <cell r="E619" t="str">
            <v>Alex Msukwa</v>
          </cell>
          <cell r="F619" t="str">
            <v>Temporary</v>
          </cell>
          <cell r="G619" t="str">
            <v>UAE</v>
          </cell>
          <cell r="H619" t="str">
            <v>AUH1</v>
          </cell>
        </row>
        <row r="620">
          <cell r="C620">
            <v>203850770</v>
          </cell>
          <cell r="D620" t="str">
            <v>mugabeoa</v>
          </cell>
          <cell r="E620" t="str">
            <v>ALEX MUGABE</v>
          </cell>
          <cell r="F620" t="str">
            <v>Temporary</v>
          </cell>
          <cell r="G620" t="str">
            <v>UAE</v>
          </cell>
          <cell r="H620" t="str">
            <v>AUH1</v>
          </cell>
        </row>
        <row r="621">
          <cell r="C621">
            <v>204116439</v>
          </cell>
          <cell r="D621" t="str">
            <v>etugalex</v>
          </cell>
          <cell r="E621" t="str">
            <v>Alexander Etuge</v>
          </cell>
          <cell r="F621" t="str">
            <v>Temporary</v>
          </cell>
          <cell r="G621" t="str">
            <v>UAE</v>
          </cell>
          <cell r="H621" t="str">
            <v>AUH1</v>
          </cell>
        </row>
        <row r="622">
          <cell r="C622">
            <v>112649477</v>
          </cell>
          <cell r="D622" t="str">
            <v>alirfanv</v>
          </cell>
          <cell r="E622" t="str">
            <v>Ali,Irfan Ali Muhammad</v>
          </cell>
          <cell r="F622" t="str">
            <v>Temporary</v>
          </cell>
          <cell r="G622" t="str">
            <v>UAE</v>
          </cell>
          <cell r="H622" t="str">
            <v>AUH1</v>
          </cell>
        </row>
        <row r="623">
          <cell r="C623">
            <v>205846579</v>
          </cell>
          <cell r="D623" t="str">
            <v>achemuta</v>
          </cell>
          <cell r="E623" t="str">
            <v>ALICE CHEMUTAI</v>
          </cell>
          <cell r="F623" t="str">
            <v>Temporary</v>
          </cell>
          <cell r="G623" t="str">
            <v>UAE</v>
          </cell>
          <cell r="H623" t="str">
            <v>AUH1</v>
          </cell>
        </row>
        <row r="624">
          <cell r="C624">
            <v>203555843</v>
          </cell>
          <cell r="D624" t="str">
            <v>darelall</v>
          </cell>
          <cell r="E624" t="str">
            <v>Allen Andrey D. Arellano</v>
          </cell>
          <cell r="F624" t="str">
            <v>Temporary</v>
          </cell>
          <cell r="G624" t="str">
            <v>UAE</v>
          </cell>
          <cell r="H624" t="str">
            <v>AUH1</v>
          </cell>
        </row>
        <row r="625">
          <cell r="C625">
            <v>205852635</v>
          </cell>
          <cell r="D625" t="str">
            <v>aloielia</v>
          </cell>
          <cell r="E625" t="str">
            <v>ALOI,ELIAS</v>
          </cell>
          <cell r="F625" t="str">
            <v>Temporary</v>
          </cell>
          <cell r="G625" t="str">
            <v>UAE</v>
          </cell>
          <cell r="H625" t="str">
            <v>AUH1</v>
          </cell>
        </row>
        <row r="626">
          <cell r="C626">
            <v>203992092</v>
          </cell>
          <cell r="D626" t="str">
            <v>amosbeko</v>
          </cell>
          <cell r="E626" t="str">
            <v>Amos Atta Bekoe</v>
          </cell>
          <cell r="F626" t="str">
            <v>Temporary</v>
          </cell>
          <cell r="G626" t="str">
            <v>UAE</v>
          </cell>
          <cell r="H626" t="str">
            <v>AUH1</v>
          </cell>
        </row>
        <row r="627">
          <cell r="C627">
            <v>205839289</v>
          </cell>
          <cell r="D627" t="str">
            <v>turinawa</v>
          </cell>
          <cell r="E627" t="str">
            <v>AMOS TURINAWE</v>
          </cell>
          <cell r="F627" t="str">
            <v>Temporary</v>
          </cell>
          <cell r="G627" t="str">
            <v>UAE</v>
          </cell>
          <cell r="H627" t="str">
            <v>AUH1</v>
          </cell>
        </row>
        <row r="628">
          <cell r="C628">
            <v>203850772</v>
          </cell>
          <cell r="D628" t="str">
            <v>andssema</v>
          </cell>
          <cell r="E628" t="str">
            <v>ANDREW DASILVER SSEMANDA</v>
          </cell>
          <cell r="F628" t="str">
            <v>Temporary</v>
          </cell>
          <cell r="G628" t="str">
            <v>UAE</v>
          </cell>
          <cell r="H628" t="str">
            <v>AUH1</v>
          </cell>
        </row>
        <row r="629">
          <cell r="C629">
            <v>205977116</v>
          </cell>
          <cell r="D629" t="str">
            <v>andrmulv</v>
          </cell>
          <cell r="E629" t="str">
            <v>ANDREW MULUUTA</v>
          </cell>
          <cell r="F629" t="str">
            <v>Temporary</v>
          </cell>
          <cell r="G629" t="str">
            <v>UAE</v>
          </cell>
          <cell r="H629" t="str">
            <v>AUH1</v>
          </cell>
        </row>
        <row r="630">
          <cell r="C630">
            <v>203850778</v>
          </cell>
          <cell r="D630" t="str">
            <v>lsseandr</v>
          </cell>
          <cell r="E630" t="str">
            <v>ANDREW SSEBUGGWAWO</v>
          </cell>
          <cell r="F630" t="str">
            <v>Temporary</v>
          </cell>
          <cell r="G630" t="str">
            <v>UAE</v>
          </cell>
          <cell r="H630" t="str">
            <v>AUH1</v>
          </cell>
        </row>
        <row r="631">
          <cell r="C631">
            <v>206897550</v>
          </cell>
          <cell r="D631" t="str">
            <v>abeltaan</v>
          </cell>
          <cell r="E631" t="str">
            <v>ANESU ABEL TAKARUVA</v>
          </cell>
          <cell r="F631" t="str">
            <v>Temporary</v>
          </cell>
          <cell r="G631" t="str">
            <v>UAE</v>
          </cell>
          <cell r="H631" t="str">
            <v>AUH1</v>
          </cell>
        </row>
        <row r="632">
          <cell r="C632">
            <v>102865830</v>
          </cell>
          <cell r="D632" t="str">
            <v>ANVISHNU</v>
          </cell>
          <cell r="E632" t="str">
            <v>Ani,Vishnu</v>
          </cell>
          <cell r="F632" t="str">
            <v>Regular</v>
          </cell>
          <cell r="G632" t="str">
            <v>UAE</v>
          </cell>
          <cell r="H632" t="str">
            <v>AUH1</v>
          </cell>
        </row>
        <row r="633">
          <cell r="C633">
            <v>111164491</v>
          </cell>
          <cell r="D633" t="str">
            <v>anvtharu</v>
          </cell>
          <cell r="E633" t="str">
            <v>Anish Tharu</v>
          </cell>
          <cell r="F633" t="str">
            <v>Regular</v>
          </cell>
          <cell r="G633" t="str">
            <v>UAE</v>
          </cell>
          <cell r="H633" t="str">
            <v>AUH1</v>
          </cell>
        </row>
        <row r="634">
          <cell r="C634">
            <v>206239763</v>
          </cell>
          <cell r="D634" t="str">
            <v>anitofoc</v>
          </cell>
          <cell r="E634" t="str">
            <v>ANITA OFORIWAA ADU</v>
          </cell>
          <cell r="F634" t="str">
            <v>Temporary</v>
          </cell>
          <cell r="G634" t="str">
            <v>UAE</v>
          </cell>
          <cell r="H634" t="str">
            <v>AUH1</v>
          </cell>
        </row>
        <row r="635">
          <cell r="C635">
            <v>204009672</v>
          </cell>
          <cell r="D635" t="str">
            <v>ankinew</v>
          </cell>
          <cell r="E635" t="str">
            <v>ANKIT NEWAR</v>
          </cell>
          <cell r="F635" t="str">
            <v>Temporary</v>
          </cell>
          <cell r="G635" t="str">
            <v>UAE</v>
          </cell>
          <cell r="H635" t="str">
            <v>AUH1</v>
          </cell>
        </row>
        <row r="636">
          <cell r="C636">
            <v>206239523</v>
          </cell>
          <cell r="D636" t="str">
            <v>hannmuru</v>
          </cell>
          <cell r="E636" t="str">
            <v>Ann Murugi</v>
          </cell>
          <cell r="F636" t="str">
            <v>Temporary</v>
          </cell>
          <cell r="G636" t="str">
            <v>UAE</v>
          </cell>
          <cell r="H636" t="str">
            <v>AUH1</v>
          </cell>
        </row>
        <row r="637">
          <cell r="C637">
            <v>205846573</v>
          </cell>
          <cell r="D637" t="str">
            <v>anndila</v>
          </cell>
          <cell r="E637" t="str">
            <v>ANN NDILA KIKUNG'A</v>
          </cell>
          <cell r="F637" t="str">
            <v>Temporary</v>
          </cell>
          <cell r="G637" t="str">
            <v>UAE</v>
          </cell>
          <cell r="H637" t="str">
            <v>AUH1</v>
          </cell>
        </row>
        <row r="638">
          <cell r="C638">
            <v>206930130</v>
          </cell>
          <cell r="D638" t="str">
            <v>annwamum</v>
          </cell>
          <cell r="E638" t="str">
            <v>ANN WAMBUI MUHIAH</v>
          </cell>
          <cell r="F638" t="str">
            <v>Temporary</v>
          </cell>
          <cell r="G638" t="str">
            <v>UAE</v>
          </cell>
          <cell r="H638" t="str">
            <v>AUH1</v>
          </cell>
        </row>
        <row r="639">
          <cell r="C639">
            <v>206129604</v>
          </cell>
          <cell r="D639" t="str">
            <v>kajannab</v>
          </cell>
          <cell r="E639" t="str">
            <v>Annabel Kalumba</v>
          </cell>
          <cell r="F639" t="str">
            <v>Temporary</v>
          </cell>
          <cell r="G639" t="str">
            <v>UAE</v>
          </cell>
          <cell r="H639" t="str">
            <v>AUH1</v>
          </cell>
        </row>
        <row r="640">
          <cell r="C640">
            <v>204868506</v>
          </cell>
          <cell r="D640" t="str">
            <v>annojust</v>
          </cell>
          <cell r="E640" t="str">
            <v>ANNOBIL,JUSTICE</v>
          </cell>
          <cell r="F640" t="str">
            <v>Temporary</v>
          </cell>
          <cell r="G640" t="str">
            <v>UAE</v>
          </cell>
          <cell r="H640" t="str">
            <v>AUH1</v>
          </cell>
        </row>
        <row r="641">
          <cell r="C641">
            <v>206873782</v>
          </cell>
          <cell r="D641" t="str">
            <v>kivuanto</v>
          </cell>
          <cell r="E641" t="str">
            <v>ANTONY KAVNUNBI LUTAAYA</v>
          </cell>
          <cell r="F641" t="str">
            <v>Temporary</v>
          </cell>
          <cell r="G641" t="str">
            <v>UAE</v>
          </cell>
          <cell r="H641" t="str">
            <v>AUH1</v>
          </cell>
        </row>
        <row r="642">
          <cell r="C642">
            <v>203341965</v>
          </cell>
          <cell r="D642" t="str">
            <v>aninanur</v>
          </cell>
          <cell r="E642" t="str">
            <v>Anurag Kambrath Anilan</v>
          </cell>
          <cell r="F642" t="str">
            <v>Temporary</v>
          </cell>
          <cell r="G642" t="str">
            <v>UAE</v>
          </cell>
          <cell r="H642" t="str">
            <v>AUH1</v>
          </cell>
        </row>
        <row r="643">
          <cell r="C643">
            <v>205252356</v>
          </cell>
          <cell r="D643" t="str">
            <v>appiador</v>
          </cell>
          <cell r="E643" t="str">
            <v>Appiah,Dorcas Niamah</v>
          </cell>
          <cell r="F643" t="str">
            <v>Temporary</v>
          </cell>
          <cell r="G643" t="str">
            <v>UAE</v>
          </cell>
          <cell r="H643" t="str">
            <v>AUH1</v>
          </cell>
        </row>
        <row r="644">
          <cell r="C644">
            <v>109808051</v>
          </cell>
          <cell r="D644" t="str">
            <v>huawais</v>
          </cell>
          <cell r="E644" t="str">
            <v>Arif Hussain,Awais Ali</v>
          </cell>
          <cell r="F644" t="str">
            <v>Regular</v>
          </cell>
          <cell r="G644" t="str">
            <v>UAE</v>
          </cell>
          <cell r="H644" t="str">
            <v>AUH1</v>
          </cell>
        </row>
        <row r="645">
          <cell r="C645">
            <v>203735959</v>
          </cell>
          <cell r="D645" t="str">
            <v>arinasap</v>
          </cell>
          <cell r="E645" t="str">
            <v>ASAPH ARINAITWE</v>
          </cell>
          <cell r="F645" t="str">
            <v>Temporary</v>
          </cell>
          <cell r="G645" t="str">
            <v>UAE</v>
          </cell>
          <cell r="H645" t="str">
            <v>AUH1</v>
          </cell>
        </row>
        <row r="646">
          <cell r="C646">
            <v>203964989</v>
          </cell>
          <cell r="D646" t="str">
            <v>abasarud</v>
          </cell>
          <cell r="E646" t="str">
            <v>Asarudeen Abdul Razak</v>
          </cell>
          <cell r="F646" t="str">
            <v>Temporary</v>
          </cell>
          <cell r="G646" t="str">
            <v>UAE</v>
          </cell>
          <cell r="H646" t="str">
            <v>AUH1</v>
          </cell>
        </row>
        <row r="647">
          <cell r="C647">
            <v>203964995</v>
          </cell>
          <cell r="D647" t="str">
            <v>agthanka</v>
          </cell>
          <cell r="E647" t="str">
            <v>Ashil Thankachan</v>
          </cell>
          <cell r="F647" t="str">
            <v>Temporary</v>
          </cell>
          <cell r="G647" t="str">
            <v>UAE</v>
          </cell>
          <cell r="H647" t="str">
            <v>AUH1</v>
          </cell>
        </row>
        <row r="648">
          <cell r="C648">
            <v>206850960</v>
          </cell>
          <cell r="D648" t="str">
            <v>ashiraab</v>
          </cell>
          <cell r="E648" t="str">
            <v>Ashiraf Abu</v>
          </cell>
          <cell r="F648" t="str">
            <v>Temporary</v>
          </cell>
          <cell r="G648" t="str">
            <v>UAE</v>
          </cell>
          <cell r="H648" t="str">
            <v>AUH1</v>
          </cell>
        </row>
        <row r="649">
          <cell r="C649">
            <v>206199915</v>
          </cell>
          <cell r="D649" t="str">
            <v>ashrajin</v>
          </cell>
          <cell r="E649" t="str">
            <v>ASHISH RAJINDER KUMAR</v>
          </cell>
          <cell r="F649" t="str">
            <v>Temporary</v>
          </cell>
          <cell r="G649" t="str">
            <v>UAE</v>
          </cell>
          <cell r="H649" t="str">
            <v>AUH1</v>
          </cell>
        </row>
        <row r="650">
          <cell r="C650">
            <v>204009348</v>
          </cell>
          <cell r="D650" t="str">
            <v>shrashif</v>
          </cell>
          <cell r="E650" t="str">
            <v>ASHISH SHRESTHA</v>
          </cell>
          <cell r="F650" t="str">
            <v>Temporary</v>
          </cell>
          <cell r="G650" t="str">
            <v>UAE</v>
          </cell>
          <cell r="H650" t="str">
            <v>AUH1</v>
          </cell>
        </row>
        <row r="651">
          <cell r="C651">
            <v>203850997</v>
          </cell>
          <cell r="D651" t="str">
            <v>auguszad</v>
          </cell>
          <cell r="E651" t="str">
            <v>Augustine Adjei</v>
          </cell>
          <cell r="F651" t="str">
            <v>Temporary</v>
          </cell>
          <cell r="G651" t="str">
            <v>UAE</v>
          </cell>
          <cell r="H651" t="str">
            <v>AUH1</v>
          </cell>
        </row>
        <row r="652">
          <cell r="C652">
            <v>203965024</v>
          </cell>
          <cell r="D652" t="str">
            <v>yeaunga</v>
          </cell>
          <cell r="E652" t="str">
            <v>Aung Ye</v>
          </cell>
          <cell r="F652" t="str">
            <v>Temporary</v>
          </cell>
          <cell r="G652" t="str">
            <v>UAE</v>
          </cell>
          <cell r="H652" t="str">
            <v>AUH1</v>
          </cell>
        </row>
        <row r="653">
          <cell r="C653">
            <v>203342030</v>
          </cell>
          <cell r="D653" t="str">
            <v>avinkorm</v>
          </cell>
          <cell r="E653" t="str">
            <v>Avinash Korukonda Seshagiri Rao</v>
          </cell>
          <cell r="F653" t="str">
            <v>Temporary</v>
          </cell>
          <cell r="G653" t="str">
            <v>UAE</v>
          </cell>
          <cell r="H653" t="str">
            <v>AUH1</v>
          </cell>
        </row>
        <row r="654">
          <cell r="C654">
            <v>204172225</v>
          </cell>
          <cell r="D654" t="str">
            <v>sahaviny</v>
          </cell>
          <cell r="E654" t="str">
            <v>AVINASH KUMAR SAH</v>
          </cell>
          <cell r="F654" t="str">
            <v>Temporary</v>
          </cell>
          <cell r="G654" t="str">
            <v>UAE</v>
          </cell>
          <cell r="H654" t="str">
            <v>AUH1</v>
          </cell>
        </row>
        <row r="655">
          <cell r="C655">
            <v>206926474</v>
          </cell>
          <cell r="D655" t="str">
            <v>awudkale</v>
          </cell>
          <cell r="E655" t="str">
            <v>AWUDU KALENZI</v>
          </cell>
          <cell r="F655" t="str">
            <v>Temporary</v>
          </cell>
          <cell r="G655" t="str">
            <v>UAE</v>
          </cell>
          <cell r="H655" t="str">
            <v>AUH1</v>
          </cell>
        </row>
        <row r="656">
          <cell r="C656">
            <v>205236902</v>
          </cell>
          <cell r="D656" t="str">
            <v>yawunsam</v>
          </cell>
          <cell r="E656" t="str">
            <v>AWUNI,SAMUEL</v>
          </cell>
          <cell r="F656" t="str">
            <v>Temporary</v>
          </cell>
          <cell r="G656" t="str">
            <v>UAE</v>
          </cell>
          <cell r="H656" t="str">
            <v>AUH1</v>
          </cell>
        </row>
        <row r="657">
          <cell r="C657">
            <v>204053434</v>
          </cell>
          <cell r="D657" t="str">
            <v>mohaaziv</v>
          </cell>
          <cell r="E657" t="str">
            <v>Azizuddin Mohammed</v>
          </cell>
          <cell r="F657" t="str">
            <v>Temporary</v>
          </cell>
          <cell r="G657" t="str">
            <v>UAE</v>
          </cell>
          <cell r="H657" t="str">
            <v>AUH1</v>
          </cell>
        </row>
        <row r="658">
          <cell r="C658">
            <v>205236897</v>
          </cell>
          <cell r="D658" t="str">
            <v>babismar</v>
          </cell>
          <cell r="E658" t="str">
            <v>BAAH,BISMARK</v>
          </cell>
          <cell r="F658" t="str">
            <v>Temporary</v>
          </cell>
          <cell r="G658" t="str">
            <v>UAE</v>
          </cell>
          <cell r="H658" t="str">
            <v>AUH1</v>
          </cell>
        </row>
        <row r="659">
          <cell r="C659">
            <v>204013688</v>
          </cell>
          <cell r="D659" t="str">
            <v>sbabucan</v>
          </cell>
          <cell r="E659" t="str">
            <v>Babucarr Sowe</v>
          </cell>
          <cell r="F659" t="str">
            <v>Temporary</v>
          </cell>
          <cell r="G659" t="str">
            <v>UAE</v>
          </cell>
          <cell r="H659" t="str">
            <v>AUH1</v>
          </cell>
        </row>
        <row r="660">
          <cell r="C660">
            <v>206897553</v>
          </cell>
          <cell r="D660" t="str">
            <v>banjatab</v>
          </cell>
          <cell r="E660" t="str">
            <v>BANJATA B JAH</v>
          </cell>
          <cell r="F660" t="str">
            <v>Temporary</v>
          </cell>
          <cell r="G660" t="str">
            <v>UAE</v>
          </cell>
          <cell r="H660" t="str">
            <v>AUH1</v>
          </cell>
        </row>
        <row r="661">
          <cell r="C661">
            <v>205854273</v>
          </cell>
          <cell r="D661" t="str">
            <v>namukaba</v>
          </cell>
          <cell r="E661" t="str">
            <v>Barbra Christine NAMUKASA</v>
          </cell>
          <cell r="F661" t="str">
            <v>Temporary</v>
          </cell>
          <cell r="G661" t="str">
            <v>UAE</v>
          </cell>
          <cell r="H661" t="str">
            <v>AUH1</v>
          </cell>
        </row>
        <row r="662">
          <cell r="C662">
            <v>206926475</v>
          </cell>
          <cell r="D662" t="str">
            <v>basmagan</v>
          </cell>
          <cell r="E662" t="str">
            <v>BASHIR MAGANDA</v>
          </cell>
          <cell r="F662" t="str">
            <v>Temporary</v>
          </cell>
          <cell r="G662" t="str">
            <v>UAE</v>
          </cell>
          <cell r="H662" t="str">
            <v>AUH1</v>
          </cell>
        </row>
        <row r="663">
          <cell r="C663">
            <v>206128846</v>
          </cell>
          <cell r="D663" t="str">
            <v>obiarrey</v>
          </cell>
          <cell r="E663" t="str">
            <v>Benedict Obi Arrey</v>
          </cell>
          <cell r="F663" t="str">
            <v>Temporary</v>
          </cell>
          <cell r="G663" t="str">
            <v>UAE</v>
          </cell>
          <cell r="H663" t="str">
            <v>AUH1</v>
          </cell>
        </row>
        <row r="664">
          <cell r="C664">
            <v>204013691</v>
          </cell>
          <cell r="D664" t="str">
            <v>benesaah</v>
          </cell>
          <cell r="E664" t="str">
            <v>Benedict Saah Camille</v>
          </cell>
          <cell r="F664" t="str">
            <v>Temporary</v>
          </cell>
          <cell r="G664" t="str">
            <v>UAE</v>
          </cell>
          <cell r="H664" t="str">
            <v>AUH1</v>
          </cell>
        </row>
        <row r="665">
          <cell r="C665">
            <v>205848051</v>
          </cell>
          <cell r="D665" t="str">
            <v>affulben</v>
          </cell>
          <cell r="E665" t="str">
            <v>BENJAMIN AFFUL</v>
          </cell>
          <cell r="F665" t="str">
            <v>Temporary</v>
          </cell>
          <cell r="G665" t="str">
            <v>UAE</v>
          </cell>
          <cell r="H665" t="str">
            <v>AUH1</v>
          </cell>
        </row>
        <row r="666">
          <cell r="C666">
            <v>203908868</v>
          </cell>
          <cell r="D666" t="str">
            <v>benjanko</v>
          </cell>
          <cell r="E666" t="str">
            <v>Benjamin Ankomahene</v>
          </cell>
          <cell r="F666" t="str">
            <v>Temporary</v>
          </cell>
          <cell r="G666" t="str">
            <v>UAE</v>
          </cell>
          <cell r="H666" t="str">
            <v>AUH1</v>
          </cell>
        </row>
        <row r="667">
          <cell r="C667">
            <v>206072090</v>
          </cell>
          <cell r="D667" t="str">
            <v>asamoahq</v>
          </cell>
          <cell r="E667" t="str">
            <v>BENJAMIN ASAMOAH</v>
          </cell>
          <cell r="F667" t="str">
            <v>Temporary</v>
          </cell>
          <cell r="G667" t="str">
            <v>UAE</v>
          </cell>
          <cell r="H667" t="str">
            <v>AUH1</v>
          </cell>
        </row>
        <row r="668">
          <cell r="C668">
            <v>203965180</v>
          </cell>
          <cell r="D668" t="str">
            <v>enyanvbe</v>
          </cell>
          <cell r="E668" t="str">
            <v>Benjamin Enyan</v>
          </cell>
          <cell r="F668" t="str">
            <v>Temporary</v>
          </cell>
          <cell r="G668" t="str">
            <v>UAE</v>
          </cell>
          <cell r="H668" t="str">
            <v>AUH1</v>
          </cell>
        </row>
        <row r="669">
          <cell r="C669">
            <v>201161555</v>
          </cell>
          <cell r="D669" t="str">
            <v>bethomam</v>
          </cell>
          <cell r="E669" t="str">
            <v>Benjamin Yaw Thomas</v>
          </cell>
          <cell r="F669" t="str">
            <v>Temporary</v>
          </cell>
          <cell r="G669" t="str">
            <v>UAE</v>
          </cell>
          <cell r="H669" t="str">
            <v>AUH1</v>
          </cell>
        </row>
        <row r="670">
          <cell r="C670">
            <v>204117188</v>
          </cell>
          <cell r="D670" t="str">
            <v>rberinea</v>
          </cell>
          <cell r="E670" t="str">
            <v>Berine Amoh Lanyang</v>
          </cell>
          <cell r="F670" t="str">
            <v>Temporary</v>
          </cell>
          <cell r="G670" t="str">
            <v>UAE</v>
          </cell>
          <cell r="H670" t="str">
            <v>AUH1</v>
          </cell>
        </row>
        <row r="671">
          <cell r="C671">
            <v>204172234</v>
          </cell>
          <cell r="D671" t="str">
            <v>dpbikram</v>
          </cell>
          <cell r="E671" t="str">
            <v>BIKRAM DHAKAL</v>
          </cell>
          <cell r="F671" t="str">
            <v>Temporary</v>
          </cell>
          <cell r="G671" t="str">
            <v>UAE</v>
          </cell>
          <cell r="H671" t="str">
            <v>AUH1</v>
          </cell>
        </row>
        <row r="672">
          <cell r="C672">
            <v>204009916</v>
          </cell>
          <cell r="D672" t="str">
            <v>biseswak</v>
          </cell>
          <cell r="E672" t="str">
            <v>BISESWAR KUMAR THAKUR</v>
          </cell>
          <cell r="F672" t="str">
            <v>Temporary</v>
          </cell>
          <cell r="G672" t="str">
            <v>UAE</v>
          </cell>
          <cell r="H672" t="str">
            <v>AUH1</v>
          </cell>
        </row>
        <row r="673">
          <cell r="C673">
            <v>203512948</v>
          </cell>
          <cell r="D673" t="str">
            <v>yendbism</v>
          </cell>
          <cell r="E673" t="str">
            <v>Bismark Yendaw</v>
          </cell>
          <cell r="F673" t="str">
            <v>Temporary</v>
          </cell>
          <cell r="G673" t="str">
            <v>UAE</v>
          </cell>
          <cell r="H673" t="str">
            <v>AUH1</v>
          </cell>
        </row>
        <row r="674">
          <cell r="C674">
            <v>204137703</v>
          </cell>
          <cell r="D674" t="str">
            <v>blamoyam</v>
          </cell>
          <cell r="E674" t="str">
            <v>Blama Yamah</v>
          </cell>
          <cell r="F674" t="str">
            <v>Temporary</v>
          </cell>
          <cell r="G674" t="str">
            <v>UAE</v>
          </cell>
          <cell r="H674" t="str">
            <v>AUH1</v>
          </cell>
        </row>
        <row r="675">
          <cell r="C675">
            <v>204299063</v>
          </cell>
          <cell r="D675" t="str">
            <v>yblankso</v>
          </cell>
          <cell r="E675" t="str">
            <v>Blankson Yeboah</v>
          </cell>
          <cell r="F675" t="str">
            <v>Temporary</v>
          </cell>
          <cell r="G675" t="str">
            <v>UAE</v>
          </cell>
          <cell r="H675" t="str">
            <v>AUH1</v>
          </cell>
        </row>
        <row r="676">
          <cell r="C676">
            <v>206239521</v>
          </cell>
          <cell r="D676" t="str">
            <v>daviboag</v>
          </cell>
          <cell r="E676" t="str">
            <v>BOATENG DAVID</v>
          </cell>
          <cell r="F676" t="str">
            <v>Temporary</v>
          </cell>
          <cell r="G676" t="str">
            <v>UAE</v>
          </cell>
          <cell r="H676" t="str">
            <v>AUH1</v>
          </cell>
        </row>
        <row r="677">
          <cell r="C677">
            <v>206239750</v>
          </cell>
          <cell r="D677" t="str">
            <v>jboatenv</v>
          </cell>
          <cell r="E677" t="str">
            <v>BOATENG JOSEPH</v>
          </cell>
          <cell r="F677" t="str">
            <v>Temporary</v>
          </cell>
          <cell r="G677" t="str">
            <v>UAE</v>
          </cell>
          <cell r="H677" t="str">
            <v>AUH1</v>
          </cell>
        </row>
        <row r="678">
          <cell r="C678">
            <v>203513810</v>
          </cell>
          <cell r="D678" t="str">
            <v>bradonku</v>
          </cell>
          <cell r="E678" t="str">
            <v>Bradon Bin Kum</v>
          </cell>
          <cell r="F678" t="str">
            <v>Temporary</v>
          </cell>
          <cell r="G678" t="str">
            <v>UAE</v>
          </cell>
          <cell r="H678" t="str">
            <v>AUH1</v>
          </cell>
        </row>
        <row r="679">
          <cell r="C679">
            <v>206491327</v>
          </cell>
          <cell r="D679" t="str">
            <v>brkiprut</v>
          </cell>
          <cell r="E679" t="str">
            <v>BRENDA KIPRUTO KIPRUTO</v>
          </cell>
          <cell r="F679" t="str">
            <v>Temporary</v>
          </cell>
          <cell r="G679" t="str">
            <v>UAE</v>
          </cell>
          <cell r="H679" t="str">
            <v>AUH1</v>
          </cell>
        </row>
        <row r="680">
          <cell r="C680">
            <v>203512670</v>
          </cell>
          <cell r="D680" t="str">
            <v>brmusanz</v>
          </cell>
          <cell r="E680" t="str">
            <v>Brenda Musanzika</v>
          </cell>
          <cell r="F680" t="str">
            <v>Temporary</v>
          </cell>
          <cell r="G680" t="str">
            <v>UAE</v>
          </cell>
          <cell r="H680" t="str">
            <v>AUH1</v>
          </cell>
        </row>
        <row r="681">
          <cell r="C681">
            <v>203512667</v>
          </cell>
          <cell r="D681" t="str">
            <v>bimbrend</v>
          </cell>
          <cell r="E681" t="str">
            <v>Brenda Nkuo Bih</v>
          </cell>
          <cell r="F681" t="str">
            <v>Temporary</v>
          </cell>
          <cell r="G681" t="str">
            <v>UAE</v>
          </cell>
          <cell r="H681" t="str">
            <v>AUH1</v>
          </cell>
        </row>
        <row r="682">
          <cell r="C682">
            <v>206890213</v>
          </cell>
          <cell r="D682" t="str">
            <v>kipchumn</v>
          </cell>
          <cell r="E682" t="str">
            <v>Brian Kipchumba</v>
          </cell>
          <cell r="F682" t="str">
            <v>Temporary</v>
          </cell>
          <cell r="G682" t="str">
            <v>UAE</v>
          </cell>
          <cell r="H682" t="str">
            <v>AUH1</v>
          </cell>
        </row>
        <row r="683">
          <cell r="C683">
            <v>205280684</v>
          </cell>
          <cell r="D683" t="str">
            <v>briaglil</v>
          </cell>
          <cell r="E683" t="str">
            <v>Brian Lilan</v>
          </cell>
          <cell r="F683" t="str">
            <v>Temporary</v>
          </cell>
          <cell r="G683" t="str">
            <v>UAE</v>
          </cell>
          <cell r="H683" t="str">
            <v>AUH1</v>
          </cell>
        </row>
        <row r="684">
          <cell r="C684">
            <v>204172222</v>
          </cell>
          <cell r="D684" t="str">
            <v>sundabru</v>
          </cell>
          <cell r="E684" t="str">
            <v>Bruce sunday</v>
          </cell>
          <cell r="F684" t="str">
            <v>Temporary</v>
          </cell>
          <cell r="G684" t="str">
            <v>UAE</v>
          </cell>
          <cell r="H684" t="str">
            <v>AUH1</v>
          </cell>
        </row>
        <row r="685">
          <cell r="C685">
            <v>206914994</v>
          </cell>
          <cell r="D685" t="str">
            <v>vbulawre</v>
          </cell>
          <cell r="E685" t="str">
            <v>Buggo Lawrence</v>
          </cell>
          <cell r="F685" t="str">
            <v>Temporary</v>
          </cell>
          <cell r="G685" t="str">
            <v>UAE</v>
          </cell>
          <cell r="H685" t="str">
            <v>AUH1</v>
          </cell>
        </row>
        <row r="686">
          <cell r="C686">
            <v>206238897</v>
          </cell>
          <cell r="D686" t="str">
            <v>ayoncari</v>
          </cell>
          <cell r="E686" t="str">
            <v>CARINE AYONG BIH</v>
          </cell>
          <cell r="F686" t="str">
            <v>Temporary</v>
          </cell>
          <cell r="G686" t="str">
            <v>UAE</v>
          </cell>
          <cell r="H686" t="str">
            <v>AUH1</v>
          </cell>
        </row>
        <row r="687">
          <cell r="C687">
            <v>203342654</v>
          </cell>
          <cell r="D687" t="str">
            <v>qcatampa</v>
          </cell>
          <cell r="E687" t="str">
            <v>Carintine Tampa</v>
          </cell>
          <cell r="F687" t="str">
            <v>Temporary</v>
          </cell>
          <cell r="G687" t="str">
            <v>UAE</v>
          </cell>
          <cell r="H687" t="str">
            <v>AUH1</v>
          </cell>
        </row>
        <row r="688">
          <cell r="C688">
            <v>205848042</v>
          </cell>
          <cell r="D688" t="str">
            <v>carkorir</v>
          </cell>
          <cell r="E688" t="str">
            <v>CAROLINE JELIMO KORIR</v>
          </cell>
          <cell r="F688" t="str">
            <v>Temporary</v>
          </cell>
          <cell r="G688" t="str">
            <v>UAE</v>
          </cell>
          <cell r="H688" t="str">
            <v>AUH1</v>
          </cell>
        </row>
        <row r="689">
          <cell r="C689">
            <v>206239212</v>
          </cell>
          <cell r="D689" t="str">
            <v>cecchish</v>
          </cell>
          <cell r="E689" t="str">
            <v>CECILIA CHISHIMBA</v>
          </cell>
          <cell r="F689" t="str">
            <v>Temporary</v>
          </cell>
          <cell r="G689" t="str">
            <v>UAE</v>
          </cell>
          <cell r="H689" t="str">
            <v>AUH1</v>
          </cell>
        </row>
        <row r="690">
          <cell r="C690">
            <v>206191969</v>
          </cell>
          <cell r="D690" t="str">
            <v>omwcecil</v>
          </cell>
          <cell r="E690" t="str">
            <v>Ceciliah omwando</v>
          </cell>
          <cell r="F690" t="str">
            <v>Temporary</v>
          </cell>
          <cell r="G690" t="str">
            <v>UAE</v>
          </cell>
          <cell r="H690" t="str">
            <v>AUH1</v>
          </cell>
        </row>
        <row r="691">
          <cell r="C691">
            <v>108196835</v>
          </cell>
          <cell r="D691" t="str">
            <v>tendoc</v>
          </cell>
          <cell r="E691" t="str">
            <v>Cedrick Nkemju Tendongmo</v>
          </cell>
          <cell r="F691" t="str">
            <v>Temporary</v>
          </cell>
          <cell r="G691" t="str">
            <v>UAE</v>
          </cell>
          <cell r="H691" t="str">
            <v>AUH1</v>
          </cell>
        </row>
        <row r="692">
          <cell r="C692">
            <v>206136720</v>
          </cell>
          <cell r="D692" t="str">
            <v>chancink</v>
          </cell>
          <cell r="E692" t="str">
            <v>CHANCELINE INKIE MBI</v>
          </cell>
          <cell r="F692" t="str">
            <v>Temporary</v>
          </cell>
          <cell r="G692" t="str">
            <v>UAE</v>
          </cell>
          <cell r="H692" t="str">
            <v>AUH1</v>
          </cell>
        </row>
        <row r="693">
          <cell r="C693">
            <v>203342034</v>
          </cell>
          <cell r="D693" t="str">
            <v>chatthud</v>
          </cell>
          <cell r="E693" t="str">
            <v>Chathurika Sewwandi Thushari</v>
          </cell>
          <cell r="F693" t="str">
            <v>Temporary</v>
          </cell>
          <cell r="G693" t="str">
            <v>UAE</v>
          </cell>
          <cell r="H693" t="str">
            <v>AUH1</v>
          </cell>
        </row>
        <row r="694">
          <cell r="C694">
            <v>206491325</v>
          </cell>
          <cell r="D694" t="str">
            <v>dachepkv</v>
          </cell>
          <cell r="E694" t="str">
            <v>CHEPKOECH,DAISY</v>
          </cell>
          <cell r="F694" t="str">
            <v>Temporary</v>
          </cell>
          <cell r="G694" t="str">
            <v>UAE</v>
          </cell>
          <cell r="H694" t="str">
            <v>AUH1</v>
          </cell>
        </row>
        <row r="695">
          <cell r="C695">
            <v>205848048</v>
          </cell>
          <cell r="D695" t="str">
            <v>mureiche</v>
          </cell>
          <cell r="E695" t="str">
            <v>CHEPTOO ORBA MUREI</v>
          </cell>
          <cell r="F695" t="str">
            <v>Temporary</v>
          </cell>
          <cell r="G695" t="str">
            <v>UAE</v>
          </cell>
          <cell r="H695" t="str">
            <v>AUH1</v>
          </cell>
        </row>
        <row r="696">
          <cell r="C696">
            <v>203512665</v>
          </cell>
          <cell r="D696" t="str">
            <v>atuahech</v>
          </cell>
          <cell r="E696" t="str">
            <v>Christiana Atuahene</v>
          </cell>
          <cell r="F696" t="str">
            <v>Temporary</v>
          </cell>
          <cell r="G696" t="str">
            <v>UAE</v>
          </cell>
          <cell r="H696" t="str">
            <v>AUH1</v>
          </cell>
        </row>
        <row r="697">
          <cell r="C697">
            <v>203965413</v>
          </cell>
          <cell r="D697" t="str">
            <v>chrafful</v>
          </cell>
          <cell r="E697" t="str">
            <v>Christopher Afful</v>
          </cell>
          <cell r="F697" t="str">
            <v>Temporary</v>
          </cell>
          <cell r="G697" t="str">
            <v>UAE</v>
          </cell>
          <cell r="H697" t="str">
            <v>AUH1</v>
          </cell>
        </row>
        <row r="698">
          <cell r="C698">
            <v>203881660</v>
          </cell>
          <cell r="D698" t="str">
            <v>clarfien</v>
          </cell>
          <cell r="E698" t="str">
            <v>Clarise Fienmbu</v>
          </cell>
          <cell r="F698" t="str">
            <v>Temporary</v>
          </cell>
          <cell r="G698" t="str">
            <v>UAE</v>
          </cell>
          <cell r="H698" t="str">
            <v>AUH1</v>
          </cell>
        </row>
        <row r="699">
          <cell r="C699">
            <v>203512671</v>
          </cell>
          <cell r="D699" t="str">
            <v>mbehclau</v>
          </cell>
          <cell r="E699" t="str">
            <v>Claudette Nkobo Mbeh</v>
          </cell>
          <cell r="F699" t="str">
            <v>Temporary</v>
          </cell>
          <cell r="G699" t="str">
            <v>UAE</v>
          </cell>
          <cell r="H699" t="str">
            <v>AUH1</v>
          </cell>
        </row>
        <row r="700">
          <cell r="C700">
            <v>203881698</v>
          </cell>
          <cell r="D700" t="str">
            <v>gbenclem</v>
          </cell>
          <cell r="E700" t="str">
            <v>Clement Kwetey Gbenatey</v>
          </cell>
          <cell r="F700" t="str">
            <v>Temporary</v>
          </cell>
          <cell r="G700" t="str">
            <v>UAE</v>
          </cell>
          <cell r="H700" t="str">
            <v>AUH1</v>
          </cell>
        </row>
        <row r="701">
          <cell r="C701">
            <v>204145465</v>
          </cell>
          <cell r="D701" t="str">
            <v>dwomclif</v>
          </cell>
          <cell r="E701" t="str">
            <v>Clifford Dwomoh</v>
          </cell>
          <cell r="F701" t="str">
            <v>Temporary</v>
          </cell>
          <cell r="G701" t="str">
            <v>UAE</v>
          </cell>
          <cell r="H701" t="str">
            <v>AUH1</v>
          </cell>
        </row>
        <row r="702">
          <cell r="C702">
            <v>206145766</v>
          </cell>
          <cell r="D702" t="str">
            <v>fuhnclov</v>
          </cell>
          <cell r="E702" t="str">
            <v>CLOVIS FUH NEBA</v>
          </cell>
          <cell r="F702" t="str">
            <v>Temporary</v>
          </cell>
          <cell r="G702" t="str">
            <v>UAE</v>
          </cell>
          <cell r="H702" t="str">
            <v>AUH1</v>
          </cell>
        </row>
        <row r="703">
          <cell r="C703">
            <v>205227534</v>
          </cell>
          <cell r="D703" t="str">
            <v>rzcolema</v>
          </cell>
          <cell r="E703" t="str">
            <v>COLEMAN,ROBERT</v>
          </cell>
          <cell r="F703" t="str">
            <v>Temporary</v>
          </cell>
          <cell r="G703" t="str">
            <v>UAE</v>
          </cell>
          <cell r="H703" t="str">
            <v>AUH1</v>
          </cell>
        </row>
        <row r="704">
          <cell r="C704">
            <v>205257390</v>
          </cell>
          <cell r="D704" t="str">
            <v>kimutcol</v>
          </cell>
          <cell r="E704" t="str">
            <v>Collins Kimutai</v>
          </cell>
          <cell r="F704" t="str">
            <v>Temporary</v>
          </cell>
          <cell r="G704" t="str">
            <v>UAE</v>
          </cell>
          <cell r="H704" t="str">
            <v>AUH1</v>
          </cell>
        </row>
        <row r="705">
          <cell r="C705">
            <v>206491331</v>
          </cell>
          <cell r="D705" t="str">
            <v>bocollns</v>
          </cell>
          <cell r="E705" t="str">
            <v>COLLNS KIPCHIRCHIR BORGUTT</v>
          </cell>
          <cell r="F705" t="str">
            <v>Temporary</v>
          </cell>
          <cell r="G705" t="str">
            <v>UAE</v>
          </cell>
          <cell r="H705" t="str">
            <v>AUH1</v>
          </cell>
        </row>
        <row r="706">
          <cell r="C706">
            <v>203993306</v>
          </cell>
          <cell r="D706" t="str">
            <v>ucoasant</v>
          </cell>
          <cell r="E706" t="str">
            <v>Comfort Asante</v>
          </cell>
          <cell r="F706" t="str">
            <v>Temporary</v>
          </cell>
          <cell r="G706" t="str">
            <v>UAE</v>
          </cell>
          <cell r="H706" t="str">
            <v>AUH1</v>
          </cell>
        </row>
        <row r="707">
          <cell r="C707">
            <v>204013689</v>
          </cell>
          <cell r="D707" t="str">
            <v>curtgonl</v>
          </cell>
          <cell r="E707" t="str">
            <v>Curtis Gonluee Scell</v>
          </cell>
          <cell r="F707" t="str">
            <v>Temporary</v>
          </cell>
          <cell r="G707" t="str">
            <v>UAE</v>
          </cell>
          <cell r="H707" t="str">
            <v>AUH1</v>
          </cell>
        </row>
        <row r="708">
          <cell r="C708">
            <v>205854274</v>
          </cell>
          <cell r="D708" t="str">
            <v>kyeicynt</v>
          </cell>
          <cell r="E708" t="str">
            <v>CYNTHIA KYEI BAFFOUR</v>
          </cell>
          <cell r="F708" t="str">
            <v>Temporary</v>
          </cell>
          <cell r="G708" t="str">
            <v>UAE</v>
          </cell>
          <cell r="H708" t="str">
            <v>AUH1</v>
          </cell>
        </row>
        <row r="709">
          <cell r="C709">
            <v>206868005</v>
          </cell>
          <cell r="D709" t="str">
            <v>vdelacyr</v>
          </cell>
          <cell r="E709" t="str">
            <v>CYRIL DELA AMAVIE</v>
          </cell>
          <cell r="F709" t="str">
            <v>Temporary</v>
          </cell>
          <cell r="G709" t="str">
            <v>UAE</v>
          </cell>
          <cell r="H709" t="str">
            <v>AUH1</v>
          </cell>
        </row>
        <row r="710">
          <cell r="C710">
            <v>204010041</v>
          </cell>
          <cell r="D710" t="str">
            <v>damiakat</v>
          </cell>
          <cell r="E710" t="str">
            <v>DAMIANO KATO</v>
          </cell>
          <cell r="F710" t="str">
            <v>Temporary</v>
          </cell>
          <cell r="G710" t="str">
            <v>UAE</v>
          </cell>
          <cell r="H710" t="str">
            <v>AUH1</v>
          </cell>
        </row>
        <row r="711">
          <cell r="C711">
            <v>205839583</v>
          </cell>
          <cell r="D711" t="str">
            <v>tibainhd</v>
          </cell>
          <cell r="E711" t="str">
            <v>DAN TIBAINGANA</v>
          </cell>
          <cell r="F711" t="str">
            <v>Temporary</v>
          </cell>
          <cell r="G711" t="str">
            <v>UAE</v>
          </cell>
          <cell r="H711" t="str">
            <v>AUH1</v>
          </cell>
        </row>
        <row r="712">
          <cell r="C712">
            <v>204967147</v>
          </cell>
          <cell r="D712" t="str">
            <v>danaaoda</v>
          </cell>
          <cell r="E712" t="str">
            <v>DANAA,DAVID</v>
          </cell>
          <cell r="F712" t="str">
            <v>Temporary</v>
          </cell>
          <cell r="G712" t="str">
            <v>UAE</v>
          </cell>
          <cell r="H712" t="str">
            <v>AUH1</v>
          </cell>
        </row>
        <row r="713">
          <cell r="C713">
            <v>204138497</v>
          </cell>
          <cell r="D713" t="str">
            <v>daatinga</v>
          </cell>
          <cell r="E713" t="str">
            <v>DANIEL DOK ATINGA</v>
          </cell>
          <cell r="F713" t="str">
            <v>Temporary</v>
          </cell>
          <cell r="G713" t="str">
            <v>UAE</v>
          </cell>
          <cell r="H713" t="str">
            <v>AUH1</v>
          </cell>
        </row>
        <row r="714">
          <cell r="C714">
            <v>206846688</v>
          </cell>
          <cell r="D714" t="str">
            <v>davawaya</v>
          </cell>
          <cell r="E714" t="str">
            <v>Davis Wayabira</v>
          </cell>
          <cell r="F714" t="str">
            <v>Temporary</v>
          </cell>
          <cell r="G714" t="str">
            <v>UAE</v>
          </cell>
          <cell r="H714" t="str">
            <v>AUH1</v>
          </cell>
        </row>
        <row r="715">
          <cell r="C715">
            <v>203965177</v>
          </cell>
          <cell r="D715" t="str">
            <v>ujstanle</v>
          </cell>
          <cell r="E715" t="str">
            <v>DEGLE JOSHUA Staniley</v>
          </cell>
          <cell r="F715" t="str">
            <v>Temporary</v>
          </cell>
          <cell r="G715" t="str">
            <v>UAE</v>
          </cell>
          <cell r="H715" t="str">
            <v>AUH1</v>
          </cell>
        </row>
        <row r="716">
          <cell r="C716">
            <v>102434089</v>
          </cell>
          <cell r="D716" t="str">
            <v>odelap</v>
          </cell>
          <cell r="E716" t="str">
            <v>Dela Pane,Orbes</v>
          </cell>
          <cell r="F716" t="str">
            <v>Regular</v>
          </cell>
          <cell r="G716" t="str">
            <v>UAE</v>
          </cell>
          <cell r="H716" t="str">
            <v>AUH1</v>
          </cell>
        </row>
        <row r="717">
          <cell r="C717">
            <v>206199998</v>
          </cell>
          <cell r="D717" t="str">
            <v>djoegich</v>
          </cell>
          <cell r="E717" t="str">
            <v>DENNIS JOE GICHUHI</v>
          </cell>
          <cell r="F717" t="str">
            <v>Temporary</v>
          </cell>
          <cell r="G717" t="str">
            <v>UAE</v>
          </cell>
          <cell r="H717" t="str">
            <v>AUH1</v>
          </cell>
        </row>
        <row r="718">
          <cell r="C718">
            <v>205861618</v>
          </cell>
          <cell r="D718" t="str">
            <v>denmbium</v>
          </cell>
          <cell r="E718" t="str">
            <v>Dennis Mbiu</v>
          </cell>
          <cell r="F718" t="str">
            <v>Temporary</v>
          </cell>
          <cell r="G718" t="str">
            <v>UAE</v>
          </cell>
          <cell r="H718" t="str">
            <v>AUH1</v>
          </cell>
        </row>
        <row r="719">
          <cell r="C719">
            <v>206247771</v>
          </cell>
          <cell r="D719" t="str">
            <v>depporah</v>
          </cell>
          <cell r="E719" t="str">
            <v>Depporah Nyamusi</v>
          </cell>
          <cell r="F719" t="str">
            <v>Temporary</v>
          </cell>
          <cell r="G719" t="str">
            <v>UAE</v>
          </cell>
          <cell r="H719" t="str">
            <v>AUH1</v>
          </cell>
        </row>
        <row r="720">
          <cell r="C720">
            <v>204319798</v>
          </cell>
          <cell r="D720" t="str">
            <v>derwardz</v>
          </cell>
          <cell r="E720" t="str">
            <v>Derrick Brew Ward</v>
          </cell>
          <cell r="F720" t="str">
            <v>Temporary</v>
          </cell>
          <cell r="G720" t="str">
            <v>UAE</v>
          </cell>
          <cell r="H720" t="str">
            <v>AUH1</v>
          </cell>
        </row>
        <row r="721">
          <cell r="C721">
            <v>206915474</v>
          </cell>
          <cell r="D721" t="str">
            <v>derrkabu</v>
          </cell>
          <cell r="E721" t="str">
            <v>Derrick Kabuye</v>
          </cell>
          <cell r="F721" t="str">
            <v>Temporary</v>
          </cell>
          <cell r="G721" t="str">
            <v>UAE</v>
          </cell>
          <cell r="H721" t="str">
            <v>AUH1</v>
          </cell>
        </row>
        <row r="722">
          <cell r="C722">
            <v>203850766</v>
          </cell>
          <cell r="D722" t="str">
            <v>dekiwanu</v>
          </cell>
          <cell r="E722" t="str">
            <v>DERRICK KIWANUKA</v>
          </cell>
          <cell r="F722" t="str">
            <v>Temporary</v>
          </cell>
          <cell r="G722" t="str">
            <v>UAE</v>
          </cell>
          <cell r="H722" t="str">
            <v>AUH1</v>
          </cell>
        </row>
        <row r="723">
          <cell r="C723">
            <v>203908841</v>
          </cell>
          <cell r="D723" t="str">
            <v>derriatt</v>
          </cell>
          <cell r="E723" t="str">
            <v>Derrickson Attipoe</v>
          </cell>
          <cell r="F723" t="str">
            <v>Temporary</v>
          </cell>
          <cell r="G723" t="str">
            <v>UAE</v>
          </cell>
          <cell r="H723" t="str">
            <v>AUH1</v>
          </cell>
        </row>
        <row r="724">
          <cell r="C724">
            <v>206930333</v>
          </cell>
          <cell r="D724" t="str">
            <v>wadianan</v>
          </cell>
          <cell r="E724" t="str">
            <v>DIANA NDULU WAMBUA</v>
          </cell>
          <cell r="F724" t="str">
            <v>Temporary</v>
          </cell>
          <cell r="G724" t="str">
            <v>UAE</v>
          </cell>
          <cell r="H724" t="str">
            <v>AUH1</v>
          </cell>
        </row>
        <row r="725">
          <cell r="C725">
            <v>203813032</v>
          </cell>
          <cell r="D725" t="str">
            <v>dilwinja</v>
          </cell>
          <cell r="E725" t="str">
            <v>DILWIN JOSE</v>
          </cell>
          <cell r="F725" t="str">
            <v>Temporary</v>
          </cell>
          <cell r="G725" t="str">
            <v>UAE</v>
          </cell>
          <cell r="H725" t="str">
            <v>AUH1</v>
          </cell>
        </row>
        <row r="726">
          <cell r="C726">
            <v>204009619</v>
          </cell>
          <cell r="D726" t="str">
            <v>gautaldi</v>
          </cell>
          <cell r="E726" t="str">
            <v>DIPESH GAUTAM</v>
          </cell>
          <cell r="F726" t="str">
            <v>Temporary</v>
          </cell>
          <cell r="G726" t="str">
            <v>UAE</v>
          </cell>
          <cell r="H726" t="str">
            <v>AUH1</v>
          </cell>
        </row>
        <row r="727">
          <cell r="C727">
            <v>204094216</v>
          </cell>
          <cell r="D727" t="str">
            <v>ndiranio</v>
          </cell>
          <cell r="E727" t="str">
            <v>Diranie Buteh Omah</v>
          </cell>
          <cell r="F727" t="str">
            <v>Temporary</v>
          </cell>
          <cell r="G727" t="str">
            <v>UAE</v>
          </cell>
          <cell r="H727" t="str">
            <v>AUH1</v>
          </cell>
        </row>
        <row r="728">
          <cell r="C728">
            <v>202516581</v>
          </cell>
          <cell r="D728" t="str">
            <v>mensdorc</v>
          </cell>
          <cell r="E728" t="str">
            <v>Dorcas Mensah</v>
          </cell>
          <cell r="F728" t="str">
            <v>Temporary</v>
          </cell>
          <cell r="G728" t="str">
            <v>UAE</v>
          </cell>
          <cell r="H728" t="str">
            <v>AUH1</v>
          </cell>
        </row>
        <row r="729">
          <cell r="C729">
            <v>206868288</v>
          </cell>
          <cell r="D729" t="str">
            <v>margdufi</v>
          </cell>
          <cell r="E729" t="str">
            <v>DUFIE MARY</v>
          </cell>
          <cell r="F729" t="str">
            <v>Temporary</v>
          </cell>
          <cell r="G729" t="str">
            <v>UAE</v>
          </cell>
          <cell r="H729" t="str">
            <v>AUH1</v>
          </cell>
        </row>
        <row r="730">
          <cell r="C730">
            <v>203908859</v>
          </cell>
          <cell r="D730" t="str">
            <v>ebenfbra</v>
          </cell>
          <cell r="E730" t="str">
            <v>Ebenezer Brabi</v>
          </cell>
          <cell r="F730" t="str">
            <v>Temporary</v>
          </cell>
          <cell r="G730" t="str">
            <v>UAE</v>
          </cell>
          <cell r="H730" t="str">
            <v>AUH1</v>
          </cell>
        </row>
        <row r="731">
          <cell r="C731">
            <v>206073363</v>
          </cell>
          <cell r="D731" t="str">
            <v>jebenowu</v>
          </cell>
          <cell r="E731" t="str">
            <v>Ebenezer Owusu</v>
          </cell>
          <cell r="F731" t="str">
            <v>Temporary</v>
          </cell>
          <cell r="G731" t="str">
            <v>UAE</v>
          </cell>
          <cell r="H731" t="str">
            <v>AUH1</v>
          </cell>
        </row>
        <row r="732">
          <cell r="C732">
            <v>205839586</v>
          </cell>
          <cell r="D732" t="str">
            <v>edtwinam</v>
          </cell>
          <cell r="E732" t="str">
            <v>EDGAR TWINAMATSIKO</v>
          </cell>
          <cell r="F732" t="str">
            <v>Temporary</v>
          </cell>
          <cell r="G732" t="str">
            <v>UAE</v>
          </cell>
          <cell r="H732" t="str">
            <v>AUH1</v>
          </cell>
        </row>
        <row r="733">
          <cell r="C733">
            <v>204172862</v>
          </cell>
          <cell r="D733" t="str">
            <v>edinakye</v>
          </cell>
          <cell r="E733" t="str">
            <v>Edina kyeremaa</v>
          </cell>
          <cell r="F733" t="str">
            <v>Temporary</v>
          </cell>
          <cell r="G733" t="str">
            <v>UAE</v>
          </cell>
          <cell r="H733" t="str">
            <v>AUH1</v>
          </cell>
        </row>
        <row r="734">
          <cell r="C734">
            <v>203741316</v>
          </cell>
          <cell r="D734" t="str">
            <v>achedith</v>
          </cell>
          <cell r="E734" t="str">
            <v>EDITH ACHEAMPONG</v>
          </cell>
          <cell r="F734" t="str">
            <v>Temporary</v>
          </cell>
          <cell r="G734" t="str">
            <v>UAE</v>
          </cell>
          <cell r="H734" t="str">
            <v>AUH1</v>
          </cell>
        </row>
        <row r="735">
          <cell r="C735">
            <v>204116867</v>
          </cell>
          <cell r="D735" t="str">
            <v>ayenedid</v>
          </cell>
          <cell r="E735" t="str">
            <v>Edith Ayengo</v>
          </cell>
          <cell r="F735" t="str">
            <v>Temporary</v>
          </cell>
          <cell r="G735" t="str">
            <v>UAE</v>
          </cell>
          <cell r="H735" t="str">
            <v>AUH1</v>
          </cell>
        </row>
        <row r="736">
          <cell r="C736">
            <v>203800485</v>
          </cell>
          <cell r="D736" t="str">
            <v>edsomweb</v>
          </cell>
          <cell r="E736" t="str">
            <v>EDSON MWEBESA</v>
          </cell>
          <cell r="F736" t="str">
            <v>Temporary</v>
          </cell>
          <cell r="G736" t="str">
            <v>UAE</v>
          </cell>
          <cell r="H736" t="str">
            <v>AUH1</v>
          </cell>
        </row>
        <row r="737">
          <cell r="C737">
            <v>206897637</v>
          </cell>
          <cell r="D737" t="str">
            <v>edwitane</v>
          </cell>
          <cell r="E737" t="str">
            <v>EDWIN TANETSWA MPOFU</v>
          </cell>
          <cell r="F737" t="str">
            <v>Temporary</v>
          </cell>
          <cell r="G737" t="str">
            <v>UAE</v>
          </cell>
          <cell r="H737" t="str">
            <v>AUH1</v>
          </cell>
        </row>
        <row r="738">
          <cell r="C738">
            <v>204010535</v>
          </cell>
          <cell r="D738" t="str">
            <v>elagabae</v>
          </cell>
          <cell r="E738" t="str">
            <v>ELIJAH AGABA</v>
          </cell>
          <cell r="F738" t="str">
            <v>Temporary</v>
          </cell>
          <cell r="G738" t="str">
            <v>UAE</v>
          </cell>
          <cell r="H738" t="str">
            <v>AUH1</v>
          </cell>
        </row>
        <row r="739">
          <cell r="C739">
            <v>203514419</v>
          </cell>
          <cell r="D739" t="str">
            <v>frimptel</v>
          </cell>
          <cell r="E739" t="str">
            <v>Elijah Frimpong</v>
          </cell>
          <cell r="F739" t="str">
            <v>Temporary</v>
          </cell>
          <cell r="G739" t="str">
            <v>UAE</v>
          </cell>
          <cell r="H739" t="str">
            <v>AUH1</v>
          </cell>
        </row>
        <row r="740">
          <cell r="C740">
            <v>203851106</v>
          </cell>
          <cell r="D740" t="str">
            <v>amoelish</v>
          </cell>
          <cell r="E740" t="str">
            <v xml:space="preserve">Elisha Kena Amoako </v>
          </cell>
          <cell r="F740" t="str">
            <v>Temporary</v>
          </cell>
          <cell r="G740" t="str">
            <v>UAE</v>
          </cell>
          <cell r="H740" t="str">
            <v>AUH1</v>
          </cell>
        </row>
        <row r="741">
          <cell r="C741">
            <v>206930332</v>
          </cell>
          <cell r="D741" t="str">
            <v>elizmung</v>
          </cell>
          <cell r="E741" t="str">
            <v>ELIZABETH NDUNGE MUNGUTI</v>
          </cell>
          <cell r="F741" t="str">
            <v>Temporary</v>
          </cell>
          <cell r="G741" t="str">
            <v>UAE</v>
          </cell>
          <cell r="H741" t="str">
            <v>AUH1</v>
          </cell>
        </row>
        <row r="742">
          <cell r="C742">
            <v>203908894</v>
          </cell>
          <cell r="D742" t="str">
            <v>emwanamb</v>
          </cell>
          <cell r="E742" t="str">
            <v>Emma Wanabwa</v>
          </cell>
          <cell r="F742" t="str">
            <v>Temporary</v>
          </cell>
          <cell r="G742" t="str">
            <v>UAE</v>
          </cell>
          <cell r="H742" t="str">
            <v>AUH1</v>
          </cell>
        </row>
        <row r="743">
          <cell r="C743">
            <v>203468752</v>
          </cell>
          <cell r="D743" t="str">
            <v>temmaaku</v>
          </cell>
          <cell r="E743" t="str">
            <v>Emmanuel Akuffo</v>
          </cell>
          <cell r="F743" t="str">
            <v>Temporary</v>
          </cell>
          <cell r="G743" t="str">
            <v>UAE</v>
          </cell>
          <cell r="H743" t="str">
            <v>AUH1</v>
          </cell>
        </row>
        <row r="744">
          <cell r="C744">
            <v>203965409</v>
          </cell>
          <cell r="D744" t="str">
            <v>amankemq</v>
          </cell>
          <cell r="E744" t="str">
            <v>Emmanuel Amankwah Buabeng</v>
          </cell>
          <cell r="F744" t="str">
            <v>Temporary</v>
          </cell>
          <cell r="G744" t="str">
            <v>UAE</v>
          </cell>
          <cell r="H744" t="str">
            <v>AUH1</v>
          </cell>
        </row>
        <row r="745">
          <cell r="C745">
            <v>203965407</v>
          </cell>
          <cell r="D745" t="str">
            <v>femamoan</v>
          </cell>
          <cell r="E745" t="str">
            <v>Emmanuel Amoanyi</v>
          </cell>
          <cell r="F745" t="str">
            <v>Temporary</v>
          </cell>
          <cell r="G745" t="str">
            <v>UAE</v>
          </cell>
          <cell r="H745" t="str">
            <v>AUH1</v>
          </cell>
        </row>
        <row r="746">
          <cell r="C746">
            <v>203965522</v>
          </cell>
          <cell r="D746" t="str">
            <v>emmqamuz</v>
          </cell>
          <cell r="E746" t="str">
            <v>Emmanuel Amuzu</v>
          </cell>
          <cell r="F746" t="str">
            <v>Temporary</v>
          </cell>
          <cell r="G746" t="str">
            <v>UAE</v>
          </cell>
          <cell r="H746" t="str">
            <v>AUH1</v>
          </cell>
        </row>
        <row r="747">
          <cell r="C747">
            <v>204138500</v>
          </cell>
          <cell r="D747" t="str">
            <v>dasaemma</v>
          </cell>
          <cell r="E747" t="str">
            <v>Emmanuel Asante</v>
          </cell>
          <cell r="F747" t="str">
            <v>Temporary</v>
          </cell>
          <cell r="G747" t="str">
            <v>UAE</v>
          </cell>
          <cell r="H747" t="str">
            <v>AUH1</v>
          </cell>
        </row>
        <row r="748">
          <cell r="C748">
            <v>203468749</v>
          </cell>
          <cell r="D748" t="str">
            <v>boademma</v>
          </cell>
          <cell r="E748" t="str">
            <v>Emmanuel Boadi</v>
          </cell>
          <cell r="F748" t="str">
            <v>Temporary</v>
          </cell>
          <cell r="G748" t="str">
            <v>UAE</v>
          </cell>
          <cell r="H748" t="str">
            <v>AUH1</v>
          </cell>
        </row>
        <row r="749">
          <cell r="C749">
            <v>206129606</v>
          </cell>
          <cell r="D749" t="str">
            <v>remmanda</v>
          </cell>
          <cell r="E749" t="str">
            <v>Emmanuel Dapaa</v>
          </cell>
          <cell r="F749" t="str">
            <v>Temporary</v>
          </cell>
          <cell r="G749" t="str">
            <v>UAE</v>
          </cell>
          <cell r="H749" t="str">
            <v>AUH1</v>
          </cell>
        </row>
        <row r="750">
          <cell r="C750">
            <v>206915012</v>
          </cell>
          <cell r="D750" t="str">
            <v>kamalize</v>
          </cell>
          <cell r="E750" t="str">
            <v>Emmanuel Kamalizeni</v>
          </cell>
          <cell r="F750" t="str">
            <v>Temporary</v>
          </cell>
          <cell r="G750" t="str">
            <v>UAE</v>
          </cell>
          <cell r="H750" t="str">
            <v>AUH1</v>
          </cell>
        </row>
        <row r="751">
          <cell r="C751">
            <v>204319808</v>
          </cell>
          <cell r="D751" t="str">
            <v>gemmanua</v>
          </cell>
          <cell r="E751" t="str">
            <v>Emmanuel Kobina Arthur</v>
          </cell>
          <cell r="F751" t="str">
            <v>Temporary</v>
          </cell>
          <cell r="G751" t="str">
            <v>UAE</v>
          </cell>
          <cell r="H751" t="str">
            <v>AUH1</v>
          </cell>
        </row>
        <row r="752">
          <cell r="C752">
            <v>204009355</v>
          </cell>
          <cell r="D752" t="str">
            <v>emmamusi</v>
          </cell>
          <cell r="E752" t="str">
            <v>EMMANUEL MUSIIME</v>
          </cell>
          <cell r="F752" t="str">
            <v>Temporary</v>
          </cell>
          <cell r="G752" t="str">
            <v>UAE</v>
          </cell>
          <cell r="H752" t="str">
            <v>AUH1</v>
          </cell>
        </row>
        <row r="753">
          <cell r="C753">
            <v>206846111</v>
          </cell>
          <cell r="D753" t="str">
            <v>etusasir</v>
          </cell>
          <cell r="E753" t="str">
            <v>Emmanuel Tusasirwe</v>
          </cell>
          <cell r="F753" t="str">
            <v>Temporary</v>
          </cell>
          <cell r="G753" t="str">
            <v>UAE</v>
          </cell>
          <cell r="H753" t="str">
            <v>AUH1</v>
          </cell>
        </row>
        <row r="754">
          <cell r="C754">
            <v>206897636</v>
          </cell>
          <cell r="D754" t="str">
            <v>wafulakv</v>
          </cell>
          <cell r="E754" t="str">
            <v>EMMANUEL WAFULA KHAMILA</v>
          </cell>
          <cell r="F754" t="str">
            <v>Temporary</v>
          </cell>
          <cell r="G754" t="str">
            <v>UAE</v>
          </cell>
          <cell r="H754" t="str">
            <v>AUH1</v>
          </cell>
        </row>
        <row r="755">
          <cell r="C755">
            <v>204946697</v>
          </cell>
          <cell r="D755" t="str">
            <v>entettey</v>
          </cell>
          <cell r="E755" t="str">
            <v>ENOCK TETTEY</v>
          </cell>
          <cell r="F755" t="str">
            <v>Temporary</v>
          </cell>
          <cell r="G755" t="str">
            <v>UAE</v>
          </cell>
          <cell r="H755" t="str">
            <v>AUH1</v>
          </cell>
        </row>
        <row r="756">
          <cell r="C756">
            <v>204967053</v>
          </cell>
          <cell r="D756" t="str">
            <v>emensahg</v>
          </cell>
          <cell r="E756" t="str">
            <v>ERIC MENSAH</v>
          </cell>
          <cell r="F756" t="str">
            <v>Temporary</v>
          </cell>
          <cell r="G756" t="str">
            <v>UAE</v>
          </cell>
          <cell r="H756" t="str">
            <v>AUH1</v>
          </cell>
        </row>
        <row r="757">
          <cell r="C757">
            <v>206137344</v>
          </cell>
          <cell r="D757" t="str">
            <v>opokderi</v>
          </cell>
          <cell r="E757" t="str">
            <v>Eric Opoku</v>
          </cell>
          <cell r="F757" t="str">
            <v>Temporary</v>
          </cell>
          <cell r="G757" t="str">
            <v>UAE</v>
          </cell>
          <cell r="H757" t="str">
            <v>AUH1</v>
          </cell>
        </row>
        <row r="758">
          <cell r="C758">
            <v>206192264</v>
          </cell>
          <cell r="D758" t="str">
            <v>ericaffg</v>
          </cell>
          <cell r="E758" t="str">
            <v>Erica Afful</v>
          </cell>
          <cell r="F758" t="str">
            <v>Temporary</v>
          </cell>
          <cell r="G758" t="str">
            <v>UAE</v>
          </cell>
          <cell r="H758" t="str">
            <v>AUH1</v>
          </cell>
        </row>
        <row r="759">
          <cell r="C759">
            <v>203850771</v>
          </cell>
          <cell r="D759" t="str">
            <v>museriya</v>
          </cell>
          <cell r="E759" t="str">
            <v>ERIYA MUSOKE</v>
          </cell>
          <cell r="F759" t="str">
            <v>Temporary</v>
          </cell>
          <cell r="G759" t="str">
            <v>UAE</v>
          </cell>
          <cell r="H759" t="str">
            <v>AUH1</v>
          </cell>
        </row>
        <row r="760">
          <cell r="C760">
            <v>203908324</v>
          </cell>
          <cell r="D760" t="str">
            <v>nkhonesn</v>
          </cell>
          <cell r="E760" t="str">
            <v>Esnart Khonje</v>
          </cell>
          <cell r="F760" t="str">
            <v>Temporary</v>
          </cell>
          <cell r="G760" t="str">
            <v>UAE</v>
          </cell>
          <cell r="H760" t="str">
            <v>AUH1</v>
          </cell>
        </row>
        <row r="761">
          <cell r="C761">
            <v>203881658</v>
          </cell>
          <cell r="D761" t="str">
            <v>evkwarte</v>
          </cell>
          <cell r="E761" t="str">
            <v>Evans Kwarteng</v>
          </cell>
          <cell r="F761" t="str">
            <v>Temporary</v>
          </cell>
          <cell r="G761" t="str">
            <v>UAE</v>
          </cell>
          <cell r="H761" t="str">
            <v>AUH1</v>
          </cell>
        </row>
        <row r="762">
          <cell r="C762">
            <v>205854275</v>
          </cell>
          <cell r="D762" t="str">
            <v>addevely</v>
          </cell>
          <cell r="E762" t="str">
            <v>Evelyn Addo</v>
          </cell>
          <cell r="F762" t="str">
            <v>Temporary</v>
          </cell>
          <cell r="G762" t="str">
            <v>UAE</v>
          </cell>
          <cell r="H762" t="str">
            <v>AUH1</v>
          </cell>
        </row>
        <row r="763">
          <cell r="C763">
            <v>206192267</v>
          </cell>
          <cell r="D763" t="str">
            <v>fcherono</v>
          </cell>
          <cell r="E763" t="str">
            <v>Faith cherono</v>
          </cell>
          <cell r="F763" t="str">
            <v>Temporary</v>
          </cell>
          <cell r="G763" t="str">
            <v>UAE</v>
          </cell>
          <cell r="H763" t="str">
            <v>AUH1</v>
          </cell>
        </row>
        <row r="764">
          <cell r="C764">
            <v>206192230</v>
          </cell>
          <cell r="D764" t="str">
            <v>jepkirtf</v>
          </cell>
          <cell r="E764" t="str">
            <v>Faith Jepkirui</v>
          </cell>
          <cell r="F764" t="str">
            <v>Temporary</v>
          </cell>
          <cell r="G764" t="str">
            <v>UAE</v>
          </cell>
          <cell r="H764" t="str">
            <v>AUH1</v>
          </cell>
        </row>
        <row r="765">
          <cell r="C765">
            <v>203908323</v>
          </cell>
          <cell r="D765" t="str">
            <v>fakiyumr</v>
          </cell>
          <cell r="E765" t="str">
            <v>FAIZAL,KIYEMBA</v>
          </cell>
          <cell r="F765" t="str">
            <v>Temporary</v>
          </cell>
          <cell r="G765" t="str">
            <v>UAE</v>
          </cell>
          <cell r="H765" t="str">
            <v>AUH1</v>
          </cell>
        </row>
        <row r="766">
          <cell r="C766">
            <v>105485458</v>
          </cell>
          <cell r="D766" t="str">
            <v>alfazan</v>
          </cell>
          <cell r="E766" t="str">
            <v>Faizan Ali</v>
          </cell>
          <cell r="F766" t="str">
            <v>Regular</v>
          </cell>
          <cell r="G766" t="str">
            <v>UAE</v>
          </cell>
          <cell r="H766" t="str">
            <v>AUH1</v>
          </cell>
        </row>
        <row r="767">
          <cell r="C767">
            <v>205252538</v>
          </cell>
          <cell r="D767" t="str">
            <v>fanqgise</v>
          </cell>
          <cell r="E767" t="str">
            <v>Fang,Giselle Fuen</v>
          </cell>
          <cell r="F767" t="str">
            <v>Temporary</v>
          </cell>
          <cell r="G767" t="str">
            <v>UAE</v>
          </cell>
          <cell r="H767" t="str">
            <v>AUH1</v>
          </cell>
        </row>
        <row r="768">
          <cell r="C768">
            <v>204373722</v>
          </cell>
          <cell r="D768" t="str">
            <v>favalapp</v>
          </cell>
          <cell r="E768" t="str">
            <v>Farhan Mohammed Kodakkattu Valappil</v>
          </cell>
          <cell r="F768" t="str">
            <v>Temporary</v>
          </cell>
          <cell r="G768" t="str">
            <v>UAE</v>
          </cell>
          <cell r="H768" t="str">
            <v>AUH1</v>
          </cell>
        </row>
        <row r="769">
          <cell r="C769">
            <v>205839585</v>
          </cell>
          <cell r="D769" t="str">
            <v>faroukki</v>
          </cell>
          <cell r="E769" t="str">
            <v>FAROUK KIBALAMA</v>
          </cell>
          <cell r="F769" t="str">
            <v>Temporary</v>
          </cell>
          <cell r="G769" t="str">
            <v>UAE</v>
          </cell>
          <cell r="H769" t="str">
            <v>AUH1</v>
          </cell>
        </row>
        <row r="770">
          <cell r="C770">
            <v>204094215</v>
          </cell>
          <cell r="D770" t="str">
            <v>kpafatma</v>
          </cell>
          <cell r="E770" t="str">
            <v>Fatmata Kpaka</v>
          </cell>
          <cell r="F770" t="str">
            <v>Temporary</v>
          </cell>
          <cell r="G770" t="str">
            <v>UAE</v>
          </cell>
          <cell r="H770" t="str">
            <v>AUH1</v>
          </cell>
        </row>
        <row r="771">
          <cell r="C771">
            <v>206239524</v>
          </cell>
          <cell r="D771" t="str">
            <v>fsarckoh</v>
          </cell>
          <cell r="E771" t="str">
            <v>FATU F SARCKOH BONARWOLO</v>
          </cell>
          <cell r="F771" t="str">
            <v>Temporary</v>
          </cell>
          <cell r="G771" t="str">
            <v>UAE</v>
          </cell>
          <cell r="H771" t="str">
            <v>AUH1</v>
          </cell>
        </row>
        <row r="772">
          <cell r="C772">
            <v>102582339</v>
          </cell>
          <cell r="D772" t="str">
            <v>noufalf</v>
          </cell>
          <cell r="E772" t="str">
            <v>Faziludeen,Noufal</v>
          </cell>
          <cell r="F772" t="str">
            <v>Regular</v>
          </cell>
          <cell r="G772" t="str">
            <v>UAE</v>
          </cell>
          <cell r="H772" t="str">
            <v>AUH1</v>
          </cell>
        </row>
        <row r="773">
          <cell r="C773">
            <v>206886514</v>
          </cell>
          <cell r="D773" t="str">
            <v>nkrfelix</v>
          </cell>
          <cell r="E773" t="str">
            <v>FELIX MENSAH NKRUMAH</v>
          </cell>
          <cell r="F773" t="str">
            <v>Temporary</v>
          </cell>
          <cell r="G773" t="str">
            <v>UAE</v>
          </cell>
          <cell r="H773" t="str">
            <v>AUH1</v>
          </cell>
        </row>
        <row r="774">
          <cell r="C774">
            <v>204138116</v>
          </cell>
          <cell r="D774" t="str">
            <v>fodaigak</v>
          </cell>
          <cell r="E774" t="str">
            <v>Fongoh Daiga Kingsly</v>
          </cell>
          <cell r="F774" t="str">
            <v>Temporary</v>
          </cell>
          <cell r="G774" t="str">
            <v>UAE</v>
          </cell>
          <cell r="H774" t="str">
            <v>AUH1</v>
          </cell>
        </row>
        <row r="775">
          <cell r="C775">
            <v>205996132</v>
          </cell>
          <cell r="D775" t="str">
            <v>fosovict</v>
          </cell>
          <cell r="E775" t="str">
            <v>FOSSOH VICTOR PRISO</v>
          </cell>
          <cell r="F775" t="str">
            <v>Temporary</v>
          </cell>
          <cell r="G775" t="str">
            <v>UAE</v>
          </cell>
          <cell r="H775" t="str">
            <v>AUH1</v>
          </cell>
        </row>
        <row r="776">
          <cell r="C776">
            <v>206915147</v>
          </cell>
          <cell r="D776" t="str">
            <v>frapafem</v>
          </cell>
          <cell r="E776" t="str">
            <v>Francis Afema</v>
          </cell>
          <cell r="F776" t="str">
            <v>Temporary</v>
          </cell>
          <cell r="G776" t="str">
            <v>UAE</v>
          </cell>
          <cell r="H776" t="str">
            <v>AUH1</v>
          </cell>
        </row>
        <row r="777">
          <cell r="C777">
            <v>206065208</v>
          </cell>
          <cell r="D777" t="str">
            <v>araalfra</v>
          </cell>
          <cell r="E777" t="str">
            <v>FRANCIS ARAALI MUTEGEKI</v>
          </cell>
          <cell r="F777" t="str">
            <v>Temporary</v>
          </cell>
          <cell r="G777" t="str">
            <v>UAE</v>
          </cell>
          <cell r="H777" t="str">
            <v>AUH1</v>
          </cell>
        </row>
        <row r="778">
          <cell r="C778">
            <v>204865035</v>
          </cell>
          <cell r="D778" t="str">
            <v>harthufr</v>
          </cell>
          <cell r="E778" t="str">
            <v>FRANCIS ARTHUR</v>
          </cell>
          <cell r="F778" t="str">
            <v>Temporary</v>
          </cell>
          <cell r="G778" t="str">
            <v>UAE</v>
          </cell>
          <cell r="H778" t="str">
            <v>AUH1</v>
          </cell>
        </row>
        <row r="779">
          <cell r="C779">
            <v>203850767</v>
          </cell>
          <cell r="D779" t="str">
            <v>frategek</v>
          </cell>
          <cell r="E779" t="str">
            <v>FRANCIS ATEGEKA</v>
          </cell>
          <cell r="F779" t="str">
            <v>Temporary</v>
          </cell>
          <cell r="G779" t="str">
            <v>UAE</v>
          </cell>
          <cell r="H779" t="str">
            <v>AUH1</v>
          </cell>
        </row>
        <row r="780">
          <cell r="C780">
            <v>204865037</v>
          </cell>
          <cell r="D780" t="str">
            <v>cudjoeif</v>
          </cell>
          <cell r="E780" t="str">
            <v>FRANCIS CUDJOE</v>
          </cell>
          <cell r="F780" t="str">
            <v>Temporary</v>
          </cell>
          <cell r="G780" t="str">
            <v>UAE</v>
          </cell>
          <cell r="H780" t="str">
            <v>AUH1</v>
          </cell>
        </row>
        <row r="781">
          <cell r="C781">
            <v>204137705</v>
          </cell>
          <cell r="D781" t="str">
            <v>kufranc</v>
          </cell>
          <cell r="E781" t="str">
            <v>Francis Kuma</v>
          </cell>
          <cell r="F781" t="str">
            <v>Temporary</v>
          </cell>
          <cell r="G781" t="str">
            <v>UAE</v>
          </cell>
          <cell r="H781" t="str">
            <v>AUH1</v>
          </cell>
        </row>
        <row r="782">
          <cell r="C782">
            <v>206897644</v>
          </cell>
          <cell r="D782" t="str">
            <v>odurfraa</v>
          </cell>
          <cell r="E782" t="str">
            <v>FRANCIS ODURO</v>
          </cell>
          <cell r="F782" t="str">
            <v>Temporary</v>
          </cell>
          <cell r="G782" t="str">
            <v>UAE</v>
          </cell>
          <cell r="H782" t="str">
            <v>AUH1</v>
          </cell>
        </row>
        <row r="783">
          <cell r="C783">
            <v>203737010</v>
          </cell>
          <cell r="D783" t="str">
            <v>ansafraz</v>
          </cell>
          <cell r="E783" t="str">
            <v>Francis Owusu Ansah</v>
          </cell>
          <cell r="F783" t="str">
            <v>Temporary</v>
          </cell>
          <cell r="G783" t="str">
            <v>UAE</v>
          </cell>
          <cell r="H783" t="str">
            <v>AUH1</v>
          </cell>
        </row>
        <row r="784">
          <cell r="C784">
            <v>206906443</v>
          </cell>
          <cell r="D784" t="str">
            <v>frmayeng</v>
          </cell>
          <cell r="E784" t="str">
            <v>FRANK MAYENGO</v>
          </cell>
          <cell r="F784" t="str">
            <v>Temporary</v>
          </cell>
          <cell r="G784" t="str">
            <v>UAE</v>
          </cell>
          <cell r="H784" t="str">
            <v>AUH1</v>
          </cell>
        </row>
        <row r="785">
          <cell r="C785">
            <v>203993509</v>
          </cell>
          <cell r="D785" t="str">
            <v>nuwafrag</v>
          </cell>
          <cell r="E785" t="str">
            <v>FRANK NUWAHEREZA</v>
          </cell>
          <cell r="F785" t="str">
            <v>Temporary</v>
          </cell>
          <cell r="G785" t="str">
            <v>UAE</v>
          </cell>
          <cell r="H785" t="str">
            <v>AUH1</v>
          </cell>
        </row>
        <row r="786">
          <cell r="C786">
            <v>206850959</v>
          </cell>
          <cell r="D786" t="str">
            <v>bakisurf</v>
          </cell>
          <cell r="E786" t="str">
            <v>Fred Bakisula</v>
          </cell>
          <cell r="F786" t="str">
            <v>Temporary</v>
          </cell>
          <cell r="G786" t="str">
            <v>UAE</v>
          </cell>
          <cell r="H786" t="str">
            <v>AUH1</v>
          </cell>
        </row>
        <row r="787">
          <cell r="C787">
            <v>206128855</v>
          </cell>
          <cell r="D787" t="str">
            <v>frsagyem</v>
          </cell>
          <cell r="E787" t="str">
            <v>Freda Agyemang</v>
          </cell>
          <cell r="F787" t="str">
            <v>Temporary</v>
          </cell>
          <cell r="G787" t="str">
            <v>UAE</v>
          </cell>
          <cell r="H787" t="str">
            <v>AUH1</v>
          </cell>
        </row>
        <row r="788">
          <cell r="C788">
            <v>203965176</v>
          </cell>
          <cell r="D788" t="str">
            <v>agyemafy</v>
          </cell>
          <cell r="E788" t="str">
            <v>Freduah Agyemang</v>
          </cell>
          <cell r="F788" t="str">
            <v>Temporary</v>
          </cell>
          <cell r="G788" t="str">
            <v>UAE</v>
          </cell>
          <cell r="H788" t="str">
            <v>AUH1</v>
          </cell>
        </row>
        <row r="789">
          <cell r="C789">
            <v>205852638</v>
          </cell>
          <cell r="D789" t="str">
            <v>kimufrid</v>
          </cell>
          <cell r="E789" t="str">
            <v>FRIDAH JEPTEBKWENY KIMUNJOS</v>
          </cell>
          <cell r="F789" t="str">
            <v>Temporary</v>
          </cell>
          <cell r="G789" t="str">
            <v>UAE</v>
          </cell>
          <cell r="H789" t="str">
            <v>AUH1</v>
          </cell>
        </row>
        <row r="790">
          <cell r="C790">
            <v>206192269</v>
          </cell>
          <cell r="D790" t="str">
            <v>nyfridax</v>
          </cell>
          <cell r="E790" t="str">
            <v>Fridah Kwamboka</v>
          </cell>
          <cell r="F790" t="str">
            <v>Temporary</v>
          </cell>
          <cell r="G790" t="str">
            <v>UAE</v>
          </cell>
          <cell r="H790" t="str">
            <v>AUH1</v>
          </cell>
        </row>
        <row r="791">
          <cell r="C791">
            <v>204070590</v>
          </cell>
          <cell r="D791" t="str">
            <v>kibgasto</v>
          </cell>
          <cell r="E791" t="str">
            <v>GASTON KIBUGA</v>
          </cell>
          <cell r="F791" t="str">
            <v>Temporary</v>
          </cell>
          <cell r="G791" t="str">
            <v>UAE</v>
          </cell>
          <cell r="H791" t="str">
            <v>AUH1</v>
          </cell>
        </row>
        <row r="792">
          <cell r="C792">
            <v>204010424</v>
          </cell>
          <cell r="D792" t="str">
            <v>ssegeoff</v>
          </cell>
          <cell r="E792" t="str">
            <v>GEOFFREY SSEMPA</v>
          </cell>
          <cell r="F792" t="str">
            <v>Temporary</v>
          </cell>
          <cell r="G792" t="str">
            <v>UAE</v>
          </cell>
          <cell r="H792" t="str">
            <v>AUH1</v>
          </cell>
        </row>
        <row r="793">
          <cell r="C793">
            <v>206897652</v>
          </cell>
          <cell r="D793" t="str">
            <v>vwillgeo</v>
          </cell>
          <cell r="E793" t="str">
            <v>GEORGE WILLIAM SSEBUMPENJE</v>
          </cell>
          <cell r="F793" t="str">
            <v>Temporary</v>
          </cell>
          <cell r="G793" t="str">
            <v>UAE</v>
          </cell>
          <cell r="H793" t="str">
            <v>AUH1</v>
          </cell>
        </row>
        <row r="794">
          <cell r="C794">
            <v>202460493</v>
          </cell>
          <cell r="D794" t="str">
            <v>earthurg</v>
          </cell>
          <cell r="E794" t="str">
            <v>Georgina Arthur</v>
          </cell>
          <cell r="F794" t="str">
            <v>Temporary</v>
          </cell>
          <cell r="G794" t="str">
            <v>UAE</v>
          </cell>
          <cell r="H794" t="str">
            <v>AUH1</v>
          </cell>
        </row>
        <row r="795">
          <cell r="C795">
            <v>202351580</v>
          </cell>
          <cell r="D795" t="str">
            <v>geradink</v>
          </cell>
          <cell r="E795" t="str">
            <v>Geradine Lumafor</v>
          </cell>
          <cell r="F795" t="str">
            <v>Temporary</v>
          </cell>
          <cell r="G795" t="str">
            <v>UAE</v>
          </cell>
          <cell r="H795" t="str">
            <v>AUH1</v>
          </cell>
        </row>
        <row r="796">
          <cell r="C796">
            <v>204011443</v>
          </cell>
          <cell r="D796" t="str">
            <v>kalyange</v>
          </cell>
          <cell r="E796" t="str">
            <v>GERALD KALYANGO</v>
          </cell>
          <cell r="F796" t="str">
            <v>Temporary</v>
          </cell>
          <cell r="G796" t="str">
            <v>UAE</v>
          </cell>
          <cell r="H796" t="str">
            <v>AUH1</v>
          </cell>
        </row>
        <row r="797">
          <cell r="C797">
            <v>204072301</v>
          </cell>
          <cell r="D797" t="str">
            <v>musingge</v>
          </cell>
          <cell r="E797" t="str">
            <v>GERALD MUSINGUZI</v>
          </cell>
          <cell r="F797" t="str">
            <v>Temporary</v>
          </cell>
          <cell r="G797" t="str">
            <v>UAE</v>
          </cell>
          <cell r="H797" t="str">
            <v>AUH1</v>
          </cell>
        </row>
        <row r="798">
          <cell r="C798">
            <v>206897647</v>
          </cell>
          <cell r="D798" t="str">
            <v>gideboak</v>
          </cell>
          <cell r="E798" t="str">
            <v>GIDEON BOAKYE ABABIO</v>
          </cell>
          <cell r="F798" t="str">
            <v>Temporary</v>
          </cell>
          <cell r="G798" t="str">
            <v>UAE</v>
          </cell>
          <cell r="H798" t="str">
            <v>AUH1</v>
          </cell>
        </row>
        <row r="799">
          <cell r="C799">
            <v>206897649</v>
          </cell>
          <cell r="D799" t="str">
            <v>gideopwa</v>
          </cell>
          <cell r="E799" t="str">
            <v>GIDEON WANJALA WEYAULA</v>
          </cell>
          <cell r="F799" t="str">
            <v>Temporary</v>
          </cell>
          <cell r="G799" t="str">
            <v>UAE</v>
          </cell>
          <cell r="H799" t="str">
            <v>AUH1</v>
          </cell>
        </row>
        <row r="800">
          <cell r="C800">
            <v>206136723</v>
          </cell>
          <cell r="D800" t="str">
            <v>sgiftyaw</v>
          </cell>
          <cell r="E800" t="str">
            <v>Gifty Awuah Ghanaian</v>
          </cell>
          <cell r="F800" t="str">
            <v>Temporary</v>
          </cell>
          <cell r="G800" t="str">
            <v>UAE</v>
          </cell>
          <cell r="H800" t="str">
            <v>AUH1</v>
          </cell>
        </row>
        <row r="801">
          <cell r="C801">
            <v>206136725</v>
          </cell>
          <cell r="D801" t="str">
            <v>prempegi</v>
          </cell>
          <cell r="E801" t="str">
            <v>Gifty Prempeh</v>
          </cell>
          <cell r="F801" t="str">
            <v>Temporary</v>
          </cell>
          <cell r="G801" t="str">
            <v>UAE</v>
          </cell>
          <cell r="H801" t="str">
            <v>AUH1</v>
          </cell>
        </row>
        <row r="802">
          <cell r="C802">
            <v>206239529</v>
          </cell>
          <cell r="D802" t="str">
            <v>glortadu</v>
          </cell>
          <cell r="E802" t="str">
            <v xml:space="preserve">GLORIA ADU </v>
          </cell>
          <cell r="F802" t="str">
            <v>Temporary</v>
          </cell>
          <cell r="G802" t="str">
            <v>UAE</v>
          </cell>
          <cell r="H802" t="str">
            <v>AUH1</v>
          </cell>
        </row>
        <row r="803">
          <cell r="C803">
            <v>206074973</v>
          </cell>
          <cell r="D803" t="str">
            <v>larbiygl</v>
          </cell>
          <cell r="E803" t="str">
            <v>Gloria Larbi Yeboah</v>
          </cell>
          <cell r="F803" t="str">
            <v>Temporary</v>
          </cell>
          <cell r="G803" t="str">
            <v>UAE</v>
          </cell>
          <cell r="H803" t="str">
            <v>AUH1</v>
          </cell>
        </row>
        <row r="804">
          <cell r="C804">
            <v>206926478</v>
          </cell>
          <cell r="D804" t="str">
            <v>mwakagod</v>
          </cell>
          <cell r="E804" t="str">
            <v>GODWIN MWAKA</v>
          </cell>
          <cell r="F804" t="str">
            <v>Temporary</v>
          </cell>
          <cell r="G804" t="str">
            <v>UAE</v>
          </cell>
          <cell r="H804" t="str">
            <v>AUH1</v>
          </cell>
        </row>
        <row r="805">
          <cell r="C805">
            <v>204138503</v>
          </cell>
          <cell r="D805" t="str">
            <v>kodugraf</v>
          </cell>
          <cell r="E805" t="str">
            <v>GRACE Kodua</v>
          </cell>
          <cell r="F805" t="str">
            <v>Temporary</v>
          </cell>
          <cell r="G805" t="str">
            <v>UAE</v>
          </cell>
          <cell r="H805" t="str">
            <v>AUH1</v>
          </cell>
        </row>
        <row r="806">
          <cell r="C806">
            <v>205853573</v>
          </cell>
          <cell r="D806" t="str">
            <v>gwangari</v>
          </cell>
          <cell r="E806" t="str">
            <v>GRACE WANJIRU WANGARI</v>
          </cell>
          <cell r="F806" t="str">
            <v>Temporary</v>
          </cell>
          <cell r="G806" t="str">
            <v>UAE</v>
          </cell>
          <cell r="H806" t="str">
            <v>AUH1</v>
          </cell>
        </row>
        <row r="807">
          <cell r="C807">
            <v>206915464</v>
          </cell>
          <cell r="D807" t="str">
            <v>ngraciou</v>
          </cell>
          <cell r="E807" t="str">
            <v>Gracious Pamhwanya Nyirenda</v>
          </cell>
          <cell r="F807" t="str">
            <v>Temporary</v>
          </cell>
          <cell r="G807" t="str">
            <v>UAE</v>
          </cell>
          <cell r="H807" t="str">
            <v>AUH1</v>
          </cell>
        </row>
        <row r="808">
          <cell r="C808">
            <v>203468748</v>
          </cell>
          <cell r="D808" t="str">
            <v>grahamuc</v>
          </cell>
          <cell r="E808" t="str">
            <v>Graham Muchinikila</v>
          </cell>
          <cell r="F808" t="str">
            <v>Temporary</v>
          </cell>
          <cell r="G808" t="str">
            <v>UAE</v>
          </cell>
          <cell r="H808" t="str">
            <v>AUH1</v>
          </cell>
        </row>
        <row r="809">
          <cell r="C809">
            <v>205199079</v>
          </cell>
          <cell r="D809" t="str">
            <v>jhabshai</v>
          </cell>
          <cell r="E809" t="str">
            <v>Habeeb Shaik</v>
          </cell>
          <cell r="F809" t="str">
            <v>Temporary</v>
          </cell>
          <cell r="G809" t="str">
            <v>UAE</v>
          </cell>
          <cell r="H809" t="str">
            <v>AUH1</v>
          </cell>
        </row>
        <row r="810">
          <cell r="C810">
            <v>206906444</v>
          </cell>
          <cell r="D810" t="str">
            <v>habertmu</v>
          </cell>
          <cell r="E810" t="str">
            <v>HABERT MUHINDO</v>
          </cell>
          <cell r="F810" t="str">
            <v>Temporary</v>
          </cell>
          <cell r="G810" t="str">
            <v>UAE</v>
          </cell>
          <cell r="H810" t="str">
            <v>AUH1</v>
          </cell>
        </row>
        <row r="811">
          <cell r="C811">
            <v>204138121</v>
          </cell>
          <cell r="D811" t="str">
            <v>jarrahad</v>
          </cell>
          <cell r="E811" t="str">
            <v>Haddijatou Jarra</v>
          </cell>
          <cell r="F811" t="str">
            <v>Temporary</v>
          </cell>
          <cell r="G811" t="str">
            <v>UAE</v>
          </cell>
          <cell r="H811" t="str">
            <v>AUH1</v>
          </cell>
        </row>
        <row r="812">
          <cell r="C812">
            <v>204299547</v>
          </cell>
          <cell r="D812" t="str">
            <v>hamzmohp</v>
          </cell>
          <cell r="E812" t="str">
            <v>Hamza Mohammed</v>
          </cell>
          <cell r="F812" t="str">
            <v>Temporary</v>
          </cell>
          <cell r="G812" t="str">
            <v>UAE</v>
          </cell>
          <cell r="H812" t="str">
            <v>AUH1</v>
          </cell>
        </row>
        <row r="813">
          <cell r="C813">
            <v>203965458</v>
          </cell>
          <cell r="D813" t="str">
            <v>apodehan</v>
          </cell>
          <cell r="E813" t="str">
            <v>Hans Apodei Agudey</v>
          </cell>
          <cell r="F813" t="str">
            <v>Temporary</v>
          </cell>
          <cell r="G813" t="str">
            <v>UAE</v>
          </cell>
          <cell r="H813" t="str">
            <v>AUH1</v>
          </cell>
        </row>
        <row r="814">
          <cell r="C814">
            <v>203512949</v>
          </cell>
          <cell r="D814" t="str">
            <v>hnkansah</v>
          </cell>
          <cell r="E814" t="str">
            <v>Harriet Anto Nkansah</v>
          </cell>
          <cell r="F814" t="str">
            <v>Temporary</v>
          </cell>
          <cell r="G814" t="str">
            <v>UAE</v>
          </cell>
          <cell r="H814" t="str">
            <v>AUH1</v>
          </cell>
        </row>
        <row r="815">
          <cell r="C815">
            <v>204072302</v>
          </cell>
          <cell r="D815" t="str">
            <v>kkibehar</v>
          </cell>
          <cell r="E815" t="str">
            <v>HARUNAH KIBENGO</v>
          </cell>
          <cell r="F815" t="str">
            <v>Temporary</v>
          </cell>
          <cell r="G815" t="str">
            <v>UAE</v>
          </cell>
          <cell r="H815" t="str">
            <v>AUH1</v>
          </cell>
        </row>
        <row r="816">
          <cell r="C816">
            <v>202249751</v>
          </cell>
          <cell r="D816" t="str">
            <v>hamumuni</v>
          </cell>
          <cell r="E816" t="str">
            <v>Hassana Mumuni</v>
          </cell>
          <cell r="F816" t="str">
            <v>Temporary</v>
          </cell>
          <cell r="G816" t="str">
            <v>UAE</v>
          </cell>
          <cell r="H816" t="str">
            <v>AUH1</v>
          </cell>
        </row>
        <row r="817">
          <cell r="C817">
            <v>204966775</v>
          </cell>
          <cell r="D817" t="str">
            <v>oseithay</v>
          </cell>
          <cell r="E817" t="str">
            <v>HAYFORD OSEI</v>
          </cell>
          <cell r="F817" t="str">
            <v>Temporary</v>
          </cell>
          <cell r="G817" t="str">
            <v>UAE</v>
          </cell>
          <cell r="H817" t="str">
            <v>AUH1</v>
          </cell>
        </row>
        <row r="818">
          <cell r="C818">
            <v>206915469</v>
          </cell>
          <cell r="D818" t="str">
            <v>kahuhenx</v>
          </cell>
          <cell r="E818" t="str">
            <v>Henry Kahunde</v>
          </cell>
          <cell r="F818" t="str">
            <v>Temporary</v>
          </cell>
          <cell r="G818" t="str">
            <v>UAE</v>
          </cell>
          <cell r="H818" t="str">
            <v>AUH1</v>
          </cell>
        </row>
        <row r="819">
          <cell r="C819">
            <v>204116868</v>
          </cell>
          <cell r="D819" t="str">
            <v>mensathe</v>
          </cell>
          <cell r="E819" t="str">
            <v>Henry Mensah</v>
          </cell>
          <cell r="F819" t="str">
            <v>Temporary</v>
          </cell>
          <cell r="G819" t="str">
            <v>UAE</v>
          </cell>
          <cell r="H819" t="str">
            <v>AUH1</v>
          </cell>
        </row>
        <row r="820">
          <cell r="C820">
            <v>203512668</v>
          </cell>
          <cell r="D820" t="str">
            <v>henredws</v>
          </cell>
          <cell r="E820" t="str">
            <v>Henry Nii Yemoh Edwards</v>
          </cell>
          <cell r="F820" t="str">
            <v>Temporary</v>
          </cell>
          <cell r="G820" t="str">
            <v>UAE</v>
          </cell>
          <cell r="H820" t="str">
            <v>AUH1</v>
          </cell>
        </row>
        <row r="821">
          <cell r="C821">
            <v>204013684</v>
          </cell>
          <cell r="D821" t="str">
            <v>koseihen</v>
          </cell>
          <cell r="E821" t="str">
            <v>Henry Osei</v>
          </cell>
          <cell r="F821" t="str">
            <v>Temporary</v>
          </cell>
          <cell r="G821" t="str">
            <v>UAE</v>
          </cell>
          <cell r="H821" t="str">
            <v>AUH1</v>
          </cell>
        </row>
        <row r="822">
          <cell r="C822">
            <v>206926479</v>
          </cell>
          <cell r="D822" t="str">
            <v>huzamita</v>
          </cell>
          <cell r="E822" t="str">
            <v>HUZAIFAH MITALA</v>
          </cell>
          <cell r="F822" t="str">
            <v>Temporary</v>
          </cell>
          <cell r="G822" t="str">
            <v>UAE</v>
          </cell>
          <cell r="H822" t="str">
            <v>AUH1</v>
          </cell>
        </row>
        <row r="823">
          <cell r="C823">
            <v>108019714</v>
          </cell>
          <cell r="D823" t="str">
            <v>lhuzesay</v>
          </cell>
          <cell r="E823" t="str">
            <v>Huzefa Yusuf Sayed</v>
          </cell>
          <cell r="F823" t="str">
            <v>Regular</v>
          </cell>
          <cell r="G823" t="str">
            <v>UAE</v>
          </cell>
          <cell r="H823" t="str">
            <v>AUH1</v>
          </cell>
        </row>
        <row r="824">
          <cell r="C824">
            <v>203965181</v>
          </cell>
          <cell r="D824" t="str">
            <v>mfatorib</v>
          </cell>
          <cell r="E824" t="str">
            <v>Ibrahim Fatorma Dakowa</v>
          </cell>
          <cell r="F824" t="str">
            <v>Temporary</v>
          </cell>
          <cell r="G824" t="str">
            <v>UAE</v>
          </cell>
          <cell r="H824" t="str">
            <v>AUH1</v>
          </cell>
        </row>
        <row r="825">
          <cell r="C825">
            <v>203468745</v>
          </cell>
          <cell r="D825" t="str">
            <v>otooibra</v>
          </cell>
          <cell r="E825" t="str">
            <v>Ibrahim Otoo</v>
          </cell>
          <cell r="F825" t="str">
            <v>Temporary</v>
          </cell>
          <cell r="G825" t="str">
            <v>UAE</v>
          </cell>
          <cell r="H825" t="str">
            <v>AUH1</v>
          </cell>
        </row>
        <row r="826">
          <cell r="C826">
            <v>203993450</v>
          </cell>
          <cell r="D826" t="str">
            <v>sekamdib</v>
          </cell>
          <cell r="E826" t="str">
            <v>IBRAHIM SEKAMWA</v>
          </cell>
          <cell r="F826" t="str">
            <v>Temporary</v>
          </cell>
          <cell r="G826" t="str">
            <v>UAE</v>
          </cell>
          <cell r="H826" t="str">
            <v>AUH1</v>
          </cell>
        </row>
        <row r="827">
          <cell r="C827">
            <v>203881657</v>
          </cell>
          <cell r="D827" t="str">
            <v>tanguimm</v>
          </cell>
          <cell r="E827" t="str">
            <v>Immaculate Wiysanyuy Tangu</v>
          </cell>
          <cell r="F827" t="str">
            <v>Temporary</v>
          </cell>
          <cell r="G827" t="str">
            <v>UAE</v>
          </cell>
          <cell r="H827" t="str">
            <v>AUH1</v>
          </cell>
        </row>
        <row r="828">
          <cell r="C828">
            <v>204976025</v>
          </cell>
          <cell r="D828" t="str">
            <v>eindrakr</v>
          </cell>
          <cell r="E828" t="str">
            <v>Indra Kumar Ray</v>
          </cell>
          <cell r="F828" t="str">
            <v>Temporary</v>
          </cell>
          <cell r="G828" t="str">
            <v>UAE</v>
          </cell>
          <cell r="H828" t="str">
            <v>AUH1</v>
          </cell>
        </row>
        <row r="829">
          <cell r="C829">
            <v>206850964</v>
          </cell>
          <cell r="D829" t="str">
            <v>akaminno</v>
          </cell>
          <cell r="E829" t="str">
            <v>Innocent Akampa</v>
          </cell>
          <cell r="F829" t="str">
            <v>Temporary</v>
          </cell>
          <cell r="G829" t="str">
            <v>UAE</v>
          </cell>
          <cell r="H829" t="str">
            <v>AUH1</v>
          </cell>
        </row>
        <row r="830">
          <cell r="C830">
            <v>204072304</v>
          </cell>
          <cell r="D830" t="str">
            <v>innamany</v>
          </cell>
          <cell r="E830" t="str">
            <v>INNOCENT CLINTON AMANYA</v>
          </cell>
          <cell r="F830" t="str">
            <v>Temporary</v>
          </cell>
          <cell r="G830" t="str">
            <v>UAE</v>
          </cell>
          <cell r="H830" t="str">
            <v>AUH1</v>
          </cell>
        </row>
        <row r="831">
          <cell r="C831">
            <v>203850785</v>
          </cell>
          <cell r="D831" t="str">
            <v>otiinnoc</v>
          </cell>
          <cell r="E831" t="str">
            <v>INNOCENT OTIM</v>
          </cell>
          <cell r="F831" t="str">
            <v>Temporary</v>
          </cell>
          <cell r="G831" t="str">
            <v>UAE</v>
          </cell>
          <cell r="H831" t="str">
            <v>AUH1</v>
          </cell>
        </row>
        <row r="832">
          <cell r="C832">
            <v>105444856</v>
          </cell>
          <cell r="D832" t="str">
            <v>muhzirfa</v>
          </cell>
          <cell r="E832" t="str">
            <v xml:space="preserve">Irfan,Muhammad </v>
          </cell>
          <cell r="F832" t="str">
            <v>Regular</v>
          </cell>
          <cell r="G832" t="str">
            <v>UAE</v>
          </cell>
          <cell r="H832" t="str">
            <v>AUH1</v>
          </cell>
        </row>
        <row r="833">
          <cell r="C833">
            <v>206138254</v>
          </cell>
          <cell r="D833" t="str">
            <v>isabarim</v>
          </cell>
          <cell r="E833" t="str">
            <v>ISAAC BARIMAH TWUM</v>
          </cell>
          <cell r="F833" t="str">
            <v>Temporary</v>
          </cell>
          <cell r="G833" t="str">
            <v>UAE</v>
          </cell>
          <cell r="H833" t="str">
            <v>AUH1</v>
          </cell>
        </row>
        <row r="834">
          <cell r="C834">
            <v>204951503</v>
          </cell>
          <cell r="D834" t="str">
            <v>isaackwa</v>
          </cell>
          <cell r="E834" t="str">
            <v>ISAAC KWADWO YEBOAH</v>
          </cell>
          <cell r="F834" t="str">
            <v>Temporary</v>
          </cell>
          <cell r="G834" t="str">
            <v>UAE</v>
          </cell>
          <cell r="H834" t="str">
            <v>AUH1</v>
          </cell>
        </row>
        <row r="835">
          <cell r="C835">
            <v>203850807</v>
          </cell>
          <cell r="D835" t="str">
            <v>nabonisa</v>
          </cell>
          <cell r="E835" t="str">
            <v>ISAAC NABONGO</v>
          </cell>
          <cell r="F835" t="str">
            <v>Temporary</v>
          </cell>
          <cell r="G835" t="str">
            <v>UAE</v>
          </cell>
          <cell r="H835" t="str">
            <v>AUH1</v>
          </cell>
        </row>
        <row r="836">
          <cell r="C836">
            <v>112181816</v>
          </cell>
          <cell r="D836" t="str">
            <v>itawiah</v>
          </cell>
          <cell r="E836" t="str">
            <v>Isaac Tilor Tawiah</v>
          </cell>
          <cell r="F836" t="str">
            <v>Temporary</v>
          </cell>
          <cell r="G836" t="str">
            <v>UAE</v>
          </cell>
          <cell r="H836" t="str">
            <v>AUH1</v>
          </cell>
        </row>
        <row r="837">
          <cell r="C837">
            <v>206850962</v>
          </cell>
          <cell r="D837" t="str">
            <v>isamutub</v>
          </cell>
          <cell r="E837" t="str">
            <v>Isaya Mutuba</v>
          </cell>
          <cell r="F837" t="str">
            <v>Temporary</v>
          </cell>
          <cell r="G837" t="str">
            <v>UAE</v>
          </cell>
          <cell r="H837" t="str">
            <v>AUH1</v>
          </cell>
        </row>
        <row r="838">
          <cell r="C838">
            <v>203993281</v>
          </cell>
          <cell r="D838" t="str">
            <v>turaisha</v>
          </cell>
          <cell r="E838" t="str">
            <v>ISHA Turay</v>
          </cell>
          <cell r="F838" t="str">
            <v>Temporary</v>
          </cell>
          <cell r="G838" t="str">
            <v>UAE</v>
          </cell>
          <cell r="H838" t="str">
            <v>AUH1</v>
          </cell>
        </row>
        <row r="839">
          <cell r="C839">
            <v>206846308</v>
          </cell>
          <cell r="D839" t="str">
            <v>gismaiki</v>
          </cell>
          <cell r="E839" t="str">
            <v>Ismail Kiweewa</v>
          </cell>
          <cell r="F839" t="str">
            <v>Temporary</v>
          </cell>
          <cell r="G839" t="str">
            <v>UAE</v>
          </cell>
          <cell r="H839" t="str">
            <v>AUH1</v>
          </cell>
        </row>
        <row r="840">
          <cell r="C840">
            <v>203736752</v>
          </cell>
          <cell r="D840" t="str">
            <v>musthais</v>
          </cell>
          <cell r="E840" t="str">
            <v>ISMAIL THEKKE KUNNUMMAL MUSTHAFA</v>
          </cell>
          <cell r="F840" t="str">
            <v>Temporary</v>
          </cell>
          <cell r="G840" t="str">
            <v>UAE</v>
          </cell>
          <cell r="H840" t="str">
            <v>AUH1</v>
          </cell>
        </row>
        <row r="841">
          <cell r="C841">
            <v>204886570</v>
          </cell>
          <cell r="D841" t="str">
            <v>mustissi</v>
          </cell>
          <cell r="E841" t="str">
            <v>ISSIFU MUSTAPHA</v>
          </cell>
          <cell r="F841" t="str">
            <v>Temporary</v>
          </cell>
          <cell r="G841" t="str">
            <v>UAE</v>
          </cell>
          <cell r="H841" t="str">
            <v>AUH1</v>
          </cell>
        </row>
        <row r="842">
          <cell r="C842">
            <v>204060922</v>
          </cell>
          <cell r="D842" t="str">
            <v>ivankatl</v>
          </cell>
          <cell r="E842" t="str">
            <v>IVAN KATO</v>
          </cell>
          <cell r="F842" t="str">
            <v>Temporary</v>
          </cell>
          <cell r="G842" t="str">
            <v>UAE</v>
          </cell>
          <cell r="H842" t="str">
            <v>AUH1</v>
          </cell>
        </row>
        <row r="843">
          <cell r="C843">
            <v>206846309</v>
          </cell>
          <cell r="D843" t="str">
            <v>muliivan</v>
          </cell>
          <cell r="E843" t="str">
            <v>Ivan Muliika</v>
          </cell>
          <cell r="F843" t="str">
            <v>Temporary</v>
          </cell>
          <cell r="G843" t="str">
            <v>UAE</v>
          </cell>
          <cell r="H843" t="str">
            <v>AUH1</v>
          </cell>
        </row>
        <row r="844">
          <cell r="C844">
            <v>203993118</v>
          </cell>
          <cell r="D844" t="str">
            <v>nkamivan</v>
          </cell>
          <cell r="E844" t="str">
            <v>IVAN NKAMUHABWA</v>
          </cell>
          <cell r="F844" t="str">
            <v>Temporary</v>
          </cell>
          <cell r="G844" t="str">
            <v>UAE</v>
          </cell>
          <cell r="H844" t="str">
            <v>AUH1</v>
          </cell>
        </row>
        <row r="845">
          <cell r="C845">
            <v>205199352</v>
          </cell>
          <cell r="D845" t="str">
            <v>jacobkip</v>
          </cell>
          <cell r="E845" t="str">
            <v>Jacob Kipketer</v>
          </cell>
          <cell r="F845" t="str">
            <v>Temporary</v>
          </cell>
          <cell r="G845" t="str">
            <v>UAE</v>
          </cell>
          <cell r="H845" t="str">
            <v>AUH1</v>
          </cell>
        </row>
        <row r="846">
          <cell r="C846">
            <v>204010090</v>
          </cell>
          <cell r="D846" t="str">
            <v>qmukalaz</v>
          </cell>
          <cell r="E846" t="str">
            <v>JACOB MUKALAZI</v>
          </cell>
          <cell r="F846" t="str">
            <v>Temporary</v>
          </cell>
          <cell r="G846" t="str">
            <v>UAE</v>
          </cell>
          <cell r="H846" t="str">
            <v>AUH1</v>
          </cell>
        </row>
        <row r="847">
          <cell r="C847">
            <v>206850966</v>
          </cell>
          <cell r="D847" t="str">
            <v>niwjames</v>
          </cell>
          <cell r="E847" t="str">
            <v>JAMES NIWARINDA</v>
          </cell>
          <cell r="F847" t="str">
            <v>Temporary</v>
          </cell>
          <cell r="G847" t="str">
            <v>UAE</v>
          </cell>
          <cell r="H847" t="str">
            <v>AUH1</v>
          </cell>
        </row>
        <row r="848">
          <cell r="C848">
            <v>203850808</v>
          </cell>
          <cell r="D848" t="str">
            <v>yijamer</v>
          </cell>
          <cell r="E848" t="str">
            <v>JAMES YIGA</v>
          </cell>
          <cell r="F848" t="str">
            <v>Temporary</v>
          </cell>
          <cell r="G848" t="str">
            <v>UAE</v>
          </cell>
          <cell r="H848" t="str">
            <v>AUH1</v>
          </cell>
        </row>
        <row r="849">
          <cell r="C849">
            <v>206890217</v>
          </cell>
          <cell r="D849" t="str">
            <v>jepkirja</v>
          </cell>
          <cell r="E849" t="str">
            <v>Jane Jepkirui</v>
          </cell>
          <cell r="F849" t="str">
            <v>Temporary</v>
          </cell>
          <cell r="G849" t="str">
            <v>UAE</v>
          </cell>
          <cell r="H849" t="str">
            <v>AUH1</v>
          </cell>
        </row>
        <row r="850">
          <cell r="C850">
            <v>203355686</v>
          </cell>
          <cell r="D850" t="str">
            <v>jeawcruz</v>
          </cell>
          <cell r="E850" t="str">
            <v>Jearic B . Dela Cruz</v>
          </cell>
          <cell r="F850" t="str">
            <v>Temporary</v>
          </cell>
          <cell r="G850" t="str">
            <v>UAE</v>
          </cell>
          <cell r="H850" t="str">
            <v>AUH1</v>
          </cell>
        </row>
        <row r="851">
          <cell r="C851">
            <v>203911255</v>
          </cell>
          <cell r="D851" t="str">
            <v>okumarje</v>
          </cell>
          <cell r="E851" t="str">
            <v>Jeevan Kumar VIJAY KUMAR</v>
          </cell>
          <cell r="F851" t="str">
            <v>Temporary</v>
          </cell>
          <cell r="G851" t="str">
            <v>UAE</v>
          </cell>
          <cell r="H851" t="str">
            <v>AUH1</v>
          </cell>
        </row>
        <row r="852">
          <cell r="C852">
            <v>206136731</v>
          </cell>
          <cell r="D852" t="str">
            <v>wlajeffr</v>
          </cell>
          <cell r="E852" t="str">
            <v>Jeffrey Laryea Kwei Kumah</v>
          </cell>
          <cell r="F852" t="str">
            <v>Temporary</v>
          </cell>
          <cell r="G852" t="str">
            <v>UAE</v>
          </cell>
          <cell r="H852" t="str">
            <v>AUH1</v>
          </cell>
        </row>
        <row r="853">
          <cell r="C853">
            <v>203521137</v>
          </cell>
          <cell r="D853" t="str">
            <v>earbajen</v>
          </cell>
          <cell r="E853" t="str">
            <v>Jennifer Arbah</v>
          </cell>
          <cell r="F853" t="str">
            <v>Temporary</v>
          </cell>
          <cell r="G853" t="str">
            <v>UAE</v>
          </cell>
          <cell r="H853" t="str">
            <v>AUH1</v>
          </cell>
        </row>
        <row r="854">
          <cell r="C854">
            <v>104277448</v>
          </cell>
          <cell r="D854" t="str">
            <v>ABERIAJ</v>
          </cell>
          <cell r="E854" t="str">
            <v>Jennifer Bacsa Aberia</v>
          </cell>
          <cell r="F854" t="str">
            <v>Regular</v>
          </cell>
          <cell r="G854" t="str">
            <v>UAE</v>
          </cell>
          <cell r="H854" t="str">
            <v>AUH1</v>
          </cell>
        </row>
        <row r="855">
          <cell r="C855">
            <v>206886730</v>
          </cell>
          <cell r="D855" t="str">
            <v>jepchval</v>
          </cell>
          <cell r="E855" t="str">
            <v>JEPCHIRCHIR VALENTINE</v>
          </cell>
          <cell r="F855" t="str">
            <v>Temporary</v>
          </cell>
          <cell r="G855" t="str">
            <v>UAE</v>
          </cell>
          <cell r="H855" t="str">
            <v>AUH1</v>
          </cell>
        </row>
        <row r="856">
          <cell r="C856">
            <v>203965183</v>
          </cell>
          <cell r="D856" t="str">
            <v>jephttwe</v>
          </cell>
          <cell r="E856" t="str">
            <v>JEPHTER Twenie</v>
          </cell>
          <cell r="F856" t="str">
            <v>Temporary</v>
          </cell>
          <cell r="G856" t="str">
            <v>UAE</v>
          </cell>
          <cell r="H856" t="str">
            <v>AUH1</v>
          </cell>
        </row>
        <row r="857">
          <cell r="C857">
            <v>206138682</v>
          </cell>
          <cell r="D857" t="str">
            <v>jedaisyt</v>
          </cell>
          <cell r="E857" t="str">
            <v>Jepkurui,Daisy</v>
          </cell>
          <cell r="F857" t="str">
            <v>Temporary</v>
          </cell>
          <cell r="G857" t="str">
            <v>UAE</v>
          </cell>
          <cell r="H857" t="str">
            <v>AUH1</v>
          </cell>
        </row>
        <row r="858">
          <cell r="C858">
            <v>206230579</v>
          </cell>
          <cell r="D858" t="str">
            <v>jeptanui</v>
          </cell>
          <cell r="E858" t="str">
            <v>Jeptanui,Violah</v>
          </cell>
          <cell r="F858" t="str">
            <v>Temporary</v>
          </cell>
          <cell r="G858" t="str">
            <v>UAE</v>
          </cell>
          <cell r="H858" t="str">
            <v>AUH1</v>
          </cell>
        </row>
        <row r="859">
          <cell r="C859">
            <v>206930336</v>
          </cell>
          <cell r="D859" t="str">
            <v>jeropfar</v>
          </cell>
          <cell r="E859" t="str">
            <v xml:space="preserve">JEROP FAITH </v>
          </cell>
          <cell r="F859" t="str">
            <v>Temporary</v>
          </cell>
          <cell r="G859" t="str">
            <v>UAE</v>
          </cell>
          <cell r="H859" t="str">
            <v>AUH1</v>
          </cell>
        </row>
        <row r="860">
          <cell r="C860">
            <v>206517353</v>
          </cell>
          <cell r="D860" t="str">
            <v>jingekwa</v>
          </cell>
          <cell r="E860" t="str">
            <v>JINA MOSINGA EKWALLA</v>
          </cell>
          <cell r="F860" t="str">
            <v>Temporary</v>
          </cell>
          <cell r="G860" t="str">
            <v>UAE</v>
          </cell>
          <cell r="H860" t="str">
            <v>AUH1</v>
          </cell>
        </row>
        <row r="861">
          <cell r="C861">
            <v>204009951</v>
          </cell>
          <cell r="D861" t="str">
            <v>jqkumars</v>
          </cell>
          <cell r="E861" t="str">
            <v>JITENDRA KUMAR SHARMA</v>
          </cell>
          <cell r="F861" t="str">
            <v>Temporary</v>
          </cell>
          <cell r="G861" t="str">
            <v>UAE</v>
          </cell>
          <cell r="H861" t="str">
            <v>AUH1</v>
          </cell>
        </row>
        <row r="862">
          <cell r="C862">
            <v>203850806</v>
          </cell>
          <cell r="D862" t="str">
            <v>amanyjog</v>
          </cell>
          <cell r="E862" t="str">
            <v>JOAB AMANYA</v>
          </cell>
          <cell r="F862" t="str">
            <v>Temporary</v>
          </cell>
          <cell r="G862" t="str">
            <v>UAE</v>
          </cell>
          <cell r="H862" t="str">
            <v>AUH1</v>
          </cell>
        </row>
        <row r="863">
          <cell r="C863">
            <v>203908885</v>
          </cell>
          <cell r="D863" t="str">
            <v>tsindijo</v>
          </cell>
          <cell r="E863" t="str">
            <v>Jockus Tsindika</v>
          </cell>
          <cell r="F863" t="str">
            <v>Temporary</v>
          </cell>
          <cell r="G863" t="str">
            <v>UAE</v>
          </cell>
          <cell r="H863" t="str">
            <v>AUH1</v>
          </cell>
        </row>
        <row r="864">
          <cell r="C864">
            <v>205231290</v>
          </cell>
          <cell r="D864" t="str">
            <v>jumakamb</v>
          </cell>
          <cell r="E864" t="str">
            <v>Jogi,Juma Kambi</v>
          </cell>
          <cell r="F864" t="str">
            <v>Temporary</v>
          </cell>
          <cell r="G864" t="str">
            <v>UAE</v>
          </cell>
          <cell r="H864" t="str">
            <v>AUH1</v>
          </cell>
        </row>
        <row r="865">
          <cell r="C865">
            <v>203965411</v>
          </cell>
          <cell r="D865" t="str">
            <v>joboateq</v>
          </cell>
          <cell r="E865" t="str">
            <v>John Boateng Opoku</v>
          </cell>
          <cell r="F865" t="str">
            <v>Temporary</v>
          </cell>
          <cell r="G865" t="str">
            <v>UAE</v>
          </cell>
          <cell r="H865" t="str">
            <v>AUH1</v>
          </cell>
        </row>
        <row r="866">
          <cell r="C866">
            <v>205923172</v>
          </cell>
          <cell r="D866" t="str">
            <v>ukargjoh</v>
          </cell>
          <cell r="E866" t="str">
            <v>JOHN KARGBO</v>
          </cell>
          <cell r="F866" t="str">
            <v>Temporary</v>
          </cell>
          <cell r="G866" t="str">
            <v>UAE</v>
          </cell>
          <cell r="H866" t="str">
            <v>AUH1</v>
          </cell>
        </row>
        <row r="867">
          <cell r="C867">
            <v>203850804</v>
          </cell>
          <cell r="D867" t="str">
            <v>katamgjo</v>
          </cell>
          <cell r="E867" t="str">
            <v>JOHN KATAMBA</v>
          </cell>
          <cell r="F867" t="str">
            <v>Temporary</v>
          </cell>
          <cell r="G867" t="str">
            <v>UAE</v>
          </cell>
          <cell r="H867" t="str">
            <v>AUH1</v>
          </cell>
        </row>
        <row r="868">
          <cell r="C868">
            <v>204072306</v>
          </cell>
          <cell r="D868" t="str">
            <v>nasasjoh</v>
          </cell>
          <cell r="E868" t="str">
            <v>JOHN NASASIRA</v>
          </cell>
          <cell r="F868" t="str">
            <v>Temporary</v>
          </cell>
          <cell r="G868" t="str">
            <v>UAE</v>
          </cell>
          <cell r="H868" t="str">
            <v>AUH1</v>
          </cell>
        </row>
        <row r="869">
          <cell r="C869">
            <v>203850884</v>
          </cell>
          <cell r="D869" t="str">
            <v>jothembo</v>
          </cell>
          <cell r="E869" t="str">
            <v>JOHN THEMBO</v>
          </cell>
          <cell r="F869" t="str">
            <v>Temporary</v>
          </cell>
          <cell r="G869" t="str">
            <v>UAE</v>
          </cell>
          <cell r="H869" t="str">
            <v>AUH1</v>
          </cell>
        </row>
        <row r="870">
          <cell r="C870">
            <v>203813081</v>
          </cell>
          <cell r="D870" t="str">
            <v>njomajoh</v>
          </cell>
          <cell r="E870" t="str">
            <v>JOHNSON ANTONY JOMAN</v>
          </cell>
          <cell r="F870" t="str">
            <v>Temporary</v>
          </cell>
          <cell r="G870" t="str">
            <v>UAE</v>
          </cell>
          <cell r="H870" t="str">
            <v>AUH1</v>
          </cell>
        </row>
        <row r="871">
          <cell r="C871">
            <v>206015628</v>
          </cell>
          <cell r="D871" t="str">
            <v>ssjonatm</v>
          </cell>
          <cell r="E871" t="str">
            <v>Jonathan Ssali</v>
          </cell>
          <cell r="F871" t="str">
            <v>Temporary</v>
          </cell>
          <cell r="G871" t="str">
            <v>UAE</v>
          </cell>
          <cell r="H871" t="str">
            <v>AUH1</v>
          </cell>
        </row>
        <row r="872">
          <cell r="C872">
            <v>204011579</v>
          </cell>
          <cell r="D872" t="str">
            <v>henrjora</v>
          </cell>
          <cell r="E872" t="str">
            <v>JORAM HENRY WONIALA</v>
          </cell>
          <cell r="F872" t="str">
            <v>Temporary</v>
          </cell>
          <cell r="G872" t="str">
            <v>UAE</v>
          </cell>
          <cell r="H872" t="str">
            <v>AUH1</v>
          </cell>
        </row>
        <row r="873">
          <cell r="C873">
            <v>206607036</v>
          </cell>
          <cell r="D873" t="str">
            <v>ukipetej</v>
          </cell>
          <cell r="E873" t="str">
            <v>JORAM KIPETER</v>
          </cell>
          <cell r="F873" t="str">
            <v>Temporary</v>
          </cell>
          <cell r="G873" t="str">
            <v>UAE</v>
          </cell>
          <cell r="H873" t="str">
            <v>AUH1</v>
          </cell>
        </row>
        <row r="874">
          <cell r="C874">
            <v>205853575</v>
          </cell>
          <cell r="D874" t="str">
            <v>mjosepad</v>
          </cell>
          <cell r="E874" t="str">
            <v>JOSEPH ADDO</v>
          </cell>
          <cell r="F874" t="str">
            <v>Temporary</v>
          </cell>
          <cell r="G874" t="str">
            <v>UAE</v>
          </cell>
          <cell r="H874" t="str">
            <v>AUH1</v>
          </cell>
        </row>
        <row r="875">
          <cell r="C875">
            <v>203285820</v>
          </cell>
          <cell r="D875" t="str">
            <v>atuajose</v>
          </cell>
          <cell r="E875" t="str">
            <v>JOSEPH ATUAHENE</v>
          </cell>
          <cell r="F875" t="str">
            <v>Temporary</v>
          </cell>
          <cell r="G875" t="str">
            <v>UAE</v>
          </cell>
          <cell r="H875" t="str">
            <v>AUH1</v>
          </cell>
        </row>
        <row r="876">
          <cell r="C876">
            <v>205853580</v>
          </cell>
          <cell r="D876" t="str">
            <v>boamejos</v>
          </cell>
          <cell r="E876" t="str">
            <v>JOSEPH BOAME</v>
          </cell>
          <cell r="F876" t="str">
            <v>Temporary</v>
          </cell>
          <cell r="G876" t="str">
            <v>UAE</v>
          </cell>
          <cell r="H876" t="str">
            <v>AUH1</v>
          </cell>
        </row>
        <row r="877">
          <cell r="C877">
            <v>206902845</v>
          </cell>
          <cell r="D877" t="str">
            <v>tchilemb</v>
          </cell>
          <cell r="E877" t="str">
            <v>JOSEPH CHILEMBA</v>
          </cell>
          <cell r="F877" t="str">
            <v>Temporary</v>
          </cell>
          <cell r="G877" t="str">
            <v>UAE</v>
          </cell>
          <cell r="H877" t="str">
            <v>AUH1</v>
          </cell>
        </row>
        <row r="878">
          <cell r="C878">
            <v>204967041</v>
          </cell>
          <cell r="D878" t="str">
            <v>jodansoe</v>
          </cell>
          <cell r="E878" t="str">
            <v>JOSEPH KOFI DANSO YEBOAH</v>
          </cell>
          <cell r="F878" t="str">
            <v>Temporary</v>
          </cell>
          <cell r="G878" t="str">
            <v>UAE</v>
          </cell>
          <cell r="H878" t="str">
            <v>AUH1</v>
          </cell>
        </row>
        <row r="879">
          <cell r="C879">
            <v>203512666</v>
          </cell>
          <cell r="D879" t="str">
            <v>ykwadwoj</v>
          </cell>
          <cell r="E879" t="str">
            <v>Joseph Sunkwa Kwadwo</v>
          </cell>
          <cell r="F879" t="str">
            <v>Temporary</v>
          </cell>
          <cell r="G879" t="str">
            <v>UAE</v>
          </cell>
          <cell r="H879" t="str">
            <v>AUH1</v>
          </cell>
        </row>
        <row r="880">
          <cell r="C880">
            <v>204009978</v>
          </cell>
          <cell r="D880" t="str">
            <v>joshirum</v>
          </cell>
          <cell r="E880" t="str">
            <v>JOSHUA IRUMBA</v>
          </cell>
          <cell r="F880" t="str">
            <v>Temporary</v>
          </cell>
          <cell r="G880" t="str">
            <v>UAE</v>
          </cell>
          <cell r="H880" t="str">
            <v>AUH1</v>
          </cell>
        </row>
        <row r="881">
          <cell r="C881">
            <v>203850879</v>
          </cell>
          <cell r="D881" t="str">
            <v>josompau</v>
          </cell>
          <cell r="E881" t="str">
            <v>JOSHUA MPAULO</v>
          </cell>
          <cell r="F881" t="str">
            <v>Temporary</v>
          </cell>
          <cell r="G881" t="str">
            <v>UAE</v>
          </cell>
          <cell r="H881" t="str">
            <v>AUH1</v>
          </cell>
        </row>
        <row r="882">
          <cell r="C882">
            <v>203993431</v>
          </cell>
          <cell r="D882" t="str">
            <v>okulyjos</v>
          </cell>
          <cell r="E882" t="str">
            <v>JOSHUA OKULA</v>
          </cell>
          <cell r="F882" t="str">
            <v>Temporary</v>
          </cell>
          <cell r="G882" t="str">
            <v>UAE</v>
          </cell>
          <cell r="H882" t="str">
            <v>AUH1</v>
          </cell>
        </row>
        <row r="883">
          <cell r="C883">
            <v>205854083</v>
          </cell>
          <cell r="D883" t="str">
            <v>jwanjird</v>
          </cell>
          <cell r="E883" t="str">
            <v>Joy wanjiru</v>
          </cell>
          <cell r="F883" t="str">
            <v>Temporary</v>
          </cell>
          <cell r="G883" t="str">
            <v>UAE</v>
          </cell>
          <cell r="H883" t="str">
            <v>AUH1</v>
          </cell>
        </row>
        <row r="884">
          <cell r="C884">
            <v>206250876</v>
          </cell>
          <cell r="D884" t="str">
            <v>joycamaa</v>
          </cell>
          <cell r="E884" t="str">
            <v>JOYCE AMA ABBAN</v>
          </cell>
          <cell r="F884" t="str">
            <v>Temporary</v>
          </cell>
          <cell r="G884" t="str">
            <v>UAE</v>
          </cell>
          <cell r="H884" t="str">
            <v>AUH1</v>
          </cell>
        </row>
        <row r="885">
          <cell r="C885">
            <v>202198840</v>
          </cell>
          <cell r="D885" t="str">
            <v>judibaba</v>
          </cell>
          <cell r="E885" t="str">
            <v>Judith Atampoka Baba</v>
          </cell>
          <cell r="F885" t="str">
            <v>Temporary</v>
          </cell>
          <cell r="G885" t="str">
            <v>UAE</v>
          </cell>
          <cell r="H885" t="str">
            <v>AUH1</v>
          </cell>
        </row>
        <row r="886">
          <cell r="C886">
            <v>206850963</v>
          </cell>
          <cell r="D886" t="str">
            <v>mssemjul</v>
          </cell>
          <cell r="E886" t="str">
            <v>Julius Ssemakula</v>
          </cell>
          <cell r="F886" t="str">
            <v>Temporary</v>
          </cell>
          <cell r="G886" t="str">
            <v>UAE</v>
          </cell>
          <cell r="H886" t="str">
            <v>AUH1</v>
          </cell>
        </row>
        <row r="887">
          <cell r="C887">
            <v>203512669</v>
          </cell>
          <cell r="D887" t="str">
            <v>justicyi</v>
          </cell>
          <cell r="E887" t="str">
            <v>Justice Mimba Yin</v>
          </cell>
          <cell r="F887" t="str">
            <v>Temporary</v>
          </cell>
          <cell r="G887" t="str">
            <v>UAE</v>
          </cell>
          <cell r="H887" t="str">
            <v>AUH1</v>
          </cell>
        </row>
        <row r="888">
          <cell r="C888">
            <v>204319796</v>
          </cell>
          <cell r="D888" t="str">
            <v>sesakadi</v>
          </cell>
          <cell r="E888" t="str">
            <v>Kadiatu Sesay</v>
          </cell>
          <cell r="F888" t="str">
            <v>Temporary</v>
          </cell>
          <cell r="G888" t="str">
            <v>UAE</v>
          </cell>
          <cell r="H888" t="str">
            <v>AUH1</v>
          </cell>
        </row>
        <row r="889">
          <cell r="C889">
            <v>204011576</v>
          </cell>
          <cell r="D889" t="str">
            <v>tkalfran</v>
          </cell>
          <cell r="E889" t="str">
            <v>KALULE,FRANK</v>
          </cell>
          <cell r="F889" t="str">
            <v>Temporary</v>
          </cell>
          <cell r="G889" t="str">
            <v>UAE</v>
          </cell>
          <cell r="H889" t="str">
            <v>AUH1</v>
          </cell>
        </row>
        <row r="890">
          <cell r="C890">
            <v>204882473</v>
          </cell>
          <cell r="D890" t="str">
            <v>auguskam</v>
          </cell>
          <cell r="E890" t="str">
            <v>KAMANDA,AUGUSTINE</v>
          </cell>
          <cell r="F890" t="str">
            <v>Temporary</v>
          </cell>
          <cell r="G890" t="str">
            <v>UAE</v>
          </cell>
          <cell r="H890" t="str">
            <v>AUH1</v>
          </cell>
        </row>
        <row r="891">
          <cell r="C891">
            <v>106268190</v>
          </cell>
          <cell r="D891" t="str">
            <v>masifkas</v>
          </cell>
          <cell r="E891" t="str">
            <v>KASHIF MASIH</v>
          </cell>
          <cell r="F891" t="str">
            <v>Regular</v>
          </cell>
          <cell r="G891" t="str">
            <v>UAE</v>
          </cell>
          <cell r="H891" t="str">
            <v>AUH1</v>
          </cell>
        </row>
        <row r="892">
          <cell r="C892">
            <v>203908351</v>
          </cell>
          <cell r="D892" t="str">
            <v>nmpakkas</v>
          </cell>
          <cell r="E892" t="str">
            <v>Kassim Hija Mpaka</v>
          </cell>
          <cell r="F892" t="str">
            <v>Temporary</v>
          </cell>
          <cell r="G892" t="str">
            <v>UAE</v>
          </cell>
          <cell r="H892" t="str">
            <v>AUH1</v>
          </cell>
        </row>
        <row r="893">
          <cell r="C893">
            <v>205236898</v>
          </cell>
          <cell r="D893" t="str">
            <v>mukailka</v>
          </cell>
          <cell r="E893" t="str">
            <v>KASSIM,MUKAILA</v>
          </cell>
          <cell r="F893" t="str">
            <v>Temporary</v>
          </cell>
          <cell r="G893" t="str">
            <v>UAE</v>
          </cell>
          <cell r="H893" t="str">
            <v>AUH1</v>
          </cell>
        </row>
        <row r="894">
          <cell r="C894">
            <v>203850878</v>
          </cell>
          <cell r="D894" t="str">
            <v>kakimera</v>
          </cell>
          <cell r="E894" t="str">
            <v>KATO IVAN KIMERA</v>
          </cell>
          <cell r="F894" t="str">
            <v>Temporary</v>
          </cell>
          <cell r="G894" t="str">
            <v>UAE</v>
          </cell>
          <cell r="H894" t="str">
            <v>AUH1</v>
          </cell>
        </row>
        <row r="895">
          <cell r="C895">
            <v>203850881</v>
          </cell>
          <cell r="D895" t="str">
            <v>kawenahm</v>
          </cell>
          <cell r="E895" t="str">
            <v>KAWENJA SWADIQ AHMED</v>
          </cell>
          <cell r="F895" t="str">
            <v>Temporary</v>
          </cell>
          <cell r="G895" t="str">
            <v>UAE</v>
          </cell>
          <cell r="H895" t="str">
            <v>AUH1</v>
          </cell>
        </row>
        <row r="896">
          <cell r="C896">
            <v>203331877</v>
          </cell>
          <cell r="D896" t="str">
            <v>marahkel</v>
          </cell>
          <cell r="E896" t="str">
            <v>Kelly Hassan Marah</v>
          </cell>
          <cell r="F896" t="str">
            <v>Temporary</v>
          </cell>
          <cell r="G896" t="str">
            <v>UAE</v>
          </cell>
          <cell r="H896" t="str">
            <v>AUH1</v>
          </cell>
        </row>
        <row r="897">
          <cell r="C897">
            <v>206607038</v>
          </cell>
          <cell r="D897" t="str">
            <v>boickelv</v>
          </cell>
          <cell r="E897" t="str">
            <v>KELVIN KIMUTAI BOIT</v>
          </cell>
          <cell r="F897" t="str">
            <v>Temporary</v>
          </cell>
          <cell r="G897" t="str">
            <v>UAE</v>
          </cell>
          <cell r="H897" t="str">
            <v>AUH1</v>
          </cell>
        </row>
        <row r="898">
          <cell r="C898">
            <v>205257125</v>
          </cell>
          <cell r="D898" t="str">
            <v>kiremkel</v>
          </cell>
          <cell r="E898" t="str">
            <v>Kelvin Munene Kirema</v>
          </cell>
          <cell r="F898" t="str">
            <v>Temporary</v>
          </cell>
          <cell r="G898" t="str">
            <v>UAE</v>
          </cell>
          <cell r="H898" t="str">
            <v>AUH1</v>
          </cell>
        </row>
        <row r="899">
          <cell r="C899">
            <v>204228019</v>
          </cell>
          <cell r="D899" t="str">
            <v>kibkenet</v>
          </cell>
          <cell r="E899" t="str">
            <v>KENETH KIBIRIGE</v>
          </cell>
          <cell r="F899" t="str">
            <v>Temporary</v>
          </cell>
          <cell r="G899" t="str">
            <v>UAE</v>
          </cell>
          <cell r="H899" t="str">
            <v>AUH1</v>
          </cell>
        </row>
        <row r="900">
          <cell r="C900">
            <v>204117681</v>
          </cell>
          <cell r="D900" t="str">
            <v>dumsekeh</v>
          </cell>
          <cell r="E900" t="str">
            <v>Keng,Dumse Mannette</v>
          </cell>
          <cell r="F900" t="str">
            <v>Temporary</v>
          </cell>
          <cell r="G900" t="str">
            <v>UAE</v>
          </cell>
          <cell r="H900" t="str">
            <v>AUH1</v>
          </cell>
        </row>
        <row r="901">
          <cell r="C901">
            <v>205257122</v>
          </cell>
          <cell r="D901" t="str">
            <v>kengachu</v>
          </cell>
          <cell r="E901" t="str">
            <v>Kennedy Maina Gachui</v>
          </cell>
          <cell r="F901" t="str">
            <v>Temporary</v>
          </cell>
          <cell r="G901" t="str">
            <v>UAE</v>
          </cell>
          <cell r="H901" t="str">
            <v>AUH1</v>
          </cell>
        </row>
        <row r="902">
          <cell r="C902">
            <v>203850880</v>
          </cell>
          <cell r="D902" t="str">
            <v>kennenav</v>
          </cell>
          <cell r="E902" t="str">
            <v>KENNETH NAYEBARE</v>
          </cell>
          <cell r="F902" t="str">
            <v>Temporary</v>
          </cell>
          <cell r="G902" t="str">
            <v>UAE</v>
          </cell>
          <cell r="H902" t="str">
            <v>AUH1</v>
          </cell>
        </row>
        <row r="903">
          <cell r="C903">
            <v>204072308</v>
          </cell>
          <cell r="D903" t="str">
            <v>turykenn</v>
          </cell>
          <cell r="E903" t="str">
            <v>KENNETH TURYAMUREBA</v>
          </cell>
          <cell r="F903" t="str">
            <v>Temporary</v>
          </cell>
          <cell r="G903" t="str">
            <v>UAE</v>
          </cell>
          <cell r="H903" t="str">
            <v>AUH1</v>
          </cell>
        </row>
        <row r="904">
          <cell r="C904">
            <v>204095806</v>
          </cell>
          <cell r="D904" t="str">
            <v>nsamkeri</v>
          </cell>
          <cell r="E904" t="str">
            <v>Kerim Nsambimana</v>
          </cell>
          <cell r="F904" t="str">
            <v>Temporary</v>
          </cell>
          <cell r="G904" t="str">
            <v>UAE</v>
          </cell>
          <cell r="H904" t="str">
            <v>AUH1</v>
          </cell>
        </row>
        <row r="905">
          <cell r="C905">
            <v>206137340</v>
          </cell>
          <cell r="D905" t="str">
            <v>kevndung</v>
          </cell>
          <cell r="E905" t="str">
            <v>Kevin Ndungu Kosgei</v>
          </cell>
          <cell r="F905" t="str">
            <v>Temporary</v>
          </cell>
          <cell r="G905" t="str">
            <v>UAE</v>
          </cell>
          <cell r="H905" t="str">
            <v>AUH1</v>
          </cell>
        </row>
        <row r="906">
          <cell r="C906">
            <v>204010440</v>
          </cell>
          <cell r="D906" t="str">
            <v>kssekale</v>
          </cell>
          <cell r="E906" t="str">
            <v>kevin ssekalegga</v>
          </cell>
          <cell r="F906" t="str">
            <v>Temporary</v>
          </cell>
          <cell r="G906" t="str">
            <v>UAE</v>
          </cell>
          <cell r="H906" t="str">
            <v>AUH1</v>
          </cell>
        </row>
        <row r="907">
          <cell r="C907">
            <v>206930331</v>
          </cell>
          <cell r="D907" t="str">
            <v>kibevely</v>
          </cell>
          <cell r="E907" t="str">
            <v>KIBAGE,EVELYN</v>
          </cell>
          <cell r="F907" t="str">
            <v>Temporary</v>
          </cell>
          <cell r="G907" t="str">
            <v>UAE</v>
          </cell>
          <cell r="H907" t="str">
            <v>AUH1</v>
          </cell>
        </row>
        <row r="908">
          <cell r="C908">
            <v>206846698</v>
          </cell>
          <cell r="D908" t="str">
            <v>mosekiiz</v>
          </cell>
          <cell r="E908" t="str">
            <v>Kiiza Moses</v>
          </cell>
          <cell r="F908" t="str">
            <v>Temporary</v>
          </cell>
          <cell r="G908" t="str">
            <v>UAE</v>
          </cell>
          <cell r="H908" t="str">
            <v>AUH1</v>
          </cell>
        </row>
        <row r="909">
          <cell r="C909">
            <v>202436104</v>
          </cell>
          <cell r="D909" t="str">
            <v>kingklik</v>
          </cell>
          <cell r="E909" t="str">
            <v>Kingsford Kliko</v>
          </cell>
          <cell r="F909" t="str">
            <v>Temporary</v>
          </cell>
          <cell r="G909" t="str">
            <v>UAE</v>
          </cell>
          <cell r="H909" t="str">
            <v>AUH1</v>
          </cell>
        </row>
        <row r="910">
          <cell r="C910">
            <v>203965179</v>
          </cell>
          <cell r="D910" t="str">
            <v>kiifiank</v>
          </cell>
          <cell r="E910" t="str">
            <v>Kingsley Ohene Fianko</v>
          </cell>
          <cell r="F910" t="str">
            <v>Temporary</v>
          </cell>
          <cell r="G910" t="str">
            <v>UAE</v>
          </cell>
          <cell r="H910" t="str">
            <v>AUH1</v>
          </cell>
        </row>
        <row r="911">
          <cell r="C911">
            <v>206136718</v>
          </cell>
          <cell r="D911" t="str">
            <v>tckinuth</v>
          </cell>
          <cell r="E911" t="str">
            <v>Kinuthia,Caroline Wachera</v>
          </cell>
          <cell r="F911" t="str">
            <v>Temporary</v>
          </cell>
          <cell r="G911" t="str">
            <v>UAE</v>
          </cell>
          <cell r="H911" t="str">
            <v>AUH1</v>
          </cell>
        </row>
        <row r="912">
          <cell r="C912">
            <v>206200811</v>
          </cell>
          <cell r="D912" t="str">
            <v>agyeklin</v>
          </cell>
          <cell r="E912" t="str">
            <v>KLINSMAN AGYEI</v>
          </cell>
          <cell r="F912" t="str">
            <v>Temporary</v>
          </cell>
          <cell r="G912" t="str">
            <v>UAE</v>
          </cell>
          <cell r="H912" t="str">
            <v>AUH1</v>
          </cell>
        </row>
        <row r="913">
          <cell r="C913">
            <v>204890369</v>
          </cell>
          <cell r="D913" t="str">
            <v>kojoache</v>
          </cell>
          <cell r="E913" t="str">
            <v>KOJO ACHEAMPONG,FRANCIS</v>
          </cell>
          <cell r="F913" t="str">
            <v>Temporary</v>
          </cell>
          <cell r="G913" t="str">
            <v>UAE</v>
          </cell>
          <cell r="H913" t="str">
            <v>AUH1</v>
          </cell>
        </row>
        <row r="914">
          <cell r="C914">
            <v>203522217</v>
          </cell>
          <cell r="D914" t="str">
            <v>korkwaku</v>
          </cell>
          <cell r="E914" t="str">
            <v>Koranteng Joseph Kwaku</v>
          </cell>
          <cell r="F914" t="str">
            <v>Temporary</v>
          </cell>
          <cell r="G914" t="str">
            <v>UAE</v>
          </cell>
          <cell r="H914" t="str">
            <v>AUH1</v>
          </cell>
        </row>
        <row r="915">
          <cell r="C915">
            <v>104033275</v>
          </cell>
          <cell r="D915" t="str">
            <v>KRAFANTH</v>
          </cell>
          <cell r="E915" t="str">
            <v>Kraft,Anthony Del Rosario</v>
          </cell>
          <cell r="F915" t="str">
            <v>Regular</v>
          </cell>
          <cell r="G915" t="str">
            <v>UAE</v>
          </cell>
          <cell r="H915" t="str">
            <v>AUH1</v>
          </cell>
        </row>
        <row r="916">
          <cell r="C916">
            <v>204864410</v>
          </cell>
          <cell r="D916" t="str">
            <v>kubiandr</v>
          </cell>
          <cell r="E916" t="str">
            <v>KUBI,ANDREWS APPIAH </v>
          </cell>
          <cell r="F916" t="str">
            <v>Temporary</v>
          </cell>
          <cell r="G916" t="str">
            <v>UAE</v>
          </cell>
          <cell r="H916" t="str">
            <v>AUH1</v>
          </cell>
        </row>
        <row r="917">
          <cell r="C917">
            <v>203908896</v>
          </cell>
          <cell r="D917" t="str">
            <v>kulmika</v>
          </cell>
          <cell r="E917" t="str">
            <v>KULE,MIKA MUSIME</v>
          </cell>
          <cell r="F917" t="str">
            <v>Temporary</v>
          </cell>
          <cell r="G917" t="str">
            <v>UAE</v>
          </cell>
          <cell r="H917" t="str">
            <v>AUH1</v>
          </cell>
        </row>
        <row r="918">
          <cell r="C918">
            <v>103900839</v>
          </cell>
          <cell r="D918" t="str">
            <v>gueudjog</v>
          </cell>
          <cell r="E918" t="str">
            <v>Kwayep,Gueudjo Giresse Franklin</v>
          </cell>
          <cell r="F918" t="str">
            <v>Regular</v>
          </cell>
          <cell r="G918" t="str">
            <v>UAE</v>
          </cell>
          <cell r="H918" t="str">
            <v>AUH1</v>
          </cell>
        </row>
        <row r="919">
          <cell r="C919">
            <v>204882814</v>
          </cell>
          <cell r="D919" t="str">
            <v>douglakw</v>
          </cell>
          <cell r="E919" t="str">
            <v>KWAYIE,DOUGLAS</v>
          </cell>
          <cell r="F919" t="str">
            <v>Temporary</v>
          </cell>
          <cell r="G919" t="str">
            <v>UAE</v>
          </cell>
          <cell r="H919" t="str">
            <v>AUH1</v>
          </cell>
        </row>
        <row r="920">
          <cell r="C920">
            <v>203737012</v>
          </cell>
          <cell r="D920" t="str">
            <v>haykweat</v>
          </cell>
          <cell r="E920" t="str">
            <v>Kweatey Tetteh Hayford</v>
          </cell>
          <cell r="F920" t="str">
            <v>Temporary</v>
          </cell>
          <cell r="G920" t="str">
            <v>UAE</v>
          </cell>
          <cell r="H920" t="str">
            <v>AUH1</v>
          </cell>
        </row>
        <row r="921">
          <cell r="C921">
            <v>106301305</v>
          </cell>
          <cell r="D921" t="str">
            <v>lalaxbab</v>
          </cell>
          <cell r="E921" t="str">
            <v>Lalaine Zabala Babas</v>
          </cell>
          <cell r="F921" t="str">
            <v>Regular</v>
          </cell>
          <cell r="G921" t="str">
            <v>UAE</v>
          </cell>
          <cell r="H921" t="str">
            <v>AUH1</v>
          </cell>
        </row>
        <row r="922">
          <cell r="C922">
            <v>203993521</v>
          </cell>
          <cell r="D922" t="str">
            <v>nuwallat</v>
          </cell>
          <cell r="E922" t="str">
            <v>LATIB NUWALIMANYA</v>
          </cell>
          <cell r="F922" t="str">
            <v>Temporary</v>
          </cell>
          <cell r="G922" t="str">
            <v>UAE</v>
          </cell>
          <cell r="H922" t="str">
            <v>AUH1</v>
          </cell>
        </row>
        <row r="923">
          <cell r="C923">
            <v>206239216</v>
          </cell>
          <cell r="D923" t="str">
            <v>ambirlau</v>
          </cell>
          <cell r="E923" t="str">
            <v>LAURA AMBIRAKUM ANJOYONG</v>
          </cell>
          <cell r="F923" t="str">
            <v>Temporary</v>
          </cell>
          <cell r="G923" t="str">
            <v>UAE</v>
          </cell>
          <cell r="H923" t="str">
            <v>AUH1</v>
          </cell>
        </row>
        <row r="924">
          <cell r="C924">
            <v>206074988</v>
          </cell>
          <cell r="D924" t="str">
            <v>kodjolaw</v>
          </cell>
          <cell r="E924" t="str">
            <v>Lawson Kodjo Osabutey</v>
          </cell>
          <cell r="F924" t="str">
            <v>Temporary</v>
          </cell>
          <cell r="G924" t="str">
            <v>UAE</v>
          </cell>
          <cell r="H924" t="str">
            <v>AUH1</v>
          </cell>
        </row>
        <row r="925">
          <cell r="C925">
            <v>205275634</v>
          </cell>
          <cell r="D925" t="str">
            <v>andleemu</v>
          </cell>
          <cell r="E925" t="str">
            <v>Lee Muriuki Ndeke</v>
          </cell>
          <cell r="F925" t="str">
            <v>Temporary</v>
          </cell>
          <cell r="G925" t="str">
            <v>UAE</v>
          </cell>
          <cell r="H925" t="str">
            <v>AUH1</v>
          </cell>
        </row>
        <row r="926">
          <cell r="C926">
            <v>203342033</v>
          </cell>
          <cell r="D926" t="str">
            <v>lleonakw</v>
          </cell>
          <cell r="E926" t="str">
            <v>Leonard Liwiekwo Kwamogha</v>
          </cell>
          <cell r="F926" t="str">
            <v>Temporary</v>
          </cell>
          <cell r="G926" t="str">
            <v>UAE</v>
          </cell>
          <cell r="H926" t="str">
            <v>AUH1</v>
          </cell>
        </row>
        <row r="927">
          <cell r="C927">
            <v>206897646</v>
          </cell>
          <cell r="D927" t="str">
            <v>lngongch</v>
          </cell>
          <cell r="E927" t="str">
            <v>LEONARD NGONG CHACK</v>
          </cell>
          <cell r="F927" t="str">
            <v>Temporary</v>
          </cell>
          <cell r="G927" t="str">
            <v>UAE</v>
          </cell>
          <cell r="H927" t="str">
            <v>AUH1</v>
          </cell>
        </row>
        <row r="928">
          <cell r="C928">
            <v>203468750</v>
          </cell>
          <cell r="D928" t="str">
            <v>enleopol</v>
          </cell>
          <cell r="E928" t="str">
            <v>Leopold Ntong</v>
          </cell>
          <cell r="F928" t="str">
            <v>Temporary</v>
          </cell>
          <cell r="G928" t="str">
            <v>UAE</v>
          </cell>
          <cell r="H928" t="str">
            <v>AUH1</v>
          </cell>
        </row>
        <row r="929">
          <cell r="C929">
            <v>204138118</v>
          </cell>
          <cell r="D929" t="str">
            <v>appialet</v>
          </cell>
          <cell r="E929" t="str">
            <v>Leticia Appiah</v>
          </cell>
          <cell r="F929" t="str">
            <v>Temporary</v>
          </cell>
          <cell r="G929" t="str">
            <v>UAE</v>
          </cell>
          <cell r="H929" t="str">
            <v>AUH1</v>
          </cell>
        </row>
        <row r="930">
          <cell r="C930">
            <v>205861620</v>
          </cell>
          <cell r="D930" t="str">
            <v>lewmaina</v>
          </cell>
          <cell r="E930" t="str">
            <v>Lewis Maina</v>
          </cell>
          <cell r="F930" t="str">
            <v>Temporary</v>
          </cell>
          <cell r="G930" t="str">
            <v>UAE</v>
          </cell>
          <cell r="H930" t="str">
            <v>AUH1</v>
          </cell>
        </row>
        <row r="931">
          <cell r="C931">
            <v>203468753</v>
          </cell>
          <cell r="D931" t="str">
            <v>lintawia</v>
          </cell>
          <cell r="E931" t="str">
            <v>Linda Tawiah</v>
          </cell>
          <cell r="F931" t="str">
            <v>Temporary</v>
          </cell>
          <cell r="G931" t="str">
            <v>UAE</v>
          </cell>
          <cell r="H931" t="str">
            <v>AUH1</v>
          </cell>
        </row>
        <row r="932">
          <cell r="C932">
            <v>203851105</v>
          </cell>
          <cell r="D932" t="str">
            <v>ndablins</v>
          </cell>
          <cell r="E932" t="str">
            <v>Linsabezinhle Ndaba</v>
          </cell>
          <cell r="F932" t="str">
            <v>Temporary</v>
          </cell>
          <cell r="G932" t="str">
            <v>UAE</v>
          </cell>
          <cell r="H932" t="str">
            <v>AUH1</v>
          </cell>
        </row>
        <row r="933">
          <cell r="C933">
            <v>204072311</v>
          </cell>
          <cell r="D933" t="str">
            <v>livinbes</v>
          </cell>
          <cell r="E933" t="str">
            <v>LIVING BESIGYE</v>
          </cell>
          <cell r="F933" t="str">
            <v>Temporary</v>
          </cell>
          <cell r="G933" t="str">
            <v>UAE</v>
          </cell>
          <cell r="H933" t="str">
            <v>AUH1</v>
          </cell>
        </row>
        <row r="934">
          <cell r="C934">
            <v>205853578</v>
          </cell>
          <cell r="D934" t="str">
            <v>chepkoil</v>
          </cell>
          <cell r="E934" t="str">
            <v>LOICE CHEPKOIR</v>
          </cell>
          <cell r="F934" t="str">
            <v>Temporary</v>
          </cell>
          <cell r="G934" t="str">
            <v>UAE</v>
          </cell>
          <cell r="H934" t="str">
            <v>AUH1</v>
          </cell>
        </row>
        <row r="935">
          <cell r="C935">
            <v>204117684</v>
          </cell>
          <cell r="D935" t="str">
            <v>matilove</v>
          </cell>
          <cell r="E935" t="str">
            <v>Lovejoy Matika</v>
          </cell>
          <cell r="F935" t="str">
            <v>Temporary</v>
          </cell>
          <cell r="G935" t="str">
            <v>UAE</v>
          </cell>
          <cell r="H935" t="str">
            <v>AUH1</v>
          </cell>
        </row>
        <row r="936">
          <cell r="C936">
            <v>203881696</v>
          </cell>
          <cell r="D936" t="str">
            <v>aoselydi</v>
          </cell>
          <cell r="E936" t="str">
            <v>Lydia Osei</v>
          </cell>
          <cell r="F936" t="str">
            <v>Temporary</v>
          </cell>
          <cell r="G936" t="str">
            <v>UAE</v>
          </cell>
          <cell r="H936" t="str">
            <v>AUH1</v>
          </cell>
        </row>
        <row r="937">
          <cell r="C937">
            <v>206200000</v>
          </cell>
          <cell r="D937" t="str">
            <v>tysonasm</v>
          </cell>
          <cell r="E937" t="str">
            <v>MAC TYSON ANCHE NGWAFONG</v>
          </cell>
          <cell r="F937" t="str">
            <v>Temporary</v>
          </cell>
          <cell r="G937" t="str">
            <v>UAE</v>
          </cell>
          <cell r="H937" t="str">
            <v>AUH1</v>
          </cell>
        </row>
        <row r="938">
          <cell r="C938">
            <v>204138115</v>
          </cell>
          <cell r="D938" t="str">
            <v>ganymaid</v>
          </cell>
          <cell r="E938" t="str">
            <v>Maidei Ganyata</v>
          </cell>
          <cell r="F938" t="str">
            <v>Temporary</v>
          </cell>
          <cell r="G938" t="str">
            <v>UAE</v>
          </cell>
          <cell r="H938" t="str">
            <v>AUH1</v>
          </cell>
        </row>
        <row r="939">
          <cell r="C939">
            <v>204967052</v>
          </cell>
          <cell r="D939" t="str">
            <v>malkmaha</v>
          </cell>
          <cell r="E939" t="str">
            <v>MALIK MAHAMA</v>
          </cell>
          <cell r="F939" t="str">
            <v>Temporary</v>
          </cell>
          <cell r="G939" t="str">
            <v>UAE</v>
          </cell>
          <cell r="H939" t="str">
            <v>AUH1</v>
          </cell>
        </row>
        <row r="940">
          <cell r="C940">
            <v>103020246</v>
          </cell>
          <cell r="D940" t="str">
            <v>CRAYMANA</v>
          </cell>
          <cell r="E940" t="str">
            <v>Manalo,Christian Ray Joshua</v>
          </cell>
          <cell r="F940" t="str">
            <v>Regular</v>
          </cell>
          <cell r="G940" t="str">
            <v>UAE</v>
          </cell>
          <cell r="H940" t="str">
            <v>AUH1</v>
          </cell>
        </row>
        <row r="941">
          <cell r="C941">
            <v>110492547</v>
          </cell>
          <cell r="D941" t="str">
            <v>mensmarg</v>
          </cell>
          <cell r="E941" t="str">
            <v>Margaret Mensah</v>
          </cell>
          <cell r="F941" t="str">
            <v>Regular</v>
          </cell>
          <cell r="G941" t="str">
            <v>UAE</v>
          </cell>
          <cell r="H941" t="str">
            <v>AUH1</v>
          </cell>
        </row>
        <row r="942">
          <cell r="C942">
            <v>203512951</v>
          </cell>
          <cell r="D942" t="str">
            <v>samargrl</v>
          </cell>
          <cell r="E942" t="str">
            <v>Margretta Teta Saytue</v>
          </cell>
          <cell r="F942" t="str">
            <v>Temporary</v>
          </cell>
          <cell r="G942" t="str">
            <v>UAE</v>
          </cell>
          <cell r="H942" t="str">
            <v>AUH1</v>
          </cell>
        </row>
        <row r="943">
          <cell r="C943">
            <v>113167122</v>
          </cell>
          <cell r="D943" t="str">
            <v>marietch</v>
          </cell>
          <cell r="E943" t="str">
            <v>Mariette Gran Cheken</v>
          </cell>
          <cell r="F943" t="str">
            <v>Temporary</v>
          </cell>
          <cell r="G943" t="str">
            <v>UAE</v>
          </cell>
          <cell r="H943" t="str">
            <v>AUH1</v>
          </cell>
        </row>
        <row r="944">
          <cell r="C944">
            <v>203908895</v>
          </cell>
          <cell r="D944" t="str">
            <v>rkatumma</v>
          </cell>
          <cell r="E944" t="str">
            <v>Mark Katumwa</v>
          </cell>
          <cell r="F944" t="str">
            <v>Temporary</v>
          </cell>
          <cell r="G944" t="str">
            <v>UAE</v>
          </cell>
          <cell r="H944" t="str">
            <v>AUH1</v>
          </cell>
        </row>
        <row r="945">
          <cell r="C945">
            <v>206250609</v>
          </cell>
          <cell r="D945" t="str">
            <v>maapolot</v>
          </cell>
          <cell r="E945" t="str">
            <v xml:space="preserve">MARTHA APOLOT </v>
          </cell>
          <cell r="F945" t="str">
            <v>Temporary</v>
          </cell>
          <cell r="G945" t="str">
            <v>UAE</v>
          </cell>
          <cell r="H945" t="str">
            <v>AUH1</v>
          </cell>
        </row>
        <row r="946">
          <cell r="C946">
            <v>203851001</v>
          </cell>
          <cell r="D946" t="str">
            <v>maragbev</v>
          </cell>
          <cell r="E946" t="str">
            <v>Mary Agbeviade</v>
          </cell>
          <cell r="F946" t="str">
            <v>Temporary</v>
          </cell>
          <cell r="G946" t="str">
            <v>UAE</v>
          </cell>
          <cell r="H946" t="str">
            <v>AUH1</v>
          </cell>
        </row>
        <row r="947">
          <cell r="C947">
            <v>206604501</v>
          </cell>
          <cell r="D947" t="str">
            <v>kipkosgj</v>
          </cell>
          <cell r="E947" t="str">
            <v>MATHEW KIMELI KIPKOSGEI</v>
          </cell>
          <cell r="F947" t="str">
            <v>Temporary</v>
          </cell>
          <cell r="G947" t="str">
            <v>UAE</v>
          </cell>
          <cell r="H947" t="str">
            <v>AUH1</v>
          </cell>
        </row>
        <row r="948">
          <cell r="C948">
            <v>205853581</v>
          </cell>
          <cell r="D948" t="str">
            <v>rumauree</v>
          </cell>
          <cell r="E948" t="str">
            <v>MAUREEN JEPCHUMBA RUTTO</v>
          </cell>
          <cell r="F948" t="str">
            <v>Temporary</v>
          </cell>
          <cell r="G948" t="str">
            <v>UAE</v>
          </cell>
          <cell r="H948" t="str">
            <v>AUH1</v>
          </cell>
        </row>
        <row r="949">
          <cell r="C949">
            <v>206889907</v>
          </cell>
          <cell r="D949" t="str">
            <v>bmaximki</v>
          </cell>
          <cell r="E949" t="str">
            <v>MAXIMILAR JEPCHUM</v>
          </cell>
          <cell r="F949" t="str">
            <v>Temporary</v>
          </cell>
          <cell r="G949" t="str">
            <v>UAE</v>
          </cell>
          <cell r="H949" t="str">
            <v>AUH1</v>
          </cell>
        </row>
        <row r="950">
          <cell r="C950">
            <v>204138496</v>
          </cell>
          <cell r="D950" t="str">
            <v>sumahmba</v>
          </cell>
          <cell r="E950" t="str">
            <v>MBALU Sumah</v>
          </cell>
          <cell r="F950" t="str">
            <v>Temporary</v>
          </cell>
          <cell r="G950" t="str">
            <v>UAE</v>
          </cell>
          <cell r="H950" t="str">
            <v>AUH1</v>
          </cell>
        </row>
        <row r="951">
          <cell r="C951">
            <v>205133783</v>
          </cell>
          <cell r="D951" t="str">
            <v>hossamdj</v>
          </cell>
          <cell r="E951" t="str">
            <v>MD Monir Hossain</v>
          </cell>
          <cell r="F951" t="str">
            <v>Temporary</v>
          </cell>
          <cell r="G951" t="str">
            <v>UAE</v>
          </cell>
          <cell r="H951" t="str">
            <v>AUH1</v>
          </cell>
        </row>
        <row r="952">
          <cell r="C952">
            <v>203879776</v>
          </cell>
          <cell r="D952" t="str">
            <v>avmdshah</v>
          </cell>
          <cell r="E952" t="str">
            <v>Md Shahid Ansari</v>
          </cell>
          <cell r="F952" t="str">
            <v>Temporary</v>
          </cell>
          <cell r="G952" t="str">
            <v>UAE</v>
          </cell>
          <cell r="H952" t="str">
            <v>AUH1</v>
          </cell>
        </row>
        <row r="953">
          <cell r="C953">
            <v>204975662</v>
          </cell>
          <cell r="D953" t="str">
            <v>islmehez</v>
          </cell>
          <cell r="E953" t="str">
            <v>Mehebub Islam</v>
          </cell>
          <cell r="F953" t="str">
            <v>Temporary</v>
          </cell>
          <cell r="G953" t="str">
            <v>UAE</v>
          </cell>
          <cell r="H953" t="str">
            <v>AUH1</v>
          </cell>
        </row>
        <row r="954">
          <cell r="C954">
            <v>206886515</v>
          </cell>
          <cell r="D954" t="str">
            <v>merabelf</v>
          </cell>
          <cell r="E954" t="str">
            <v>MERABEL FENIBEE</v>
          </cell>
          <cell r="F954" t="str">
            <v>Temporary</v>
          </cell>
          <cell r="G954" t="str">
            <v>UAE</v>
          </cell>
          <cell r="H954" t="str">
            <v>AUH1</v>
          </cell>
        </row>
        <row r="955">
          <cell r="C955">
            <v>206192541</v>
          </cell>
          <cell r="D955" t="str">
            <v>jemutmer</v>
          </cell>
          <cell r="E955" t="str">
            <v>Mercy jemutai</v>
          </cell>
          <cell r="F955" t="str">
            <v>Temporary</v>
          </cell>
          <cell r="G955" t="str">
            <v>UAE</v>
          </cell>
          <cell r="H955" t="str">
            <v>AUH1</v>
          </cell>
        </row>
        <row r="956">
          <cell r="C956">
            <v>206192271</v>
          </cell>
          <cell r="D956" t="str">
            <v>jermercy</v>
          </cell>
          <cell r="E956" t="str">
            <v>MERCY JERUTO</v>
          </cell>
          <cell r="F956" t="str">
            <v>Temporary</v>
          </cell>
          <cell r="G956" t="str">
            <v>UAE</v>
          </cell>
          <cell r="H956" t="str">
            <v>AUH1</v>
          </cell>
        </row>
        <row r="957">
          <cell r="C957">
            <v>206886636</v>
          </cell>
          <cell r="D957" t="str">
            <v>memiheso</v>
          </cell>
          <cell r="E957" t="str">
            <v>MERCY JERUTO MIHESO</v>
          </cell>
          <cell r="F957" t="str">
            <v>Temporary</v>
          </cell>
          <cell r="G957" t="str">
            <v>UAE</v>
          </cell>
          <cell r="H957" t="str">
            <v>AUH1</v>
          </cell>
        </row>
        <row r="958">
          <cell r="C958">
            <v>201857481</v>
          </cell>
          <cell r="D958" t="str">
            <v>memercyo</v>
          </cell>
          <cell r="E958" t="str">
            <v>Mercy Ofori</v>
          </cell>
          <cell r="F958" t="str">
            <v>Temporary</v>
          </cell>
          <cell r="G958" t="str">
            <v>UAE</v>
          </cell>
          <cell r="H958" t="str">
            <v>AUH1</v>
          </cell>
        </row>
        <row r="959">
          <cell r="C959">
            <v>204011575</v>
          </cell>
          <cell r="D959" t="str">
            <v>kampmesh</v>
          </cell>
          <cell r="E959" t="str">
            <v>MESHACH KAMPAME</v>
          </cell>
          <cell r="F959" t="str">
            <v>Temporary</v>
          </cell>
          <cell r="G959" t="str">
            <v>UAE</v>
          </cell>
          <cell r="H959" t="str">
            <v>AUH1</v>
          </cell>
        </row>
        <row r="960">
          <cell r="C960">
            <v>112851838</v>
          </cell>
          <cell r="D960" t="str">
            <v>michbawa</v>
          </cell>
          <cell r="E960" t="str">
            <v>Michael Assibid Bawa</v>
          </cell>
          <cell r="F960" t="str">
            <v>Temporary</v>
          </cell>
          <cell r="G960" t="str">
            <v>UAE</v>
          </cell>
          <cell r="H960" t="str">
            <v>AUH1</v>
          </cell>
        </row>
        <row r="961">
          <cell r="C961">
            <v>204116441</v>
          </cell>
          <cell r="D961" t="str">
            <v>ncubemic</v>
          </cell>
          <cell r="E961" t="str">
            <v>Michael Chrispen Ncube</v>
          </cell>
          <cell r="F961" t="str">
            <v>Temporary</v>
          </cell>
          <cell r="G961" t="str">
            <v>UAE</v>
          </cell>
          <cell r="H961" t="str">
            <v>AUH1</v>
          </cell>
        </row>
        <row r="962">
          <cell r="C962">
            <v>206136721</v>
          </cell>
          <cell r="D962" t="str">
            <v>mitabifo</v>
          </cell>
          <cell r="E962" t="str">
            <v>MICHAEL TABIFOR</v>
          </cell>
          <cell r="F962" t="str">
            <v>Temporary</v>
          </cell>
          <cell r="G962" t="str">
            <v>UAE</v>
          </cell>
          <cell r="H962" t="str">
            <v>AUH1</v>
          </cell>
        </row>
        <row r="963">
          <cell r="C963">
            <v>204072300</v>
          </cell>
          <cell r="D963" t="str">
            <v>weermich</v>
          </cell>
          <cell r="E963" t="str">
            <v>MICHEAL WEERE</v>
          </cell>
          <cell r="F963" t="str">
            <v>Temporary</v>
          </cell>
          <cell r="G963" t="str">
            <v>UAE</v>
          </cell>
          <cell r="H963" t="str">
            <v>AUH1</v>
          </cell>
        </row>
        <row r="964">
          <cell r="C964">
            <v>206886737</v>
          </cell>
          <cell r="D964" t="str">
            <v>micmusun</v>
          </cell>
          <cell r="E964" t="str">
            <v>MICHELLE MUSUNGU</v>
          </cell>
          <cell r="F964" t="str">
            <v>Temporary</v>
          </cell>
          <cell r="G964" t="str">
            <v>UAE</v>
          </cell>
          <cell r="H964" t="str">
            <v>AUH1</v>
          </cell>
        </row>
        <row r="965">
          <cell r="C965">
            <v>203965605</v>
          </cell>
          <cell r="D965" t="str">
            <v>mohkfaro</v>
          </cell>
          <cell r="E965" t="str">
            <v>Mohamed Farook</v>
          </cell>
          <cell r="F965" t="str">
            <v>Temporary</v>
          </cell>
          <cell r="G965" t="str">
            <v>UAE</v>
          </cell>
          <cell r="H965" t="str">
            <v>AUH1</v>
          </cell>
        </row>
        <row r="966">
          <cell r="C966">
            <v>203965410</v>
          </cell>
          <cell r="D966" t="str">
            <v>kingwaym</v>
          </cell>
          <cell r="E966" t="str">
            <v>Mohamed Kingway Barrie</v>
          </cell>
          <cell r="F966" t="str">
            <v>Temporary</v>
          </cell>
          <cell r="G966" t="str">
            <v>UAE</v>
          </cell>
          <cell r="H966" t="str">
            <v>AUH1</v>
          </cell>
        </row>
        <row r="967">
          <cell r="C967">
            <v>202419640</v>
          </cell>
          <cell r="D967" t="str">
            <v>noamohav</v>
          </cell>
          <cell r="E967" t="str">
            <v>Mohamed Noah</v>
          </cell>
          <cell r="F967" t="str">
            <v>Temporary</v>
          </cell>
          <cell r="G967" t="str">
            <v>UAE</v>
          </cell>
          <cell r="H967" t="str">
            <v>AUH1</v>
          </cell>
        </row>
        <row r="968">
          <cell r="C968">
            <v>204138114</v>
          </cell>
          <cell r="D968" t="str">
            <v>mohamkav</v>
          </cell>
          <cell r="E968" t="str">
            <v>Mohamed S. Kamara</v>
          </cell>
          <cell r="F968" t="str">
            <v>Temporary</v>
          </cell>
          <cell r="G968" t="str">
            <v>UAE</v>
          </cell>
          <cell r="H968" t="str">
            <v>AUH1</v>
          </cell>
        </row>
        <row r="969">
          <cell r="C969">
            <v>203965009</v>
          </cell>
          <cell r="D969" t="str">
            <v>wmohshak</v>
          </cell>
          <cell r="E969" t="str">
            <v>Mohamed Shakir</v>
          </cell>
          <cell r="F969" t="str">
            <v>Temporary</v>
          </cell>
          <cell r="G969" t="str">
            <v>UAE</v>
          </cell>
          <cell r="H969" t="str">
            <v>AUH1</v>
          </cell>
        </row>
        <row r="970">
          <cell r="C970">
            <v>205280538</v>
          </cell>
          <cell r="D970" t="str">
            <v>razaxmo</v>
          </cell>
          <cell r="E970" t="str">
            <v>Mohammad Khalid Raza</v>
          </cell>
          <cell r="F970" t="str">
            <v>Temporary</v>
          </cell>
          <cell r="G970" t="str">
            <v>UAE</v>
          </cell>
          <cell r="H970" t="str">
            <v>AUH1</v>
          </cell>
        </row>
        <row r="971">
          <cell r="C971">
            <v>204053439</v>
          </cell>
          <cell r="D971" t="str">
            <v>moabo</v>
          </cell>
          <cell r="E971" t="str">
            <v>Mohammed Abdullah</v>
          </cell>
          <cell r="F971" t="str">
            <v>Temporary</v>
          </cell>
          <cell r="G971" t="str">
            <v>UAE</v>
          </cell>
          <cell r="H971" t="str">
            <v>AUH1</v>
          </cell>
        </row>
        <row r="972">
          <cell r="C972">
            <v>203800778</v>
          </cell>
          <cell r="D972" t="str">
            <v>mohanjhp</v>
          </cell>
          <cell r="E972" t="str">
            <v>MOHAN KUMAR JHA</v>
          </cell>
          <cell r="F972" t="str">
            <v>Temporary</v>
          </cell>
          <cell r="G972" t="str">
            <v>UAE</v>
          </cell>
          <cell r="H972" t="str">
            <v>AUH1</v>
          </cell>
        </row>
        <row r="973">
          <cell r="C973">
            <v>203965008</v>
          </cell>
          <cell r="D973" t="str">
            <v>muhmohas</v>
          </cell>
          <cell r="E973" t="str">
            <v>Mohasin Muhammad</v>
          </cell>
          <cell r="F973" t="str">
            <v>Temporary</v>
          </cell>
          <cell r="G973" t="str">
            <v>UAE</v>
          </cell>
          <cell r="H973" t="str">
            <v>AUH1</v>
          </cell>
        </row>
        <row r="974">
          <cell r="C974">
            <v>203880400</v>
          </cell>
          <cell r="D974" t="str">
            <v>mbockari</v>
          </cell>
          <cell r="E974" t="str">
            <v>Moinya Bockarie</v>
          </cell>
          <cell r="F974" t="str">
            <v>Temporary</v>
          </cell>
          <cell r="G974" t="str">
            <v>UAE</v>
          </cell>
          <cell r="H974" t="str">
            <v>AUH1</v>
          </cell>
        </row>
        <row r="975">
          <cell r="C975">
            <v>206886735</v>
          </cell>
          <cell r="D975" t="str">
            <v>mokkwedh</v>
          </cell>
          <cell r="E975" t="str">
            <v>MOKA EKWALLA KWEDI</v>
          </cell>
          <cell r="F975" t="str">
            <v>Temporary</v>
          </cell>
          <cell r="G975" t="str">
            <v>UAE</v>
          </cell>
          <cell r="H975" t="str">
            <v>AUH1</v>
          </cell>
        </row>
        <row r="976">
          <cell r="C976">
            <v>205997633</v>
          </cell>
          <cell r="D976" t="str">
            <v>rokrumon</v>
          </cell>
          <cell r="E976" t="str">
            <v>MONIKA OKRU</v>
          </cell>
          <cell r="F976" t="str">
            <v>Temporary</v>
          </cell>
          <cell r="G976" t="str">
            <v>UAE</v>
          </cell>
          <cell r="H976" t="str">
            <v>AUH1</v>
          </cell>
        </row>
        <row r="977">
          <cell r="C977">
            <v>113433097</v>
          </cell>
          <cell r="D977" t="str">
            <v>kamorash</v>
          </cell>
          <cell r="E977" t="str">
            <v>Moras KAMAL</v>
          </cell>
          <cell r="F977" t="str">
            <v>Temporary</v>
          </cell>
          <cell r="G977" t="str">
            <v>UAE</v>
          </cell>
          <cell r="H977" t="str">
            <v>AUH1</v>
          </cell>
        </row>
        <row r="978">
          <cell r="C978">
            <v>205845295</v>
          </cell>
          <cell r="D978" t="str">
            <v>immasere</v>
          </cell>
          <cell r="E978" t="str">
            <v>MORIS MASEREKA</v>
          </cell>
          <cell r="F978" t="str">
            <v>Temporary</v>
          </cell>
          <cell r="G978" t="str">
            <v>UAE</v>
          </cell>
          <cell r="H978" t="str">
            <v>AUH1</v>
          </cell>
        </row>
        <row r="979">
          <cell r="C979">
            <v>203850876</v>
          </cell>
          <cell r="D979" t="str">
            <v>momukisa</v>
          </cell>
          <cell r="E979" t="str">
            <v>MOSES MUKISA</v>
          </cell>
          <cell r="F979" t="str">
            <v>Temporary</v>
          </cell>
          <cell r="G979" t="str">
            <v>UAE</v>
          </cell>
          <cell r="H979" t="str">
            <v>AUH1</v>
          </cell>
        </row>
        <row r="980">
          <cell r="C980">
            <v>206851159</v>
          </cell>
          <cell r="D980" t="str">
            <v>mubirura</v>
          </cell>
          <cell r="E980" t="str">
            <v>Mubiru Rajeshi</v>
          </cell>
          <cell r="F980" t="str">
            <v>Temporary</v>
          </cell>
          <cell r="G980" t="str">
            <v>UAE</v>
          </cell>
          <cell r="H980" t="str">
            <v>AUH1</v>
          </cell>
        </row>
        <row r="981">
          <cell r="C981">
            <v>206491328</v>
          </cell>
          <cell r="D981" t="str">
            <v>catelenw</v>
          </cell>
          <cell r="E981" t="str">
            <v>MUCHERU,CATELEN WANJIRA</v>
          </cell>
          <cell r="F981" t="str">
            <v>Temporary</v>
          </cell>
          <cell r="G981" t="str">
            <v>UAE</v>
          </cell>
          <cell r="H981" t="str">
            <v>AUH1</v>
          </cell>
        </row>
        <row r="982">
          <cell r="C982">
            <v>204013683</v>
          </cell>
          <cell r="D982" t="str">
            <v>muckorom</v>
          </cell>
          <cell r="E982" t="str">
            <v>Muctarr Koroma</v>
          </cell>
          <cell r="F982" t="str">
            <v>Temporary</v>
          </cell>
          <cell r="G982" t="str">
            <v>UAE</v>
          </cell>
          <cell r="H982" t="str">
            <v>AUH1</v>
          </cell>
        </row>
        <row r="983">
          <cell r="C983">
            <v>205872523</v>
          </cell>
          <cell r="D983" t="str">
            <v>mugisric</v>
          </cell>
          <cell r="E983" t="str">
            <v>MUGISHA,RICHARD</v>
          </cell>
          <cell r="F983" t="str">
            <v>Temporary</v>
          </cell>
          <cell r="G983" t="str">
            <v>UAE</v>
          </cell>
          <cell r="H983" t="str">
            <v>AUH1</v>
          </cell>
        </row>
        <row r="984">
          <cell r="C984">
            <v>113090848</v>
          </cell>
          <cell r="D984" t="str">
            <v>arsmuhar</v>
          </cell>
          <cell r="E984" t="str">
            <v>Muhammad Ali Arshad</v>
          </cell>
          <cell r="F984" t="str">
            <v>Temporary</v>
          </cell>
          <cell r="G984" t="str">
            <v>UAE</v>
          </cell>
          <cell r="H984" t="str">
            <v>AUH1</v>
          </cell>
        </row>
        <row r="985">
          <cell r="C985">
            <v>109808062</v>
          </cell>
          <cell r="D985" t="str">
            <v>muhwasej</v>
          </cell>
          <cell r="E985" t="str">
            <v>Muhammad Boota, Waseem Haider</v>
          </cell>
          <cell r="F985" t="str">
            <v>Regular</v>
          </cell>
          <cell r="G985" t="str">
            <v>UAE</v>
          </cell>
          <cell r="H985" t="str">
            <v>AUH1</v>
          </cell>
        </row>
        <row r="986">
          <cell r="C986">
            <v>206850965</v>
          </cell>
          <cell r="D986" t="str">
            <v>imkinobe</v>
          </cell>
          <cell r="E986" t="str">
            <v>Muhammad Kinobe</v>
          </cell>
          <cell r="F986" t="str">
            <v>Temporary</v>
          </cell>
          <cell r="G986" t="str">
            <v>UAE</v>
          </cell>
          <cell r="H986" t="str">
            <v>AUH1</v>
          </cell>
        </row>
        <row r="987">
          <cell r="C987">
            <v>113090891</v>
          </cell>
          <cell r="D987" t="str">
            <v>mulatifx</v>
          </cell>
          <cell r="E987" t="str">
            <v>Muhammad Nauman Latif</v>
          </cell>
          <cell r="F987" t="str">
            <v>Temporary</v>
          </cell>
          <cell r="G987" t="str">
            <v>UAE</v>
          </cell>
          <cell r="H987" t="str">
            <v>AUH1</v>
          </cell>
        </row>
        <row r="988">
          <cell r="C988">
            <v>103909188</v>
          </cell>
          <cell r="D988" t="str">
            <v>jumail</v>
          </cell>
          <cell r="E988" t="str">
            <v>Muhammed Jumail</v>
          </cell>
          <cell r="F988" t="str">
            <v>Regular</v>
          </cell>
          <cell r="G988" t="str">
            <v>UAE</v>
          </cell>
          <cell r="H988" t="str">
            <v>AUH1</v>
          </cell>
        </row>
        <row r="989">
          <cell r="C989">
            <v>203736256</v>
          </cell>
          <cell r="D989" t="str">
            <v>mukalash</v>
          </cell>
          <cell r="E989" t="str">
            <v>MUKALAZI,SHAFIC</v>
          </cell>
          <cell r="F989" t="str">
            <v>Temporary</v>
          </cell>
          <cell r="G989" t="str">
            <v>UAE</v>
          </cell>
          <cell r="H989" t="str">
            <v>AUH1</v>
          </cell>
        </row>
        <row r="990">
          <cell r="C990">
            <v>107117479</v>
          </cell>
          <cell r="D990" t="str">
            <v>mukrisho</v>
          </cell>
          <cell r="E990" t="str">
            <v>MUKRI,SHOAIB SHAUKAT Shaukat</v>
          </cell>
          <cell r="F990" t="str">
            <v>Regular</v>
          </cell>
          <cell r="G990" t="str">
            <v>UAE</v>
          </cell>
          <cell r="H990" t="str">
            <v>AUH1</v>
          </cell>
        </row>
        <row r="991">
          <cell r="C991">
            <v>203908331</v>
          </cell>
          <cell r="D991" t="str">
            <v>muniiive</v>
          </cell>
          <cell r="E991" t="str">
            <v>Muniina Ivan</v>
          </cell>
          <cell r="F991" t="str">
            <v>Temporary</v>
          </cell>
          <cell r="G991" t="str">
            <v>UAE</v>
          </cell>
          <cell r="H991" t="str">
            <v>AUH1</v>
          </cell>
        </row>
        <row r="992">
          <cell r="C992">
            <v>204094492</v>
          </cell>
          <cell r="D992" t="str">
            <v>muramuny</v>
          </cell>
          <cell r="E992" t="str">
            <v>Munyaradzi Muranga</v>
          </cell>
          <cell r="F992" t="str">
            <v>Temporary</v>
          </cell>
          <cell r="G992" t="str">
            <v>UAE</v>
          </cell>
          <cell r="H992" t="str">
            <v>AUH1</v>
          </cell>
        </row>
        <row r="993">
          <cell r="C993">
            <v>203850900</v>
          </cell>
          <cell r="D993" t="str">
            <v>mukakooz</v>
          </cell>
          <cell r="E993" t="str">
            <v>MUSA KAKOOZA</v>
          </cell>
          <cell r="F993" t="str">
            <v>Temporary</v>
          </cell>
          <cell r="G993" t="str">
            <v>UAE</v>
          </cell>
          <cell r="H993" t="str">
            <v>AUH1</v>
          </cell>
        </row>
        <row r="994">
          <cell r="C994">
            <v>206926476</v>
          </cell>
          <cell r="D994" t="str">
            <v>musittez</v>
          </cell>
          <cell r="E994" t="str">
            <v>MUSITAFA TEZIKUBA</v>
          </cell>
          <cell r="F994" t="str">
            <v>Temporary</v>
          </cell>
          <cell r="G994" t="str">
            <v>UAE</v>
          </cell>
          <cell r="H994" t="str">
            <v>AUH1</v>
          </cell>
        </row>
        <row r="995">
          <cell r="C995">
            <v>206491343</v>
          </cell>
          <cell r="D995" t="str">
            <v>mumonicv</v>
          </cell>
          <cell r="E995" t="str">
            <v>MUTUA,MONICA MUEN</v>
          </cell>
          <cell r="F995" t="str">
            <v>Temporary</v>
          </cell>
          <cell r="G995" t="str">
            <v>UAE</v>
          </cell>
          <cell r="H995" t="str">
            <v>AUH1</v>
          </cell>
        </row>
        <row r="996">
          <cell r="C996">
            <v>206853791</v>
          </cell>
          <cell r="D996" t="str">
            <v>muzamirm</v>
          </cell>
          <cell r="E996" t="str">
            <v>MUZAMIRU MWANJE</v>
          </cell>
          <cell r="F996" t="str">
            <v>Temporary</v>
          </cell>
          <cell r="G996" t="str">
            <v>UAE</v>
          </cell>
          <cell r="H996" t="str">
            <v>AUH1</v>
          </cell>
        </row>
        <row r="997">
          <cell r="C997">
            <v>205252357</v>
          </cell>
          <cell r="D997" t="str">
            <v>bremwang</v>
          </cell>
          <cell r="E997" t="str">
            <v>Mwangi,Brenda Wangui</v>
          </cell>
          <cell r="F997" t="str">
            <v>Temporary</v>
          </cell>
          <cell r="G997" t="str">
            <v>UAE</v>
          </cell>
          <cell r="H997" t="str">
            <v>AUH1</v>
          </cell>
        </row>
        <row r="998">
          <cell r="C998">
            <v>203736773</v>
          </cell>
          <cell r="D998" t="str">
            <v>painmyat</v>
          </cell>
          <cell r="E998" t="str">
            <v>Myat Nay Paing</v>
          </cell>
          <cell r="F998" t="str">
            <v>Temporary</v>
          </cell>
          <cell r="G998" t="str">
            <v>UAE</v>
          </cell>
          <cell r="H998" t="str">
            <v>AUH1</v>
          </cell>
        </row>
        <row r="999">
          <cell r="C999">
            <v>204013730</v>
          </cell>
          <cell r="D999" t="str">
            <v>mkamarau</v>
          </cell>
          <cell r="E999" t="str">
            <v>Mybo Kamara</v>
          </cell>
          <cell r="F999" t="str">
            <v>Temporary</v>
          </cell>
          <cell r="G999" t="str">
            <v>UAE</v>
          </cell>
          <cell r="H999" t="str">
            <v>AUH1</v>
          </cell>
        </row>
        <row r="1000">
          <cell r="C1000">
            <v>106268183</v>
          </cell>
          <cell r="D1000" t="str">
            <v>valapnab</v>
          </cell>
          <cell r="E1000" t="str">
            <v>Nabeel Thazhath</v>
          </cell>
          <cell r="F1000" t="str">
            <v>Regular</v>
          </cell>
          <cell r="G1000" t="str">
            <v>UAE</v>
          </cell>
          <cell r="H1000" t="str">
            <v>AUH1</v>
          </cell>
        </row>
        <row r="1001">
          <cell r="C1001">
            <v>206240253</v>
          </cell>
          <cell r="D1001" t="str">
            <v>busnabuw</v>
          </cell>
          <cell r="E1001" t="str">
            <v>NABUWEMBO,BUSHILAH</v>
          </cell>
          <cell r="F1001" t="str">
            <v>Temporary</v>
          </cell>
          <cell r="G1001" t="str">
            <v>UAE</v>
          </cell>
          <cell r="H1001" t="str">
            <v>AUH1</v>
          </cell>
        </row>
        <row r="1002">
          <cell r="C1002">
            <v>203965449</v>
          </cell>
          <cell r="D1002" t="str">
            <v>wasnades</v>
          </cell>
          <cell r="E1002" t="str">
            <v>Nadesh Wase Ndiena</v>
          </cell>
          <cell r="F1002" t="str">
            <v>Temporary</v>
          </cell>
          <cell r="G1002" t="str">
            <v>UAE</v>
          </cell>
          <cell r="H1002" t="str">
            <v>AUH1</v>
          </cell>
        </row>
        <row r="1003">
          <cell r="C1003">
            <v>205938163</v>
          </cell>
          <cell r="D1003" t="str">
            <v>ibrnafig</v>
          </cell>
          <cell r="E1003" t="str">
            <v>Nafiu Ibrahim</v>
          </cell>
          <cell r="F1003" t="str">
            <v>Temporary</v>
          </cell>
          <cell r="G1003" t="str">
            <v>UAE</v>
          </cell>
          <cell r="H1003" t="str">
            <v>AUH1</v>
          </cell>
        </row>
        <row r="1004">
          <cell r="C1004">
            <v>205279080</v>
          </cell>
          <cell r="D1004" t="str">
            <v>namasara</v>
          </cell>
          <cell r="E1004" t="str">
            <v>Namakula,Sarah</v>
          </cell>
          <cell r="F1004" t="str">
            <v>Temporary</v>
          </cell>
          <cell r="G1004" t="str">
            <v>UAE</v>
          </cell>
          <cell r="H1004" t="str">
            <v>AUH1</v>
          </cell>
        </row>
        <row r="1005">
          <cell r="C1005">
            <v>206004601</v>
          </cell>
          <cell r="D1005" t="str">
            <v>owunanie</v>
          </cell>
          <cell r="E1005" t="str">
            <v>NANIES OWUSU ANSAH</v>
          </cell>
          <cell r="F1005" t="str">
            <v>Temporary</v>
          </cell>
          <cell r="G1005" t="str">
            <v>UAE</v>
          </cell>
          <cell r="H1005" t="str">
            <v>AUH1</v>
          </cell>
        </row>
        <row r="1006">
          <cell r="C1006">
            <v>205853892</v>
          </cell>
          <cell r="D1006" t="str">
            <v>kwartnao</v>
          </cell>
          <cell r="E1006" t="str">
            <v>NAOMI KWARTENG</v>
          </cell>
          <cell r="F1006" t="str">
            <v>Temporary</v>
          </cell>
          <cell r="G1006" t="str">
            <v>UAE</v>
          </cell>
          <cell r="H1006" t="str">
            <v>AUH1</v>
          </cell>
        </row>
        <row r="1007">
          <cell r="C1007">
            <v>205997632</v>
          </cell>
          <cell r="D1007" t="str">
            <v>naoyuohg</v>
          </cell>
          <cell r="E1007" t="str">
            <v>NAOMI YUOH GHEA</v>
          </cell>
          <cell r="F1007" t="str">
            <v>Temporary</v>
          </cell>
          <cell r="G1007" t="str">
            <v>UAE</v>
          </cell>
          <cell r="H1007" t="str">
            <v>AUH1</v>
          </cell>
        </row>
        <row r="1008">
          <cell r="C1008">
            <v>203965010</v>
          </cell>
          <cell r="D1008" t="str">
            <v>pallikna</v>
          </cell>
          <cell r="E1008" t="str">
            <v>Nasarudheen Pallikka</v>
          </cell>
          <cell r="F1008" t="str">
            <v>Temporary</v>
          </cell>
          <cell r="G1008" t="str">
            <v>UAE</v>
          </cell>
          <cell r="H1008" t="str">
            <v>AUH1</v>
          </cell>
        </row>
        <row r="1009">
          <cell r="C1009">
            <v>204095809</v>
          </cell>
          <cell r="D1009" t="str">
            <v>nawahbes</v>
          </cell>
          <cell r="E1009" t="str">
            <v>Nawah Bestman Saye</v>
          </cell>
          <cell r="F1009" t="str">
            <v>Temporary</v>
          </cell>
          <cell r="G1009" t="str">
            <v>UAE</v>
          </cell>
          <cell r="H1009" t="str">
            <v>AUH1</v>
          </cell>
        </row>
        <row r="1010">
          <cell r="C1010">
            <v>204116442</v>
          </cell>
          <cell r="D1010" t="str">
            <v>ekndapem</v>
          </cell>
          <cell r="E1010" t="str">
            <v>Ndape Mabel Ekume</v>
          </cell>
          <cell r="F1010" t="str">
            <v>Temporary</v>
          </cell>
          <cell r="G1010" t="str">
            <v>UAE</v>
          </cell>
          <cell r="H1010" t="str">
            <v>AUH1</v>
          </cell>
        </row>
        <row r="1011">
          <cell r="C1011">
            <v>203965178</v>
          </cell>
          <cell r="D1011" t="str">
            <v>nejaryee</v>
          </cell>
          <cell r="E1011" t="str">
            <v>Nehemiah jaryee</v>
          </cell>
          <cell r="F1011" t="str">
            <v>Temporary</v>
          </cell>
          <cell r="G1011" t="str">
            <v>UAE</v>
          </cell>
          <cell r="H1011" t="str">
            <v>AUH1</v>
          </cell>
        </row>
        <row r="1012">
          <cell r="C1012">
            <v>206128578</v>
          </cell>
          <cell r="D1012" t="str">
            <v>ngcicilx</v>
          </cell>
          <cell r="E1012" t="str">
            <v>Ngethe,Cicilia Wairimu</v>
          </cell>
          <cell r="F1012" t="str">
            <v>Temporary</v>
          </cell>
          <cell r="G1012" t="str">
            <v>UAE</v>
          </cell>
          <cell r="H1012" t="str">
            <v>AUH1</v>
          </cell>
        </row>
        <row r="1013">
          <cell r="C1013">
            <v>203993303</v>
          </cell>
          <cell r="D1013" t="str">
            <v>aetelahf</v>
          </cell>
          <cell r="E1013" t="str">
            <v>Ngwemah Etelah</v>
          </cell>
          <cell r="F1013" t="str">
            <v>Temporary</v>
          </cell>
          <cell r="G1013" t="str">
            <v>UAE</v>
          </cell>
          <cell r="H1013" t="str">
            <v>AUH1</v>
          </cell>
        </row>
        <row r="1014">
          <cell r="C1014">
            <v>204053437</v>
          </cell>
          <cell r="D1014" t="str">
            <v>kallbnik</v>
          </cell>
          <cell r="E1014" t="str">
            <v>Nikhil Kallingal</v>
          </cell>
          <cell r="F1014" t="str">
            <v>Temporary</v>
          </cell>
          <cell r="G1014" t="str">
            <v>UAE</v>
          </cell>
          <cell r="H1014" t="str">
            <v>AUH1</v>
          </cell>
        </row>
        <row r="1015">
          <cell r="C1015">
            <v>206137333</v>
          </cell>
          <cell r="D1015" t="str">
            <v>waltunoa</v>
          </cell>
          <cell r="E1015" t="str">
            <v xml:space="preserve">Noah Walt Kwaku Amoaben </v>
          </cell>
          <cell r="F1015" t="str">
            <v>Temporary</v>
          </cell>
          <cell r="G1015" t="str">
            <v>UAE</v>
          </cell>
          <cell r="H1015" t="str">
            <v>AUH1</v>
          </cell>
        </row>
        <row r="1016">
          <cell r="C1016">
            <v>205996135</v>
          </cell>
          <cell r="D1016" t="str">
            <v>nsosteph</v>
          </cell>
          <cell r="E1016" t="str">
            <v>NSOM STEPHANIE NABO</v>
          </cell>
          <cell r="F1016" t="str">
            <v>Temporary</v>
          </cell>
          <cell r="G1016" t="str">
            <v>UAE</v>
          </cell>
          <cell r="H1016" t="str">
            <v>AUH1</v>
          </cell>
        </row>
        <row r="1017">
          <cell r="C1017">
            <v>204890370</v>
          </cell>
          <cell r="D1017" t="str">
            <v>kntalekr</v>
          </cell>
          <cell r="E1017" t="str">
            <v>NTALE KIMBUGWE,KIM</v>
          </cell>
          <cell r="F1017" t="str">
            <v>Temporary</v>
          </cell>
          <cell r="G1017" t="str">
            <v>UAE</v>
          </cell>
          <cell r="H1017" t="str">
            <v>AUH1</v>
          </cell>
        </row>
        <row r="1018">
          <cell r="C1018">
            <v>203851108</v>
          </cell>
          <cell r="D1018" t="str">
            <v>nurudalh</v>
          </cell>
          <cell r="E1018" t="str">
            <v>Nurudeen Alhassan</v>
          </cell>
          <cell r="F1018" t="str">
            <v>Temporary</v>
          </cell>
          <cell r="G1018" t="str">
            <v>UAE</v>
          </cell>
          <cell r="H1018" t="str">
            <v>AUH1</v>
          </cell>
        </row>
        <row r="1019">
          <cell r="C1019">
            <v>206129262</v>
          </cell>
          <cell r="D1019" t="str">
            <v>ibranuru</v>
          </cell>
          <cell r="E1019" t="str">
            <v>Nurudeen Ibrahim</v>
          </cell>
          <cell r="F1019" t="str">
            <v>Temporary</v>
          </cell>
          <cell r="G1019" t="str">
            <v>UAE</v>
          </cell>
          <cell r="H1019" t="str">
            <v>AUH1</v>
          </cell>
        </row>
        <row r="1020">
          <cell r="C1020">
            <v>206137338</v>
          </cell>
          <cell r="D1020" t="str">
            <v>nyasuflo</v>
          </cell>
          <cell r="E1020" t="str">
            <v>Nyasu Florence Ladu Ezbon</v>
          </cell>
          <cell r="F1020" t="str">
            <v>Temporary</v>
          </cell>
          <cell r="G1020" t="str">
            <v>UAE</v>
          </cell>
          <cell r="H1020" t="str">
            <v>AUH1</v>
          </cell>
        </row>
        <row r="1021">
          <cell r="C1021">
            <v>206129614</v>
          </cell>
          <cell r="D1021" t="str">
            <v>reginodj</v>
          </cell>
          <cell r="E1021" t="str">
            <v>Odjam Regina Narkie</v>
          </cell>
          <cell r="F1021" t="str">
            <v>Temporary</v>
          </cell>
          <cell r="G1021" t="str">
            <v>UAE</v>
          </cell>
          <cell r="H1021" t="str">
            <v>AUH1</v>
          </cell>
        </row>
        <row r="1022">
          <cell r="C1022">
            <v>204890373</v>
          </cell>
          <cell r="D1022" t="str">
            <v>oemaxwel</v>
          </cell>
          <cell r="E1022" t="str">
            <v>OFORI,MAXWELL</v>
          </cell>
          <cell r="F1022" t="str">
            <v>Temporary</v>
          </cell>
          <cell r="G1022" t="str">
            <v>UAE</v>
          </cell>
          <cell r="H1022" t="str">
            <v>AUH1</v>
          </cell>
        </row>
        <row r="1023">
          <cell r="C1023">
            <v>205845553</v>
          </cell>
          <cell r="D1023" t="str">
            <v>abigaboi</v>
          </cell>
          <cell r="E1023" t="str">
            <v>ONESMAS ABIGABA</v>
          </cell>
          <cell r="F1023" t="str">
            <v>Temporary</v>
          </cell>
          <cell r="G1023" t="str">
            <v>UAE</v>
          </cell>
          <cell r="H1023" t="str">
            <v>AUH1</v>
          </cell>
        </row>
        <row r="1024">
          <cell r="C1024">
            <v>206239769</v>
          </cell>
          <cell r="D1024" t="str">
            <v>kerneose</v>
          </cell>
          <cell r="E1024" t="str">
            <v>OSEI ERNEST</v>
          </cell>
          <cell r="F1024" t="str">
            <v>Temporary</v>
          </cell>
          <cell r="G1024" t="str">
            <v>UAE</v>
          </cell>
          <cell r="H1024" t="str">
            <v>AUH1</v>
          </cell>
        </row>
        <row r="1025">
          <cell r="C1025">
            <v>203850899</v>
          </cell>
          <cell r="D1025" t="str">
            <v>owebabig</v>
          </cell>
          <cell r="E1025" t="str">
            <v>OWEN BABIGUMIRA</v>
          </cell>
          <cell r="F1025" t="str">
            <v>Temporary</v>
          </cell>
          <cell r="G1025" t="str">
            <v>UAE</v>
          </cell>
          <cell r="H1025" t="str">
            <v>AUH1</v>
          </cell>
        </row>
        <row r="1026">
          <cell r="C1026">
            <v>206239755</v>
          </cell>
          <cell r="D1026" t="str">
            <v>ansahpro</v>
          </cell>
          <cell r="E1026" t="str">
            <v>OWUSU ANSAH PRINCE</v>
          </cell>
          <cell r="F1026" t="str">
            <v>Temporary</v>
          </cell>
          <cell r="G1026" t="str">
            <v>UAE</v>
          </cell>
          <cell r="H1026" t="str">
            <v>AUH1</v>
          </cell>
        </row>
        <row r="1027">
          <cell r="C1027">
            <v>206868000</v>
          </cell>
          <cell r="D1027" t="str">
            <v>bbenjowu</v>
          </cell>
          <cell r="E1027" t="str">
            <v>OWUSU,BENJAMIN</v>
          </cell>
          <cell r="F1027" t="str">
            <v>Temporary</v>
          </cell>
          <cell r="G1027" t="str">
            <v>UAE</v>
          </cell>
          <cell r="H1027" t="str">
            <v>AUH1</v>
          </cell>
        </row>
        <row r="1028">
          <cell r="C1028">
            <v>206890219</v>
          </cell>
          <cell r="D1028" t="str">
            <v>asarpate</v>
          </cell>
          <cell r="E1028" t="str">
            <v>PATRICIA ASARE</v>
          </cell>
          <cell r="F1028" t="str">
            <v>Temporary</v>
          </cell>
          <cell r="G1028" t="str">
            <v>UAE</v>
          </cell>
          <cell r="H1028" t="str">
            <v>AUH1</v>
          </cell>
        </row>
        <row r="1029">
          <cell r="C1029">
            <v>204117683</v>
          </cell>
          <cell r="D1029" t="str">
            <v>kunopatr</v>
          </cell>
          <cell r="E1029" t="str">
            <v>Patricia Kundu</v>
          </cell>
          <cell r="F1029" t="str">
            <v>Temporary</v>
          </cell>
          <cell r="G1029" t="str">
            <v>UAE</v>
          </cell>
          <cell r="H1029" t="str">
            <v>AUH1</v>
          </cell>
        </row>
        <row r="1030">
          <cell r="C1030">
            <v>203341966</v>
          </cell>
          <cell r="D1030" t="str">
            <v>lanshapa</v>
          </cell>
          <cell r="E1030" t="str">
            <v>Paul Taping Lansha</v>
          </cell>
          <cell r="F1030" t="str">
            <v>Temporary</v>
          </cell>
          <cell r="G1030" t="str">
            <v>UAE</v>
          </cell>
          <cell r="H1030" t="str">
            <v>AUH1</v>
          </cell>
        </row>
        <row r="1031">
          <cell r="C1031">
            <v>206004602</v>
          </cell>
          <cell r="D1031" t="str">
            <v>pauwkona</v>
          </cell>
          <cell r="E1031" t="str">
            <v>PAULINA KONAMAH BOATENG</v>
          </cell>
          <cell r="F1031" t="str">
            <v>Temporary</v>
          </cell>
          <cell r="G1031" t="str">
            <v>UAE</v>
          </cell>
          <cell r="H1031" t="str">
            <v>AUH1</v>
          </cell>
        </row>
        <row r="1032">
          <cell r="C1032">
            <v>203965406</v>
          </cell>
          <cell r="D1032" t="str">
            <v>kwaasipe</v>
          </cell>
          <cell r="E1032" t="str">
            <v>Peter Kwaasi Aswireng</v>
          </cell>
          <cell r="F1032" t="str">
            <v>Temporary</v>
          </cell>
          <cell r="G1032" t="str">
            <v>UAE</v>
          </cell>
          <cell r="H1032" t="str">
            <v>AUH1</v>
          </cell>
        </row>
        <row r="1033">
          <cell r="C1033">
            <v>203850901</v>
          </cell>
          <cell r="D1033" t="str">
            <v>pemagezi</v>
          </cell>
          <cell r="E1033" t="str">
            <v>PETER RICKY MAGEZI</v>
          </cell>
          <cell r="F1033" t="str">
            <v>Temporary</v>
          </cell>
          <cell r="G1033" t="str">
            <v>UAE</v>
          </cell>
          <cell r="H1033" t="str">
            <v>AUH1</v>
          </cell>
        </row>
        <row r="1034">
          <cell r="C1034">
            <v>203851104</v>
          </cell>
          <cell r="D1034" t="str">
            <v>elliepet</v>
          </cell>
          <cell r="E1034" t="str">
            <v>Peter Sahr Ellie</v>
          </cell>
          <cell r="F1034" t="str">
            <v>Temporary</v>
          </cell>
          <cell r="G1034" t="str">
            <v>UAE</v>
          </cell>
          <cell r="H1034" t="str">
            <v>AUH1</v>
          </cell>
        </row>
        <row r="1035">
          <cell r="C1035">
            <v>206129267</v>
          </cell>
          <cell r="D1035" t="str">
            <v>tarkopet</v>
          </cell>
          <cell r="E1035" t="str">
            <v>Peterson Tarko</v>
          </cell>
          <cell r="F1035" t="str">
            <v>Temporary</v>
          </cell>
          <cell r="G1035" t="str">
            <v>UAE</v>
          </cell>
          <cell r="H1035" t="str">
            <v>AUH1</v>
          </cell>
        </row>
        <row r="1036">
          <cell r="C1036">
            <v>205845556</v>
          </cell>
          <cell r="D1036" t="str">
            <v>gyamfinp</v>
          </cell>
          <cell r="E1036" t="str">
            <v>PHILIP GYAMFI</v>
          </cell>
          <cell r="F1036" t="str">
            <v>Temporary</v>
          </cell>
          <cell r="G1036" t="str">
            <v>UAE</v>
          </cell>
          <cell r="H1036" t="str">
            <v>AUH1</v>
          </cell>
        </row>
        <row r="1037">
          <cell r="C1037">
            <v>206200807</v>
          </cell>
          <cell r="D1037" t="str">
            <v>pyisikib</v>
          </cell>
          <cell r="E1037" t="str">
            <v>PILATE YISIKIBA MBENKUM</v>
          </cell>
          <cell r="F1037" t="str">
            <v>Temporary</v>
          </cell>
          <cell r="G1037" t="str">
            <v>UAE</v>
          </cell>
          <cell r="H1037" t="str">
            <v>AUH1</v>
          </cell>
        </row>
        <row r="1038">
          <cell r="C1038">
            <v>203635494</v>
          </cell>
          <cell r="D1038" t="str">
            <v>kudapinj</v>
          </cell>
          <cell r="E1038" t="str">
            <v>Pinjisi,Kudakwashe Ernest</v>
          </cell>
          <cell r="F1038" t="str">
            <v>Temporary</v>
          </cell>
          <cell r="G1038" t="str">
            <v>UAE</v>
          </cell>
          <cell r="H1038" t="str">
            <v>AUH1</v>
          </cell>
        </row>
        <row r="1039">
          <cell r="C1039">
            <v>203881694</v>
          </cell>
          <cell r="D1039" t="str">
            <v>poifrimp</v>
          </cell>
          <cell r="E1039" t="str">
            <v>Polycarp Junior Frimpong</v>
          </cell>
          <cell r="F1039" t="str">
            <v>Temporary</v>
          </cell>
          <cell r="G1039" t="str">
            <v>UAE</v>
          </cell>
          <cell r="H1039" t="str">
            <v>AUH1</v>
          </cell>
        </row>
        <row r="1040">
          <cell r="C1040">
            <v>205856635</v>
          </cell>
          <cell r="D1040" t="str">
            <v>ekyeipor</v>
          </cell>
          <cell r="E1040" t="str">
            <v>PORTIA KYEI</v>
          </cell>
          <cell r="F1040" t="str">
            <v>Temporary</v>
          </cell>
          <cell r="G1040" t="str">
            <v>UAE</v>
          </cell>
          <cell r="H1040" t="str">
            <v>AUH1</v>
          </cell>
        </row>
        <row r="1041">
          <cell r="C1041">
            <v>203800780</v>
          </cell>
          <cell r="D1041" t="str">
            <v>pradegug</v>
          </cell>
          <cell r="E1041" t="str">
            <v>PRADEEP KUMAR GUPTA</v>
          </cell>
          <cell r="F1041" t="str">
            <v>Temporary</v>
          </cell>
          <cell r="G1041" t="str">
            <v>UAE</v>
          </cell>
          <cell r="H1041" t="str">
            <v>AUH1</v>
          </cell>
        </row>
        <row r="1042">
          <cell r="C1042">
            <v>204072305</v>
          </cell>
          <cell r="D1042" t="str">
            <v>shrehpra</v>
          </cell>
          <cell r="E1042" t="str">
            <v>PRADHUMNA SHRESTHA</v>
          </cell>
          <cell r="F1042" t="str">
            <v>Temporary</v>
          </cell>
          <cell r="G1042" t="str">
            <v>UAE</v>
          </cell>
          <cell r="H1042" t="str">
            <v>AUH1</v>
          </cell>
        </row>
        <row r="1043">
          <cell r="C1043">
            <v>204137711</v>
          </cell>
          <cell r="D1043" t="str">
            <v>adjahpri</v>
          </cell>
          <cell r="E1043" t="str">
            <v>Prince Adjah</v>
          </cell>
          <cell r="F1043" t="str">
            <v>Temporary</v>
          </cell>
          <cell r="G1043" t="str">
            <v>UAE</v>
          </cell>
          <cell r="H1043" t="str">
            <v>AUH1</v>
          </cell>
        </row>
        <row r="1044">
          <cell r="C1044">
            <v>204013686</v>
          </cell>
          <cell r="D1044" t="str">
            <v>pagyeiok</v>
          </cell>
          <cell r="E1044" t="str">
            <v>Prince Agyei Okai</v>
          </cell>
          <cell r="F1044" t="str">
            <v>Temporary</v>
          </cell>
          <cell r="G1044" t="str">
            <v>UAE</v>
          </cell>
          <cell r="H1044" t="str">
            <v>AUH1</v>
          </cell>
        </row>
        <row r="1045">
          <cell r="C1045">
            <v>204868502</v>
          </cell>
          <cell r="D1045" t="str">
            <v>pamoesse</v>
          </cell>
          <cell r="E1045" t="str">
            <v>Prince Amo Essel</v>
          </cell>
          <cell r="F1045" t="str">
            <v>Temporary</v>
          </cell>
          <cell r="G1045" t="str">
            <v>UAE</v>
          </cell>
          <cell r="H1045" t="str">
            <v>AUH1</v>
          </cell>
        </row>
        <row r="1046">
          <cell r="C1046">
            <v>203881662</v>
          </cell>
          <cell r="D1046" t="str">
            <v>lprinced</v>
          </cell>
          <cell r="E1046" t="str">
            <v>Prince Dramani</v>
          </cell>
          <cell r="F1046" t="str">
            <v>Temporary</v>
          </cell>
          <cell r="G1046" t="str">
            <v>UAE</v>
          </cell>
          <cell r="H1046" t="str">
            <v>AUH1</v>
          </cell>
        </row>
        <row r="1047">
          <cell r="C1047">
            <v>203851101</v>
          </cell>
          <cell r="D1047" t="str">
            <v>adusahpr</v>
          </cell>
          <cell r="E1047" t="str">
            <v>Prince Kwako Adusah</v>
          </cell>
          <cell r="F1047" t="str">
            <v>Temporary</v>
          </cell>
          <cell r="G1047" t="str">
            <v>UAE</v>
          </cell>
          <cell r="H1047" t="str">
            <v>AUH1</v>
          </cell>
        </row>
        <row r="1048">
          <cell r="C1048">
            <v>205997634</v>
          </cell>
          <cell r="D1048" t="str">
            <v>oforbpri</v>
          </cell>
          <cell r="E1048" t="str">
            <v>PRINCE OFORI</v>
          </cell>
          <cell r="F1048" t="str">
            <v>Temporary</v>
          </cell>
          <cell r="G1048" t="str">
            <v>UAE</v>
          </cell>
          <cell r="H1048" t="str">
            <v>AUH1</v>
          </cell>
        </row>
        <row r="1049">
          <cell r="C1049">
            <v>204967557</v>
          </cell>
          <cell r="D1049" t="str">
            <v>fprinceo</v>
          </cell>
          <cell r="E1049" t="str">
            <v>PRINCE OPOKU FRIMPONG</v>
          </cell>
          <cell r="F1049" t="str">
            <v>Temporary</v>
          </cell>
          <cell r="G1049" t="str">
            <v>UAE</v>
          </cell>
          <cell r="H1049" t="str">
            <v>AUH1</v>
          </cell>
        </row>
        <row r="1050">
          <cell r="C1050">
            <v>204967039</v>
          </cell>
          <cell r="D1050" t="str">
            <v>aprinceo</v>
          </cell>
          <cell r="E1050" t="str">
            <v>PRINCE OWUSU ANIM</v>
          </cell>
          <cell r="F1050" t="str">
            <v>Temporary</v>
          </cell>
          <cell r="G1050" t="str">
            <v>UAE</v>
          </cell>
          <cell r="H1050" t="str">
            <v>AUH1</v>
          </cell>
        </row>
        <row r="1051">
          <cell r="C1051">
            <v>204967145</v>
          </cell>
          <cell r="D1051" t="str">
            <v>prisarpo</v>
          </cell>
          <cell r="E1051" t="str">
            <v>PRINCE SARPONG</v>
          </cell>
          <cell r="F1051" t="str">
            <v>Temporary</v>
          </cell>
          <cell r="G1051" t="str">
            <v>UAE</v>
          </cell>
          <cell r="H1051" t="str">
            <v>AUH1</v>
          </cell>
        </row>
        <row r="1052">
          <cell r="C1052">
            <v>203512946</v>
          </cell>
          <cell r="D1052" t="str">
            <v>priszmaw</v>
          </cell>
          <cell r="E1052" t="str">
            <v>Priscilla Mawusi</v>
          </cell>
          <cell r="F1052" t="str">
            <v>Temporary</v>
          </cell>
          <cell r="G1052" t="str">
            <v>UAE</v>
          </cell>
          <cell r="H1052" t="str">
            <v>AUH1</v>
          </cell>
        </row>
        <row r="1053">
          <cell r="C1053">
            <v>202189563</v>
          </cell>
          <cell r="D1053" t="str">
            <v>prosarth</v>
          </cell>
          <cell r="E1053" t="str">
            <v>Prosper Arthur</v>
          </cell>
          <cell r="F1053" t="str">
            <v>Temporary</v>
          </cell>
          <cell r="G1053" t="str">
            <v>UAE</v>
          </cell>
          <cell r="H1053" t="str">
            <v>AUH1</v>
          </cell>
        </row>
        <row r="1054">
          <cell r="C1054">
            <v>205854084</v>
          </cell>
          <cell r="D1054" t="str">
            <v>puchebiw</v>
          </cell>
          <cell r="E1054" t="str">
            <v>PURITY CHEBIWOT</v>
          </cell>
          <cell r="F1054" t="str">
            <v>Temporary</v>
          </cell>
          <cell r="G1054" t="str">
            <v>UAE</v>
          </cell>
          <cell r="H1054" t="str">
            <v>AUH1</v>
          </cell>
        </row>
        <row r="1055">
          <cell r="C1055">
            <v>106268302</v>
          </cell>
          <cell r="D1055" t="str">
            <v>qamzamur</v>
          </cell>
          <cell r="E1055" t="str">
            <v>Qamar,Zamurd Abbas</v>
          </cell>
          <cell r="F1055" t="str">
            <v>Regular</v>
          </cell>
          <cell r="G1055" t="str">
            <v>UAE</v>
          </cell>
          <cell r="H1055" t="str">
            <v>AUH1</v>
          </cell>
        </row>
        <row r="1056">
          <cell r="C1056">
            <v>206915472</v>
          </cell>
          <cell r="D1056" t="str">
            <v>ssqurais</v>
          </cell>
          <cell r="E1056" t="str">
            <v>Quraish Ssematimba</v>
          </cell>
          <cell r="F1056" t="str">
            <v>Temporary</v>
          </cell>
          <cell r="G1056" t="str">
            <v>UAE</v>
          </cell>
          <cell r="H1056" t="str">
            <v>AUH1</v>
          </cell>
        </row>
        <row r="1057">
          <cell r="C1057">
            <v>206129616</v>
          </cell>
          <cell r="D1057" t="str">
            <v>adorrabq</v>
          </cell>
          <cell r="E1057" t="str">
            <v>Rabbi Ador</v>
          </cell>
          <cell r="F1057" t="str">
            <v>Temporary</v>
          </cell>
          <cell r="G1057" t="str">
            <v>UAE</v>
          </cell>
          <cell r="H1057" t="str">
            <v>AUH1</v>
          </cell>
        </row>
        <row r="1058">
          <cell r="C1058">
            <v>204951315</v>
          </cell>
          <cell r="D1058" t="str">
            <v>bowusura</v>
          </cell>
          <cell r="E1058" t="str">
            <v>RABBI OWUSU</v>
          </cell>
          <cell r="F1058" t="str">
            <v>Temporary</v>
          </cell>
          <cell r="G1058" t="str">
            <v>UAE</v>
          </cell>
          <cell r="H1058" t="str">
            <v>AUH1</v>
          </cell>
        </row>
        <row r="1059">
          <cell r="C1059">
            <v>204009351</v>
          </cell>
          <cell r="D1059" t="str">
            <v>drabimah</v>
          </cell>
          <cell r="E1059" t="str">
            <v>RABIN MAHARJAN</v>
          </cell>
          <cell r="F1059" t="str">
            <v>Temporary</v>
          </cell>
          <cell r="G1059" t="str">
            <v>UAE</v>
          </cell>
          <cell r="H1059" t="str">
            <v>AUH1</v>
          </cell>
        </row>
        <row r="1060">
          <cell r="C1060">
            <v>203512947</v>
          </cell>
          <cell r="D1060" t="str">
            <v>etamarac</v>
          </cell>
          <cell r="E1060" t="str">
            <v>Rachael Motto Etama</v>
          </cell>
          <cell r="F1060" t="str">
            <v>Temporary</v>
          </cell>
          <cell r="G1060" t="str">
            <v>UAE</v>
          </cell>
          <cell r="H1060" t="str">
            <v>AUH1</v>
          </cell>
        </row>
        <row r="1061">
          <cell r="C1061">
            <v>206006426</v>
          </cell>
          <cell r="D1061" t="str">
            <v>rachmoya</v>
          </cell>
          <cell r="E1061" t="str">
            <v>RACHEAL MOYAKO DIALE</v>
          </cell>
          <cell r="F1061" t="str">
            <v>Temporary</v>
          </cell>
          <cell r="G1061" t="str">
            <v>UAE</v>
          </cell>
          <cell r="H1061" t="str">
            <v>AUH1</v>
          </cell>
        </row>
        <row r="1062">
          <cell r="C1062">
            <v>206129597</v>
          </cell>
          <cell r="D1062" t="str">
            <v>rtinoten</v>
          </cell>
          <cell r="E1062" t="str">
            <v>Ralph Tinotenda Maindidze</v>
          </cell>
          <cell r="F1062" t="str">
            <v>Temporary</v>
          </cell>
          <cell r="G1062" t="str">
            <v>UAE</v>
          </cell>
          <cell r="H1062" t="str">
            <v>AUH1</v>
          </cell>
        </row>
        <row r="1063">
          <cell r="C1063">
            <v>203522194</v>
          </cell>
          <cell r="D1063" t="str">
            <v>ramjbang</v>
          </cell>
          <cell r="E1063" t="str">
            <v>Ramatu Bangura</v>
          </cell>
          <cell r="F1063" t="str">
            <v>Temporary</v>
          </cell>
          <cell r="G1063" t="str">
            <v>UAE</v>
          </cell>
          <cell r="H1063" t="str">
            <v>AUH1</v>
          </cell>
        </row>
        <row r="1064">
          <cell r="C1064">
            <v>204138127</v>
          </cell>
          <cell r="D1064" t="str">
            <v>osumrama</v>
          </cell>
          <cell r="E1064" t="str">
            <v>Ramatu Osumanu</v>
          </cell>
          <cell r="F1064" t="str">
            <v>Temporary</v>
          </cell>
          <cell r="G1064" t="str">
            <v>UAE</v>
          </cell>
          <cell r="H1064" t="str">
            <v>AUH1</v>
          </cell>
        </row>
        <row r="1065">
          <cell r="C1065">
            <v>205996131</v>
          </cell>
          <cell r="D1065" t="str">
            <v>randniia</v>
          </cell>
          <cell r="E1065" t="str">
            <v>RANDY NII ARYEETY</v>
          </cell>
          <cell r="F1065" t="str">
            <v>Temporary</v>
          </cell>
          <cell r="G1065" t="str">
            <v>UAE</v>
          </cell>
          <cell r="H1065" t="str">
            <v>AUH1</v>
          </cell>
        </row>
        <row r="1066">
          <cell r="C1066">
            <v>206072874</v>
          </cell>
          <cell r="D1066" t="str">
            <v>kakramen</v>
          </cell>
          <cell r="E1066" t="str">
            <v>Ransford Kakra Mensah</v>
          </cell>
          <cell r="F1066" t="str">
            <v>Temporary</v>
          </cell>
          <cell r="G1066" t="str">
            <v>UAE</v>
          </cell>
          <cell r="H1066" t="str">
            <v>AUH1</v>
          </cell>
        </row>
        <row r="1067">
          <cell r="C1067">
            <v>203964991</v>
          </cell>
          <cell r="D1067" t="str">
            <v>piraviki</v>
          </cell>
          <cell r="E1067" t="str">
            <v>Ravi Kiran Pidatala</v>
          </cell>
          <cell r="F1067" t="str">
            <v>Temporary</v>
          </cell>
          <cell r="G1067" t="str">
            <v>UAE</v>
          </cell>
          <cell r="H1067" t="str">
            <v>AUH1</v>
          </cell>
        </row>
        <row r="1068">
          <cell r="C1068">
            <v>203468747</v>
          </cell>
          <cell r="D1068" t="str">
            <v>reginkum</v>
          </cell>
          <cell r="E1068" t="str">
            <v>Regina Afua Kumi</v>
          </cell>
          <cell r="F1068" t="str">
            <v>Temporary</v>
          </cell>
          <cell r="G1068" t="str">
            <v>UAE</v>
          </cell>
          <cell r="H1068" t="str">
            <v>AUH1</v>
          </cell>
        </row>
        <row r="1069">
          <cell r="C1069">
            <v>203908339</v>
          </cell>
          <cell r="D1069" t="str">
            <v>hrenneaa</v>
          </cell>
          <cell r="E1069" t="str">
            <v>Renne Assah Assah</v>
          </cell>
          <cell r="F1069" t="str">
            <v>Temporary</v>
          </cell>
          <cell r="G1069" t="str">
            <v>UAE</v>
          </cell>
          <cell r="H1069" t="str">
            <v>AUH1</v>
          </cell>
        </row>
        <row r="1070">
          <cell r="C1070">
            <v>203850898</v>
          </cell>
          <cell r="D1070" t="str">
            <v>rictorac</v>
          </cell>
          <cell r="E1070" t="str">
            <v>RICHARD AKENA TORACH</v>
          </cell>
          <cell r="F1070" t="str">
            <v>Temporary</v>
          </cell>
          <cell r="G1070" t="str">
            <v>UAE</v>
          </cell>
          <cell r="H1070" t="str">
            <v>AUH1</v>
          </cell>
        </row>
        <row r="1071">
          <cell r="C1071">
            <v>204138128</v>
          </cell>
          <cell r="D1071" t="str">
            <v>mbatchar</v>
          </cell>
          <cell r="E1071" t="str">
            <v>Richard Blais Mbatcha</v>
          </cell>
          <cell r="F1071" t="str">
            <v>Temporary</v>
          </cell>
          <cell r="G1071" t="str">
            <v>UAE</v>
          </cell>
          <cell r="H1071" t="str">
            <v>AUH1</v>
          </cell>
        </row>
        <row r="1072">
          <cell r="C1072">
            <v>204094494</v>
          </cell>
          <cell r="D1072" t="str">
            <v>dabarich</v>
          </cell>
          <cell r="E1072" t="str">
            <v>Richard Boateng Ababio</v>
          </cell>
          <cell r="F1072" t="str">
            <v>Temporary</v>
          </cell>
          <cell r="G1072" t="str">
            <v>UAE</v>
          </cell>
          <cell r="H1072" t="str">
            <v>AUH1</v>
          </cell>
        </row>
        <row r="1073">
          <cell r="C1073">
            <v>203850925</v>
          </cell>
          <cell r="D1073" t="str">
            <v>mugirich</v>
          </cell>
          <cell r="E1073" t="str">
            <v>RICHARD MUGISHA</v>
          </cell>
          <cell r="F1073" t="str">
            <v>Temporary</v>
          </cell>
          <cell r="G1073" t="str">
            <v>UAE</v>
          </cell>
          <cell r="H1073" t="str">
            <v>AUH1</v>
          </cell>
        </row>
        <row r="1074">
          <cell r="C1074">
            <v>203965457</v>
          </cell>
          <cell r="D1074" t="str">
            <v>ricowusp</v>
          </cell>
          <cell r="E1074" t="str">
            <v>Richard Owusu</v>
          </cell>
          <cell r="F1074" t="str">
            <v>Temporary</v>
          </cell>
          <cell r="G1074" t="str">
            <v>UAE</v>
          </cell>
          <cell r="H1074" t="str">
            <v>AUH1</v>
          </cell>
        </row>
        <row r="1075">
          <cell r="C1075">
            <v>204467948</v>
          </cell>
          <cell r="D1075" t="str">
            <v>risahrmb</v>
          </cell>
          <cell r="E1075" t="str">
            <v>Richard Sahr M'Bayo</v>
          </cell>
          <cell r="F1075" t="str">
            <v>Temporary</v>
          </cell>
          <cell r="G1075" t="str">
            <v>UAE</v>
          </cell>
          <cell r="H1075" t="str">
            <v>AUH1</v>
          </cell>
        </row>
        <row r="1076">
          <cell r="C1076">
            <v>201487409</v>
          </cell>
          <cell r="D1076" t="str">
            <v>sakycric</v>
          </cell>
          <cell r="E1076" t="str">
            <v>Richard Sakyi</v>
          </cell>
          <cell r="F1076" t="str">
            <v>Temporary</v>
          </cell>
          <cell r="G1076" t="str">
            <v>UAE</v>
          </cell>
          <cell r="H1076" t="str">
            <v>AUH1</v>
          </cell>
        </row>
        <row r="1077">
          <cell r="C1077">
            <v>204331928</v>
          </cell>
          <cell r="D1077" t="str">
            <v>rkyeboah</v>
          </cell>
          <cell r="E1077" t="str">
            <v>Richard Yeboah</v>
          </cell>
          <cell r="F1077" t="str">
            <v>Temporary</v>
          </cell>
          <cell r="G1077" t="str">
            <v>UAE</v>
          </cell>
          <cell r="H1077" t="str">
            <v>AUH1</v>
          </cell>
        </row>
        <row r="1078">
          <cell r="C1078">
            <v>203341964</v>
          </cell>
          <cell r="D1078" t="str">
            <v>ampritac</v>
          </cell>
          <cell r="E1078" t="str">
            <v>Rita Abbiw Amponsah</v>
          </cell>
          <cell r="F1078" t="str">
            <v>Temporary</v>
          </cell>
          <cell r="G1078" t="str">
            <v>UAE</v>
          </cell>
          <cell r="H1078" t="str">
            <v>AUH1</v>
          </cell>
        </row>
        <row r="1079">
          <cell r="C1079">
            <v>203011024</v>
          </cell>
          <cell r="D1079" t="str">
            <v>ritakawe</v>
          </cell>
          <cell r="E1079" t="str">
            <v>Rita Kawe Nformi</v>
          </cell>
          <cell r="F1079" t="str">
            <v>Temporary</v>
          </cell>
          <cell r="G1079" t="str">
            <v>UAE</v>
          </cell>
          <cell r="H1079" t="str">
            <v>AUH1</v>
          </cell>
        </row>
        <row r="1080">
          <cell r="C1080">
            <v>204172230</v>
          </cell>
          <cell r="D1080" t="str">
            <v>musisrop</v>
          </cell>
          <cell r="E1080" t="str">
            <v>ROBERT MUSISI</v>
          </cell>
          <cell r="F1080" t="str">
            <v>Temporary</v>
          </cell>
          <cell r="G1080" t="str">
            <v>UAE</v>
          </cell>
          <cell r="H1080" t="str">
            <v>AUH1</v>
          </cell>
        </row>
        <row r="1081">
          <cell r="C1081">
            <v>205845560</v>
          </cell>
          <cell r="D1081" t="str">
            <v>xainorog</v>
          </cell>
          <cell r="E1081" t="str">
            <v>ROGERS AINOMUGISHA</v>
          </cell>
          <cell r="F1081" t="str">
            <v>Temporary</v>
          </cell>
          <cell r="G1081" t="str">
            <v>UAE</v>
          </cell>
          <cell r="H1081" t="str">
            <v>AUH1</v>
          </cell>
        </row>
        <row r="1082">
          <cell r="C1082">
            <v>203851002</v>
          </cell>
          <cell r="D1082" t="str">
            <v>rmundakk</v>
          </cell>
          <cell r="E1082" t="str">
            <v>ROHIT KRISHANA MUNDAKKALIL</v>
          </cell>
          <cell r="F1082" t="str">
            <v>Temporary</v>
          </cell>
          <cell r="G1082" t="str">
            <v>UAE</v>
          </cell>
          <cell r="H1082" t="str">
            <v>AUH1</v>
          </cell>
        </row>
        <row r="1083">
          <cell r="C1083">
            <v>203850924</v>
          </cell>
          <cell r="D1083" t="str">
            <v>dronkate</v>
          </cell>
          <cell r="E1083" t="str">
            <v>RONALD KATENDE</v>
          </cell>
          <cell r="F1083" t="str">
            <v>Temporary</v>
          </cell>
          <cell r="G1083" t="str">
            <v>UAE</v>
          </cell>
          <cell r="H1083" t="str">
            <v>AUH1</v>
          </cell>
        </row>
        <row r="1084">
          <cell r="C1084">
            <v>203850926</v>
          </cell>
          <cell r="D1084" t="str">
            <v>ronalsse</v>
          </cell>
          <cell r="E1084" t="str">
            <v>RONALD SSEBUKYU</v>
          </cell>
          <cell r="F1084" t="str">
            <v>Temporary</v>
          </cell>
          <cell r="G1084" t="str">
            <v>UAE</v>
          </cell>
          <cell r="H1084" t="str">
            <v>AUH1</v>
          </cell>
        </row>
        <row r="1085">
          <cell r="C1085">
            <v>203850923</v>
          </cell>
          <cell r="D1085" t="str">
            <v>rssemand</v>
          </cell>
          <cell r="E1085" t="str">
            <v>RONALD SSEMANDA</v>
          </cell>
          <cell r="F1085" t="str">
            <v>Temporary</v>
          </cell>
          <cell r="G1085" t="str">
            <v>UAE</v>
          </cell>
          <cell r="H1085" t="str">
            <v>AUH1</v>
          </cell>
        </row>
        <row r="1086">
          <cell r="C1086">
            <v>206873790</v>
          </cell>
          <cell r="D1086" t="str">
            <v>sserusro</v>
          </cell>
          <cell r="E1086" t="str">
            <v>RONALD SSERUKEERA</v>
          </cell>
          <cell r="F1086" t="str">
            <v>Temporary</v>
          </cell>
          <cell r="G1086" t="str">
            <v>UAE</v>
          </cell>
          <cell r="H1086" t="str">
            <v>AUH1</v>
          </cell>
        </row>
        <row r="1087">
          <cell r="C1087">
            <v>206015650</v>
          </cell>
          <cell r="D1087" t="str">
            <v>mwesiron</v>
          </cell>
          <cell r="E1087" t="str">
            <v>Ronnie Mwesigwa Matovu</v>
          </cell>
          <cell r="F1087" t="str">
            <v>Temporary</v>
          </cell>
          <cell r="G1087" t="str">
            <v>UAE</v>
          </cell>
          <cell r="H1087" t="str">
            <v>AUH1</v>
          </cell>
        </row>
        <row r="1088">
          <cell r="C1088">
            <v>206192232</v>
          </cell>
          <cell r="D1088" t="str">
            <v>maurrono</v>
          </cell>
          <cell r="E1088" t="str">
            <v>Rono,Maureen Chebet</v>
          </cell>
          <cell r="F1088" t="str">
            <v>Temporary</v>
          </cell>
          <cell r="G1088" t="str">
            <v>UAE</v>
          </cell>
          <cell r="H1088" t="str">
            <v>AUH1</v>
          </cell>
        </row>
        <row r="1089">
          <cell r="C1089">
            <v>205854085</v>
          </cell>
          <cell r="D1089" t="str">
            <v>jrosenyw</v>
          </cell>
          <cell r="E1089" t="str">
            <v>ROSE NYANCHERA JAIRUS</v>
          </cell>
          <cell r="F1089" t="str">
            <v>Temporary</v>
          </cell>
          <cell r="G1089" t="str">
            <v>UAE</v>
          </cell>
          <cell r="H1089" t="str">
            <v>AUH1</v>
          </cell>
        </row>
        <row r="1090">
          <cell r="C1090">
            <v>205996136</v>
          </cell>
          <cell r="D1090" t="str">
            <v>prerosel</v>
          </cell>
          <cell r="E1090" t="str">
            <v>ROSELYN PRECIOUS KULIMA</v>
          </cell>
          <cell r="F1090" t="str">
            <v>Temporary</v>
          </cell>
          <cell r="G1090" t="str">
            <v>UAE</v>
          </cell>
          <cell r="H1090" t="str">
            <v>AUH1</v>
          </cell>
        </row>
        <row r="1091">
          <cell r="C1091">
            <v>206491329</v>
          </cell>
          <cell r="D1091" t="str">
            <v>yrotichc</v>
          </cell>
          <cell r="E1091" t="str">
            <v>ROTICH,CYNTHIA JEPKOSGEI</v>
          </cell>
          <cell r="F1091" t="str">
            <v>Temporary</v>
          </cell>
          <cell r="G1091" t="str">
            <v>UAE</v>
          </cell>
          <cell r="H1091" t="str">
            <v>AUH1</v>
          </cell>
        </row>
        <row r="1092">
          <cell r="C1092">
            <v>204052506</v>
          </cell>
          <cell r="D1092" t="str">
            <v>rustukhs</v>
          </cell>
          <cell r="E1092" t="str">
            <v>Rustum Khan</v>
          </cell>
          <cell r="F1092" t="str">
            <v>Temporary</v>
          </cell>
          <cell r="G1092" t="str">
            <v>UAE</v>
          </cell>
          <cell r="H1092" t="str">
            <v>AUH1</v>
          </cell>
        </row>
        <row r="1093">
          <cell r="C1093">
            <v>204094496</v>
          </cell>
          <cell r="D1093" t="str">
            <v>rutenmat</v>
          </cell>
          <cell r="E1093" t="str">
            <v>Rutendo Beaulla Mateyo</v>
          </cell>
          <cell r="F1093" t="str">
            <v>Temporary</v>
          </cell>
          <cell r="G1093" t="str">
            <v>UAE</v>
          </cell>
          <cell r="H1093" t="str">
            <v>AUH1</v>
          </cell>
        </row>
        <row r="1094">
          <cell r="C1094">
            <v>205252750</v>
          </cell>
          <cell r="D1094" t="str">
            <v>kipruthc</v>
          </cell>
          <cell r="E1094" t="str">
            <v>Ruth Chepkemboi Kipchirchir</v>
          </cell>
          <cell r="F1094" t="str">
            <v>Temporary</v>
          </cell>
          <cell r="G1094" t="str">
            <v>UAE</v>
          </cell>
          <cell r="H1094" t="str">
            <v>AUH1</v>
          </cell>
        </row>
        <row r="1095">
          <cell r="C1095">
            <v>206886635</v>
          </cell>
          <cell r="D1095" t="str">
            <v>bittorut</v>
          </cell>
          <cell r="E1095" t="str">
            <v>RUTH JEMUTAI BITTOK</v>
          </cell>
          <cell r="F1095" t="str">
            <v>Temporary</v>
          </cell>
          <cell r="G1095" t="str">
            <v>UAE</v>
          </cell>
          <cell r="H1095" t="str">
            <v>AUH1</v>
          </cell>
        </row>
        <row r="1096">
          <cell r="C1096">
            <v>206886512</v>
          </cell>
          <cell r="D1096" t="str">
            <v>rutjepke</v>
          </cell>
          <cell r="E1096" t="str">
            <v>RUTH JEPKERMBOI</v>
          </cell>
          <cell r="F1096" t="str">
            <v>Temporary</v>
          </cell>
          <cell r="G1096" t="str">
            <v>UAE</v>
          </cell>
          <cell r="H1096" t="str">
            <v>AUH1</v>
          </cell>
        </row>
        <row r="1097">
          <cell r="C1097">
            <v>206889908</v>
          </cell>
          <cell r="D1097" t="str">
            <v>jeplerut</v>
          </cell>
          <cell r="E1097" t="str">
            <v>RUTH JEPLETING</v>
          </cell>
          <cell r="F1097" t="str">
            <v>Temporary</v>
          </cell>
          <cell r="G1097" t="str">
            <v>UAE</v>
          </cell>
          <cell r="H1097" t="str">
            <v>AUH1</v>
          </cell>
        </row>
        <row r="1098">
          <cell r="C1098">
            <v>206897663</v>
          </cell>
          <cell r="D1098" t="str">
            <v>sselugya</v>
          </cell>
          <cell r="E1098" t="str">
            <v>SADAT SSELUGYA</v>
          </cell>
          <cell r="F1098" t="str">
            <v>Temporary</v>
          </cell>
          <cell r="G1098" t="str">
            <v>UAE</v>
          </cell>
          <cell r="H1098" t="str">
            <v>AUH1</v>
          </cell>
        </row>
        <row r="1099">
          <cell r="C1099">
            <v>204010043</v>
          </cell>
          <cell r="D1099" t="str">
            <v>juesaidi</v>
          </cell>
          <cell r="E1099" t="str">
            <v>SAIDI JUNIOR LUBEGA</v>
          </cell>
          <cell r="F1099" t="str">
            <v>Temporary</v>
          </cell>
          <cell r="G1099" t="str">
            <v>UAE</v>
          </cell>
          <cell r="H1099" t="str">
            <v>AUH1</v>
          </cell>
        </row>
        <row r="1100">
          <cell r="C1100">
            <v>201536170</v>
          </cell>
          <cell r="D1100" t="str">
            <v>thusaidu</v>
          </cell>
          <cell r="E1100" t="str">
            <v>Saidu Brima Thullah</v>
          </cell>
          <cell r="F1100" t="str">
            <v>Temporary</v>
          </cell>
          <cell r="G1100" t="str">
            <v>UAE</v>
          </cell>
          <cell r="H1100" t="str">
            <v>AUH1</v>
          </cell>
        </row>
        <row r="1101">
          <cell r="C1101">
            <v>203342037</v>
          </cell>
          <cell r="D1101" t="str">
            <v>jsalmmoh</v>
          </cell>
          <cell r="E1101" t="str">
            <v xml:space="preserve">Salman Mohammad </v>
          </cell>
          <cell r="F1101" t="str">
            <v>Temporary</v>
          </cell>
          <cell r="G1101" t="str">
            <v>UAE</v>
          </cell>
          <cell r="H1101" t="str">
            <v>AUH1</v>
          </cell>
        </row>
        <row r="1102">
          <cell r="C1102">
            <v>206139179</v>
          </cell>
          <cell r="D1102" t="str">
            <v>saberhet</v>
          </cell>
          <cell r="E1102" t="str">
            <v>SAMIAL BERHE TEKLEHAYMANOT</v>
          </cell>
          <cell r="F1102" t="str">
            <v>Temporary</v>
          </cell>
          <cell r="G1102" t="str">
            <v>UAE</v>
          </cell>
          <cell r="H1102" t="str">
            <v>AUH1</v>
          </cell>
        </row>
        <row r="1103">
          <cell r="C1103">
            <v>203881659</v>
          </cell>
          <cell r="D1103" t="str">
            <v>sankosam</v>
          </cell>
          <cell r="E1103" t="str">
            <v>Sampha Sankoh</v>
          </cell>
          <cell r="F1103" t="str">
            <v>Temporary</v>
          </cell>
          <cell r="G1103" t="str">
            <v>UAE</v>
          </cell>
          <cell r="H1103" t="str">
            <v>AUH1</v>
          </cell>
        </row>
        <row r="1104">
          <cell r="C1104">
            <v>201204303</v>
          </cell>
          <cell r="D1104" t="str">
            <v>samnuama</v>
          </cell>
          <cell r="E1104" t="str">
            <v>Sampson Nuamah</v>
          </cell>
          <cell r="F1104" t="str">
            <v>Temporary</v>
          </cell>
          <cell r="G1104" t="str">
            <v>UAE</v>
          </cell>
          <cell r="H1104" t="str">
            <v>AUH1</v>
          </cell>
        </row>
        <row r="1105">
          <cell r="C1105">
            <v>203800479</v>
          </cell>
          <cell r="D1105" t="str">
            <v>kigsamso</v>
          </cell>
          <cell r="E1105" t="str">
            <v>SAMSON KIGULI</v>
          </cell>
          <cell r="F1105" t="str">
            <v>Temporary</v>
          </cell>
          <cell r="G1105" t="str">
            <v>UAE</v>
          </cell>
          <cell r="H1105" t="str">
            <v>AUH1</v>
          </cell>
        </row>
        <row r="1106">
          <cell r="C1106">
            <v>204868706</v>
          </cell>
          <cell r="D1106" t="str">
            <v>eamosamu</v>
          </cell>
          <cell r="E1106" t="str">
            <v>Samuel Amoako</v>
          </cell>
          <cell r="F1106" t="str">
            <v>Temporary</v>
          </cell>
          <cell r="G1106" t="str">
            <v>UAE</v>
          </cell>
          <cell r="H1106" t="str">
            <v>AUH1</v>
          </cell>
        </row>
        <row r="1107">
          <cell r="C1107">
            <v>203881695</v>
          </cell>
          <cell r="D1107" t="str">
            <v>samutofo</v>
          </cell>
          <cell r="E1107" t="str">
            <v>Samuel Ofori</v>
          </cell>
          <cell r="F1107" t="str">
            <v>Temporary</v>
          </cell>
          <cell r="G1107" t="str">
            <v>UAE</v>
          </cell>
          <cell r="H1107" t="str">
            <v>AUH1</v>
          </cell>
        </row>
        <row r="1108">
          <cell r="C1108">
            <v>113366831</v>
          </cell>
          <cell r="D1108" t="str">
            <v>osalwant</v>
          </cell>
          <cell r="E1108" t="str">
            <v>Sanjana SALWANT MASIH</v>
          </cell>
          <cell r="F1108" t="str">
            <v>Temporary</v>
          </cell>
          <cell r="G1108" t="str">
            <v>UAE</v>
          </cell>
          <cell r="H1108" t="str">
            <v>AUH1</v>
          </cell>
        </row>
        <row r="1109">
          <cell r="C1109">
            <v>205939862</v>
          </cell>
          <cell r="D1109" t="str">
            <v>sanjajev</v>
          </cell>
          <cell r="E1109" t="str">
            <v>SANJAY JERALD</v>
          </cell>
          <cell r="F1109" t="str">
            <v>Temporary</v>
          </cell>
          <cell r="G1109" t="str">
            <v>UAE</v>
          </cell>
          <cell r="H1109" t="str">
            <v>AUH1</v>
          </cell>
        </row>
        <row r="1110">
          <cell r="C1110">
            <v>203736775</v>
          </cell>
          <cell r="D1110" t="str">
            <v>sakuttan</v>
          </cell>
          <cell r="E1110" t="str">
            <v>Sanoj Kuttan</v>
          </cell>
          <cell r="F1110" t="str">
            <v>Temporary</v>
          </cell>
          <cell r="G1110" t="str">
            <v>UAE</v>
          </cell>
          <cell r="H1110" t="str">
            <v>AUH1</v>
          </cell>
        </row>
        <row r="1111">
          <cell r="C1111">
            <v>112549647</v>
          </cell>
          <cell r="D1111" t="str">
            <v>bashsaql</v>
          </cell>
          <cell r="E1111" t="str">
            <v>Saqlain Bashir</v>
          </cell>
          <cell r="F1111" t="str">
            <v>Temporary</v>
          </cell>
          <cell r="G1111" t="str">
            <v>UAE</v>
          </cell>
          <cell r="H1111" t="str">
            <v>AUH1</v>
          </cell>
        </row>
        <row r="1112">
          <cell r="C1112">
            <v>202199036</v>
          </cell>
          <cell r="D1112" t="str">
            <v>sadubeas</v>
          </cell>
          <cell r="E1112" t="str">
            <v>Sarah Adubea</v>
          </cell>
          <cell r="F1112" t="str">
            <v>Temporary</v>
          </cell>
          <cell r="G1112" t="str">
            <v>UAE</v>
          </cell>
          <cell r="H1112" t="str">
            <v>AUH1</v>
          </cell>
        </row>
        <row r="1113">
          <cell r="C1113">
            <v>204373724</v>
          </cell>
          <cell r="D1113" t="str">
            <v>sarshcha</v>
          </cell>
          <cell r="E1113" t="str">
            <v>SARSHAN CHARLES CHARLES</v>
          </cell>
          <cell r="F1113" t="str">
            <v>Temporary</v>
          </cell>
          <cell r="G1113" t="str">
            <v>UAE</v>
          </cell>
          <cell r="H1113" t="str">
            <v>AUH1</v>
          </cell>
        </row>
        <row r="1114">
          <cell r="C1114">
            <v>203918123</v>
          </cell>
          <cell r="D1114" t="str">
            <v>chashaav</v>
          </cell>
          <cell r="E1114" t="str">
            <v>Shaavan Chauhan</v>
          </cell>
          <cell r="F1114" t="str">
            <v>Temporary</v>
          </cell>
          <cell r="G1114" t="str">
            <v>UAE</v>
          </cell>
          <cell r="H1114" t="str">
            <v>AUH1</v>
          </cell>
        </row>
        <row r="1115">
          <cell r="C1115">
            <v>205199830</v>
          </cell>
          <cell r="D1115" t="str">
            <v>shadraat</v>
          </cell>
          <cell r="E1115" t="str">
            <v>Shadrack Atela</v>
          </cell>
          <cell r="F1115" t="str">
            <v>Temporary</v>
          </cell>
          <cell r="G1115" t="str">
            <v>UAE</v>
          </cell>
          <cell r="H1115" t="str">
            <v>AUH1</v>
          </cell>
        </row>
        <row r="1116">
          <cell r="C1116">
            <v>201264954</v>
          </cell>
          <cell r="D1116" t="str">
            <v>boashadr</v>
          </cell>
          <cell r="E1116" t="str">
            <v>Shadrack Boakye</v>
          </cell>
          <cell r="F1116" t="str">
            <v>Temporary</v>
          </cell>
          <cell r="G1116" t="str">
            <v>UAE</v>
          </cell>
          <cell r="H1116" t="str">
            <v>AUH1</v>
          </cell>
        </row>
        <row r="1117">
          <cell r="C1117">
            <v>203468744</v>
          </cell>
          <cell r="D1117" t="str">
            <v>shadrkwa</v>
          </cell>
          <cell r="E1117" t="str">
            <v>Shadrack Kwarteng</v>
          </cell>
          <cell r="F1117" t="str">
            <v>Temporary</v>
          </cell>
          <cell r="G1117" t="str">
            <v>UAE</v>
          </cell>
          <cell r="H1117" t="str">
            <v>AUH1</v>
          </cell>
        </row>
        <row r="1118">
          <cell r="C1118">
            <v>205127496</v>
          </cell>
          <cell r="D1118" t="str">
            <v>shadraob</v>
          </cell>
          <cell r="E1118" t="str">
            <v>Shadrack Obi</v>
          </cell>
          <cell r="F1118" t="str">
            <v>Temporary</v>
          </cell>
          <cell r="G1118" t="str">
            <v>UAE</v>
          </cell>
          <cell r="H1118" t="str">
            <v>AUH1</v>
          </cell>
        </row>
        <row r="1119">
          <cell r="C1119">
            <v>204009358</v>
          </cell>
          <cell r="D1119" t="str">
            <v>shamumbe</v>
          </cell>
          <cell r="E1119" t="str">
            <v>SHAFFI MUMBERE</v>
          </cell>
          <cell r="F1119" t="str">
            <v>Temporary</v>
          </cell>
          <cell r="G1119" t="str">
            <v>UAE</v>
          </cell>
          <cell r="H1119" t="str">
            <v>AUH1</v>
          </cell>
        </row>
        <row r="1120">
          <cell r="C1120">
            <v>205845550</v>
          </cell>
          <cell r="D1120" t="str">
            <v>shaandhk</v>
          </cell>
          <cell r="E1120" t="str">
            <v>SHAFIC ANDHI</v>
          </cell>
          <cell r="F1120" t="str">
            <v>Temporary</v>
          </cell>
          <cell r="G1120" t="str">
            <v>UAE</v>
          </cell>
          <cell r="H1120" t="str">
            <v>AUH1</v>
          </cell>
        </row>
        <row r="1121">
          <cell r="C1121">
            <v>103776227</v>
          </cell>
          <cell r="D1121" t="str">
            <v>javshahi</v>
          </cell>
          <cell r="E1121" t="str">
            <v>Shahid Javeed</v>
          </cell>
          <cell r="F1121" t="str">
            <v>Regular</v>
          </cell>
          <cell r="G1121" t="str">
            <v>UAE</v>
          </cell>
          <cell r="H1121" t="str">
            <v>AUH1</v>
          </cell>
        </row>
        <row r="1122">
          <cell r="C1122">
            <v>206230580</v>
          </cell>
          <cell r="D1122" t="str">
            <v>ndagirsh</v>
          </cell>
          <cell r="E1122" t="str">
            <v>Shams Nagagire</v>
          </cell>
          <cell r="F1122" t="str">
            <v>Temporary</v>
          </cell>
          <cell r="G1122" t="str">
            <v>UAE</v>
          </cell>
          <cell r="H1122" t="str">
            <v>AUH1</v>
          </cell>
        </row>
        <row r="1123">
          <cell r="C1123">
            <v>205853886</v>
          </cell>
          <cell r="D1123" t="str">
            <v>sharmugw</v>
          </cell>
          <cell r="E1123" t="str">
            <v>Sharif Ali</v>
          </cell>
          <cell r="F1123" t="str">
            <v>Temporary</v>
          </cell>
          <cell r="G1123" t="str">
            <v>UAE</v>
          </cell>
          <cell r="H1123" t="str">
            <v>AUH1</v>
          </cell>
        </row>
        <row r="1124">
          <cell r="C1124">
            <v>203965456</v>
          </cell>
          <cell r="D1124" t="str">
            <v>habimsha</v>
          </cell>
          <cell r="E1124" t="str">
            <v>Sharif Habimana</v>
          </cell>
          <cell r="F1124" t="str">
            <v>Temporary</v>
          </cell>
          <cell r="G1124" t="str">
            <v>UAE</v>
          </cell>
          <cell r="H1124" t="str">
            <v>AUH1</v>
          </cell>
        </row>
        <row r="1125">
          <cell r="C1125">
            <v>206886513</v>
          </cell>
          <cell r="D1125" t="str">
            <v>schelanw</v>
          </cell>
          <cell r="E1125" t="str">
            <v>SHARON CHELANGAT</v>
          </cell>
          <cell r="F1125" t="str">
            <v>Temporary</v>
          </cell>
          <cell r="G1125" t="str">
            <v>UAE</v>
          </cell>
          <cell r="H1125" t="str">
            <v>AUH1</v>
          </cell>
        </row>
        <row r="1126">
          <cell r="C1126">
            <v>206886644</v>
          </cell>
          <cell r="D1126" t="str">
            <v>jepsharo</v>
          </cell>
          <cell r="E1126" t="str">
            <v>Sharon Jepkemboi</v>
          </cell>
          <cell r="F1126" t="str">
            <v>Temporary</v>
          </cell>
          <cell r="G1126" t="str">
            <v>UAE</v>
          </cell>
          <cell r="H1126" t="str">
            <v>AUH1</v>
          </cell>
        </row>
        <row r="1127">
          <cell r="C1127">
            <v>205845549</v>
          </cell>
          <cell r="D1127" t="str">
            <v>ayshedra</v>
          </cell>
          <cell r="E1127" t="str">
            <v>SHEDRACK AYEBAZIBWE</v>
          </cell>
          <cell r="F1127" t="str">
            <v>Temporary</v>
          </cell>
          <cell r="G1127" t="str">
            <v>UAE</v>
          </cell>
          <cell r="H1127" t="str">
            <v>AUH1</v>
          </cell>
        </row>
        <row r="1128">
          <cell r="C1128">
            <v>206192239</v>
          </cell>
          <cell r="D1128" t="str">
            <v>ysheilaj</v>
          </cell>
          <cell r="E1128" t="str">
            <v>Sheila jepchumba yator</v>
          </cell>
          <cell r="F1128" t="str">
            <v>Temporary</v>
          </cell>
          <cell r="G1128" t="str">
            <v>UAE</v>
          </cell>
          <cell r="H1128" t="str">
            <v>AUH1</v>
          </cell>
        </row>
        <row r="1129">
          <cell r="C1129">
            <v>203512943</v>
          </cell>
          <cell r="D1129" t="str">
            <v>cshingai</v>
          </cell>
          <cell r="E1129" t="str">
            <v>Shingai Chinaa</v>
          </cell>
          <cell r="F1129" t="str">
            <v>Temporary</v>
          </cell>
          <cell r="G1129" t="str">
            <v>UAE</v>
          </cell>
          <cell r="H1129" t="str">
            <v>AUH1</v>
          </cell>
        </row>
        <row r="1130">
          <cell r="C1130">
            <v>204009949</v>
          </cell>
          <cell r="D1130" t="str">
            <v>shrrabib</v>
          </cell>
          <cell r="E1130" t="str">
            <v>SHRESTHA,RABIN</v>
          </cell>
          <cell r="F1130" t="str">
            <v>Temporary</v>
          </cell>
          <cell r="G1130" t="str">
            <v>UAE</v>
          </cell>
          <cell r="H1130" t="str">
            <v>AUH1</v>
          </cell>
        </row>
        <row r="1131">
          <cell r="C1131">
            <v>203964990</v>
          </cell>
          <cell r="D1131" t="str">
            <v>roycshub</v>
          </cell>
          <cell r="E1131" t="str">
            <v>Shubhadeep Roy</v>
          </cell>
          <cell r="F1131" t="str">
            <v>Temporary</v>
          </cell>
          <cell r="G1131" t="str">
            <v>UAE</v>
          </cell>
          <cell r="H1131" t="str">
            <v>AUH1</v>
          </cell>
        </row>
        <row r="1132">
          <cell r="C1132">
            <v>204117685</v>
          </cell>
          <cell r="D1132" t="str">
            <v>sonsiamj</v>
          </cell>
          <cell r="E1132" t="str">
            <v>Sia Sonsiama</v>
          </cell>
          <cell r="F1132" t="str">
            <v>Temporary</v>
          </cell>
          <cell r="G1132" t="str">
            <v>UAE</v>
          </cell>
          <cell r="H1132" t="str">
            <v>AUH1</v>
          </cell>
        </row>
        <row r="1133">
          <cell r="C1133">
            <v>205845546</v>
          </cell>
          <cell r="D1133" t="str">
            <v>aijsimoj</v>
          </cell>
          <cell r="E1133" t="str">
            <v>SIMON AIJUKA</v>
          </cell>
          <cell r="F1133" t="str">
            <v>Temporary</v>
          </cell>
          <cell r="G1133" t="str">
            <v>UAE</v>
          </cell>
          <cell r="H1133" t="str">
            <v>AUH1</v>
          </cell>
        </row>
        <row r="1134">
          <cell r="C1134">
            <v>203908332</v>
          </cell>
          <cell r="D1134" t="str">
            <v>siasiimw</v>
          </cell>
          <cell r="E1134" t="str">
            <v>Simon Asimwe</v>
          </cell>
          <cell r="F1134" t="str">
            <v>Temporary</v>
          </cell>
          <cell r="G1134" t="str">
            <v>UAE</v>
          </cell>
          <cell r="H1134" t="str">
            <v>AUH1</v>
          </cell>
        </row>
        <row r="1135">
          <cell r="C1135">
            <v>206604522</v>
          </cell>
          <cell r="D1135" t="str">
            <v>rmuthosi</v>
          </cell>
          <cell r="E1135" t="str">
            <v>SIMON KINYANJUI Muthoni</v>
          </cell>
          <cell r="F1135" t="str">
            <v>Temporary</v>
          </cell>
          <cell r="G1135" t="str">
            <v>UAE</v>
          </cell>
          <cell r="H1135" t="str">
            <v>AUH1</v>
          </cell>
        </row>
        <row r="1136">
          <cell r="C1136">
            <v>206851164</v>
          </cell>
          <cell r="D1136" t="str">
            <v>mugerwsi</v>
          </cell>
          <cell r="E1136" t="str">
            <v>SIMON MUGERWA</v>
          </cell>
          <cell r="F1136" t="str">
            <v>Temporary</v>
          </cell>
          <cell r="G1136" t="str">
            <v>UAE</v>
          </cell>
          <cell r="H1136" t="str">
            <v>AUH1</v>
          </cell>
        </row>
        <row r="1137">
          <cell r="C1137">
            <v>203908334</v>
          </cell>
          <cell r="D1137" t="str">
            <v>nagwsimz</v>
          </cell>
          <cell r="E1137" t="str">
            <v>Simon Nagwaka</v>
          </cell>
          <cell r="F1137" t="str">
            <v>Temporary</v>
          </cell>
          <cell r="G1137" t="str">
            <v>UAE</v>
          </cell>
          <cell r="H1137" t="str">
            <v>AUH1</v>
          </cell>
        </row>
        <row r="1138">
          <cell r="C1138">
            <v>206129263</v>
          </cell>
          <cell r="D1138" t="str">
            <v>appsolom</v>
          </cell>
          <cell r="E1138" t="str">
            <v>Solomon Appiah Kubi</v>
          </cell>
          <cell r="F1138" t="str">
            <v>Temporary</v>
          </cell>
          <cell r="G1138" t="str">
            <v>UAE</v>
          </cell>
          <cell r="H1138" t="str">
            <v>AUH1</v>
          </cell>
        </row>
        <row r="1139">
          <cell r="C1139">
            <v>204013685</v>
          </cell>
          <cell r="D1139" t="str">
            <v>solokorz</v>
          </cell>
          <cell r="E1139" t="str">
            <v>Solomon Koranteng Nyarko</v>
          </cell>
          <cell r="F1139" t="str">
            <v>Temporary</v>
          </cell>
          <cell r="G1139" t="str">
            <v>UAE</v>
          </cell>
          <cell r="H1139" t="str">
            <v>AUH1</v>
          </cell>
        </row>
        <row r="1140">
          <cell r="C1140">
            <v>205199356</v>
          </cell>
          <cell r="D1140" t="str">
            <v>ssaamike</v>
          </cell>
          <cell r="E1140" t="str">
            <v>Ssaabwe,Mike</v>
          </cell>
          <cell r="F1140" t="str">
            <v>Temporary</v>
          </cell>
          <cell r="G1140" t="str">
            <v>UAE</v>
          </cell>
          <cell r="H1140" t="str">
            <v>AUH1</v>
          </cell>
        </row>
        <row r="1141">
          <cell r="C1141">
            <v>206200800</v>
          </cell>
          <cell r="D1141" t="str">
            <v>ssebamom</v>
          </cell>
          <cell r="E1141" t="str">
            <v>Ssebamobe Mike</v>
          </cell>
          <cell r="F1141" t="str">
            <v>Temporary</v>
          </cell>
          <cell r="G1141" t="str">
            <v>UAE</v>
          </cell>
          <cell r="H1141" t="str">
            <v>AUH1</v>
          </cell>
        </row>
        <row r="1142">
          <cell r="C1142">
            <v>206846532</v>
          </cell>
          <cell r="D1142" t="str">
            <v>mikssonk</v>
          </cell>
          <cell r="E1142" t="str">
            <v>Ssonko Mike</v>
          </cell>
          <cell r="F1142" t="str">
            <v>Temporary</v>
          </cell>
          <cell r="G1142" t="str">
            <v>UAE</v>
          </cell>
          <cell r="H1142" t="str">
            <v>AUH1</v>
          </cell>
        </row>
        <row r="1143">
          <cell r="C1143">
            <v>205845555</v>
          </cell>
          <cell r="D1143" t="str">
            <v>luswatst</v>
          </cell>
          <cell r="E1143" t="str">
            <v>STEPHEN LUSWATA</v>
          </cell>
          <cell r="F1143" t="str">
            <v>Temporary</v>
          </cell>
          <cell r="G1143" t="str">
            <v>UAE</v>
          </cell>
          <cell r="H1143" t="str">
            <v>AUH1</v>
          </cell>
        </row>
        <row r="1144">
          <cell r="C1144">
            <v>108019725</v>
          </cell>
          <cell r="D1144" t="str">
            <v>stephsuh</v>
          </cell>
          <cell r="E1144" t="str">
            <v>Stephen Tante</v>
          </cell>
          <cell r="F1144" t="str">
            <v>Regular</v>
          </cell>
          <cell r="G1144" t="str">
            <v>UAE</v>
          </cell>
          <cell r="H1144" t="str">
            <v>AUH1</v>
          </cell>
        </row>
        <row r="1145">
          <cell r="C1145">
            <v>203908914</v>
          </cell>
          <cell r="D1145" t="str">
            <v>kanyesst</v>
          </cell>
          <cell r="E1145" t="str">
            <v>Steven Kanyesigye</v>
          </cell>
          <cell r="F1145" t="str">
            <v>Temporary</v>
          </cell>
          <cell r="G1145" t="str">
            <v>UAE</v>
          </cell>
          <cell r="H1145" t="str">
            <v>AUH1</v>
          </cell>
        </row>
        <row r="1146">
          <cell r="C1146">
            <v>204951311</v>
          </cell>
          <cell r="D1146" t="str">
            <v>sulaamar</v>
          </cell>
          <cell r="E1146" t="str">
            <v>SULAIMAN JAY AMARA</v>
          </cell>
          <cell r="F1146" t="str">
            <v>Temporary</v>
          </cell>
          <cell r="G1146" t="str">
            <v>UAE</v>
          </cell>
          <cell r="H1146" t="str">
            <v>AUH1</v>
          </cell>
        </row>
        <row r="1147">
          <cell r="C1147">
            <v>206137337</v>
          </cell>
          <cell r="D1147" t="str">
            <v>alisalsu</v>
          </cell>
          <cell r="E1147" t="str">
            <v>Suleiman Ali Saleh</v>
          </cell>
          <cell r="F1147" t="str">
            <v>Temporary</v>
          </cell>
          <cell r="G1147" t="str">
            <v>UAE</v>
          </cell>
          <cell r="H1147" t="str">
            <v>AUH1</v>
          </cell>
        </row>
        <row r="1148">
          <cell r="C1148">
            <v>203512964</v>
          </cell>
          <cell r="D1148" t="str">
            <v>adjsusan</v>
          </cell>
          <cell r="E1148" t="str">
            <v>Susana Adjei</v>
          </cell>
          <cell r="F1148" t="str">
            <v>Temporary</v>
          </cell>
          <cell r="G1148" t="str">
            <v>UAE</v>
          </cell>
          <cell r="H1148" t="str">
            <v>AUH1</v>
          </cell>
        </row>
        <row r="1149">
          <cell r="C1149">
            <v>203908343</v>
          </cell>
          <cell r="D1149" t="str">
            <v>kswamadu</v>
          </cell>
          <cell r="E1149" t="str">
            <v>Swamadu Bukenya Kirya</v>
          </cell>
          <cell r="F1149" t="str">
            <v>Temporary</v>
          </cell>
          <cell r="G1149" t="str">
            <v>UAE</v>
          </cell>
          <cell r="H1149" t="str">
            <v>AUH1</v>
          </cell>
        </row>
        <row r="1150">
          <cell r="C1150">
            <v>203881713</v>
          </cell>
          <cell r="D1150" t="str">
            <v>cctakund</v>
          </cell>
          <cell r="E1150" t="str">
            <v>Takundanashe Irvine Chagwedera</v>
          </cell>
          <cell r="F1150" t="str">
            <v>Temporary</v>
          </cell>
          <cell r="G1150" t="str">
            <v>UAE</v>
          </cell>
          <cell r="H1150" t="str">
            <v>AUH1</v>
          </cell>
        </row>
        <row r="1151">
          <cell r="C1151">
            <v>206136735</v>
          </cell>
          <cell r="D1151" t="str">
            <v>cynttanu</v>
          </cell>
          <cell r="E1151" t="str">
            <v>Tanui,Cynthia Jepkoech</v>
          </cell>
          <cell r="F1151" t="str">
            <v>Temporary</v>
          </cell>
          <cell r="G1151" t="str">
            <v>UAE</v>
          </cell>
          <cell r="H1151" t="str">
            <v>AUH1</v>
          </cell>
        </row>
        <row r="1152">
          <cell r="C1152">
            <v>203341958</v>
          </cell>
          <cell r="D1152" t="str">
            <v>khaztanv</v>
          </cell>
          <cell r="E1152" t="str">
            <v>Tanveer Khan</v>
          </cell>
          <cell r="F1152" t="str">
            <v>Temporary</v>
          </cell>
          <cell r="G1152" t="str">
            <v>UAE</v>
          </cell>
          <cell r="H1152" t="str">
            <v>AUH1</v>
          </cell>
        </row>
        <row r="1153">
          <cell r="C1153">
            <v>203965408</v>
          </cell>
          <cell r="D1153" t="str">
            <v>troychim</v>
          </cell>
          <cell r="E1153" t="str">
            <v>Tatenda Lee Roy Chimunda</v>
          </cell>
          <cell r="F1153" t="str">
            <v>Temporary</v>
          </cell>
          <cell r="G1153" t="str">
            <v>UAE</v>
          </cell>
          <cell r="H1153" t="str">
            <v>AUH1</v>
          </cell>
        </row>
        <row r="1154">
          <cell r="C1154">
            <v>203993454</v>
          </cell>
          <cell r="D1154" t="str">
            <v>tesadamu</v>
          </cell>
          <cell r="E1154" t="str">
            <v>TEBIGWAYO SADAMU</v>
          </cell>
          <cell r="F1154" t="str">
            <v>Temporary</v>
          </cell>
          <cell r="G1154" t="str">
            <v>UAE</v>
          </cell>
          <cell r="H1154" t="str">
            <v>AUH1</v>
          </cell>
        </row>
        <row r="1155">
          <cell r="C1155">
            <v>203965497</v>
          </cell>
          <cell r="D1155" t="str">
            <v>bundtenl</v>
          </cell>
          <cell r="E1155" t="str">
            <v>Tengbeh Bundoo</v>
          </cell>
          <cell r="F1155" t="str">
            <v>Temporary</v>
          </cell>
          <cell r="G1155" t="str">
            <v>UAE</v>
          </cell>
          <cell r="H1155" t="str">
            <v>AUH1</v>
          </cell>
        </row>
        <row r="1156">
          <cell r="C1156">
            <v>204116445</v>
          </cell>
          <cell r="D1156" t="str">
            <v>folithel</v>
          </cell>
          <cell r="E1156" t="str">
            <v>Thelma Esinam Foli</v>
          </cell>
          <cell r="F1156" t="str">
            <v>Temporary</v>
          </cell>
          <cell r="G1156" t="str">
            <v>UAE</v>
          </cell>
          <cell r="H1156" t="str">
            <v>AUH1</v>
          </cell>
        </row>
        <row r="1157">
          <cell r="C1157">
            <v>204095447</v>
          </cell>
          <cell r="D1157" t="str">
            <v>vaduyebo</v>
          </cell>
          <cell r="E1157" t="str">
            <v>Theresa Adu Yeboah</v>
          </cell>
          <cell r="F1157" t="str">
            <v>Temporary</v>
          </cell>
          <cell r="G1157" t="str">
            <v>UAE</v>
          </cell>
          <cell r="H1157" t="str">
            <v>AUH1</v>
          </cell>
        </row>
        <row r="1158">
          <cell r="C1158">
            <v>206137339</v>
          </cell>
          <cell r="D1158" t="str">
            <v>tshomuzh</v>
          </cell>
          <cell r="E1158" t="str">
            <v>THERESA SHOMUZHANGA</v>
          </cell>
          <cell r="F1158" t="str">
            <v>Temporary</v>
          </cell>
          <cell r="G1158" t="str">
            <v>UAE</v>
          </cell>
          <cell r="H1158" t="str">
            <v>AUH1</v>
          </cell>
        </row>
        <row r="1159">
          <cell r="C1159">
            <v>204052514</v>
          </cell>
          <cell r="D1159" t="str">
            <v>thoppasi</v>
          </cell>
          <cell r="E1159" t="str">
            <v>Thopparasu Sivakumar</v>
          </cell>
          <cell r="F1159" t="str">
            <v>Temporary</v>
          </cell>
          <cell r="G1159" t="str">
            <v>UAE</v>
          </cell>
          <cell r="H1159" t="str">
            <v>AUH1</v>
          </cell>
        </row>
        <row r="1160">
          <cell r="C1160">
            <v>205133785</v>
          </cell>
          <cell r="D1160" t="str">
            <v>damatile</v>
          </cell>
          <cell r="E1160" t="str">
            <v>Tilesh Damai</v>
          </cell>
          <cell r="F1160" t="str">
            <v>Temporary</v>
          </cell>
          <cell r="G1160" t="str">
            <v>UAE</v>
          </cell>
          <cell r="H1160" t="str">
            <v>AUH1</v>
          </cell>
        </row>
        <row r="1161">
          <cell r="C1161">
            <v>204072899</v>
          </cell>
          <cell r="D1161" t="str">
            <v>timokino</v>
          </cell>
          <cell r="E1161" t="str">
            <v>TIMOTHY KINONGO</v>
          </cell>
          <cell r="F1161" t="str">
            <v>Temporary</v>
          </cell>
          <cell r="G1161" t="str">
            <v>UAE</v>
          </cell>
          <cell r="H1161" t="str">
            <v>AUH1</v>
          </cell>
        </row>
        <row r="1162">
          <cell r="C1162">
            <v>106262687</v>
          </cell>
          <cell r="D1162" t="str">
            <v>scarktin</v>
          </cell>
          <cell r="E1162" t="str">
            <v>Tino Scaria</v>
          </cell>
          <cell r="F1162" t="str">
            <v>Regular</v>
          </cell>
          <cell r="G1162" t="str">
            <v>UAE</v>
          </cell>
          <cell r="H1162" t="str">
            <v>AUH1</v>
          </cell>
        </row>
        <row r="1163">
          <cell r="C1163">
            <v>203964997</v>
          </cell>
          <cell r="D1163" t="str">
            <v>lmathewt</v>
          </cell>
          <cell r="E1163" t="str">
            <v>Tom Mathew</v>
          </cell>
          <cell r="F1163" t="str">
            <v>Temporary</v>
          </cell>
          <cell r="G1163" t="str">
            <v>UAE</v>
          </cell>
          <cell r="H1163" t="str">
            <v>AUH1</v>
          </cell>
        </row>
        <row r="1164">
          <cell r="C1164">
            <v>205845561</v>
          </cell>
          <cell r="D1164" t="str">
            <v>ssewante</v>
          </cell>
          <cell r="E1164" t="str">
            <v>TONNY SSEWANTE</v>
          </cell>
          <cell r="F1164" t="str">
            <v>Temporary</v>
          </cell>
          <cell r="G1164" t="str">
            <v>UAE</v>
          </cell>
          <cell r="H1164" t="str">
            <v>AUH1</v>
          </cell>
        </row>
        <row r="1165">
          <cell r="C1165">
            <v>206073368</v>
          </cell>
          <cell r="D1165" t="str">
            <v>adutwumt</v>
          </cell>
          <cell r="E1165" t="str">
            <v>Tony Adutwum Duah</v>
          </cell>
          <cell r="F1165" t="str">
            <v>Temporary</v>
          </cell>
          <cell r="G1165" t="str">
            <v>UAE</v>
          </cell>
          <cell r="H1165" t="str">
            <v>AUH1</v>
          </cell>
        </row>
        <row r="1166">
          <cell r="C1166">
            <v>206846535</v>
          </cell>
          <cell r="D1166" t="str">
            <v>btugumea</v>
          </cell>
          <cell r="E1166" t="str">
            <v>Tugume Brian</v>
          </cell>
          <cell r="F1166" t="str">
            <v>Temporary</v>
          </cell>
          <cell r="G1166" t="str">
            <v>UAE</v>
          </cell>
          <cell r="H1166" t="str">
            <v>AUH1</v>
          </cell>
        </row>
        <row r="1167">
          <cell r="C1167">
            <v>206851165</v>
          </cell>
          <cell r="D1167" t="str">
            <v>kavumauu</v>
          </cell>
          <cell r="E1167" t="str">
            <v>UKACHA KAVUMA</v>
          </cell>
          <cell r="F1167" t="str">
            <v>Temporary</v>
          </cell>
          <cell r="G1167" t="str">
            <v>UAE</v>
          </cell>
          <cell r="H1167" t="str">
            <v>AUH1</v>
          </cell>
        </row>
        <row r="1168">
          <cell r="C1168">
            <v>103868662</v>
          </cell>
          <cell r="D1168" t="str">
            <v>wmuhumai</v>
          </cell>
          <cell r="E1168" t="str">
            <v>Umair,Muhammad Muhammad</v>
          </cell>
          <cell r="F1168" t="str">
            <v>Regular</v>
          </cell>
          <cell r="G1168" t="str">
            <v>UAE</v>
          </cell>
          <cell r="H1168" t="str">
            <v>AUH1</v>
          </cell>
        </row>
        <row r="1169">
          <cell r="C1169">
            <v>106301312</v>
          </cell>
          <cell r="D1169" t="str">
            <v>musmmuha</v>
          </cell>
          <cell r="E1169" t="str">
            <v>Usman Ghani</v>
          </cell>
          <cell r="F1169" t="str">
            <v>Regular</v>
          </cell>
          <cell r="G1169" t="str">
            <v>UAE</v>
          </cell>
          <cell r="H1169" t="str">
            <v>AUH1</v>
          </cell>
        </row>
        <row r="1170">
          <cell r="C1170">
            <v>203965011</v>
          </cell>
          <cell r="D1170" t="str">
            <v>puthanvv</v>
          </cell>
          <cell r="E1170" t="str">
            <v>Vibin Puthanpurakkal</v>
          </cell>
          <cell r="F1170" t="str">
            <v>Temporary</v>
          </cell>
          <cell r="G1170" t="str">
            <v>UAE</v>
          </cell>
          <cell r="H1170" t="str">
            <v>AUH1</v>
          </cell>
        </row>
        <row r="1171">
          <cell r="C1171">
            <v>205845557</v>
          </cell>
          <cell r="D1171" t="str">
            <v>muwvicen</v>
          </cell>
          <cell r="E1171" t="str">
            <v>VICENT MUWONGE</v>
          </cell>
          <cell r="F1171" t="str">
            <v>Temporary</v>
          </cell>
          <cell r="G1171" t="str">
            <v>UAE</v>
          </cell>
          <cell r="H1171" t="str">
            <v>AUH1</v>
          </cell>
        </row>
        <row r="1172">
          <cell r="C1172">
            <v>203993451</v>
          </cell>
          <cell r="D1172" t="str">
            <v>victooju</v>
          </cell>
          <cell r="E1172" t="str">
            <v>VICTOR OJUMA</v>
          </cell>
          <cell r="F1172" t="str">
            <v>Temporary</v>
          </cell>
          <cell r="G1172" t="str">
            <v>UAE</v>
          </cell>
          <cell r="H1172" t="str">
            <v>AUH1</v>
          </cell>
        </row>
        <row r="1173">
          <cell r="C1173">
            <v>205854086</v>
          </cell>
          <cell r="D1173" t="str">
            <v>viappiat</v>
          </cell>
          <cell r="E1173" t="str">
            <v>VIDA APPIAH</v>
          </cell>
          <cell r="F1173" t="str">
            <v>Temporary</v>
          </cell>
          <cell r="G1173" t="str">
            <v>UAE</v>
          </cell>
          <cell r="H1173" t="str">
            <v>AUH1</v>
          </cell>
        </row>
        <row r="1174">
          <cell r="C1174">
            <v>206915790</v>
          </cell>
          <cell r="D1174" t="str">
            <v>amativin</v>
          </cell>
          <cell r="E1174" t="str">
            <v>Vincent Amati</v>
          </cell>
          <cell r="F1174" t="str">
            <v>Temporary</v>
          </cell>
          <cell r="G1174" t="str">
            <v>UAE</v>
          </cell>
          <cell r="H1174" t="str">
            <v>AUH1</v>
          </cell>
        </row>
        <row r="1175">
          <cell r="C1175">
            <v>206915794</v>
          </cell>
          <cell r="D1175" t="str">
            <v>vincphir</v>
          </cell>
          <cell r="E1175" t="str">
            <v>Vincent Phiri</v>
          </cell>
          <cell r="F1175" t="str">
            <v>Temporary</v>
          </cell>
          <cell r="G1175" t="str">
            <v>UAE</v>
          </cell>
          <cell r="H1175" t="str">
            <v>AUH1</v>
          </cell>
        </row>
        <row r="1176">
          <cell r="C1176">
            <v>203555845</v>
          </cell>
          <cell r="D1176" t="str">
            <v>visdasab</v>
          </cell>
          <cell r="E1176" t="str">
            <v>Vishnu Nelloolipadikkal Dasan</v>
          </cell>
          <cell r="F1176" t="str">
            <v>Temporary</v>
          </cell>
          <cell r="G1176" t="str">
            <v>UAE</v>
          </cell>
          <cell r="H1176" t="str">
            <v>AUH1</v>
          </cell>
        </row>
        <row r="1177">
          <cell r="C1177">
            <v>203964988</v>
          </cell>
          <cell r="D1177" t="str">
            <v>vivekper</v>
          </cell>
          <cell r="E1177" t="str">
            <v>Vivek Perumandla</v>
          </cell>
          <cell r="F1177" t="str">
            <v>Temporary</v>
          </cell>
          <cell r="G1177" t="str">
            <v>UAE</v>
          </cell>
          <cell r="H1177" t="str">
            <v>AUH1</v>
          </cell>
        </row>
        <row r="1178">
          <cell r="C1178">
            <v>204137704</v>
          </cell>
          <cell r="D1178" t="str">
            <v>waltuffo</v>
          </cell>
          <cell r="E1178" t="str">
            <v>Wallace Agyemang-Tuffour</v>
          </cell>
          <cell r="F1178" t="str">
            <v>Temporary</v>
          </cell>
          <cell r="G1178" t="str">
            <v>UAE</v>
          </cell>
          <cell r="H1178" t="str">
            <v>AUH1</v>
          </cell>
        </row>
        <row r="1179">
          <cell r="C1179">
            <v>206846538</v>
          </cell>
          <cell r="D1179" t="str">
            <v>hamuzawa</v>
          </cell>
          <cell r="E1179" t="str">
            <v>Wandera Hamuza</v>
          </cell>
          <cell r="F1179" t="str">
            <v>Temporary</v>
          </cell>
          <cell r="G1179" t="str">
            <v>UAE</v>
          </cell>
          <cell r="H1179" t="str">
            <v>AUH1</v>
          </cell>
        </row>
        <row r="1180">
          <cell r="C1180">
            <v>206136722</v>
          </cell>
          <cell r="D1180" t="str">
            <v>marymubw</v>
          </cell>
          <cell r="E1180" t="str">
            <v>WAUSI,MARY MUTIO</v>
          </cell>
          <cell r="F1180" t="str">
            <v>Temporary</v>
          </cell>
          <cell r="G1180" t="str">
            <v>UAE</v>
          </cell>
          <cell r="H1180" t="str">
            <v>AUH1</v>
          </cell>
        </row>
        <row r="1181">
          <cell r="C1181">
            <v>206239215</v>
          </cell>
          <cell r="D1181" t="str">
            <v>wendpoku</v>
          </cell>
          <cell r="E1181" t="str">
            <v>WENDY POKUAAH</v>
          </cell>
          <cell r="F1181" t="str">
            <v>Temporary</v>
          </cell>
          <cell r="G1181" t="str">
            <v>UAE</v>
          </cell>
          <cell r="H1181" t="str">
            <v>AUH1</v>
          </cell>
        </row>
        <row r="1182">
          <cell r="C1182">
            <v>206902844</v>
          </cell>
          <cell r="D1182" t="str">
            <v>winthala</v>
          </cell>
          <cell r="E1182" t="str">
            <v>WILLIAM NTHALA</v>
          </cell>
          <cell r="F1182" t="str">
            <v>Temporary</v>
          </cell>
          <cell r="G1182" t="str">
            <v>UAE</v>
          </cell>
          <cell r="H1182" t="str">
            <v>AUH1</v>
          </cell>
        </row>
        <row r="1183">
          <cell r="C1183">
            <v>203911200</v>
          </cell>
          <cell r="D1183" t="str">
            <v>wilesing</v>
          </cell>
          <cell r="E1183" t="str">
            <v>William SINGARA</v>
          </cell>
          <cell r="F1183" t="str">
            <v>Temporary</v>
          </cell>
          <cell r="G1183" t="str">
            <v>UAE</v>
          </cell>
          <cell r="H1183" t="str">
            <v>AUH1</v>
          </cell>
        </row>
        <row r="1184">
          <cell r="C1184">
            <v>205845559</v>
          </cell>
          <cell r="D1184" t="str">
            <v>wilmande</v>
          </cell>
          <cell r="E1184" t="str">
            <v>WILSON MANDELA</v>
          </cell>
          <cell r="F1184" t="str">
            <v>Temporary</v>
          </cell>
          <cell r="G1184" t="str">
            <v>UAE</v>
          </cell>
          <cell r="H1184" t="str">
            <v>AUH1</v>
          </cell>
        </row>
        <row r="1185">
          <cell r="C1185">
            <v>204009364</v>
          </cell>
          <cell r="D1185" t="str">
            <v>wimumber</v>
          </cell>
          <cell r="E1185" t="str">
            <v>WILSON MUMBERE</v>
          </cell>
          <cell r="F1185" t="str">
            <v>Temporary</v>
          </cell>
          <cell r="G1185" t="str">
            <v>UAE</v>
          </cell>
          <cell r="H1185" t="str">
            <v>AUH1</v>
          </cell>
        </row>
        <row r="1186">
          <cell r="C1186">
            <v>206192237</v>
          </cell>
          <cell r="D1186" t="str">
            <v>chkwinni</v>
          </cell>
          <cell r="E1186" t="str">
            <v>Winnie Chepchichir</v>
          </cell>
          <cell r="F1186" t="str">
            <v>Temporary</v>
          </cell>
          <cell r="G1186" t="str">
            <v>UAE</v>
          </cell>
          <cell r="H1186" t="str">
            <v>AUH1</v>
          </cell>
        </row>
        <row r="1187">
          <cell r="C1187">
            <v>203881697</v>
          </cell>
          <cell r="D1187" t="str">
            <v>winashcr</v>
          </cell>
          <cell r="E1187" t="str">
            <v>Winston Desmond Adesumi Ashcroft</v>
          </cell>
          <cell r="F1187" t="str">
            <v>Temporary</v>
          </cell>
          <cell r="G1187" t="str">
            <v>UAE</v>
          </cell>
          <cell r="H1187" t="str">
            <v>AUH1</v>
          </cell>
        </row>
        <row r="1188">
          <cell r="C1188">
            <v>206897671</v>
          </cell>
          <cell r="D1188" t="str">
            <v>wilfwood</v>
          </cell>
          <cell r="E1188" t="str">
            <v>WOODE BROWN,WILFRED</v>
          </cell>
          <cell r="F1188" t="str">
            <v>Temporary</v>
          </cell>
          <cell r="G1188" t="str">
            <v>UAE</v>
          </cell>
          <cell r="H1188" t="str">
            <v>AUH1</v>
          </cell>
        </row>
        <row r="1189">
          <cell r="C1189">
            <v>206902847</v>
          </cell>
          <cell r="D1189" t="str">
            <v>blewyson</v>
          </cell>
          <cell r="E1189" t="str">
            <v>WYSON BLESSINGS MULINGA</v>
          </cell>
          <cell r="F1189" t="str">
            <v>Temporary</v>
          </cell>
          <cell r="G1189" t="str">
            <v>UAE</v>
          </cell>
          <cell r="H1189" t="str">
            <v>AUH1</v>
          </cell>
        </row>
        <row r="1190">
          <cell r="C1190">
            <v>203908342</v>
          </cell>
          <cell r="D1190" t="str">
            <v>kintuyac</v>
          </cell>
          <cell r="E1190" t="str">
            <v>Yahaya Kintu</v>
          </cell>
          <cell r="F1190" t="str">
            <v>Temporary</v>
          </cell>
          <cell r="G1190" t="str">
            <v>UAE</v>
          </cell>
          <cell r="H1190" t="str">
            <v>AUH1</v>
          </cell>
        </row>
        <row r="1191">
          <cell r="C1191">
            <v>204095810</v>
          </cell>
          <cell r="D1191" t="str">
            <v>xmakeyak</v>
          </cell>
          <cell r="E1191" t="str">
            <v>Yakta Koffi Makedjene</v>
          </cell>
          <cell r="F1191" t="str">
            <v>Temporary</v>
          </cell>
          <cell r="G1191" t="str">
            <v>UAE</v>
          </cell>
          <cell r="H1191" t="str">
            <v>AUH1</v>
          </cell>
        </row>
        <row r="1192">
          <cell r="C1192">
            <v>206902848</v>
          </cell>
          <cell r="D1192" t="str">
            <v>yamikani</v>
          </cell>
          <cell r="E1192" t="str">
            <v>YAMIKANI CHRIS KAYUNI</v>
          </cell>
          <cell r="F1192" t="str">
            <v>Temporary</v>
          </cell>
          <cell r="G1192" t="str">
            <v>UAE</v>
          </cell>
          <cell r="H1192" t="str">
            <v>AUH1</v>
          </cell>
        </row>
        <row r="1193">
          <cell r="C1193">
            <v>205845554</v>
          </cell>
          <cell r="D1193" t="str">
            <v>yusufoke</v>
          </cell>
          <cell r="E1193" t="str">
            <v>YUSUF OKELLO</v>
          </cell>
          <cell r="F1193" t="str">
            <v>Temporary</v>
          </cell>
          <cell r="G1193" t="str">
            <v>UAE</v>
          </cell>
          <cell r="H1193" t="str">
            <v>AUH1</v>
          </cell>
        </row>
        <row r="1194">
          <cell r="C1194">
            <v>104033277</v>
          </cell>
          <cell r="D1194" t="str">
            <v>muzahidk</v>
          </cell>
          <cell r="E1194" t="str">
            <v>Zahid Khan,Muhammad</v>
          </cell>
          <cell r="F1194" t="str">
            <v>Regular</v>
          </cell>
          <cell r="G1194" t="str">
            <v>UAE</v>
          </cell>
          <cell r="H1194" t="str">
            <v>AUH1</v>
          </cell>
        </row>
        <row r="1195">
          <cell r="C1195">
            <v>204246155</v>
          </cell>
          <cell r="D1195" t="str">
            <v>labcamar</v>
          </cell>
          <cell r="E1195" t="str">
            <v>Abdourahamane Camara</v>
          </cell>
          <cell r="F1195" t="str">
            <v>Temporary</v>
          </cell>
          <cell r="G1195" t="str">
            <v>UAE</v>
          </cell>
          <cell r="H1195" t="str">
            <v>AUH3</v>
          </cell>
        </row>
        <row r="1196">
          <cell r="C1196">
            <v>203555218</v>
          </cell>
          <cell r="D1196" t="str">
            <v>abigasar</v>
          </cell>
          <cell r="E1196" t="str">
            <v>Abigail Asare</v>
          </cell>
          <cell r="F1196" t="str">
            <v>Temporary</v>
          </cell>
          <cell r="G1196" t="str">
            <v>UAE</v>
          </cell>
          <cell r="H1196" t="str">
            <v>AUH3</v>
          </cell>
        </row>
        <row r="1197">
          <cell r="C1197">
            <v>202137760</v>
          </cell>
          <cell r="D1197" t="str">
            <v>foabutap</v>
          </cell>
          <cell r="E1197" t="str">
            <v>Abu Talib Fofanah</v>
          </cell>
          <cell r="F1197" t="str">
            <v>Temporary</v>
          </cell>
          <cell r="G1197" t="str">
            <v>UAE</v>
          </cell>
          <cell r="H1197" t="str">
            <v>AUH3</v>
          </cell>
        </row>
        <row r="1198">
          <cell r="C1198">
            <v>203635598</v>
          </cell>
          <cell r="D1198" t="str">
            <v>mavhunga</v>
          </cell>
          <cell r="E1198" t="str">
            <v>Admire Mavhunga</v>
          </cell>
          <cell r="F1198" t="str">
            <v>Temporary</v>
          </cell>
          <cell r="G1198" t="str">
            <v>UAE</v>
          </cell>
          <cell r="H1198" t="str">
            <v>AUH3</v>
          </cell>
        </row>
        <row r="1199">
          <cell r="C1199">
            <v>206361774</v>
          </cell>
          <cell r="D1199" t="str">
            <v>adombill</v>
          </cell>
          <cell r="E1199" t="str">
            <v>ADOMBILLA AWINIMI</v>
          </cell>
          <cell r="F1199" t="str">
            <v>Temporary</v>
          </cell>
          <cell r="G1199" t="str">
            <v>UAE</v>
          </cell>
          <cell r="H1199" t="str">
            <v>AUH3</v>
          </cell>
        </row>
        <row r="1200">
          <cell r="C1200">
            <v>104383492</v>
          </cell>
          <cell r="D1200" t="str">
            <v>alizhma</v>
          </cell>
          <cell r="E1200" t="str">
            <v>Ahmad Ali Muhammad Anwar</v>
          </cell>
          <cell r="F1200" t="str">
            <v>Regular</v>
          </cell>
          <cell r="G1200" t="str">
            <v>UAE</v>
          </cell>
          <cell r="H1200" t="str">
            <v>AUH3</v>
          </cell>
        </row>
        <row r="1201">
          <cell r="C1201">
            <v>206191961</v>
          </cell>
          <cell r="D1201" t="str">
            <v>oahabdi</v>
          </cell>
          <cell r="E1201" t="str">
            <v>AHMEDRASHIDABDI</v>
          </cell>
          <cell r="F1201" t="str">
            <v>Temporary</v>
          </cell>
          <cell r="G1201" t="str">
            <v>UAE</v>
          </cell>
          <cell r="H1201" t="str">
            <v>AUH3</v>
          </cell>
        </row>
        <row r="1202">
          <cell r="C1202">
            <v>203881712</v>
          </cell>
          <cell r="D1202" t="str">
            <v>abaoalid</v>
          </cell>
          <cell r="E1202" t="str">
            <v>Alidu Abass</v>
          </cell>
          <cell r="F1202" t="str">
            <v>Temporary</v>
          </cell>
          <cell r="G1202" t="str">
            <v>UAE</v>
          </cell>
          <cell r="H1202" t="str">
            <v>AUH3</v>
          </cell>
        </row>
        <row r="1203">
          <cell r="C1203">
            <v>206348020</v>
          </cell>
          <cell r="D1203" t="str">
            <v>ialoalex</v>
          </cell>
          <cell r="E1203" t="str">
            <v>ALORO ALEX</v>
          </cell>
          <cell r="F1203" t="str">
            <v>Temporary</v>
          </cell>
          <cell r="G1203" t="str">
            <v>UAE</v>
          </cell>
          <cell r="H1203" t="str">
            <v>AUH3</v>
          </cell>
        </row>
        <row r="1204">
          <cell r="C1204">
            <v>201188904</v>
          </cell>
          <cell r="D1204" t="str">
            <v>antowusb</v>
          </cell>
          <cell r="E1204" t="str">
            <v>Anthony Owusu</v>
          </cell>
          <cell r="F1204" t="str">
            <v>Temporary</v>
          </cell>
          <cell r="G1204" t="str">
            <v>UAE</v>
          </cell>
          <cell r="H1204" t="str">
            <v>AUH3</v>
          </cell>
        </row>
        <row r="1205">
          <cell r="C1205">
            <v>206348027</v>
          </cell>
          <cell r="D1205" t="str">
            <v>ijameasa</v>
          </cell>
          <cell r="E1205" t="str">
            <v>ASABA JAMES</v>
          </cell>
          <cell r="F1205" t="str">
            <v>Temporary</v>
          </cell>
          <cell r="G1205" t="str">
            <v>UAE</v>
          </cell>
          <cell r="H1205" t="str">
            <v>AUH3</v>
          </cell>
        </row>
        <row r="1206">
          <cell r="C1206">
            <v>204768284</v>
          </cell>
          <cell r="D1206" t="str">
            <v>asgizaza</v>
          </cell>
          <cell r="E1206" t="str">
            <v>Ashiraf Gizaza</v>
          </cell>
          <cell r="F1206" t="str">
            <v>Temporary</v>
          </cell>
          <cell r="G1206" t="str">
            <v>UAE</v>
          </cell>
          <cell r="H1206" t="str">
            <v>AUH3</v>
          </cell>
        </row>
        <row r="1207">
          <cell r="C1207">
            <v>206348019</v>
          </cell>
          <cell r="D1207" t="str">
            <v>ategefre</v>
          </cell>
          <cell r="E1207" t="str">
            <v>ATEGEKA FREDRICK</v>
          </cell>
          <cell r="F1207" t="str">
            <v>Temporary</v>
          </cell>
          <cell r="G1207" t="str">
            <v>UAE</v>
          </cell>
          <cell r="H1207" t="str">
            <v>AUH3</v>
          </cell>
        </row>
        <row r="1208">
          <cell r="C1208">
            <v>102205688</v>
          </cell>
          <cell r="D1208" t="str">
            <v>cgeddam</v>
          </cell>
          <cell r="E1208" t="str">
            <v>Chiranjeevi Geddam</v>
          </cell>
          <cell r="F1208" t="str">
            <v>Regular</v>
          </cell>
          <cell r="G1208" t="str">
            <v>UAE</v>
          </cell>
          <cell r="H1208" t="str">
            <v>AUH3</v>
          </cell>
        </row>
        <row r="1209">
          <cell r="C1209">
            <v>103640429</v>
          </cell>
          <cell r="D1209" t="str">
            <v>nclearan</v>
          </cell>
          <cell r="E1209" t="str">
            <v>Clarence Forbit</v>
          </cell>
          <cell r="F1209" t="str">
            <v>Regular</v>
          </cell>
          <cell r="G1209" t="str">
            <v>UAE</v>
          </cell>
          <cell r="H1209" t="str">
            <v>AUH3</v>
          </cell>
        </row>
        <row r="1210">
          <cell r="C1210">
            <v>205275768</v>
          </cell>
          <cell r="D1210" t="str">
            <v>owusucle</v>
          </cell>
          <cell r="E1210" t="str">
            <v>Clement Owusu</v>
          </cell>
          <cell r="F1210" t="str">
            <v>Temporary</v>
          </cell>
          <cell r="G1210" t="str">
            <v>UAE</v>
          </cell>
          <cell r="H1210" t="str">
            <v>AUH3</v>
          </cell>
        </row>
        <row r="1211">
          <cell r="C1211">
            <v>205275762</v>
          </cell>
          <cell r="D1211" t="str">
            <v>adomdani</v>
          </cell>
          <cell r="E1211" t="str">
            <v>DanielKwabenaAdoma</v>
          </cell>
          <cell r="F1211" t="str">
            <v>Temporary</v>
          </cell>
          <cell r="G1211" t="str">
            <v>UAE</v>
          </cell>
          <cell r="H1211" t="str">
            <v>AUH3</v>
          </cell>
        </row>
        <row r="1212">
          <cell r="C1212">
            <v>103058874</v>
          </cell>
          <cell r="D1212" t="str">
            <v>dcutand</v>
          </cell>
          <cell r="E1212" t="str">
            <v>Dennis Anon Cutanda</v>
          </cell>
          <cell r="F1212" t="str">
            <v>Regular</v>
          </cell>
          <cell r="G1212" t="str">
            <v>UAE</v>
          </cell>
          <cell r="H1212" t="str">
            <v>AUH3</v>
          </cell>
        </row>
        <row r="1213">
          <cell r="C1213">
            <v>102981727</v>
          </cell>
          <cell r="D1213" t="str">
            <v>dlacap</v>
          </cell>
          <cell r="E1213" t="str">
            <v>DerickLacapDayrit</v>
          </cell>
          <cell r="F1213" t="str">
            <v>Regular</v>
          </cell>
          <cell r="G1213" t="str">
            <v>UAE</v>
          </cell>
          <cell r="H1213" t="str">
            <v>AUH3</v>
          </cell>
        </row>
        <row r="1214">
          <cell r="C1214">
            <v>206361295</v>
          </cell>
          <cell r="D1214" t="str">
            <v>kemeelij</v>
          </cell>
          <cell r="E1214" t="str">
            <v>ELIJAH KEMEI</v>
          </cell>
          <cell r="F1214" t="str">
            <v>Temporary</v>
          </cell>
          <cell r="G1214" t="str">
            <v>UAE</v>
          </cell>
          <cell r="H1214" t="str">
            <v>AUH3</v>
          </cell>
        </row>
        <row r="1215">
          <cell r="C1215">
            <v>111249388</v>
          </cell>
          <cell r="D1215" t="str">
            <v>ekkonad</v>
          </cell>
          <cell r="E1215" t="str">
            <v>Emmanuel Konadu</v>
          </cell>
          <cell r="F1215" t="str">
            <v>Temporary</v>
          </cell>
          <cell r="G1215" t="str">
            <v>UAE</v>
          </cell>
          <cell r="H1215" t="str">
            <v>AUH3</v>
          </cell>
        </row>
        <row r="1216">
          <cell r="C1216">
            <v>204013729</v>
          </cell>
          <cell r="D1216" t="str">
            <v>eluckpal</v>
          </cell>
          <cell r="E1216" t="str">
            <v>Essossimna Luc Kpalou</v>
          </cell>
          <cell r="F1216" t="str">
            <v>Temporary</v>
          </cell>
          <cell r="G1216" t="str">
            <v>UAE</v>
          </cell>
          <cell r="H1216" t="str">
            <v>AUH3</v>
          </cell>
        </row>
        <row r="1217">
          <cell r="C1217">
            <v>203555213</v>
          </cell>
          <cell r="D1217" t="str">
            <v>senesthe</v>
          </cell>
          <cell r="E1217" t="str">
            <v>Esther Edem Senahey</v>
          </cell>
          <cell r="F1217" t="str">
            <v>Temporary</v>
          </cell>
          <cell r="G1217" t="str">
            <v>UAE</v>
          </cell>
          <cell r="H1217" t="str">
            <v>AUH3</v>
          </cell>
        </row>
        <row r="1218">
          <cell r="C1218">
            <v>206368539</v>
          </cell>
          <cell r="D1218" t="str">
            <v>nestherm</v>
          </cell>
          <cell r="E1218" t="str">
            <v>ESTHER MUMBE NZOMO</v>
          </cell>
          <cell r="F1218" t="str">
            <v>Temporary</v>
          </cell>
          <cell r="G1218" t="str">
            <v>UAE</v>
          </cell>
          <cell r="H1218" t="str">
            <v>AUH3</v>
          </cell>
        </row>
        <row r="1219">
          <cell r="C1219">
            <v>203513400</v>
          </cell>
          <cell r="D1219" t="str">
            <v>kmintahe</v>
          </cell>
          <cell r="E1219" t="str">
            <v>Evans Mintah</v>
          </cell>
          <cell r="F1219" t="str">
            <v>Temporary</v>
          </cell>
          <cell r="G1219" t="str">
            <v>UAE</v>
          </cell>
          <cell r="H1219" t="str">
            <v>AUH3</v>
          </cell>
        </row>
        <row r="1220">
          <cell r="C1220">
            <v>108067922</v>
          </cell>
          <cell r="D1220" t="str">
            <v>fsseyar</v>
          </cell>
          <cell r="E1220" t="str">
            <v>Farrukh Seyar Muhammad Seyar</v>
          </cell>
          <cell r="F1220" t="str">
            <v>Regular</v>
          </cell>
          <cell r="G1220" t="str">
            <v>UAE</v>
          </cell>
          <cell r="H1220" t="str">
            <v>AUH3</v>
          </cell>
        </row>
        <row r="1221">
          <cell r="C1221">
            <v>203513497</v>
          </cell>
          <cell r="D1221" t="str">
            <v>frimpofe</v>
          </cell>
          <cell r="E1221" t="str">
            <v>Felix Frimpong</v>
          </cell>
          <cell r="F1221" t="str">
            <v>Temporary</v>
          </cell>
          <cell r="G1221" t="str">
            <v>UAE</v>
          </cell>
          <cell r="H1221" t="str">
            <v>AUH3</v>
          </cell>
        </row>
        <row r="1222">
          <cell r="C1222">
            <v>102206142</v>
          </cell>
          <cell r="D1222" t="str">
            <v>villaraz</v>
          </cell>
          <cell r="E1222" t="str">
            <v>Francis-Benedict Ubeda Villaraza</v>
          </cell>
          <cell r="F1222" t="str">
            <v>Regular</v>
          </cell>
          <cell r="G1222" t="str">
            <v>UAE</v>
          </cell>
          <cell r="H1222" t="str">
            <v>AUH3</v>
          </cell>
        </row>
        <row r="1223">
          <cell r="C1223">
            <v>203635486</v>
          </cell>
          <cell r="D1223" t="str">
            <v>dadziekg</v>
          </cell>
          <cell r="E1223" t="str">
            <v xml:space="preserve">Gifty Dadzie </v>
          </cell>
          <cell r="F1223" t="str">
            <v>Temporary</v>
          </cell>
          <cell r="G1223" t="str">
            <v>UAE</v>
          </cell>
          <cell r="H1223" t="str">
            <v>AUH3</v>
          </cell>
        </row>
        <row r="1224">
          <cell r="C1224">
            <v>205275961</v>
          </cell>
          <cell r="D1224" t="str">
            <v>dgodfnsi</v>
          </cell>
          <cell r="E1224" t="str">
            <v>Godfred Kwaku Nsiah</v>
          </cell>
          <cell r="F1224" t="str">
            <v>Temporary</v>
          </cell>
          <cell r="G1224" t="str">
            <v>UAE</v>
          </cell>
          <cell r="H1224" t="str">
            <v>AUH3</v>
          </cell>
        </row>
        <row r="1225">
          <cell r="C1225">
            <v>206348024</v>
          </cell>
          <cell r="D1225" t="str">
            <v>modhadij</v>
          </cell>
          <cell r="E1225" t="str">
            <v>HADIJA MOHAMMED</v>
          </cell>
          <cell r="F1225" t="str">
            <v>Temporary</v>
          </cell>
          <cell r="G1225" t="str">
            <v>UAE</v>
          </cell>
          <cell r="H1225" t="str">
            <v>AUH3</v>
          </cell>
        </row>
        <row r="1226">
          <cell r="C1226">
            <v>205275960</v>
          </cell>
          <cell r="D1226" t="str">
            <v>nuhpiddr</v>
          </cell>
          <cell r="E1226" t="str">
            <v>Iddrisu Nuhu</v>
          </cell>
          <cell r="F1226" t="str">
            <v>Temporary</v>
          </cell>
          <cell r="G1226" t="str">
            <v>UAE</v>
          </cell>
          <cell r="H1226" t="str">
            <v>AUH3</v>
          </cell>
        </row>
        <row r="1227">
          <cell r="C1227">
            <v>206368537</v>
          </cell>
          <cell r="D1227" t="str">
            <v>chepkoge</v>
          </cell>
          <cell r="E1227" t="str">
            <v>JELSY CHEPKOGEY</v>
          </cell>
          <cell r="F1227" t="str">
            <v>Temporary</v>
          </cell>
          <cell r="G1227" t="str">
            <v>UAE</v>
          </cell>
          <cell r="H1227" t="str">
            <v>AUH3</v>
          </cell>
        </row>
        <row r="1228">
          <cell r="C1228">
            <v>105545779</v>
          </cell>
          <cell r="D1228" t="str">
            <v>jemuelc</v>
          </cell>
          <cell r="E1228" t="str">
            <v>JEMUEL CORTEZ</v>
          </cell>
          <cell r="F1228" t="str">
            <v>Regular</v>
          </cell>
          <cell r="G1228" t="str">
            <v>UAE</v>
          </cell>
          <cell r="H1228" t="str">
            <v>AUH3</v>
          </cell>
        </row>
        <row r="1229">
          <cell r="C1229">
            <v>206361785</v>
          </cell>
          <cell r="D1229" t="str">
            <v>jgichuhi</v>
          </cell>
          <cell r="E1229" t="str">
            <v>jeniffer wanjiku</v>
          </cell>
          <cell r="F1229" t="str">
            <v>Temporary</v>
          </cell>
          <cell r="G1229" t="str">
            <v>UAE</v>
          </cell>
          <cell r="H1229" t="str">
            <v>AUH3</v>
          </cell>
        </row>
        <row r="1230">
          <cell r="C1230">
            <v>203555155</v>
          </cell>
          <cell r="D1230" t="str">
            <v>juntataw</v>
          </cell>
          <cell r="E1230" t="str">
            <v>Junita Mejumeh Tataw</v>
          </cell>
          <cell r="F1230" t="str">
            <v>Temporary</v>
          </cell>
          <cell r="G1230" t="str">
            <v>UAE</v>
          </cell>
          <cell r="H1230" t="str">
            <v>AUH3</v>
          </cell>
        </row>
        <row r="1231">
          <cell r="C1231">
            <v>206348026</v>
          </cell>
          <cell r="D1231" t="str">
            <v>brikalib</v>
          </cell>
          <cell r="E1231" t="str">
            <v>KALIBBALA BRIAN</v>
          </cell>
          <cell r="F1231" t="str">
            <v>Temporary</v>
          </cell>
          <cell r="G1231" t="str">
            <v>UAE</v>
          </cell>
          <cell r="H1231" t="str">
            <v>AUH3</v>
          </cell>
        </row>
        <row r="1232">
          <cell r="C1232">
            <v>206348045</v>
          </cell>
          <cell r="D1232" t="str">
            <v>raskkalu</v>
          </cell>
          <cell r="E1232" t="str">
            <v>KALULE RASHID</v>
          </cell>
          <cell r="F1232" t="str">
            <v>Temporary</v>
          </cell>
          <cell r="G1232" t="str">
            <v>UAE</v>
          </cell>
          <cell r="H1232" t="str">
            <v>AUH3</v>
          </cell>
        </row>
        <row r="1233">
          <cell r="C1233">
            <v>206348030</v>
          </cell>
          <cell r="D1233" t="str">
            <v>kibujame</v>
          </cell>
          <cell r="E1233" t="str">
            <v>KIBUUKA JAMES</v>
          </cell>
          <cell r="F1233" t="str">
            <v>Temporary</v>
          </cell>
          <cell r="G1233" t="str">
            <v>UAE</v>
          </cell>
          <cell r="H1233" t="str">
            <v>AUH3</v>
          </cell>
        </row>
        <row r="1234">
          <cell r="C1234">
            <v>102582351</v>
          </cell>
          <cell r="D1234" t="str">
            <v>kmokube</v>
          </cell>
          <cell r="E1234" t="str">
            <v>Kingsley Mokube Ikoe</v>
          </cell>
          <cell r="F1234" t="str">
            <v>Regular</v>
          </cell>
          <cell r="G1234" t="str">
            <v>UAE</v>
          </cell>
          <cell r="H1234" t="str">
            <v>AUH3</v>
          </cell>
        </row>
        <row r="1235">
          <cell r="C1235">
            <v>206348048</v>
          </cell>
          <cell r="D1235" t="str">
            <v>jokisolo</v>
          </cell>
          <cell r="E1235" t="str">
            <v>KISOLO JOHN</v>
          </cell>
          <cell r="F1235" t="str">
            <v>Temporary</v>
          </cell>
          <cell r="G1235" t="str">
            <v>UAE</v>
          </cell>
          <cell r="H1235" t="str">
            <v>AUH3</v>
          </cell>
        </row>
        <row r="1236">
          <cell r="C1236">
            <v>206348049</v>
          </cell>
          <cell r="D1236" t="str">
            <v>kezirkis</v>
          </cell>
          <cell r="E1236" t="str">
            <v>KISOLO KEZIRON ISAAC</v>
          </cell>
          <cell r="F1236" t="str">
            <v>Temporary</v>
          </cell>
          <cell r="G1236" t="str">
            <v>UAE</v>
          </cell>
          <cell r="H1236" t="str">
            <v>AUH3</v>
          </cell>
        </row>
        <row r="1237">
          <cell r="C1237">
            <v>206348041</v>
          </cell>
          <cell r="D1237" t="str">
            <v>iankiwee</v>
          </cell>
          <cell r="E1237" t="str">
            <v>KIWEESI IAN</v>
          </cell>
          <cell r="F1237" t="str">
            <v>Temporary</v>
          </cell>
          <cell r="G1237" t="str">
            <v>UAE</v>
          </cell>
          <cell r="H1237" t="str">
            <v>AUH3</v>
          </cell>
        </row>
        <row r="1238">
          <cell r="C1238">
            <v>203635597</v>
          </cell>
          <cell r="D1238" t="str">
            <v>skoromal</v>
          </cell>
          <cell r="E1238" t="str">
            <v xml:space="preserve">Lans Koroma </v>
          </cell>
          <cell r="F1238" t="str">
            <v>Temporary</v>
          </cell>
          <cell r="G1238" t="str">
            <v>UAE</v>
          </cell>
          <cell r="H1238" t="str">
            <v>AUH3</v>
          </cell>
        </row>
        <row r="1239">
          <cell r="C1239">
            <v>204013735</v>
          </cell>
          <cell r="D1239" t="str">
            <v>dzlawson</v>
          </cell>
          <cell r="E1239" t="str">
            <v>Lawson Dzesa</v>
          </cell>
          <cell r="F1239" t="str">
            <v>Temporary</v>
          </cell>
          <cell r="G1239" t="str">
            <v>UAE</v>
          </cell>
          <cell r="H1239" t="str">
            <v>AUH3</v>
          </cell>
        </row>
        <row r="1240">
          <cell r="C1240">
            <v>204341639</v>
          </cell>
          <cell r="D1240" t="str">
            <v>kofileon</v>
          </cell>
          <cell r="E1240" t="str">
            <v>LeonardKofie</v>
          </cell>
          <cell r="F1240" t="str">
            <v>Temporary</v>
          </cell>
          <cell r="G1240" t="str">
            <v>UAE</v>
          </cell>
          <cell r="H1240" t="str">
            <v>AUH3</v>
          </cell>
        </row>
        <row r="1241">
          <cell r="C1241">
            <v>205276097</v>
          </cell>
          <cell r="D1241" t="str">
            <v>loventia</v>
          </cell>
          <cell r="E1241" t="str">
            <v>LOVELACE NTIAMOAH</v>
          </cell>
          <cell r="F1241" t="str">
            <v>Temporary</v>
          </cell>
          <cell r="G1241" t="str">
            <v>UAE</v>
          </cell>
          <cell r="H1241" t="str">
            <v>AUH3</v>
          </cell>
        </row>
        <row r="1242">
          <cell r="C1242">
            <v>206958286</v>
          </cell>
          <cell r="D1242" t="str">
            <v>namudirq</v>
          </cell>
          <cell r="E1242" t="str">
            <v>MARIAM KAGOYA NAMUDIRA</v>
          </cell>
          <cell r="F1242" t="str">
            <v>Temporary</v>
          </cell>
          <cell r="G1242" t="str">
            <v>UAE</v>
          </cell>
          <cell r="H1242" t="str">
            <v>AUH3</v>
          </cell>
        </row>
        <row r="1243">
          <cell r="C1243">
            <v>201635982</v>
          </cell>
          <cell r="D1243" t="str">
            <v>acheamma</v>
          </cell>
          <cell r="E1243" t="str">
            <v>Mary Acheampong</v>
          </cell>
          <cell r="F1243" t="str">
            <v>Temporary</v>
          </cell>
          <cell r="G1243" t="str">
            <v>UAE</v>
          </cell>
          <cell r="H1243" t="str">
            <v>AUH3</v>
          </cell>
        </row>
        <row r="1244">
          <cell r="C1244">
            <v>206957733</v>
          </cell>
          <cell r="D1244" t="str">
            <v>meahyema</v>
          </cell>
          <cell r="E1244" t="str">
            <v>Mercy Ahyemang</v>
          </cell>
          <cell r="F1244" t="str">
            <v>Temporary</v>
          </cell>
          <cell r="G1244" t="str">
            <v>UAE</v>
          </cell>
          <cell r="H1244" t="str">
            <v>AUH3</v>
          </cell>
        </row>
        <row r="1245">
          <cell r="C1245">
            <v>206368538</v>
          </cell>
          <cell r="D1245" t="str">
            <v>milldboa</v>
          </cell>
          <cell r="E1245" t="str">
            <v>MILLICENT BOADI</v>
          </cell>
          <cell r="F1245" t="str">
            <v>Temporary</v>
          </cell>
          <cell r="G1245" t="str">
            <v>UAE</v>
          </cell>
          <cell r="H1245" t="str">
            <v>AUH3</v>
          </cell>
        </row>
        <row r="1246">
          <cell r="C1246">
            <v>203635498</v>
          </cell>
          <cell r="D1246" t="str">
            <v>munibmoh</v>
          </cell>
          <cell r="E1246" t="str">
            <v>Mohammed,Muniru</v>
          </cell>
          <cell r="F1246" t="str">
            <v>Temporary</v>
          </cell>
          <cell r="G1246" t="str">
            <v>UAE</v>
          </cell>
          <cell r="H1246" t="str">
            <v>AUH3</v>
          </cell>
        </row>
        <row r="1247">
          <cell r="C1247">
            <v>205845548</v>
          </cell>
          <cell r="D1247" t="str">
            <v>mosseruv</v>
          </cell>
          <cell r="E1247" t="str">
            <v>MOSES SSERUWUJJO</v>
          </cell>
          <cell r="F1247" t="str">
            <v>Temporary</v>
          </cell>
          <cell r="G1247" t="str">
            <v>UAE</v>
          </cell>
          <cell r="H1247" t="str">
            <v>AUH3</v>
          </cell>
        </row>
        <row r="1248">
          <cell r="C1248">
            <v>206348029</v>
          </cell>
          <cell r="D1248" t="str">
            <v>muhimbis</v>
          </cell>
          <cell r="E1248" t="str">
            <v>MUHIMBISE JACKSON</v>
          </cell>
          <cell r="F1248" t="str">
            <v>Temporary</v>
          </cell>
          <cell r="G1248" t="str">
            <v>UAE</v>
          </cell>
          <cell r="H1248" t="str">
            <v>AUH3</v>
          </cell>
        </row>
        <row r="1249">
          <cell r="C1249">
            <v>206958064</v>
          </cell>
          <cell r="D1249" t="str">
            <v>jeptoonf</v>
          </cell>
          <cell r="E1249" t="str">
            <v>Nancy Jeptoo</v>
          </cell>
          <cell r="F1249" t="str">
            <v>Temporary</v>
          </cell>
          <cell r="G1249" t="str">
            <v>UAE</v>
          </cell>
          <cell r="H1249" t="str">
            <v>AUH3</v>
          </cell>
        </row>
        <row r="1250">
          <cell r="C1250">
            <v>206958070</v>
          </cell>
          <cell r="D1250" t="str">
            <v>gkanelly</v>
          </cell>
          <cell r="E1250" t="str">
            <v>Nelly katthambi</v>
          </cell>
          <cell r="F1250" t="str">
            <v>Temporary</v>
          </cell>
          <cell r="G1250" t="str">
            <v>UAE</v>
          </cell>
          <cell r="H1250" t="str">
            <v>AUH3</v>
          </cell>
        </row>
        <row r="1251">
          <cell r="C1251">
            <v>206348042</v>
          </cell>
          <cell r="D1251" t="str">
            <v>dngafred</v>
          </cell>
          <cell r="E1251" t="str">
            <v>NGABIRANO FRED</v>
          </cell>
          <cell r="F1251" t="str">
            <v>Temporary</v>
          </cell>
          <cell r="G1251" t="str">
            <v>UAE</v>
          </cell>
          <cell r="H1251" t="str">
            <v>AUH3</v>
          </cell>
        </row>
        <row r="1252">
          <cell r="C1252">
            <v>205845547</v>
          </cell>
          <cell r="D1252" t="str">
            <v>nichasii</v>
          </cell>
          <cell r="E1252" t="str">
            <v>NICHOLAS ASIIMWE</v>
          </cell>
          <cell r="F1252" t="str">
            <v>Temporary</v>
          </cell>
          <cell r="G1252" t="str">
            <v>UAE</v>
          </cell>
          <cell r="H1252" t="str">
            <v>AUH3</v>
          </cell>
        </row>
        <row r="1253">
          <cell r="C1253">
            <v>205845552</v>
          </cell>
          <cell r="D1253" t="str">
            <v>onebarug</v>
          </cell>
          <cell r="E1253" t="str">
            <v>ONESMUS BARUGAHARE</v>
          </cell>
          <cell r="F1253" t="str">
            <v>Temporary</v>
          </cell>
          <cell r="G1253" t="str">
            <v>UAE</v>
          </cell>
          <cell r="H1253" t="str">
            <v>AUH3</v>
          </cell>
        </row>
        <row r="1254">
          <cell r="C1254">
            <v>206958290</v>
          </cell>
          <cell r="D1254" t="str">
            <v>patrisir</v>
          </cell>
          <cell r="E1254" t="str">
            <v>Patrick BARZILAI SIRGOI</v>
          </cell>
          <cell r="F1254" t="str">
            <v>Temporary</v>
          </cell>
          <cell r="G1254" t="str">
            <v>UAE</v>
          </cell>
          <cell r="H1254" t="str">
            <v>AUH3</v>
          </cell>
        </row>
        <row r="1255">
          <cell r="C1255">
            <v>205839953</v>
          </cell>
          <cell r="D1255" t="str">
            <v>ochanapa</v>
          </cell>
          <cell r="E1255" t="str">
            <v>PATRICK OCHANA</v>
          </cell>
          <cell r="F1255" t="str">
            <v>Temporary</v>
          </cell>
          <cell r="G1255" t="str">
            <v>UAE</v>
          </cell>
          <cell r="H1255" t="str">
            <v>AUH3</v>
          </cell>
        </row>
        <row r="1256">
          <cell r="C1256">
            <v>203555221</v>
          </cell>
          <cell r="D1256" t="str">
            <v>kadyamus</v>
          </cell>
          <cell r="E1256" t="str">
            <v>Phoebe Kadyamusuma</v>
          </cell>
          <cell r="F1256" t="str">
            <v>Temporary</v>
          </cell>
          <cell r="G1256" t="str">
            <v>UAE</v>
          </cell>
          <cell r="H1256" t="str">
            <v>AUH3</v>
          </cell>
        </row>
        <row r="1257">
          <cell r="C1257">
            <v>206361787</v>
          </cell>
          <cell r="D1257" t="str">
            <v>muhpinha</v>
          </cell>
          <cell r="E1257" t="str">
            <v>PINHAS MUHUTHIA</v>
          </cell>
          <cell r="F1257" t="str">
            <v>Temporary</v>
          </cell>
          <cell r="G1257" t="str">
            <v>UAE</v>
          </cell>
          <cell r="H1257" t="str">
            <v>AUH3</v>
          </cell>
        </row>
        <row r="1258">
          <cell r="C1258">
            <v>102207635</v>
          </cell>
          <cell r="D1258" t="str">
            <v>aposas</v>
          </cell>
          <cell r="E1258" t="str">
            <v>Posas,Alexandro Delacueva</v>
          </cell>
          <cell r="F1258" t="str">
            <v>Regular</v>
          </cell>
          <cell r="G1258" t="str">
            <v>UAE</v>
          </cell>
          <cell r="H1258" t="str">
            <v>AUH3</v>
          </cell>
        </row>
        <row r="1259">
          <cell r="C1259">
            <v>204137712</v>
          </cell>
          <cell r="D1259" t="str">
            <v>priokyer</v>
          </cell>
          <cell r="E1259" t="str">
            <v>Priscilla Aboagyewaa Okyere</v>
          </cell>
          <cell r="F1259" t="str">
            <v>Temporary</v>
          </cell>
          <cell r="G1259" t="str">
            <v>UAE</v>
          </cell>
          <cell r="H1259" t="str">
            <v>AUH3</v>
          </cell>
        </row>
        <row r="1260">
          <cell r="C1260">
            <v>203513499</v>
          </cell>
          <cell r="D1260" t="str">
            <v>aboagyra</v>
          </cell>
          <cell r="E1260" t="str">
            <v>Raphael Osei Aboagye</v>
          </cell>
          <cell r="F1260" t="str">
            <v>Temporary</v>
          </cell>
          <cell r="G1260" t="str">
            <v>UAE</v>
          </cell>
          <cell r="H1260" t="str">
            <v>AUH3</v>
          </cell>
        </row>
        <row r="1261">
          <cell r="C1261">
            <v>204094495</v>
          </cell>
          <cell r="D1261" t="str">
            <v>remahlun</v>
          </cell>
          <cell r="E1261" t="str">
            <v>Rebecca Mahlunge</v>
          </cell>
          <cell r="F1261" t="str">
            <v>Temporary</v>
          </cell>
          <cell r="G1261" t="str">
            <v>UAE</v>
          </cell>
          <cell r="H1261" t="str">
            <v>AUH3</v>
          </cell>
        </row>
        <row r="1262">
          <cell r="C1262">
            <v>204013731</v>
          </cell>
          <cell r="D1262" t="str">
            <v>sboatrob</v>
          </cell>
          <cell r="E1262" t="str">
            <v>Robert Boateng Agyei</v>
          </cell>
          <cell r="F1262" t="str">
            <v>Temporary</v>
          </cell>
          <cell r="G1262" t="str">
            <v>UAE</v>
          </cell>
          <cell r="H1262" t="str">
            <v>AUH3</v>
          </cell>
        </row>
        <row r="1263">
          <cell r="C1263">
            <v>205276101</v>
          </cell>
          <cell r="D1263" t="str">
            <v>atenrock</v>
          </cell>
          <cell r="E1263" t="str">
            <v>ROCKSON ATENSU</v>
          </cell>
          <cell r="F1263" t="str">
            <v>Temporary</v>
          </cell>
          <cell r="G1263" t="str">
            <v>UAE</v>
          </cell>
          <cell r="H1263" t="str">
            <v>AUH3</v>
          </cell>
        </row>
        <row r="1264">
          <cell r="C1264">
            <v>102205690</v>
          </cell>
          <cell r="D1264" t="str">
            <v>rggeroni</v>
          </cell>
          <cell r="E1264" t="str">
            <v>Roland Magpantay Geronimo</v>
          </cell>
          <cell r="F1264" t="str">
            <v>Regular</v>
          </cell>
          <cell r="G1264" t="str">
            <v>UAE</v>
          </cell>
          <cell r="H1264" t="str">
            <v>AUH3</v>
          </cell>
        </row>
        <row r="1265">
          <cell r="C1265">
            <v>102582357</v>
          </cell>
          <cell r="D1265" t="str">
            <v>rikoe</v>
          </cell>
          <cell r="E1265" t="str">
            <v>Rudolf Ikoe Itoe</v>
          </cell>
          <cell r="F1265" t="str">
            <v>Regular</v>
          </cell>
          <cell r="G1265" t="str">
            <v>UAE</v>
          </cell>
          <cell r="H1265" t="str">
            <v>AUH3</v>
          </cell>
        </row>
        <row r="1266">
          <cell r="C1266">
            <v>205845551</v>
          </cell>
          <cell r="D1266" t="str">
            <v>sasalifu</v>
          </cell>
          <cell r="E1266" t="str">
            <v>SADICK SALIFU AZUMAH</v>
          </cell>
          <cell r="F1266" t="str">
            <v>Temporary</v>
          </cell>
          <cell r="G1266" t="str">
            <v>UAE</v>
          </cell>
          <cell r="H1266" t="str">
            <v>AUH3</v>
          </cell>
        </row>
        <row r="1267">
          <cell r="C1267">
            <v>206296204</v>
          </cell>
          <cell r="D1267" t="str">
            <v>sahajame</v>
          </cell>
          <cell r="E1267" t="str">
            <v>SAHRELISHAJAMES</v>
          </cell>
          <cell r="F1267" t="str">
            <v>Temporary</v>
          </cell>
          <cell r="G1267" t="str">
            <v>UAE</v>
          </cell>
          <cell r="H1267" t="str">
            <v>AUH3</v>
          </cell>
        </row>
        <row r="1268">
          <cell r="C1268">
            <v>206958074</v>
          </cell>
          <cell r="D1268" t="str">
            <v>xsamkhat</v>
          </cell>
          <cell r="E1268" t="str">
            <v>Samina Khatoon</v>
          </cell>
          <cell r="F1268" t="str">
            <v>Temporary</v>
          </cell>
          <cell r="G1268" t="str">
            <v>UAE</v>
          </cell>
          <cell r="H1268" t="str">
            <v>AUH3</v>
          </cell>
        </row>
        <row r="1269">
          <cell r="C1269">
            <v>206348052</v>
          </cell>
          <cell r="D1269" t="str">
            <v>sabenjau</v>
          </cell>
          <cell r="E1269" t="str">
            <v>SANDE BENJAMIN</v>
          </cell>
          <cell r="F1269" t="str">
            <v>Temporary</v>
          </cell>
          <cell r="G1269" t="str">
            <v>UAE</v>
          </cell>
          <cell r="H1269" t="str">
            <v>AUH3</v>
          </cell>
        </row>
        <row r="1270">
          <cell r="C1270">
            <v>203513498</v>
          </cell>
          <cell r="D1270" t="str">
            <v>ocshadra</v>
          </cell>
          <cell r="E1270" t="str">
            <v>Shadrack Otoo</v>
          </cell>
          <cell r="F1270" t="str">
            <v>Temporary</v>
          </cell>
          <cell r="G1270" t="str">
            <v>UAE</v>
          </cell>
          <cell r="H1270" t="str">
            <v>AUH3</v>
          </cell>
        </row>
        <row r="1271">
          <cell r="C1271">
            <v>206958090</v>
          </cell>
          <cell r="D1271" t="str">
            <v>chepkosh</v>
          </cell>
          <cell r="E1271" t="str">
            <v>Sheila Chepkoech</v>
          </cell>
          <cell r="F1271" t="str">
            <v>Temporary</v>
          </cell>
          <cell r="G1271" t="str">
            <v>UAE</v>
          </cell>
          <cell r="H1271" t="str">
            <v>AUH3</v>
          </cell>
        </row>
        <row r="1272">
          <cell r="C1272">
            <v>203513399</v>
          </cell>
          <cell r="D1272" t="str">
            <v>ampsheil</v>
          </cell>
          <cell r="E1272" t="str">
            <v>Sheila Yeboah Ampene</v>
          </cell>
          <cell r="F1272" t="str">
            <v>Temporary</v>
          </cell>
          <cell r="G1272" t="str">
            <v>UAE</v>
          </cell>
          <cell r="H1272" t="str">
            <v>AUH3</v>
          </cell>
        </row>
        <row r="1273">
          <cell r="C1273">
            <v>204115629</v>
          </cell>
          <cell r="D1273" t="str">
            <v>simontwe</v>
          </cell>
          <cell r="E1273" t="str">
            <v>Simon Twene</v>
          </cell>
          <cell r="F1273" t="str">
            <v>Temporary</v>
          </cell>
          <cell r="G1273" t="str">
            <v>UAE</v>
          </cell>
          <cell r="H1273" t="str">
            <v>AUH3</v>
          </cell>
        </row>
        <row r="1274">
          <cell r="C1274">
            <v>206958297</v>
          </cell>
          <cell r="D1274" t="str">
            <v>mohasopj</v>
          </cell>
          <cell r="E1274" t="str">
            <v>Sophia Andaiyi Mohammed</v>
          </cell>
          <cell r="F1274" t="str">
            <v>Temporary</v>
          </cell>
          <cell r="G1274" t="str">
            <v>UAE</v>
          </cell>
          <cell r="H1274" t="str">
            <v>AUH3</v>
          </cell>
        </row>
        <row r="1275">
          <cell r="C1275">
            <v>206348054</v>
          </cell>
          <cell r="D1275" t="str">
            <v>ssecharl</v>
          </cell>
          <cell r="E1275" t="str">
            <v>SSEMUGAGGA CHARLES</v>
          </cell>
          <cell r="F1275" t="str">
            <v>Temporary</v>
          </cell>
          <cell r="G1275" t="str">
            <v>UAE</v>
          </cell>
          <cell r="H1275" t="str">
            <v>AUH3</v>
          </cell>
        </row>
        <row r="1276">
          <cell r="C1276">
            <v>204013739</v>
          </cell>
          <cell r="D1276" t="str">
            <v>ddommban</v>
          </cell>
          <cell r="E1276" t="str">
            <v>Stanley Dom Mbang</v>
          </cell>
          <cell r="F1276" t="str">
            <v>Temporary</v>
          </cell>
          <cell r="G1276" t="str">
            <v>UAE</v>
          </cell>
          <cell r="H1276" t="str">
            <v>AUH3</v>
          </cell>
        </row>
        <row r="1277">
          <cell r="C1277">
            <v>102205553</v>
          </cell>
          <cell r="D1277" t="str">
            <v>skayikka</v>
          </cell>
          <cell r="E1277" t="str">
            <v>Sudheer Kumar Ayikkara Valappil</v>
          </cell>
          <cell r="F1277" t="str">
            <v>Regular</v>
          </cell>
          <cell r="G1277" t="str">
            <v>UAE</v>
          </cell>
          <cell r="H1277" t="str">
            <v>AUH3</v>
          </cell>
        </row>
        <row r="1278">
          <cell r="C1278">
            <v>206958449</v>
          </cell>
          <cell r="D1278" t="str">
            <v>susanwak</v>
          </cell>
          <cell r="E1278" t="str">
            <v>Susan Waruguru Kanyi</v>
          </cell>
          <cell r="F1278" t="str">
            <v>Temporary</v>
          </cell>
          <cell r="G1278" t="str">
            <v>UAE</v>
          </cell>
          <cell r="H1278" t="str">
            <v>AUH3</v>
          </cell>
        </row>
        <row r="1279">
          <cell r="C1279">
            <v>206851162</v>
          </cell>
          <cell r="D1279" t="str">
            <v>tubwebag</v>
          </cell>
          <cell r="E1279" t="str">
            <v>TUBWEBAZE GILBERT</v>
          </cell>
          <cell r="F1279" t="str">
            <v>Temporary</v>
          </cell>
          <cell r="G1279" t="str">
            <v>UAE</v>
          </cell>
          <cell r="H1279" t="str">
            <v>AUH3</v>
          </cell>
        </row>
        <row r="1280">
          <cell r="C1280">
            <v>104042345</v>
          </cell>
          <cell r="D1280" t="str">
            <v>umerr</v>
          </cell>
          <cell r="E1280" t="str">
            <v>Umer Rasheed Ur Rehman Rasheed</v>
          </cell>
          <cell r="F1280" t="str">
            <v>Regular</v>
          </cell>
          <cell r="G1280" t="str">
            <v>UAE</v>
          </cell>
          <cell r="H1280" t="str">
            <v>AUH3</v>
          </cell>
        </row>
        <row r="1281">
          <cell r="C1281">
            <v>205609755</v>
          </cell>
          <cell r="D1281" t="str">
            <v>ivinceas</v>
          </cell>
          <cell r="E1281" t="str">
            <v>VINCENTASHITEY</v>
          </cell>
          <cell r="F1281" t="str">
            <v>Temporary</v>
          </cell>
          <cell r="G1281" t="str">
            <v>UAE</v>
          </cell>
          <cell r="H1281" t="str">
            <v>AUH3</v>
          </cell>
        </row>
        <row r="1282">
          <cell r="C1282">
            <v>205285507</v>
          </cell>
          <cell r="D1282" t="str">
            <v>wisacola</v>
          </cell>
          <cell r="E1282" t="str">
            <v>WISDOMDELEACOLATSE</v>
          </cell>
          <cell r="F1282" t="str">
            <v>Temporary</v>
          </cell>
          <cell r="G1282" t="str">
            <v>UAE</v>
          </cell>
          <cell r="H1282" t="str">
            <v>AUH3</v>
          </cell>
        </row>
        <row r="1283">
          <cell r="C1283">
            <v>102207631</v>
          </cell>
          <cell r="D1283" t="str">
            <v>parungao</v>
          </cell>
          <cell r="E1283" t="str">
            <v>Parungao,Priscila Montejo</v>
          </cell>
          <cell r="F1283" t="str">
            <v>Regular</v>
          </cell>
          <cell r="G1283" t="str">
            <v>UAE</v>
          </cell>
          <cell r="H1283" t="str">
            <v>AUH1</v>
          </cell>
        </row>
        <row r="1284">
          <cell r="C1284">
            <v>203073699</v>
          </cell>
          <cell r="D1284" t="str">
            <v>ammarhak</v>
          </cell>
          <cell r="E1284" t="str">
            <v>AbdElhakim,Ammar</v>
          </cell>
          <cell r="F1284" t="str">
            <v>Regular</v>
          </cell>
          <cell r="G1284" t="str">
            <v>UAE</v>
          </cell>
          <cell r="H1284" t="str">
            <v>AUH1</v>
          </cell>
        </row>
        <row r="1285">
          <cell r="C1285">
            <v>203160008</v>
          </cell>
          <cell r="D1285" t="str">
            <v>nayabadh</v>
          </cell>
          <cell r="E1285" t="str">
            <v>Adhikari,Nayab</v>
          </cell>
          <cell r="F1285" t="str">
            <v>Regular</v>
          </cell>
          <cell r="G1285" t="str">
            <v>UAE</v>
          </cell>
          <cell r="H1285" t="str">
            <v>AUH1</v>
          </cell>
        </row>
        <row r="1286">
          <cell r="C1286">
            <v>203118578</v>
          </cell>
          <cell r="D1286" t="str">
            <v>atvinoth</v>
          </cell>
          <cell r="E1286" t="str">
            <v>AR,Vinoth</v>
          </cell>
          <cell r="F1286" t="str">
            <v>Regular</v>
          </cell>
          <cell r="G1286" t="str">
            <v>UAE</v>
          </cell>
          <cell r="H1286" t="str">
            <v>AUH1</v>
          </cell>
        </row>
        <row r="1287">
          <cell r="C1287">
            <v>206238934</v>
          </cell>
          <cell r="D1287" t="str">
            <v>chakkumm</v>
          </cell>
          <cell r="E1287" t="str">
            <v>Chakkumkandath,Midhun</v>
          </cell>
          <cell r="F1287" t="str">
            <v>Regular</v>
          </cell>
          <cell r="G1287" t="str">
            <v>UAE</v>
          </cell>
          <cell r="H1287" t="str">
            <v>AUH1</v>
          </cell>
        </row>
        <row r="1288">
          <cell r="C1288">
            <v>204043092</v>
          </cell>
          <cell r="D1288" t="str">
            <v>vvsatish</v>
          </cell>
          <cell r="E1288" t="str">
            <v>CHILUKURI SATISH</v>
          </cell>
          <cell r="F1288" t="str">
            <v>Regular</v>
          </cell>
          <cell r="G1288" t="str">
            <v>UAE</v>
          </cell>
          <cell r="H1288" t="str">
            <v>AUH1</v>
          </cell>
        </row>
        <row r="1289">
          <cell r="C1289">
            <v>203052485</v>
          </cell>
          <cell r="D1289" t="str">
            <v>jgania</v>
          </cell>
          <cell r="E1289" t="str">
            <v>Gania,Jeehan</v>
          </cell>
          <cell r="F1289" t="str">
            <v>Regular</v>
          </cell>
          <cell r="G1289" t="str">
            <v>UAE</v>
          </cell>
          <cell r="H1289" t="str">
            <v>AUH1</v>
          </cell>
        </row>
        <row r="1290">
          <cell r="C1290">
            <v>207574273</v>
          </cell>
          <cell r="D1290" t="str">
            <v>ismchasy</v>
          </cell>
          <cell r="E1290" t="str">
            <v>Ismail,Syed</v>
          </cell>
          <cell r="F1290" t="str">
            <v>Regular</v>
          </cell>
          <cell r="G1290" t="str">
            <v>UAE</v>
          </cell>
          <cell r="H1290" t="str">
            <v>AUH1</v>
          </cell>
        </row>
        <row r="1291">
          <cell r="C1291">
            <v>203160007</v>
          </cell>
          <cell r="D1291" t="str">
            <v>amjkamal</v>
          </cell>
          <cell r="E1291" t="str">
            <v>Mahamood,Kamal</v>
          </cell>
          <cell r="F1291" t="str">
            <v>Regular</v>
          </cell>
          <cell r="G1291" t="str">
            <v>UAE</v>
          </cell>
          <cell r="H1291" t="str">
            <v>AUH1</v>
          </cell>
        </row>
        <row r="1292">
          <cell r="C1292">
            <v>113015344</v>
          </cell>
          <cell r="D1292" t="str">
            <v>rizvamoh</v>
          </cell>
          <cell r="E1292" t="str">
            <v>Mohamed Rizvan</v>
          </cell>
          <cell r="F1292" t="str">
            <v>Regular</v>
          </cell>
          <cell r="G1292" t="str">
            <v>UAE</v>
          </cell>
          <cell r="H1292" t="str">
            <v>AUH1</v>
          </cell>
        </row>
        <row r="1293">
          <cell r="C1293">
            <v>203160009</v>
          </cell>
          <cell r="D1293" t="str">
            <v>hareepo</v>
          </cell>
          <cell r="E1293" t="str">
            <v>POGALA,HAREESH</v>
          </cell>
          <cell r="F1293" t="str">
            <v>Regular</v>
          </cell>
          <cell r="G1293" t="str">
            <v>UAE</v>
          </cell>
          <cell r="H1293" t="str">
            <v>AUH1</v>
          </cell>
        </row>
        <row r="1294">
          <cell r="C1294">
            <v>203118579</v>
          </cell>
          <cell r="D1294" t="str">
            <v>ajithrak</v>
          </cell>
          <cell r="E1294" t="str">
            <v>Rajendran,Ajith Kumar</v>
          </cell>
          <cell r="F1294" t="str">
            <v>Regular</v>
          </cell>
          <cell r="G1294" t="str">
            <v>UAE</v>
          </cell>
          <cell r="H1294" t="str">
            <v>AUH1</v>
          </cell>
        </row>
        <row r="1295">
          <cell r="C1295">
            <v>203073561</v>
          </cell>
          <cell r="D1295" t="str">
            <v>vadirama</v>
          </cell>
          <cell r="E1295" t="str">
            <v>ramadoss,vadivel</v>
          </cell>
          <cell r="F1295" t="str">
            <v>Regular</v>
          </cell>
          <cell r="G1295" t="str">
            <v>UAE</v>
          </cell>
          <cell r="H1295" t="str">
            <v>AUH1</v>
          </cell>
        </row>
        <row r="1296">
          <cell r="C1296">
            <v>203052856</v>
          </cell>
          <cell r="D1296" t="str">
            <v>karthiqv</v>
          </cell>
          <cell r="E1296" t="str">
            <v>Ravi,Karthi</v>
          </cell>
          <cell r="F1296" t="str">
            <v>Regular</v>
          </cell>
          <cell r="G1296" t="str">
            <v>UAE</v>
          </cell>
          <cell r="H1296" t="str">
            <v>AUH1</v>
          </cell>
        </row>
        <row r="1297">
          <cell r="C1297">
            <v>203073425</v>
          </cell>
          <cell r="D1297" t="str">
            <v>shineray</v>
          </cell>
          <cell r="E1297" t="str">
            <v>Raynold,Shine</v>
          </cell>
          <cell r="F1297" t="str">
            <v>Regular</v>
          </cell>
          <cell r="G1297" t="str">
            <v>UAE</v>
          </cell>
          <cell r="H1297" t="str">
            <v>AUH1</v>
          </cell>
        </row>
        <row r="1298">
          <cell r="C1298">
            <v>203940975</v>
          </cell>
          <cell r="D1298" t="str">
            <v>hkhwabdu</v>
          </cell>
          <cell r="E1298" t="str">
            <v>Abdul Hanan Khwaja</v>
          </cell>
          <cell r="F1298" t="str">
            <v>Temporary</v>
          </cell>
          <cell r="G1298" t="str">
            <v>UAE</v>
          </cell>
          <cell r="H1298" t="str">
            <v>AUH1</v>
          </cell>
        </row>
        <row r="1299">
          <cell r="C1299">
            <v>207383780</v>
          </cell>
          <cell r="D1299" t="str">
            <v>ashifzah</v>
          </cell>
          <cell r="E1299" t="str">
            <v>AHAMED,ASHIF</v>
          </cell>
          <cell r="F1299" t="str">
            <v>Temporary</v>
          </cell>
          <cell r="G1299" t="str">
            <v>UAE</v>
          </cell>
          <cell r="H1299" t="str">
            <v>AUH1</v>
          </cell>
        </row>
        <row r="1300">
          <cell r="C1300">
            <v>112875012</v>
          </cell>
          <cell r="D1300" t="str">
            <v>akufhenv</v>
          </cell>
          <cell r="E1300" t="str">
            <v>Akuffo,Henry</v>
          </cell>
          <cell r="F1300" t="str">
            <v>Regular</v>
          </cell>
          <cell r="G1300" t="str">
            <v>UAE</v>
          </cell>
          <cell r="H1300" t="str">
            <v>AUH1</v>
          </cell>
        </row>
        <row r="1301">
          <cell r="C1301">
            <v>204341339</v>
          </cell>
          <cell r="D1301" t="str">
            <v>elizbaku</v>
          </cell>
          <cell r="E1301" t="str">
            <v>Akuoko,Elizbeth</v>
          </cell>
          <cell r="F1301" t="str">
            <v>Temporary</v>
          </cell>
          <cell r="G1301" t="str">
            <v>UAE</v>
          </cell>
          <cell r="H1301" t="str">
            <v>AUH1</v>
          </cell>
        </row>
        <row r="1302">
          <cell r="C1302">
            <v>203090005</v>
          </cell>
          <cell r="D1302" t="str">
            <v>faresoal</v>
          </cell>
          <cell r="E1302" t="str">
            <v>Al Khalifi,Fares Omar Mohammed</v>
          </cell>
          <cell r="F1302" t="str">
            <v>Regular</v>
          </cell>
          <cell r="G1302" t="str">
            <v>UAE</v>
          </cell>
          <cell r="H1302" t="str">
            <v>AUH1</v>
          </cell>
        </row>
        <row r="1303">
          <cell r="C1303">
            <v>204155451</v>
          </cell>
          <cell r="D1303" t="str">
            <v>amnajami</v>
          </cell>
          <cell r="E1303" t="str">
            <v>AMNA JAMIL</v>
          </cell>
          <cell r="F1303" t="str">
            <v>Temporary</v>
          </cell>
          <cell r="G1303" t="str">
            <v>UAE</v>
          </cell>
          <cell r="H1303" t="str">
            <v>AUH1</v>
          </cell>
        </row>
        <row r="1304">
          <cell r="C1304">
            <v>204469338</v>
          </cell>
          <cell r="D1304" t="str">
            <v>anasomoh</v>
          </cell>
          <cell r="E1304" t="str">
            <v>Anas Mohammad Habeeb,Mohammad</v>
          </cell>
          <cell r="F1304" t="str">
            <v>Temporary</v>
          </cell>
          <cell r="G1304" t="str">
            <v>UAE</v>
          </cell>
          <cell r="H1304" t="str">
            <v>AUH1</v>
          </cell>
        </row>
        <row r="1305">
          <cell r="C1305">
            <v>205837449</v>
          </cell>
          <cell r="D1305" t="str">
            <v>canudamo</v>
          </cell>
          <cell r="E1305" t="str">
            <v>Damodaran,Anu</v>
          </cell>
          <cell r="F1305" t="str">
            <v>Temporary</v>
          </cell>
          <cell r="G1305" t="str">
            <v>UAE</v>
          </cell>
          <cell r="H1305" t="str">
            <v>AUH1</v>
          </cell>
        </row>
        <row r="1306">
          <cell r="C1306">
            <v>203174504</v>
          </cell>
          <cell r="D1306" t="str">
            <v>ediradim</v>
          </cell>
          <cell r="E1306" t="str">
            <v xml:space="preserve">Geo,Edilbert Geo Antony </v>
          </cell>
          <cell r="F1306" t="str">
            <v>Regular</v>
          </cell>
          <cell r="G1306" t="str">
            <v>UAE</v>
          </cell>
          <cell r="H1306" t="str">
            <v>AUH1</v>
          </cell>
        </row>
        <row r="1307">
          <cell r="C1307">
            <v>204033425</v>
          </cell>
          <cell r="D1307" t="str">
            <v>kanuprly</v>
          </cell>
          <cell r="E1307" t="str">
            <v>Kalaiselvan Kalaiselvan,Anuprlya</v>
          </cell>
          <cell r="F1307" t="str">
            <v>Temporary</v>
          </cell>
          <cell r="G1307" t="str">
            <v>UAE</v>
          </cell>
          <cell r="H1307" t="str">
            <v>AUH1</v>
          </cell>
        </row>
        <row r="1308">
          <cell r="C1308">
            <v>207282341</v>
          </cell>
          <cell r="D1308" t="str">
            <v>arathikx</v>
          </cell>
          <cell r="E1308" t="str">
            <v>KARICHERY,ARATHI </v>
          </cell>
          <cell r="F1308" t="str">
            <v>Temporary</v>
          </cell>
          <cell r="G1308" t="str">
            <v>UAE</v>
          </cell>
          <cell r="H1308" t="str">
            <v>AUH1</v>
          </cell>
        </row>
        <row r="1309">
          <cell r="C1309">
            <v>203555938</v>
          </cell>
          <cell r="D1309" t="str">
            <v>fairoowk</v>
          </cell>
          <cell r="E1309" t="str">
            <v>khader,Fairoose Abdul</v>
          </cell>
          <cell r="F1309" t="str">
            <v>Temporary</v>
          </cell>
          <cell r="G1309" t="str">
            <v>UAE</v>
          </cell>
          <cell r="H1309" t="str">
            <v>AUH1</v>
          </cell>
        </row>
        <row r="1310">
          <cell r="C1310">
            <v>203815279</v>
          </cell>
          <cell r="D1310" t="str">
            <v>kizmehth</v>
          </cell>
          <cell r="E1310" t="str">
            <v>KIZHAKAYIL KARABIL,MEHTHAB HUSSAN</v>
          </cell>
          <cell r="F1310" t="str">
            <v>Temporary</v>
          </cell>
          <cell r="G1310" t="str">
            <v>UAE</v>
          </cell>
          <cell r="H1310" t="str">
            <v>AUH1</v>
          </cell>
        </row>
        <row r="1311">
          <cell r="C1311">
            <v>203750137</v>
          </cell>
          <cell r="D1311" t="str">
            <v>manavedk</v>
          </cell>
          <cell r="E1311" t="str">
            <v>Maqdoom khan,Naved Khan</v>
          </cell>
          <cell r="F1311" t="str">
            <v>Temporary</v>
          </cell>
          <cell r="G1311" t="str">
            <v>UAE</v>
          </cell>
          <cell r="H1311" t="str">
            <v>AUH1</v>
          </cell>
        </row>
        <row r="1312">
          <cell r="C1312">
            <v>203974084</v>
          </cell>
          <cell r="D1312" t="str">
            <v>vajeermo</v>
          </cell>
          <cell r="E1312" t="str">
            <v>MOHAMED.A,VAJEER</v>
          </cell>
          <cell r="F1312" t="str">
            <v>Temporary</v>
          </cell>
          <cell r="G1312" t="str">
            <v>UAE</v>
          </cell>
          <cell r="H1312" t="str">
            <v>AUH1</v>
          </cell>
        </row>
        <row r="1313">
          <cell r="C1313">
            <v>206332542</v>
          </cell>
          <cell r="D1313" t="str">
            <v>nsaluall</v>
          </cell>
          <cell r="E1313" t="str">
            <v xml:space="preserve">SALUDO DIMAFELIX,ALLYZA ASHLEY </v>
          </cell>
          <cell r="F1313" t="str">
            <v>Temporary</v>
          </cell>
          <cell r="G1313" t="str">
            <v>UAE</v>
          </cell>
          <cell r="H1313" t="str">
            <v>AUH1</v>
          </cell>
        </row>
        <row r="1314">
          <cell r="C1314">
            <v>205247340</v>
          </cell>
          <cell r="D1314" t="str">
            <v>sheshame</v>
          </cell>
          <cell r="E1314" t="str">
            <v>Shameer,Sheikh Muhammad</v>
          </cell>
          <cell r="F1314" t="str">
            <v>Temporary</v>
          </cell>
          <cell r="G1314" t="str">
            <v>UAE</v>
          </cell>
          <cell r="H1314" t="str">
            <v>AUH1</v>
          </cell>
        </row>
        <row r="1315">
          <cell r="C1315">
            <v>204886250</v>
          </cell>
          <cell r="D1315" t="str">
            <v>shomuzha</v>
          </cell>
          <cell r="E1315" t="str">
            <v>Shomuzhanga,Lissa</v>
          </cell>
          <cell r="F1315" t="str">
            <v>Temporary</v>
          </cell>
          <cell r="G1315" t="str">
            <v>UAE</v>
          </cell>
          <cell r="H1315" t="str">
            <v>AUH1</v>
          </cell>
        </row>
        <row r="1316">
          <cell r="C1316">
            <v>207283258</v>
          </cell>
          <cell r="D1316" t="str">
            <v>thomtonp</v>
          </cell>
          <cell r="E1316" t="str">
            <v>THOMAS JOSEPH,TONY</v>
          </cell>
          <cell r="F1316" t="str">
            <v>Temporary</v>
          </cell>
          <cell r="G1316" t="str">
            <v>UAE</v>
          </cell>
          <cell r="H1316" t="str">
            <v>AUH1</v>
          </cell>
        </row>
        <row r="1317">
          <cell r="C1317">
            <v>202383469</v>
          </cell>
          <cell r="D1317" t="str">
            <v>javmuhak</v>
          </cell>
          <cell r="E1317" t="str">
            <v>Usman,Muhammad</v>
          </cell>
          <cell r="F1317" t="str">
            <v>Temporary</v>
          </cell>
          <cell r="G1317" t="str">
            <v>UAE</v>
          </cell>
          <cell r="H1317" t="str">
            <v>AUH1</v>
          </cell>
        </row>
        <row r="1318">
          <cell r="C1318">
            <v>106495539</v>
          </cell>
          <cell r="D1318" t="str">
            <v>mhamreh</v>
          </cell>
          <cell r="E1318" t="str">
            <v>Zia,Mohammed</v>
          </cell>
          <cell r="F1318" t="str">
            <v>Regular</v>
          </cell>
          <cell r="G1318" t="str">
            <v>UAE</v>
          </cell>
          <cell r="H1318" t="str">
            <v>AUH1</v>
          </cell>
        </row>
        <row r="1319">
          <cell r="C1319">
            <v>203737146</v>
          </cell>
          <cell r="D1319" t="str">
            <v>ponnormx</v>
          </cell>
          <cell r="E1319" t="str">
            <v>Norman Reyes Ponce</v>
          </cell>
          <cell r="F1319" t="str">
            <v>Temporary</v>
          </cell>
          <cell r="G1319" t="str">
            <v>UAE</v>
          </cell>
          <cell r="H1319" t="str">
            <v>AUH1</v>
          </cell>
        </row>
        <row r="1320">
          <cell r="C1320">
            <v>102865829</v>
          </cell>
          <cell r="D1320" t="str">
            <v>tunayj</v>
          </cell>
          <cell r="E1320" t="str">
            <v>Tunay,Jayson Torres</v>
          </cell>
          <cell r="F1320" t="str">
            <v>Regular</v>
          </cell>
          <cell r="G1320" t="str">
            <v>UAE</v>
          </cell>
          <cell r="H1320" t="str">
            <v>AUH1</v>
          </cell>
        </row>
        <row r="1321">
          <cell r="C1321">
            <v>203183500</v>
          </cell>
          <cell r="D1321" t="str">
            <v>jilug</v>
          </cell>
          <cell r="E1321" t="str">
            <v>George,Jilu</v>
          </cell>
          <cell r="F1321" t="str">
            <v>Regular</v>
          </cell>
          <cell r="G1321" t="str">
            <v>UAE</v>
          </cell>
          <cell r="H1321" t="str">
            <v>AUH1</v>
          </cell>
        </row>
        <row r="1322">
          <cell r="C1322">
            <v>203183769</v>
          </cell>
          <cell r="D1322" t="str">
            <v>fkashifm</v>
          </cell>
          <cell r="E1322" t="str">
            <v>Kashif,Mirza</v>
          </cell>
          <cell r="F1322" t="str">
            <v>Regular</v>
          </cell>
          <cell r="G1322" t="str">
            <v>UAE</v>
          </cell>
          <cell r="H1322" t="str">
            <v>AUH1</v>
          </cell>
        </row>
        <row r="1323">
          <cell r="C1323">
            <v>205280740</v>
          </cell>
          <cell r="D1323" t="str">
            <v>safalpan</v>
          </cell>
          <cell r="E1323" t="str">
            <v>Safal Panta</v>
          </cell>
          <cell r="F1323" t="str">
            <v>Regular</v>
          </cell>
          <cell r="G1323" t="str">
            <v>UAE</v>
          </cell>
          <cell r="H1323" t="str">
            <v>AUH1</v>
          </cell>
        </row>
        <row r="1324">
          <cell r="C1324">
            <v>205665079</v>
          </cell>
          <cell r="D1324" t="str">
            <v>aimansh</v>
          </cell>
          <cell r="E1324" t="str">
            <v>Aiman Shadab Khan</v>
          </cell>
          <cell r="F1324" t="str">
            <v>Regular</v>
          </cell>
          <cell r="G1324" t="str">
            <v>UAE</v>
          </cell>
          <cell r="H1324" t="str">
            <v>AUH1</v>
          </cell>
        </row>
        <row r="1325">
          <cell r="C1325">
            <v>205537427</v>
          </cell>
          <cell r="D1325" t="str">
            <v>kisaeliz</v>
          </cell>
          <cell r="E1325" t="str">
            <v>Elizabeth,Kisakye</v>
          </cell>
          <cell r="F1325" t="str">
            <v>Regular</v>
          </cell>
          <cell r="G1325" t="str">
            <v>UAE</v>
          </cell>
          <cell r="H1325" t="str">
            <v>AUH1</v>
          </cell>
        </row>
        <row r="1326">
          <cell r="C1326">
            <v>205079247</v>
          </cell>
          <cell r="D1326" t="str">
            <v>hudamm</v>
          </cell>
          <cell r="E1326" t="str">
            <v>moazzam,huda</v>
          </cell>
          <cell r="F1326" t="str">
            <v>Regular</v>
          </cell>
          <cell r="G1326" t="str">
            <v>UAE</v>
          </cell>
          <cell r="H1326" t="str">
            <v>AUH1</v>
          </cell>
        </row>
        <row r="1327">
          <cell r="C1327">
            <v>205001264</v>
          </cell>
          <cell r="D1327" t="str">
            <v>madaoud</v>
          </cell>
          <cell r="E1327" t="str">
            <v>Mohamed Daoud</v>
          </cell>
          <cell r="F1327" t="str">
            <v>Regular</v>
          </cell>
          <cell r="G1327" t="str">
            <v>UAE</v>
          </cell>
          <cell r="H1327" t="str">
            <v>AUH1</v>
          </cell>
        </row>
        <row r="1328">
          <cell r="C1328">
            <v>205024343</v>
          </cell>
          <cell r="D1328" t="str">
            <v>rajaniu</v>
          </cell>
          <cell r="E1328" t="str">
            <v>Rajani U</v>
          </cell>
          <cell r="F1328" t="str">
            <v>Regular</v>
          </cell>
          <cell r="G1328" t="str">
            <v>UAE</v>
          </cell>
          <cell r="H1328" t="str">
            <v>AUH1</v>
          </cell>
        </row>
        <row r="1329">
          <cell r="C1329">
            <v>203794558</v>
          </cell>
          <cell r="D1329" t="str">
            <v>alreena</v>
          </cell>
          <cell r="E1329" t="str">
            <v>Sharmilee,Alexander Reena</v>
          </cell>
          <cell r="F1329" t="str">
            <v>Regular</v>
          </cell>
          <cell r="G1329" t="str">
            <v>UAE</v>
          </cell>
          <cell r="H1329" t="str">
            <v>AUH1</v>
          </cell>
        </row>
        <row r="1330">
          <cell r="C1330">
            <v>203927111</v>
          </cell>
          <cell r="D1330" t="str">
            <v>stephjov</v>
          </cell>
          <cell r="E1330" t="str">
            <v>Stephy Joseph</v>
          </cell>
          <cell r="F1330" t="str">
            <v>Regular</v>
          </cell>
          <cell r="G1330" t="str">
            <v>UAE</v>
          </cell>
          <cell r="H1330" t="str">
            <v>AUH1</v>
          </cell>
        </row>
        <row r="1331">
          <cell r="C1331">
            <v>205207923</v>
          </cell>
          <cell r="D1331" t="str">
            <v>swavishw</v>
          </cell>
          <cell r="E1331" t="str">
            <v>Swapna Vishwakarma</v>
          </cell>
          <cell r="F1331" t="str">
            <v>Regular</v>
          </cell>
          <cell r="G1331" t="str">
            <v>UAE</v>
          </cell>
          <cell r="H1331" t="str">
            <v>AUH1</v>
          </cell>
        </row>
        <row r="1332">
          <cell r="C1332">
            <v>112836630</v>
          </cell>
          <cell r="D1332" t="str">
            <v>cmuhamak</v>
          </cell>
          <cell r="E1332" t="str">
            <v>Akhtar,Muhammad Zohaib</v>
          </cell>
          <cell r="F1332" t="str">
            <v>Regular</v>
          </cell>
          <cell r="G1332" t="str">
            <v>UAE</v>
          </cell>
          <cell r="H1332" t="str">
            <v>AUH1</v>
          </cell>
        </row>
        <row r="1333">
          <cell r="C1333">
            <v>102865821</v>
          </cell>
          <cell r="D1333" t="str">
            <v>yumangm</v>
          </cell>
          <cell r="E1333" t="str">
            <v>Mike Yumang</v>
          </cell>
          <cell r="F1333" t="str">
            <v>Regular</v>
          </cell>
          <cell r="G1333" t="str">
            <v>UAE</v>
          </cell>
          <cell r="H1333" t="str">
            <v>AUH1</v>
          </cell>
        </row>
        <row r="1334">
          <cell r="C1334">
            <v>206884114</v>
          </cell>
          <cell r="D1334" t="str">
            <v>aomali</v>
          </cell>
          <cell r="E1334" t="str">
            <v>Ahmed,Ali</v>
          </cell>
          <cell r="F1334" t="str">
            <v>Regular</v>
          </cell>
          <cell r="G1334" t="str">
            <v>UAE</v>
          </cell>
          <cell r="H1334" t="str">
            <v>AUH1</v>
          </cell>
        </row>
        <row r="1335">
          <cell r="C1335">
            <v>206980506</v>
          </cell>
          <cell r="D1335" t="str">
            <v>thembik</v>
          </cell>
          <cell r="E1335" t="str">
            <v>Kuchicha,Thembi</v>
          </cell>
          <cell r="F1335" t="str">
            <v>Regular</v>
          </cell>
          <cell r="G1335" t="str">
            <v>UAE</v>
          </cell>
          <cell r="H1335" t="str">
            <v>AUH1</v>
          </cell>
        </row>
        <row r="1336">
          <cell r="C1336">
            <v>206930467</v>
          </cell>
          <cell r="D1336" t="str">
            <v>chachabf</v>
          </cell>
          <cell r="E1336" t="str">
            <v>Makenge,Brian Chacha</v>
          </cell>
          <cell r="F1336" t="str">
            <v>Regular</v>
          </cell>
          <cell r="G1336" t="str">
            <v>UAE</v>
          </cell>
          <cell r="H1336" t="str">
            <v>AUH1</v>
          </cell>
        </row>
        <row r="1337">
          <cell r="C1337">
            <v>113239078</v>
          </cell>
          <cell r="D1337" t="str">
            <v>nejed</v>
          </cell>
          <cell r="E1337" t="str">
            <v>NUJUMUDDIN,NEJED</v>
          </cell>
          <cell r="F1337" t="str">
            <v>Regular</v>
          </cell>
          <cell r="G1337" t="str">
            <v>UAE</v>
          </cell>
          <cell r="H1337" t="str">
            <v>AUH1</v>
          </cell>
        </row>
        <row r="1338">
          <cell r="C1338">
            <v>203875181</v>
          </cell>
          <cell r="D1338" t="str">
            <v>hansonay</v>
          </cell>
          <cell r="E1338" t="str">
            <v>Ayonghe Fusoh Hanson</v>
          </cell>
          <cell r="F1338" t="str">
            <v>Temporary</v>
          </cell>
          <cell r="G1338" t="str">
            <v>UAE</v>
          </cell>
          <cell r="H1338" t="str">
            <v>DAD1</v>
          </cell>
        </row>
        <row r="1339">
          <cell r="C1339">
            <v>203875184</v>
          </cell>
          <cell r="D1339" t="str">
            <v>ansereem</v>
          </cell>
          <cell r="E1339" t="str">
            <v>Emmanuel Ansere</v>
          </cell>
          <cell r="F1339" t="str">
            <v>Temporary</v>
          </cell>
          <cell r="G1339" t="str">
            <v>UAE</v>
          </cell>
          <cell r="H1339" t="str">
            <v>DAD1</v>
          </cell>
        </row>
        <row r="1340">
          <cell r="C1340">
            <v>203875092</v>
          </cell>
          <cell r="D1340" t="str">
            <v>amoahgid</v>
          </cell>
          <cell r="E1340" t="str">
            <v>Gideon Kwabena Amoah</v>
          </cell>
          <cell r="F1340" t="str">
            <v>Temporary</v>
          </cell>
          <cell r="G1340" t="str">
            <v>UAE</v>
          </cell>
          <cell r="H1340" t="str">
            <v>DAD1</v>
          </cell>
        </row>
        <row r="1341">
          <cell r="C1341">
            <v>203875089</v>
          </cell>
          <cell r="D1341" t="str">
            <v>kuffourg</v>
          </cell>
          <cell r="E1341" t="str">
            <v>Grace Kuffour</v>
          </cell>
          <cell r="F1341" t="str">
            <v>Temporary</v>
          </cell>
          <cell r="G1341" t="str">
            <v>UAE</v>
          </cell>
          <cell r="H1341" t="str">
            <v>DAD1</v>
          </cell>
        </row>
        <row r="1342">
          <cell r="C1342">
            <v>203875090</v>
          </cell>
          <cell r="D1342" t="str">
            <v>tettjenn</v>
          </cell>
          <cell r="E1342" t="str">
            <v>Jennifer Tetteh</v>
          </cell>
          <cell r="F1342" t="str">
            <v>Temporary</v>
          </cell>
          <cell r="G1342" t="str">
            <v>UAE</v>
          </cell>
          <cell r="H1342" t="str">
            <v>DAD1</v>
          </cell>
        </row>
        <row r="1343">
          <cell r="C1343">
            <v>203875180</v>
          </cell>
          <cell r="D1343" t="str">
            <v>joshatta</v>
          </cell>
          <cell r="E1343" t="str">
            <v>Joshua Attam</v>
          </cell>
          <cell r="F1343" t="str">
            <v>Temporary</v>
          </cell>
          <cell r="G1343" t="str">
            <v>UAE</v>
          </cell>
          <cell r="H1343" t="str">
            <v>DAD1</v>
          </cell>
        </row>
        <row r="1344">
          <cell r="C1344">
            <v>203875183</v>
          </cell>
          <cell r="D1344" t="str">
            <v>maxweoaw</v>
          </cell>
          <cell r="E1344" t="str">
            <v>Maxwell Awu</v>
          </cell>
          <cell r="F1344" t="str">
            <v>Temporary</v>
          </cell>
          <cell r="G1344" t="str">
            <v>UAE</v>
          </cell>
          <cell r="H1344" t="str">
            <v>DAD1</v>
          </cell>
        </row>
        <row r="1345">
          <cell r="C1345">
            <v>112463068</v>
          </cell>
          <cell r="D1345" t="str">
            <v>mohehsaf</v>
          </cell>
          <cell r="E1345" t="str">
            <v>Mohsin Ehsan Ehsan Ullah</v>
          </cell>
          <cell r="F1345" t="str">
            <v>Temporary</v>
          </cell>
          <cell r="G1345" t="str">
            <v>UAE</v>
          </cell>
          <cell r="H1345" t="str">
            <v>DAD1</v>
          </cell>
        </row>
        <row r="1346">
          <cell r="C1346">
            <v>203875088</v>
          </cell>
          <cell r="D1346" t="str">
            <v>boanoami</v>
          </cell>
          <cell r="E1346" t="str">
            <v>Noami Boateng</v>
          </cell>
          <cell r="F1346" t="str">
            <v>Temporary</v>
          </cell>
          <cell r="G1346" t="str">
            <v>UAE</v>
          </cell>
          <cell r="H1346" t="str">
            <v>DAD1</v>
          </cell>
        </row>
        <row r="1347">
          <cell r="C1347">
            <v>203875091</v>
          </cell>
          <cell r="D1347" t="str">
            <v>solnuako</v>
          </cell>
          <cell r="E1347" t="str">
            <v>Nuako Solomon</v>
          </cell>
          <cell r="F1347" t="str">
            <v>Temporary</v>
          </cell>
          <cell r="G1347" t="str">
            <v>UAE</v>
          </cell>
          <cell r="H1347" t="str">
            <v>DAD1</v>
          </cell>
        </row>
        <row r="1348">
          <cell r="C1348">
            <v>203875185</v>
          </cell>
          <cell r="D1348" t="str">
            <v>powusuaa</v>
          </cell>
          <cell r="E1348" t="str">
            <v>Owusuaa Priscilla</v>
          </cell>
          <cell r="F1348" t="str">
            <v>Temporary</v>
          </cell>
          <cell r="G1348" t="str">
            <v>UAE</v>
          </cell>
          <cell r="H1348" t="str">
            <v>DAD1</v>
          </cell>
        </row>
        <row r="1349">
          <cell r="C1349">
            <v>203875186</v>
          </cell>
          <cell r="D1349" t="str">
            <v>tmukunal</v>
          </cell>
          <cell r="E1349" t="str">
            <v>Tanya Mukuna</v>
          </cell>
          <cell r="F1349" t="str">
            <v>Temporary</v>
          </cell>
          <cell r="G1349" t="str">
            <v>UAE</v>
          </cell>
          <cell r="H1349" t="str">
            <v>DAD1</v>
          </cell>
        </row>
        <row r="1350">
          <cell r="C1350">
            <v>206926977</v>
          </cell>
          <cell r="D1350" t="str">
            <v>aliokorw</v>
          </cell>
          <cell r="E1350" t="str">
            <v>ALICE KORWOR</v>
          </cell>
          <cell r="F1350" t="str">
            <v>Temporary</v>
          </cell>
          <cell r="G1350" t="str">
            <v>UAE</v>
          </cell>
          <cell r="H1350" t="str">
            <v>AUH1</v>
          </cell>
        </row>
        <row r="1351">
          <cell r="C1351">
            <v>206897639</v>
          </cell>
          <cell r="D1351" t="str">
            <v>batefrid</v>
          </cell>
          <cell r="E1351" t="str">
            <v>FRIDA BATE ENOW</v>
          </cell>
          <cell r="F1351" t="str">
            <v>Temporary</v>
          </cell>
          <cell r="G1351" t="str">
            <v>UAE</v>
          </cell>
          <cell r="H1351" t="str">
            <v>AUH1</v>
          </cell>
        </row>
        <row r="1352">
          <cell r="C1352">
            <v>206239217</v>
          </cell>
          <cell r="D1352" t="str">
            <v>garvmark</v>
          </cell>
          <cell r="E1352" t="str">
            <v>GARVIN MARK ALIGAWEESA</v>
          </cell>
          <cell r="F1352" t="str">
            <v>Temporary</v>
          </cell>
          <cell r="G1352" t="str">
            <v>UAE</v>
          </cell>
          <cell r="H1352" t="str">
            <v>AUH1</v>
          </cell>
        </row>
        <row r="1353">
          <cell r="C1353">
            <v>206926985</v>
          </cell>
          <cell r="D1353" t="str">
            <v>osaeasam</v>
          </cell>
          <cell r="E1353" t="str">
            <v>SAMUEL OSAE ASHONG</v>
          </cell>
          <cell r="F1353" t="str">
            <v>Temporary</v>
          </cell>
          <cell r="G1353" t="str">
            <v>UAE</v>
          </cell>
          <cell r="H1353" t="str">
            <v>AUH1</v>
          </cell>
        </row>
        <row r="1354">
          <cell r="C1354">
            <v>206868290</v>
          </cell>
          <cell r="D1354" t="str">
            <v>artigawi</v>
          </cell>
          <cell r="E1354" t="str">
            <v>WISDOM ARTIGAH</v>
          </cell>
          <cell r="F1354" t="str">
            <v>Temporary</v>
          </cell>
          <cell r="G1354" t="str">
            <v>UAE</v>
          </cell>
          <cell r="H1354" t="str">
            <v>AUH1</v>
          </cell>
        </row>
        <row r="1355">
          <cell r="C1355">
            <v>206191963</v>
          </cell>
          <cell r="D1355" t="str">
            <v>anolyatu</v>
          </cell>
          <cell r="E1355" t="str">
            <v>Anolyne Atukwatse</v>
          </cell>
          <cell r="F1355" t="str">
            <v>Temporary</v>
          </cell>
          <cell r="G1355" t="str">
            <v>UAE</v>
          </cell>
          <cell r="H1355" t="str">
            <v>AUH1</v>
          </cell>
        </row>
        <row r="1356">
          <cell r="C1356">
            <v>205275633</v>
          </cell>
          <cell r="D1356" t="str">
            <v>gchancel</v>
          </cell>
          <cell r="E1356" t="str">
            <v>Chanceline Fongwi Muluh</v>
          </cell>
          <cell r="F1356" t="str">
            <v>Temporary</v>
          </cell>
          <cell r="G1356" t="str">
            <v>UAE</v>
          </cell>
          <cell r="H1356" t="str">
            <v>AUH1</v>
          </cell>
        </row>
        <row r="1357">
          <cell r="C1357">
            <v>206606700</v>
          </cell>
          <cell r="D1357" t="str">
            <v>mautfra</v>
          </cell>
          <cell r="E1357" t="str">
            <v>FRANCIS OKECHI MAUTI</v>
          </cell>
          <cell r="F1357" t="str">
            <v>Temporary</v>
          </cell>
          <cell r="G1357" t="str">
            <v>UAE</v>
          </cell>
          <cell r="H1357" t="str">
            <v>AUH1</v>
          </cell>
        </row>
        <row r="1358">
          <cell r="C1358">
            <v>206128850</v>
          </cell>
          <cell r="D1358" t="str">
            <v>janengit</v>
          </cell>
          <cell r="E1358" t="str">
            <v>Jane Njeri Gitau</v>
          </cell>
          <cell r="F1358" t="str">
            <v>Temporary</v>
          </cell>
          <cell r="G1358" t="str">
            <v>UAE</v>
          </cell>
          <cell r="H1358" t="str">
            <v>AUH1</v>
          </cell>
        </row>
        <row r="1359">
          <cell r="C1359">
            <v>205853572</v>
          </cell>
          <cell r="D1359" t="str">
            <v>kibenanc</v>
          </cell>
          <cell r="E1359" t="str">
            <v>NANCY JEPTOO KIBET</v>
          </cell>
          <cell r="F1359" t="str">
            <v>Temporary</v>
          </cell>
          <cell r="G1359" t="str">
            <v>UAE</v>
          </cell>
          <cell r="H1359" t="str">
            <v>AUH1</v>
          </cell>
        </row>
        <row r="1360">
          <cell r="C1360">
            <v>205271087</v>
          </cell>
          <cell r="D1360" t="str">
            <v>chucopet</v>
          </cell>
          <cell r="E1360" t="str">
            <v>Peter Njoroge Chuchi</v>
          </cell>
          <cell r="F1360" t="str">
            <v>Temporary</v>
          </cell>
          <cell r="G1360" t="str">
            <v>UAE</v>
          </cell>
          <cell r="H1360" t="str">
            <v>AUH1</v>
          </cell>
        </row>
        <row r="1361">
          <cell r="C1361">
            <v>206890214</v>
          </cell>
          <cell r="D1361" t="str">
            <v>sandrnam</v>
          </cell>
          <cell r="E1361" t="str">
            <v>SANDRA NAMARA</v>
          </cell>
          <cell r="F1361" t="str">
            <v>Temporary</v>
          </cell>
          <cell r="G1361" t="str">
            <v>UAE</v>
          </cell>
          <cell r="H1361" t="str">
            <v>AUH1</v>
          </cell>
        </row>
        <row r="1362">
          <cell r="C1362">
            <v>206192238</v>
          </cell>
          <cell r="D1362" t="str">
            <v>chebesha</v>
          </cell>
          <cell r="E1362" t="str">
            <v>Sharon Chebet</v>
          </cell>
          <cell r="F1362" t="str">
            <v>Temporary</v>
          </cell>
          <cell r="G1362" t="str">
            <v>UAE</v>
          </cell>
          <cell r="H1362" t="str">
            <v>AUH1</v>
          </cell>
        </row>
        <row r="1363">
          <cell r="C1363">
            <v>205853574</v>
          </cell>
          <cell r="D1363" t="str">
            <v>mjjepkem</v>
          </cell>
          <cell r="E1363" t="str">
            <v>MERCY JEPKEMBOI</v>
          </cell>
          <cell r="F1363" t="str">
            <v>Temporary</v>
          </cell>
          <cell r="G1363" t="str">
            <v>UAE</v>
          </cell>
          <cell r="H1363" t="str">
            <v>AUH1</v>
          </cell>
        </row>
        <row r="1364">
          <cell r="C1364">
            <v>205281151</v>
          </cell>
          <cell r="D1364" t="str">
            <v>kanyoalb</v>
          </cell>
          <cell r="E1364" t="str">
            <v>Albert Kanyoro</v>
          </cell>
          <cell r="F1364" t="str">
            <v>Temporary</v>
          </cell>
          <cell r="G1364" t="str">
            <v>UAE</v>
          </cell>
          <cell r="H1364" t="str">
            <v>AUH1</v>
          </cell>
        </row>
        <row r="1365">
          <cell r="C1365">
            <v>206897551</v>
          </cell>
          <cell r="D1365" t="str">
            <v>nbashali</v>
          </cell>
          <cell r="E1365" t="str">
            <v>ALI BASHIR KASAGA</v>
          </cell>
          <cell r="F1365" t="str">
            <v>Temporary</v>
          </cell>
          <cell r="G1365" t="str">
            <v>UAE</v>
          </cell>
          <cell r="H1365" t="str">
            <v>AUH1</v>
          </cell>
        </row>
        <row r="1366">
          <cell r="C1366">
            <v>205276302</v>
          </cell>
          <cell r="D1366" t="str">
            <v>tabiayuj</v>
          </cell>
          <cell r="E1366" t="str">
            <v>Arrey Tabiayuk Brandon</v>
          </cell>
          <cell r="F1366" t="str">
            <v>Temporary</v>
          </cell>
          <cell r="G1366" t="str">
            <v>UAE</v>
          </cell>
          <cell r="H1366" t="str">
            <v>AUH1</v>
          </cell>
        </row>
        <row r="1367">
          <cell r="C1367">
            <v>206897556</v>
          </cell>
          <cell r="D1367" t="str">
            <v>echubobo</v>
          </cell>
          <cell r="E1367" t="str">
            <v>BORIS ECHUBOU NANA</v>
          </cell>
          <cell r="F1367" t="str">
            <v>Temporary</v>
          </cell>
          <cell r="G1367" t="str">
            <v>UAE</v>
          </cell>
          <cell r="H1367" t="str">
            <v>AUH1</v>
          </cell>
        </row>
        <row r="1368">
          <cell r="C1368">
            <v>206128580</v>
          </cell>
          <cell r="D1368" t="str">
            <v>kuncarol</v>
          </cell>
          <cell r="E1368" t="str">
            <v>CAROLINE WANJA</v>
          </cell>
          <cell r="F1368" t="str">
            <v>Temporary</v>
          </cell>
          <cell r="G1368" t="str">
            <v>UAE</v>
          </cell>
          <cell r="H1368" t="str">
            <v>AUH1</v>
          </cell>
        </row>
        <row r="1369">
          <cell r="C1369">
            <v>205854276</v>
          </cell>
          <cell r="D1369" t="str">
            <v>addlchri</v>
          </cell>
          <cell r="E1369" t="str">
            <v>CHRISTIANA ADDO</v>
          </cell>
          <cell r="F1369" t="str">
            <v>Temporary</v>
          </cell>
          <cell r="G1369" t="str">
            <v>UAE</v>
          </cell>
          <cell r="H1369" t="str">
            <v>AUH1</v>
          </cell>
        </row>
        <row r="1370">
          <cell r="C1370">
            <v>206886517</v>
          </cell>
          <cell r="D1370" t="str">
            <v>amukclin</v>
          </cell>
          <cell r="E1370" t="str">
            <v>Clinton Amukhoywa</v>
          </cell>
          <cell r="F1370" t="str">
            <v>Temporary</v>
          </cell>
          <cell r="G1370" t="str">
            <v>UAE</v>
          </cell>
          <cell r="H1370" t="str">
            <v>AUH1</v>
          </cell>
        </row>
        <row r="1371">
          <cell r="C1371">
            <v>205271074</v>
          </cell>
          <cell r="D1371" t="str">
            <v>cosmkibe</v>
          </cell>
          <cell r="E1371" t="str">
            <v>Cosmas Kirwa Kibet</v>
          </cell>
          <cell r="F1371" t="str">
            <v>Temporary</v>
          </cell>
          <cell r="G1371" t="str">
            <v>UAE</v>
          </cell>
          <cell r="H1371" t="str">
            <v>AUH1</v>
          </cell>
        </row>
        <row r="1372">
          <cell r="C1372">
            <v>205852634</v>
          </cell>
          <cell r="D1372" t="str">
            <v>rseremda</v>
          </cell>
          <cell r="E1372" t="str">
            <v>DAISY CHEPKEMBOI SEREM</v>
          </cell>
          <cell r="F1372" t="str">
            <v>Temporary</v>
          </cell>
          <cell r="G1372" t="str">
            <v>UAE</v>
          </cell>
          <cell r="H1372" t="str">
            <v>AUH1</v>
          </cell>
        </row>
        <row r="1373">
          <cell r="C1373">
            <v>205127248</v>
          </cell>
          <cell r="D1373" t="str">
            <v>wedwinki</v>
          </cell>
          <cell r="E1373" t="str">
            <v>Edwin Kimani Wandui</v>
          </cell>
          <cell r="F1373" t="str">
            <v>Temporary</v>
          </cell>
          <cell r="G1373" t="str">
            <v>UAE</v>
          </cell>
          <cell r="H1373" t="str">
            <v>AUH1</v>
          </cell>
        </row>
        <row r="1374">
          <cell r="C1374">
            <v>206138681</v>
          </cell>
          <cell r="D1374" t="str">
            <v>emmaunea</v>
          </cell>
          <cell r="E1374" t="str">
            <v>EMMAUNEL AYENSU</v>
          </cell>
          <cell r="F1374" t="str">
            <v>Temporary</v>
          </cell>
          <cell r="G1374" t="str">
            <v>UAE</v>
          </cell>
          <cell r="H1374" t="str">
            <v>AUH1</v>
          </cell>
        </row>
        <row r="1375">
          <cell r="C1375">
            <v>205252530</v>
          </cell>
          <cell r="D1375" t="str">
            <v>kourever</v>
          </cell>
          <cell r="E1375" t="str">
            <v>Everline Nyamoita Ouru</v>
          </cell>
          <cell r="F1375" t="str">
            <v>Temporary</v>
          </cell>
          <cell r="G1375" t="str">
            <v>UAE</v>
          </cell>
          <cell r="H1375" t="str">
            <v>AUH1</v>
          </cell>
        </row>
        <row r="1376">
          <cell r="C1376">
            <v>205852637</v>
          </cell>
          <cell r="D1376" t="str">
            <v>fjefaith</v>
          </cell>
          <cell r="E1376" t="str">
            <v>FAITH JEROP</v>
          </cell>
          <cell r="F1376" t="str">
            <v>Temporary</v>
          </cell>
          <cell r="G1376" t="str">
            <v>UAE</v>
          </cell>
          <cell r="H1376" t="str">
            <v>AUH1</v>
          </cell>
        </row>
        <row r="1377">
          <cell r="C1377">
            <v>206868289</v>
          </cell>
          <cell r="D1377" t="str">
            <v>mnengnfl</v>
          </cell>
          <cell r="E1377" t="str">
            <v>FLAVIN NENG NKHAN</v>
          </cell>
          <cell r="F1377" t="str">
            <v>Temporary</v>
          </cell>
          <cell r="G1377" t="str">
            <v>UAE</v>
          </cell>
          <cell r="H1377" t="str">
            <v>AUH1</v>
          </cell>
        </row>
        <row r="1378">
          <cell r="C1378">
            <v>206605136</v>
          </cell>
          <cell r="D1378" t="str">
            <v>fredrimw</v>
          </cell>
          <cell r="E1378" t="str">
            <v>FREDRICK MWENDWA MWANIKI</v>
          </cell>
          <cell r="F1378" t="str">
            <v>Temporary</v>
          </cell>
          <cell r="G1378" t="str">
            <v>UAE</v>
          </cell>
          <cell r="H1378" t="str">
            <v>AUH1</v>
          </cell>
        </row>
        <row r="1379">
          <cell r="C1379">
            <v>206886736</v>
          </cell>
          <cell r="D1379" t="str">
            <v>fuissaka</v>
          </cell>
          <cell r="E1379" t="str">
            <v>Fullera Issaka</v>
          </cell>
          <cell r="F1379" t="str">
            <v>Temporary</v>
          </cell>
          <cell r="G1379" t="str">
            <v>UAE</v>
          </cell>
          <cell r="H1379" t="str">
            <v>AUH1</v>
          </cell>
        </row>
        <row r="1380">
          <cell r="C1380">
            <v>206868002</v>
          </cell>
          <cell r="D1380" t="str">
            <v>globquan</v>
          </cell>
          <cell r="E1380" t="str">
            <v>GLORIA QUANSAH</v>
          </cell>
          <cell r="F1380" t="str">
            <v>Temporary</v>
          </cell>
          <cell r="G1380" t="str">
            <v>UAE</v>
          </cell>
          <cell r="H1380" t="str">
            <v>AUH1</v>
          </cell>
        </row>
        <row r="1381">
          <cell r="C1381">
            <v>206884029</v>
          </cell>
          <cell r="D1381" t="str">
            <v>commeygs</v>
          </cell>
          <cell r="E1381" t="str">
            <v xml:space="preserve">Grace Kaaley Commey </v>
          </cell>
          <cell r="F1381" t="str">
            <v>Temporary</v>
          </cell>
          <cell r="G1381" t="str">
            <v>UAE</v>
          </cell>
          <cell r="H1381" t="str">
            <v>AUH1</v>
          </cell>
        </row>
        <row r="1382">
          <cell r="C1382">
            <v>206890216</v>
          </cell>
          <cell r="D1382" t="str">
            <v>cheropeg</v>
          </cell>
          <cell r="E1382" t="str">
            <v>GRASHA CHEROP</v>
          </cell>
          <cell r="F1382" t="str">
            <v>Temporary</v>
          </cell>
          <cell r="G1382" t="str">
            <v>UAE</v>
          </cell>
          <cell r="H1382" t="str">
            <v>AUH1</v>
          </cell>
        </row>
        <row r="1383">
          <cell r="C1383">
            <v>205252539</v>
          </cell>
          <cell r="D1383" t="str">
            <v>htameklo</v>
          </cell>
          <cell r="E1383" t="str">
            <v>Happy Tamekloe</v>
          </cell>
          <cell r="F1383" t="str">
            <v>Temporary</v>
          </cell>
          <cell r="G1383" t="str">
            <v>UAE</v>
          </cell>
          <cell r="H1383" t="str">
            <v>AUH1</v>
          </cell>
        </row>
        <row r="1384">
          <cell r="C1384">
            <v>205627233</v>
          </cell>
          <cell r="D1384" t="str">
            <v>efhayfor</v>
          </cell>
          <cell r="E1384" t="str">
            <v>Hayford Effah</v>
          </cell>
          <cell r="F1384" t="str">
            <v>Temporary</v>
          </cell>
          <cell r="G1384" t="str">
            <v>UAE</v>
          </cell>
          <cell r="H1384" t="str">
            <v>AUH1</v>
          </cell>
        </row>
        <row r="1385">
          <cell r="C1385">
            <v>205996133</v>
          </cell>
          <cell r="D1385" t="str">
            <v>kusiisa</v>
          </cell>
          <cell r="E1385" t="str">
            <v>ISAAC KUSI MENSAH</v>
          </cell>
          <cell r="F1385" t="str">
            <v>Temporary</v>
          </cell>
          <cell r="G1385" t="str">
            <v>UAE</v>
          </cell>
          <cell r="H1385" t="str">
            <v>AUH1</v>
          </cell>
        </row>
        <row r="1386">
          <cell r="C1386">
            <v>206491340</v>
          </cell>
          <cell r="D1386" t="str">
            <v>jopkolin</v>
          </cell>
          <cell r="E1386" t="str">
            <v>JOPKOEECH,LINDAH</v>
          </cell>
          <cell r="F1386" t="str">
            <v>Temporary</v>
          </cell>
          <cell r="G1386" t="str">
            <v>UAE</v>
          </cell>
          <cell r="H1386" t="str">
            <v>AUH1</v>
          </cell>
        </row>
        <row r="1387">
          <cell r="C1387">
            <v>206607035</v>
          </cell>
          <cell r="D1387" t="str">
            <v>rjwanjir</v>
          </cell>
          <cell r="E1387" t="str">
            <v>JOSEPH NJUGUNA WANJIRU</v>
          </cell>
          <cell r="F1387" t="str">
            <v>Temporary</v>
          </cell>
          <cell r="G1387" t="str">
            <v>UAE</v>
          </cell>
          <cell r="H1387" t="str">
            <v>AUH1</v>
          </cell>
        </row>
        <row r="1388">
          <cell r="C1388">
            <v>206868006</v>
          </cell>
          <cell r="D1388" t="str">
            <v>knkumbuj</v>
          </cell>
          <cell r="E1388" t="str">
            <v>JOSEPHINE NKUMBU CHI</v>
          </cell>
          <cell r="F1388" t="str">
            <v>Temporary</v>
          </cell>
          <cell r="G1388" t="str">
            <v>UAE</v>
          </cell>
          <cell r="H1388" t="str">
            <v>AUH1</v>
          </cell>
        </row>
        <row r="1389">
          <cell r="C1389">
            <v>206886731</v>
          </cell>
          <cell r="D1389" t="str">
            <v>chjoycec</v>
          </cell>
          <cell r="E1389" t="str">
            <v>JOYCE CHEROP CHERUIYOT</v>
          </cell>
          <cell r="F1389" t="str">
            <v>Temporary</v>
          </cell>
          <cell r="G1389" t="str">
            <v>UAE</v>
          </cell>
          <cell r="H1389" t="str">
            <v>AUH1</v>
          </cell>
        </row>
        <row r="1390">
          <cell r="C1390">
            <v>206136719</v>
          </cell>
          <cell r="D1390" t="str">
            <v>ngumaryw</v>
          </cell>
          <cell r="E1390" t="str">
            <v>Mary wambui nguru</v>
          </cell>
          <cell r="F1390" t="str">
            <v>Temporary</v>
          </cell>
          <cell r="G1390" t="str">
            <v>UAE</v>
          </cell>
          <cell r="H1390" t="str">
            <v>AUH1</v>
          </cell>
        </row>
        <row r="1391">
          <cell r="C1391">
            <v>206191926</v>
          </cell>
          <cell r="D1391" t="str">
            <v>bushirna</v>
          </cell>
          <cell r="E1391" t="str">
            <v>Nassonko Bushirah</v>
          </cell>
          <cell r="F1391" t="str">
            <v>Temporary</v>
          </cell>
          <cell r="G1391" t="str">
            <v>UAE</v>
          </cell>
          <cell r="H1391" t="str">
            <v>AUH1</v>
          </cell>
        </row>
        <row r="1392">
          <cell r="C1392">
            <v>206250638</v>
          </cell>
          <cell r="D1392" t="str">
            <v>gakyeaop</v>
          </cell>
          <cell r="E1392" t="str">
            <v>OWUSU AKYEA OPARE</v>
          </cell>
          <cell r="F1392" t="str">
            <v>Temporary</v>
          </cell>
          <cell r="G1392" t="str">
            <v>UAE</v>
          </cell>
          <cell r="H1392" t="str">
            <v>AUH1</v>
          </cell>
        </row>
        <row r="1393">
          <cell r="C1393">
            <v>205853893</v>
          </cell>
          <cell r="D1393" t="str">
            <v>phoeboli</v>
          </cell>
          <cell r="E1393" t="str">
            <v>PHOEBE OLINDO</v>
          </cell>
          <cell r="F1393" t="str">
            <v>Temporary</v>
          </cell>
          <cell r="G1393" t="str">
            <v>UAE</v>
          </cell>
          <cell r="H1393" t="str">
            <v>AUH1</v>
          </cell>
        </row>
        <row r="1394">
          <cell r="C1394">
            <v>206926976</v>
          </cell>
          <cell r="D1394" t="str">
            <v>ritjuoke</v>
          </cell>
          <cell r="E1394" t="str">
            <v>RITA JUO KEDZE</v>
          </cell>
          <cell r="F1394" t="str">
            <v>Temporary</v>
          </cell>
          <cell r="G1394" t="str">
            <v>UAE</v>
          </cell>
          <cell r="H1394" t="str">
            <v>AUH1</v>
          </cell>
        </row>
        <row r="1395">
          <cell r="C1395">
            <v>206250613</v>
          </cell>
          <cell r="D1395" t="str">
            <v>samoluwa</v>
          </cell>
          <cell r="E1395" t="str">
            <v>SAMUEL OLUWALE LANGLEY</v>
          </cell>
          <cell r="F1395" t="str">
            <v>Temporary</v>
          </cell>
          <cell r="G1395" t="str">
            <v>UAE</v>
          </cell>
          <cell r="H1395" t="str">
            <v>AUH1</v>
          </cell>
        </row>
        <row r="1396">
          <cell r="C1396">
            <v>206890218</v>
          </cell>
          <cell r="D1396" t="str">
            <v>jerstelt</v>
          </cell>
          <cell r="E1396" t="str">
            <v>STELLAH JEROP</v>
          </cell>
          <cell r="F1396" t="str">
            <v>Temporary</v>
          </cell>
          <cell r="G1396" t="str">
            <v>UAE</v>
          </cell>
          <cell r="H1396" t="str">
            <v>AUH1</v>
          </cell>
        </row>
        <row r="1397">
          <cell r="C1397">
            <v>205853884</v>
          </cell>
          <cell r="D1397" t="str">
            <v>sydoneye</v>
          </cell>
          <cell r="E1397" t="str">
            <v>SYDONIE EYE TANGE</v>
          </cell>
          <cell r="F1397" t="str">
            <v>Temporary</v>
          </cell>
          <cell r="G1397" t="str">
            <v>UAE</v>
          </cell>
          <cell r="H1397" t="str">
            <v>AUH1</v>
          </cell>
        </row>
        <row r="1398">
          <cell r="C1398">
            <v>206886516</v>
          </cell>
          <cell r="D1398" t="str">
            <v>ikitusyl</v>
          </cell>
          <cell r="E1398" t="str">
            <v>SYLYN CHEROP KITUR</v>
          </cell>
          <cell r="F1398" t="str">
            <v>Temporary</v>
          </cell>
          <cell r="G1398" t="str">
            <v>UAE</v>
          </cell>
          <cell r="H1398" t="str">
            <v>AUH1</v>
          </cell>
        </row>
        <row r="1399">
          <cell r="C1399">
            <v>206239531</v>
          </cell>
          <cell r="D1399" t="str">
            <v>ellvicen</v>
          </cell>
          <cell r="E1399" t="str">
            <v>VICENTIA ELLEN IDUN</v>
          </cell>
          <cell r="F1399" t="str">
            <v>Temporary</v>
          </cell>
          <cell r="G1399" t="str">
            <v>UAE</v>
          </cell>
          <cell r="H1399" t="str">
            <v>AUH1</v>
          </cell>
        </row>
        <row r="1400">
          <cell r="C1400">
            <v>205280267</v>
          </cell>
          <cell r="D1400" t="str">
            <v>violjepk</v>
          </cell>
          <cell r="E1400" t="str">
            <v>Violah Jepkemei</v>
          </cell>
          <cell r="F1400" t="str">
            <v>Temporary</v>
          </cell>
          <cell r="G1400" t="str">
            <v>UAE</v>
          </cell>
          <cell r="H1400" t="str">
            <v>AUH1</v>
          </cell>
        </row>
        <row r="1401">
          <cell r="C1401">
            <v>206192282</v>
          </cell>
          <cell r="D1401" t="str">
            <v>vivianjb</v>
          </cell>
          <cell r="E1401" t="str">
            <v>Vivian chepchumba</v>
          </cell>
          <cell r="F1401" t="str">
            <v>Temporary</v>
          </cell>
          <cell r="G1401" t="str">
            <v>UAE</v>
          </cell>
          <cell r="H1401" t="str">
            <v>AUH1</v>
          </cell>
        </row>
        <row r="1402">
          <cell r="C1402">
            <v>204869099</v>
          </cell>
          <cell r="D1402" t="str">
            <v>Fondwhit</v>
          </cell>
          <cell r="E1402" t="str">
            <v>Whitney-Lois Fenui Fondanui</v>
          </cell>
          <cell r="F1402" t="str">
            <v>Temporary</v>
          </cell>
          <cell r="G1402" t="str">
            <v>UAE</v>
          </cell>
          <cell r="H1402" t="str">
            <v>AUH1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3"/>
      <sheetName val="Sheet4"/>
      <sheetName val="Sheet2"/>
    </sheetNames>
    <sheetDataSet>
      <sheetData sheetId="0">
        <row r="2">
          <cell r="A2">
            <v>203512670</v>
          </cell>
          <cell r="B2" t="str">
            <v>Musanzika,Brenda</v>
          </cell>
          <cell r="C2" t="str">
            <v>Scaria,Varghese</v>
          </cell>
          <cell r="D2" t="str">
            <v>FC034</v>
          </cell>
          <cell r="E2">
            <v>0.33124999999999999</v>
          </cell>
          <cell r="G2" t="str">
            <v>P</v>
          </cell>
        </row>
        <row r="3">
          <cell r="A3">
            <v>203512671</v>
          </cell>
          <cell r="B3" t="str">
            <v>Mbeh,Claudette Nkobo</v>
          </cell>
          <cell r="C3" t="str">
            <v>elrashid,Hassan</v>
          </cell>
          <cell r="D3" t="str">
            <v>FC134</v>
          </cell>
          <cell r="E3">
            <v>0.33194444444444443</v>
          </cell>
          <cell r="G3" t="str">
            <v>P</v>
          </cell>
        </row>
        <row r="4">
          <cell r="A4">
            <v>204967147</v>
          </cell>
          <cell r="B4" t="str">
            <v>DANAA,DAVID</v>
          </cell>
          <cell r="C4" t="str">
            <v>Lakkireddy,Sai Raghavendra Reddy</v>
          </cell>
          <cell r="D4" t="str">
            <v>FC109</v>
          </cell>
          <cell r="E4">
            <v>0.3347222222222222</v>
          </cell>
          <cell r="G4" t="str">
            <v>P</v>
          </cell>
        </row>
        <row r="5">
          <cell r="A5">
            <v>204053437</v>
          </cell>
          <cell r="B5" t="str">
            <v>Kallingal,Nikhil</v>
          </cell>
          <cell r="C5" t="str">
            <v>Ansari,Ammar Abdullah</v>
          </cell>
          <cell r="D5" t="str">
            <v>FC009</v>
          </cell>
          <cell r="E5">
            <v>0.33124999999999999</v>
          </cell>
          <cell r="G5" t="str">
            <v>P</v>
          </cell>
        </row>
        <row r="6">
          <cell r="A6">
            <v>204053439</v>
          </cell>
          <cell r="B6" t="str">
            <v>Abdullah,Mohammed</v>
          </cell>
          <cell r="C6" t="str">
            <v>Lakkireddy,Sai Raghavendra Reddy</v>
          </cell>
          <cell r="D6" t="str">
            <v>FC009</v>
          </cell>
          <cell r="E6">
            <v>0.33055555555555555</v>
          </cell>
          <cell r="G6" t="str">
            <v>P</v>
          </cell>
        </row>
        <row r="7">
          <cell r="A7">
            <v>206850965</v>
          </cell>
          <cell r="B7" t="str">
            <v>KINOBE,MUHAMMAD</v>
          </cell>
          <cell r="C7" t="str">
            <v>Ansari,Ammar Abdullah</v>
          </cell>
          <cell r="D7" t="str">
            <v>FC009</v>
          </cell>
          <cell r="E7">
            <v>0.33194444444444443</v>
          </cell>
          <cell r="G7" t="str">
            <v>P</v>
          </cell>
        </row>
        <row r="8">
          <cell r="A8">
            <v>206016554</v>
          </cell>
          <cell r="B8" t="str">
            <v>Fynn Arthur,Sarah</v>
          </cell>
          <cell r="C8" t="str">
            <v>Almarzooqi,Abbas</v>
          </cell>
          <cell r="D8" t="str">
            <v>FC034</v>
          </cell>
          <cell r="E8">
            <v>0.33194444444444443</v>
          </cell>
          <cell r="G8" t="str">
            <v>P</v>
          </cell>
        </row>
        <row r="9">
          <cell r="A9">
            <v>206129597</v>
          </cell>
          <cell r="B9" t="str">
            <v>Tinotenda Maindidze,Ralph</v>
          </cell>
          <cell r="C9" t="str">
            <v>Ansari,Ammar Abdullah</v>
          </cell>
          <cell r="D9" t="str">
            <v>FC109</v>
          </cell>
          <cell r="E9">
            <v>0.33263888888888887</v>
          </cell>
          <cell r="G9" t="str">
            <v>P</v>
          </cell>
        </row>
        <row r="10">
          <cell r="A10">
            <v>206850963</v>
          </cell>
          <cell r="B10" t="str">
            <v>SSEMAKULA,JULIUS</v>
          </cell>
          <cell r="C10" t="str">
            <v>Ansari,Ammar Abdullah</v>
          </cell>
          <cell r="D10" t="str">
            <v>FC034</v>
          </cell>
          <cell r="E10">
            <v>0.33333333333333331</v>
          </cell>
          <cell r="G10" t="str">
            <v>P</v>
          </cell>
        </row>
        <row r="11">
          <cell r="A11">
            <v>206850962</v>
          </cell>
          <cell r="B11" t="str">
            <v>MUTUBA,ISAYA</v>
          </cell>
          <cell r="C11" t="str">
            <v>Ansari,Ammar Abdullah</v>
          </cell>
          <cell r="D11" t="str">
            <v>FC034</v>
          </cell>
          <cell r="E11">
            <v>0.33194444444444443</v>
          </cell>
          <cell r="G11" t="str">
            <v>P</v>
          </cell>
        </row>
        <row r="12">
          <cell r="A12">
            <v>206016552</v>
          </cell>
          <cell r="B12" t="str">
            <v>NYASHA BUNU,NOAH</v>
          </cell>
          <cell r="C12" t="str">
            <v>Meera,Bava Bahrudeen</v>
          </cell>
          <cell r="D12" t="str">
            <v>FC034</v>
          </cell>
          <cell r="E12">
            <v>0.33194444444444443</v>
          </cell>
          <cell r="G12" t="str">
            <v>P</v>
          </cell>
        </row>
        <row r="13">
          <cell r="A13">
            <v>204868502</v>
          </cell>
          <cell r="B13" t="str">
            <v>AMO ESSEL,PRINCE</v>
          </cell>
          <cell r="C13" t="str">
            <v>Narshad,Muhammad Ashik</v>
          </cell>
          <cell r="D13" t="str">
            <v>FC134</v>
          </cell>
          <cell r="E13">
            <v>0.33055555555555555</v>
          </cell>
          <cell r="G13" t="str">
            <v>P</v>
          </cell>
        </row>
        <row r="14">
          <cell r="A14">
            <v>206016551</v>
          </cell>
          <cell r="B14" t="str">
            <v>TAWUYANARGWO,BRIGHTON</v>
          </cell>
          <cell r="C14" t="str">
            <v>Sohail,Anis</v>
          </cell>
          <cell r="D14" t="str">
            <v>FC034</v>
          </cell>
          <cell r="E14">
            <v>0.33124999999999999</v>
          </cell>
          <cell r="G14" t="str">
            <v>P</v>
          </cell>
        </row>
        <row r="15">
          <cell r="A15">
            <v>206850960</v>
          </cell>
          <cell r="B15" t="str">
            <v>ABU,ASHIRAF</v>
          </cell>
          <cell r="C15" t="str">
            <v>Ansari,Ammar Abdullah</v>
          </cell>
          <cell r="D15" t="str">
            <v>FC009</v>
          </cell>
          <cell r="E15">
            <v>0.33124999999999999</v>
          </cell>
          <cell r="G15" t="str">
            <v>P</v>
          </cell>
        </row>
        <row r="16">
          <cell r="A16">
            <v>205079247</v>
          </cell>
          <cell r="B16" t="str">
            <v>moazzam,huda</v>
          </cell>
          <cell r="C16" t="str">
            <v>Adamachi,Maria</v>
          </cell>
          <cell r="D16" t="str">
            <v>FC009</v>
          </cell>
          <cell r="E16">
            <v>0.33333333333333331</v>
          </cell>
          <cell r="G16" t="str">
            <v>P</v>
          </cell>
        </row>
        <row r="17">
          <cell r="A17">
            <v>203469169</v>
          </cell>
          <cell r="B17" t="str">
            <v>Quaye,Lloyd</v>
          </cell>
          <cell r="C17" t="str">
            <v>Meera,Bava Bahrudeen</v>
          </cell>
          <cell r="D17" t="str">
            <v>FC109</v>
          </cell>
          <cell r="E17">
            <v>0.33194444444444443</v>
          </cell>
          <cell r="G17" t="str">
            <v>P</v>
          </cell>
        </row>
        <row r="18">
          <cell r="A18">
            <v>206239212</v>
          </cell>
          <cell r="B18" t="str">
            <v>CHISHIMBA,CECILIA</v>
          </cell>
          <cell r="C18" t="str">
            <v>Narshad,Muhammad Ashik</v>
          </cell>
          <cell r="D18" t="str">
            <v>FC034</v>
          </cell>
          <cell r="E18">
            <v>0.33263888888888887</v>
          </cell>
          <cell r="G18" t="str">
            <v>P</v>
          </cell>
        </row>
        <row r="19">
          <cell r="A19">
            <v>204228019</v>
          </cell>
          <cell r="B19" t="str">
            <v>KIBIRIGE,KENETH</v>
          </cell>
          <cell r="C19" t="str">
            <v>Lakkireddy,Sai Raghavendra Reddy</v>
          </cell>
          <cell r="D19" t="str">
            <v>LK017</v>
          </cell>
          <cell r="E19">
            <v>0.33333333333333331</v>
          </cell>
          <cell r="G19" t="str">
            <v>P</v>
          </cell>
        </row>
        <row r="20">
          <cell r="A20">
            <v>203635600</v>
          </cell>
          <cell r="B20" t="str">
            <v>Ansah,Samuel Kwesi</v>
          </cell>
          <cell r="C20" t="str">
            <v>Dinberu,Eden</v>
          </cell>
          <cell r="D20" t="str">
            <v>FC159</v>
          </cell>
          <cell r="E20">
            <v>0.33263888888888887</v>
          </cell>
          <cell r="G20" t="str">
            <v>P</v>
          </cell>
        </row>
        <row r="21">
          <cell r="A21">
            <v>203468750</v>
          </cell>
          <cell r="B21" t="str">
            <v>Ntong,Leopold</v>
          </cell>
          <cell r="C21" t="str">
            <v>Lakkireddy,Sai Raghavendra Reddy</v>
          </cell>
          <cell r="D21" t="str">
            <v>FC134</v>
          </cell>
          <cell r="F21">
            <v>0.32847222222222222</v>
          </cell>
          <cell r="G21" t="str">
            <v>P</v>
          </cell>
        </row>
        <row r="22">
          <cell r="A22">
            <v>206348214</v>
          </cell>
          <cell r="B22" t="str">
            <v>NYAMVURA,TANAKA LESLIE</v>
          </cell>
          <cell r="C22" t="str">
            <v>Dinberu,Eden</v>
          </cell>
          <cell r="D22" t="str">
            <v>FC034</v>
          </cell>
          <cell r="E22">
            <v>0.33263888888888887</v>
          </cell>
          <cell r="G22" t="str">
            <v>P</v>
          </cell>
        </row>
        <row r="23">
          <cell r="A23">
            <v>204882806</v>
          </cell>
          <cell r="B23" t="str">
            <v>MOHAMMED,IDDRISS</v>
          </cell>
          <cell r="C23" t="str">
            <v>Nahla,Fathimathul</v>
          </cell>
          <cell r="D23" t="str">
            <v>FC034</v>
          </cell>
          <cell r="E23">
            <v>0.33055555555555555</v>
          </cell>
          <cell r="G23" t="str">
            <v>P</v>
          </cell>
        </row>
        <row r="24">
          <cell r="A24">
            <v>206850959</v>
          </cell>
          <cell r="B24" t="str">
            <v>BAKISULA,FRED</v>
          </cell>
          <cell r="C24" t="str">
            <v>Narshad,Muhammad Ashik</v>
          </cell>
          <cell r="D24" t="str">
            <v>FC159</v>
          </cell>
          <cell r="E24">
            <v>0.33333333333333331</v>
          </cell>
          <cell r="G24" t="str">
            <v>P</v>
          </cell>
        </row>
        <row r="25">
          <cell r="A25">
            <v>203635601</v>
          </cell>
          <cell r="B25" t="str">
            <v>Awawou,Esmaila Chamban</v>
          </cell>
          <cell r="C25" t="str">
            <v>Sohail,Anis</v>
          </cell>
          <cell r="D25" t="str">
            <v>FC109</v>
          </cell>
          <cell r="E25">
            <v>0.33263888888888887</v>
          </cell>
          <cell r="G25" t="str">
            <v>P</v>
          </cell>
        </row>
        <row r="26">
          <cell r="A26">
            <v>206239216</v>
          </cell>
          <cell r="B26" t="str">
            <v>AMBIRAKUM ANJOYONG,LAURA</v>
          </cell>
          <cell r="C26" t="str">
            <v>elrashid,Hassan</v>
          </cell>
          <cell r="D26" t="str">
            <v>FC159</v>
          </cell>
          <cell r="E26">
            <v>0.33124999999999999</v>
          </cell>
          <cell r="G26" t="str">
            <v>P</v>
          </cell>
        </row>
        <row r="27">
          <cell r="A27">
            <v>206953967</v>
          </cell>
          <cell r="B27" t="str">
            <v>CHISAMBA,JOSUA</v>
          </cell>
          <cell r="C27" t="str">
            <v>Meera,Bava Bahrudeen</v>
          </cell>
          <cell r="D27" t="str">
            <v>FC159</v>
          </cell>
          <cell r="E27">
            <v>0.33055555555555555</v>
          </cell>
          <cell r="G27" t="str">
            <v>P</v>
          </cell>
        </row>
        <row r="28">
          <cell r="A28">
            <v>203468753</v>
          </cell>
          <cell r="B28" t="str">
            <v>Tawiah,Linda</v>
          </cell>
          <cell r="C28" t="str">
            <v>Narshad,Muhammad Ashik</v>
          </cell>
          <cell r="D28" t="str">
            <v>LK014</v>
          </cell>
          <cell r="E28">
            <v>0.33263888888888887</v>
          </cell>
          <cell r="G28" t="str">
            <v>P</v>
          </cell>
        </row>
        <row r="29">
          <cell r="A29">
            <v>203736772</v>
          </cell>
          <cell r="B29" t="str">
            <v>SHAHID,MOHAMMAD SARFARAZ ANSARI</v>
          </cell>
          <cell r="C29" t="str">
            <v>Katyal,Varun</v>
          </cell>
          <cell r="D29" t="str">
            <v>FC159</v>
          </cell>
          <cell r="E29">
            <v>0.33055555555555555</v>
          </cell>
          <cell r="G29" t="str">
            <v>P</v>
          </cell>
        </row>
        <row r="30">
          <cell r="A30">
            <v>206192268</v>
          </cell>
          <cell r="B30" t="str">
            <v>wambui,Jane wangui</v>
          </cell>
          <cell r="C30" t="str">
            <v>Sohail,Anis</v>
          </cell>
          <cell r="D30" t="str">
            <v>FC009</v>
          </cell>
          <cell r="E30">
            <v>0.33124999999999999</v>
          </cell>
          <cell r="G30" t="str">
            <v>P</v>
          </cell>
        </row>
        <row r="31">
          <cell r="A31">
            <v>204967143</v>
          </cell>
          <cell r="B31" t="str">
            <v>ANANE GEYI,CLEMENT</v>
          </cell>
          <cell r="C31" t="str">
            <v>Katyal,Varun</v>
          </cell>
          <cell r="D31" t="str">
            <v>FC109</v>
          </cell>
          <cell r="E31">
            <v>0.33124999999999999</v>
          </cell>
          <cell r="G31" t="str">
            <v>P</v>
          </cell>
        </row>
        <row r="32">
          <cell r="A32">
            <v>206192269</v>
          </cell>
          <cell r="B32" t="str">
            <v>Nyakweba,Fridah Kwamboka</v>
          </cell>
          <cell r="C32" t="str">
            <v>Ansari,Ammar Abdullah</v>
          </cell>
          <cell r="D32" t="str">
            <v>FC009</v>
          </cell>
          <cell r="E32">
            <v>0.3347222222222222</v>
          </cell>
          <cell r="G32" t="str">
            <v>P</v>
          </cell>
        </row>
        <row r="33">
          <cell r="A33">
            <v>204967146</v>
          </cell>
          <cell r="B33" t="str">
            <v>ISSAKA,MUSTAPHA SABIT</v>
          </cell>
          <cell r="C33" t="str">
            <v>Katyal,Varun</v>
          </cell>
          <cell r="D33" t="str">
            <v>FC009</v>
          </cell>
          <cell r="E33">
            <v>0.33194444444444443</v>
          </cell>
          <cell r="G33" t="str">
            <v>P</v>
          </cell>
        </row>
        <row r="34">
          <cell r="A34">
            <v>203555843</v>
          </cell>
          <cell r="B34" t="str">
            <v>D. Arellano,Allen Andrey</v>
          </cell>
          <cell r="C34" t="str">
            <v>Narshad,Muhammad Ashik</v>
          </cell>
          <cell r="D34" t="str">
            <v>FC034</v>
          </cell>
          <cell r="E34">
            <v>0.33055555555555555</v>
          </cell>
          <cell r="G34" t="str">
            <v>P</v>
          </cell>
        </row>
        <row r="35">
          <cell r="A35">
            <v>102434104</v>
          </cell>
          <cell r="B35" t="str">
            <v>Rao,Kandala Madhusudhan</v>
          </cell>
          <cell r="C35" t="str">
            <v>Nahla,Fathimathul</v>
          </cell>
          <cell r="D35" t="str">
            <v>FC159</v>
          </cell>
          <cell r="E35">
            <v>0.32916666666666666</v>
          </cell>
          <cell r="G35" t="str">
            <v>P</v>
          </cell>
        </row>
        <row r="36">
          <cell r="A36">
            <v>108019714</v>
          </cell>
          <cell r="B36" t="str">
            <v>Sayed,Huzefa Yusuf</v>
          </cell>
          <cell r="C36" t="str">
            <v>Thomas,Binil</v>
          </cell>
          <cell r="D36" t="str">
            <v>FC009</v>
          </cell>
          <cell r="E36">
            <v>0.32291666666666669</v>
          </cell>
          <cell r="G36" t="str">
            <v>P</v>
          </cell>
        </row>
        <row r="37">
          <cell r="A37">
            <v>204403653</v>
          </cell>
          <cell r="B37" t="str">
            <v>THODIKALATHEEF HAMZA,MUHAMMED FAYIS PATER</v>
          </cell>
          <cell r="C37" t="str">
            <v>Nahla,Fathimathul</v>
          </cell>
          <cell r="D37" t="str">
            <v>FC034</v>
          </cell>
          <cell r="E37">
            <v>0.33263888888888887</v>
          </cell>
          <cell r="G37" t="str">
            <v>P</v>
          </cell>
        </row>
        <row r="38">
          <cell r="A38">
            <v>203813034</v>
          </cell>
          <cell r="B38" t="str">
            <v>MANOHAR,AJAY AJAY</v>
          </cell>
          <cell r="C38" t="str">
            <v>Almarzooqi,Abbas</v>
          </cell>
          <cell r="D38" t="str">
            <v>FC034</v>
          </cell>
          <cell r="E38">
            <v>0.3298611111111111</v>
          </cell>
          <cell r="G38" t="str">
            <v>P</v>
          </cell>
        </row>
        <row r="39">
          <cell r="A39">
            <v>203813036</v>
          </cell>
          <cell r="B39" t="str">
            <v>SHAJAHAN,ARSHAD</v>
          </cell>
          <cell r="C39" t="str">
            <v>Almarzooqi,Abbas</v>
          </cell>
          <cell r="D39" t="str">
            <v>FC109</v>
          </cell>
          <cell r="E39">
            <v>0.33194444444444443</v>
          </cell>
          <cell r="G39" t="str">
            <v>P</v>
          </cell>
        </row>
        <row r="40">
          <cell r="A40">
            <v>206875598</v>
          </cell>
          <cell r="B40" t="str">
            <v>SSEKANDI,JOSEPH</v>
          </cell>
          <cell r="C40" t="str">
            <v>Sohail,Anis</v>
          </cell>
          <cell r="D40" t="str">
            <v>FC034</v>
          </cell>
          <cell r="E40">
            <v>0.33124999999999999</v>
          </cell>
          <cell r="G40" t="str">
            <v>P</v>
          </cell>
        </row>
        <row r="41">
          <cell r="A41">
            <v>203816301</v>
          </cell>
          <cell r="B41" t="str">
            <v>Kiyemba,George</v>
          </cell>
          <cell r="C41" t="str">
            <v>Singh,Pardeep</v>
          </cell>
          <cell r="D41" t="str">
            <v>FC109</v>
          </cell>
          <cell r="E41">
            <v>0.33333333333333331</v>
          </cell>
          <cell r="G41" t="str">
            <v>P</v>
          </cell>
        </row>
        <row r="42">
          <cell r="A42">
            <v>204868859</v>
          </cell>
          <cell r="B42" t="str">
            <v>Dadzie,Richard</v>
          </cell>
          <cell r="C42" t="str">
            <v>Katyal,Varun</v>
          </cell>
          <cell r="D42" t="str">
            <v>FC109</v>
          </cell>
          <cell r="E42">
            <v>0.33263888888888887</v>
          </cell>
          <cell r="G42" t="str">
            <v>P</v>
          </cell>
        </row>
        <row r="43">
          <cell r="A43">
            <v>203813032</v>
          </cell>
          <cell r="B43" t="str">
            <v>JOSE,DILWIN</v>
          </cell>
          <cell r="C43" t="str">
            <v>Ansari,Ammar Abdullah</v>
          </cell>
          <cell r="D43" t="str">
            <v>FC159</v>
          </cell>
          <cell r="E43">
            <v>0.33124999999999999</v>
          </cell>
          <cell r="G43" t="str">
            <v>P</v>
          </cell>
        </row>
        <row r="44">
          <cell r="A44">
            <v>203469052</v>
          </cell>
          <cell r="B44" t="str">
            <v>Tutu,Jonathan Osei</v>
          </cell>
          <cell r="C44" t="str">
            <v>Sohail,Anis</v>
          </cell>
          <cell r="D44" t="str">
            <v>FC134</v>
          </cell>
          <cell r="E44">
            <v>0.33194444444444443</v>
          </cell>
          <cell r="G44" t="str">
            <v>P</v>
          </cell>
        </row>
        <row r="45">
          <cell r="A45">
            <v>206926474</v>
          </cell>
          <cell r="B45" t="str">
            <v>KALENZI,AWUDU</v>
          </cell>
          <cell r="C45" t="str">
            <v>Lakkireddy,Sai Raghavendra Reddy</v>
          </cell>
          <cell r="D45" t="str">
            <v>FC009</v>
          </cell>
          <cell r="E45">
            <v>0.33124999999999999</v>
          </cell>
          <cell r="G45" t="str">
            <v>P</v>
          </cell>
        </row>
        <row r="46">
          <cell r="A46">
            <v>102205456</v>
          </cell>
          <cell r="B46" t="str">
            <v>Faisal,Muhammed Poklinte Purakkal</v>
          </cell>
          <cell r="C46" t="str">
            <v>Sohail,Anis</v>
          </cell>
          <cell r="D46" t="str">
            <v>FC159</v>
          </cell>
          <cell r="E46">
            <v>0.33124999999999999</v>
          </cell>
          <cell r="G46" t="str">
            <v>P</v>
          </cell>
        </row>
        <row r="47">
          <cell r="A47">
            <v>203469051</v>
          </cell>
          <cell r="B47" t="str">
            <v>Owusu,Daniel</v>
          </cell>
          <cell r="C47" t="str">
            <v>Sohail,Anis</v>
          </cell>
          <cell r="D47" t="str">
            <v>FC109</v>
          </cell>
          <cell r="E47">
            <v>0.33194444444444443</v>
          </cell>
          <cell r="G47" t="str">
            <v>P</v>
          </cell>
        </row>
        <row r="48">
          <cell r="A48">
            <v>203521137</v>
          </cell>
          <cell r="B48" t="str">
            <v>Arbah,Jennifer</v>
          </cell>
          <cell r="C48" t="str">
            <v>Narshad,Muhammad Ashik</v>
          </cell>
          <cell r="D48" t="str">
            <v>FC134</v>
          </cell>
          <cell r="E48">
            <v>0.33124999999999999</v>
          </cell>
          <cell r="G48" t="str">
            <v>P</v>
          </cell>
        </row>
        <row r="49">
          <cell r="A49">
            <v>206926476</v>
          </cell>
          <cell r="B49" t="str">
            <v>TEZIKUBA,MUSITAFA</v>
          </cell>
          <cell r="C49" t="str">
            <v>elrashid,Hassan</v>
          </cell>
          <cell r="D49" t="str">
            <v>FC159</v>
          </cell>
          <cell r="E49">
            <v>0.33124999999999999</v>
          </cell>
          <cell r="G49" t="str">
            <v>P</v>
          </cell>
        </row>
        <row r="50">
          <cell r="A50">
            <v>206926477</v>
          </cell>
          <cell r="B50" t="str">
            <v>SSENTUMBWE,GODFREY</v>
          </cell>
          <cell r="C50" t="str">
            <v>Sohail,Anis</v>
          </cell>
          <cell r="D50" t="str">
            <v>FC034</v>
          </cell>
          <cell r="E50">
            <v>0.33194444444444443</v>
          </cell>
          <cell r="G50" t="str">
            <v>P</v>
          </cell>
        </row>
        <row r="51">
          <cell r="A51">
            <v>204883239</v>
          </cell>
          <cell r="B51" t="str">
            <v>Osei,Richmond</v>
          </cell>
          <cell r="C51" t="str">
            <v>Almarzooqi,Abbas</v>
          </cell>
          <cell r="D51" t="str">
            <v>FC034</v>
          </cell>
          <cell r="E51">
            <v>0.33263888888888887</v>
          </cell>
          <cell r="G51" t="str">
            <v>P</v>
          </cell>
        </row>
        <row r="52">
          <cell r="A52">
            <v>206853664</v>
          </cell>
          <cell r="B52" t="str">
            <v>MUGENYI,KAAWA</v>
          </cell>
          <cell r="C52" t="str">
            <v>Meera,Bava Bahrudeen</v>
          </cell>
          <cell r="D52" t="str">
            <v>FC134</v>
          </cell>
          <cell r="E52">
            <v>0.33263888888888887</v>
          </cell>
          <cell r="G52" t="str">
            <v>P</v>
          </cell>
        </row>
        <row r="53">
          <cell r="A53">
            <v>206926473</v>
          </cell>
          <cell r="B53" t="str">
            <v>WAILAGALA,ALI</v>
          </cell>
          <cell r="C53" t="str">
            <v>Sohail,Anis</v>
          </cell>
          <cell r="D53" t="str">
            <v>FC109</v>
          </cell>
          <cell r="E53">
            <v>0.33263888888888887</v>
          </cell>
          <cell r="G53" t="str">
            <v>P</v>
          </cell>
        </row>
        <row r="54">
          <cell r="A54">
            <v>203908861</v>
          </cell>
          <cell r="B54" t="str">
            <v>SSERUTUKA,ADAM</v>
          </cell>
          <cell r="C54" t="str">
            <v>Ansari,Ammar Abdullah</v>
          </cell>
          <cell r="D54" t="str">
            <v>FC159</v>
          </cell>
          <cell r="E54">
            <v>0.33333333333333331</v>
          </cell>
          <cell r="G54" t="str">
            <v>P</v>
          </cell>
        </row>
        <row r="55">
          <cell r="A55">
            <v>204252239</v>
          </cell>
          <cell r="B55" t="str">
            <v>Alabila,Mavis Akua</v>
          </cell>
          <cell r="C55" t="str">
            <v>Almarzooqi,Abbas</v>
          </cell>
          <cell r="D55" t="str">
            <v>FC134</v>
          </cell>
          <cell r="E55">
            <v>0.33194444444444443</v>
          </cell>
          <cell r="G55" t="str">
            <v>P</v>
          </cell>
        </row>
        <row r="56">
          <cell r="A56">
            <v>203555714</v>
          </cell>
          <cell r="B56" t="str">
            <v>Sakyiamah,Dorcas</v>
          </cell>
          <cell r="C56" t="str">
            <v>Almarzooqi,Abbas</v>
          </cell>
          <cell r="D56" t="str">
            <v>FC034</v>
          </cell>
          <cell r="E56">
            <v>0.33194444444444443</v>
          </cell>
          <cell r="G56" t="str">
            <v>P</v>
          </cell>
        </row>
        <row r="57">
          <cell r="A57">
            <v>206008708</v>
          </cell>
          <cell r="B57" t="str">
            <v>MOHAMMED,SADIQ</v>
          </cell>
          <cell r="C57" t="str">
            <v>Meera,Bava Bahrudeen</v>
          </cell>
          <cell r="D57" t="str">
            <v>FC034</v>
          </cell>
          <cell r="E57">
            <v>0.33194444444444443</v>
          </cell>
          <cell r="G57" t="str">
            <v>P</v>
          </cell>
        </row>
        <row r="58">
          <cell r="A58">
            <v>204868850</v>
          </cell>
          <cell r="B58" t="str">
            <v>Kendang,Carlson Esah</v>
          </cell>
          <cell r="C58" t="str">
            <v>Almarzooqi,Abbas</v>
          </cell>
          <cell r="D58" t="str">
            <v>FC134</v>
          </cell>
          <cell r="E58">
            <v>0.33263888888888887</v>
          </cell>
          <cell r="G58" t="str">
            <v>P</v>
          </cell>
        </row>
        <row r="59">
          <cell r="A59">
            <v>206926479</v>
          </cell>
          <cell r="B59" t="str">
            <v>MITALA,HUZAIFAH</v>
          </cell>
          <cell r="C59" t="str">
            <v>Lakkireddy,Sai Raghavendra Reddy</v>
          </cell>
          <cell r="D59" t="str">
            <v>FC109</v>
          </cell>
          <cell r="E59">
            <v>0.3298611111111111</v>
          </cell>
          <cell r="G59" t="str">
            <v>P</v>
          </cell>
        </row>
        <row r="60">
          <cell r="A60">
            <v>102577243</v>
          </cell>
          <cell r="B60" t="str">
            <v>IMRAN,K M MOHAMED</v>
          </cell>
          <cell r="C60" t="str">
            <v>Dinberu,Eden</v>
          </cell>
          <cell r="D60" t="str">
            <v>FC009</v>
          </cell>
          <cell r="E60">
            <v>0.32361111111111113</v>
          </cell>
          <cell r="G60" t="str">
            <v>P</v>
          </cell>
        </row>
        <row r="61">
          <cell r="A61">
            <v>203468402</v>
          </cell>
          <cell r="B61" t="str">
            <v>Mbvira Pfouma,Rogers Francis</v>
          </cell>
          <cell r="C61" t="str">
            <v>Nahla,Fathimathul</v>
          </cell>
          <cell r="D61" t="str">
            <v>FC159</v>
          </cell>
          <cell r="E61">
            <v>0.33124999999999999</v>
          </cell>
          <cell r="G61" t="str">
            <v>P</v>
          </cell>
        </row>
        <row r="62">
          <cell r="A62">
            <v>203512669</v>
          </cell>
          <cell r="B62" t="str">
            <v>Yin,Justice Mmba</v>
          </cell>
          <cell r="C62" t="str">
            <v>Narshad,Muhammad Ashik</v>
          </cell>
          <cell r="D62" t="str">
            <v>FC109</v>
          </cell>
          <cell r="E62">
            <v>0.33333333333333331</v>
          </cell>
          <cell r="G62" t="str">
            <v>P</v>
          </cell>
        </row>
        <row r="63">
          <cell r="A63">
            <v>102207631</v>
          </cell>
          <cell r="B63" t="str">
            <v>Parungao,Priscila Montejo</v>
          </cell>
          <cell r="C63" t="str">
            <v>GUYON,Loubna</v>
          </cell>
          <cell r="D63" t="str">
            <v>FC034</v>
          </cell>
          <cell r="E63">
            <v>0.33333333333333331</v>
          </cell>
          <cell r="G63" t="str">
            <v>P</v>
          </cell>
        </row>
        <row r="64">
          <cell r="A64">
            <v>203512667</v>
          </cell>
          <cell r="B64" t="str">
            <v>Bih,Brenda Nkuo</v>
          </cell>
          <cell r="C64" t="str">
            <v>Scaria,Varghese</v>
          </cell>
          <cell r="D64" t="str">
            <v>LK012</v>
          </cell>
          <cell r="E64">
            <v>0.33333333333333331</v>
          </cell>
          <cell r="G64" t="str">
            <v>P</v>
          </cell>
        </row>
        <row r="65">
          <cell r="A65">
            <v>203512668</v>
          </cell>
          <cell r="B65" t="str">
            <v>Edwards,Henry Nii Yemoh</v>
          </cell>
          <cell r="C65" t="str">
            <v>Narshad,Muhammad Ashik</v>
          </cell>
          <cell r="D65" t="str">
            <v>FC109</v>
          </cell>
          <cell r="E65">
            <v>0.32500000000000001</v>
          </cell>
          <cell r="G65" t="str">
            <v>P</v>
          </cell>
        </row>
        <row r="66">
          <cell r="A66">
            <v>203512666</v>
          </cell>
          <cell r="B66" t="str">
            <v>Kwadwo,Joseph Sunkwa</v>
          </cell>
          <cell r="C66" t="str">
            <v>Lakkireddy,Sai Raghavendra Reddy</v>
          </cell>
          <cell r="D66" t="str">
            <v>FC159</v>
          </cell>
          <cell r="E66">
            <v>0.33194444444444443</v>
          </cell>
          <cell r="G66" t="str">
            <v>P</v>
          </cell>
        </row>
        <row r="67">
          <cell r="A67">
            <v>203555399</v>
          </cell>
          <cell r="B67" t="str">
            <v>Chimhau,Bernadette Tariro</v>
          </cell>
          <cell r="C67" t="str">
            <v>Sohail,Anis</v>
          </cell>
          <cell r="D67" t="str">
            <v>FC159</v>
          </cell>
          <cell r="E67">
            <v>0.33263888888888887</v>
          </cell>
          <cell r="G67" t="str">
            <v>P</v>
          </cell>
        </row>
        <row r="68">
          <cell r="A68">
            <v>203813038</v>
          </cell>
          <cell r="B68" t="str">
            <v>KODATHAMVALLY,AKSHAY</v>
          </cell>
          <cell r="C68" t="str">
            <v>Almarzooqi,Abbas</v>
          </cell>
          <cell r="D68" t="str">
            <v>FC109</v>
          </cell>
          <cell r="E68">
            <v>0.33055555555555555</v>
          </cell>
          <cell r="G68" t="str">
            <v>P</v>
          </cell>
        </row>
        <row r="69">
          <cell r="A69">
            <v>202219229</v>
          </cell>
          <cell r="B69" t="str">
            <v>CONTEH,MARION</v>
          </cell>
          <cell r="C69" t="str">
            <v>Meera,Bava Bahrudeen</v>
          </cell>
          <cell r="D69" t="str">
            <v>FC109</v>
          </cell>
          <cell r="E69">
            <v>0.33124999999999999</v>
          </cell>
          <cell r="G69" t="str">
            <v>P</v>
          </cell>
        </row>
        <row r="70">
          <cell r="A70">
            <v>206915790</v>
          </cell>
          <cell r="B70" t="str">
            <v>AMATI,VINCENT</v>
          </cell>
          <cell r="C70" t="str">
            <v>elrashid,Hassan</v>
          </cell>
          <cell r="D70" t="str">
            <v>FC159</v>
          </cell>
          <cell r="E70">
            <v>0.33124999999999999</v>
          </cell>
          <cell r="G70" t="str">
            <v>P</v>
          </cell>
        </row>
        <row r="71">
          <cell r="A71">
            <v>203965449</v>
          </cell>
          <cell r="B71" t="str">
            <v>Wase Ndiena,Nadesh</v>
          </cell>
          <cell r="C71" t="str">
            <v>Ansari,Ammar Abdullah</v>
          </cell>
          <cell r="D71" t="str">
            <v>FC034</v>
          </cell>
          <cell r="E71">
            <v>0.33194444444444443</v>
          </cell>
          <cell r="G71" t="str">
            <v>P</v>
          </cell>
        </row>
        <row r="72">
          <cell r="A72">
            <v>204967049</v>
          </cell>
          <cell r="B72" t="str">
            <v>KUMEKPE,MARTIN</v>
          </cell>
          <cell r="C72" t="str">
            <v>Katyal,Varun</v>
          </cell>
          <cell r="D72" t="str">
            <v>FC159</v>
          </cell>
          <cell r="E72">
            <v>0.33194444444444443</v>
          </cell>
          <cell r="G72" t="str">
            <v>P</v>
          </cell>
        </row>
        <row r="73">
          <cell r="A73">
            <v>204883245</v>
          </cell>
          <cell r="B73" t="str">
            <v>Nhau,Grace Chido</v>
          </cell>
          <cell r="C73" t="str">
            <v>Almarzooqi,Abbas</v>
          </cell>
          <cell r="D73" t="str">
            <v>FC109</v>
          </cell>
          <cell r="E73">
            <v>0.33194444444444443</v>
          </cell>
          <cell r="G73" t="str">
            <v>P</v>
          </cell>
        </row>
        <row r="74">
          <cell r="A74">
            <v>206953383</v>
          </cell>
          <cell r="B74" t="str">
            <v>Jepkoech,Faith</v>
          </cell>
          <cell r="C74" t="str">
            <v>Sohail,Anis</v>
          </cell>
          <cell r="D74" t="str">
            <v>FC159</v>
          </cell>
          <cell r="E74">
            <v>0.33055555555555555</v>
          </cell>
          <cell r="G74" t="str">
            <v>P</v>
          </cell>
        </row>
        <row r="75">
          <cell r="A75">
            <v>205257122</v>
          </cell>
          <cell r="B75" t="str">
            <v>Gachui,Kennedy Maina</v>
          </cell>
          <cell r="C75" t="str">
            <v>Lakkireddy,Sai Raghavendra Reddy</v>
          </cell>
          <cell r="D75" t="str">
            <v>FC034</v>
          </cell>
          <cell r="E75">
            <v>0.33402777777777776</v>
          </cell>
          <cell r="G75" t="str">
            <v>P</v>
          </cell>
        </row>
        <row r="76">
          <cell r="A76">
            <v>203679319</v>
          </cell>
          <cell r="B76" t="str">
            <v>Osei,Joseph</v>
          </cell>
          <cell r="C76" t="str">
            <v>Meera,Bava Bahrudeen</v>
          </cell>
          <cell r="D76" t="str">
            <v>FC009</v>
          </cell>
          <cell r="E76">
            <v>0.33194444444444443</v>
          </cell>
          <cell r="G76" t="str">
            <v>P</v>
          </cell>
        </row>
        <row r="77">
          <cell r="A77">
            <v>204883244</v>
          </cell>
          <cell r="B77" t="str">
            <v>Kamhuru,Sharon Shingirirai</v>
          </cell>
          <cell r="C77" t="str">
            <v>Meera,Bava Bahrudeen</v>
          </cell>
          <cell r="D77" t="str">
            <v>FC159</v>
          </cell>
          <cell r="E77">
            <v>0.33263888888888887</v>
          </cell>
          <cell r="G77" t="str">
            <v>P</v>
          </cell>
        </row>
        <row r="78">
          <cell r="A78">
            <v>206192491</v>
          </cell>
          <cell r="B78" t="str">
            <v>Tetteh,Veronica</v>
          </cell>
          <cell r="C78" t="str">
            <v>Dinberu,Eden</v>
          </cell>
          <cell r="D78" t="str">
            <v>FC134</v>
          </cell>
          <cell r="E78">
            <v>0.33333333333333331</v>
          </cell>
          <cell r="G78" t="str">
            <v>P</v>
          </cell>
        </row>
        <row r="79">
          <cell r="A79">
            <v>206930700</v>
          </cell>
          <cell r="B79" t="str">
            <v>MUTUNGI,ANDREW</v>
          </cell>
          <cell r="C79" t="str">
            <v>Sohail,Anis</v>
          </cell>
          <cell r="D79" t="str">
            <v>FC034</v>
          </cell>
          <cell r="E79">
            <v>0.33194444444444443</v>
          </cell>
          <cell r="G79" t="str">
            <v>P</v>
          </cell>
        </row>
        <row r="80">
          <cell r="A80">
            <v>206953819</v>
          </cell>
          <cell r="B80" t="str">
            <v>WANJIKU,SUSAN RUGURU</v>
          </cell>
          <cell r="C80" t="str">
            <v>Dinberu,Eden</v>
          </cell>
          <cell r="D80" t="str">
            <v>FC159</v>
          </cell>
          <cell r="E80">
            <v>0.33194444444444443</v>
          </cell>
          <cell r="G80" t="str">
            <v>P</v>
          </cell>
        </row>
        <row r="81">
          <cell r="A81">
            <v>206073369</v>
          </cell>
          <cell r="B81" t="str">
            <v>Asare,Grace</v>
          </cell>
          <cell r="C81" t="str">
            <v>Almarzooqi,Abbas</v>
          </cell>
          <cell r="D81" t="str">
            <v>FC059</v>
          </cell>
          <cell r="E81">
            <v>0.33194444444444443</v>
          </cell>
          <cell r="G81" t="str">
            <v>P</v>
          </cell>
        </row>
        <row r="82">
          <cell r="A82">
            <v>207220266</v>
          </cell>
          <cell r="B82" t="str">
            <v>Alzaabi,Hamad</v>
          </cell>
          <cell r="C82" t="str">
            <v>Dinberu,Eden</v>
          </cell>
          <cell r="D82" t="str">
            <v>FC034</v>
          </cell>
          <cell r="E82">
            <v>0.32291666666666669</v>
          </cell>
          <cell r="G82" t="str">
            <v>P</v>
          </cell>
        </row>
        <row r="83">
          <cell r="A83">
            <v>206851159</v>
          </cell>
          <cell r="B83" t="str">
            <v>RAJESHI,MUBIRU</v>
          </cell>
          <cell r="C83" t="str">
            <v>Narshad,Muhammad Ashik</v>
          </cell>
          <cell r="D83" t="str">
            <v>FC159</v>
          </cell>
          <cell r="E83">
            <v>0.33263888888888887</v>
          </cell>
          <cell r="G83" t="str">
            <v>P</v>
          </cell>
        </row>
        <row r="84">
          <cell r="A84">
            <v>113090891</v>
          </cell>
          <cell r="B84" t="str">
            <v>Latif,Muhammad Nauman</v>
          </cell>
          <cell r="C84" t="str">
            <v>Lakkireddy,Sai Raghavendra Reddy</v>
          </cell>
          <cell r="D84" t="str">
            <v>FC109</v>
          </cell>
          <cell r="E84">
            <v>0.32569444444444445</v>
          </cell>
          <cell r="G84" t="str">
            <v>P</v>
          </cell>
        </row>
        <row r="85">
          <cell r="A85">
            <v>203741310</v>
          </cell>
          <cell r="B85" t="str">
            <v>AVONYO,ELIZABETH ABENA</v>
          </cell>
          <cell r="C85" t="str">
            <v>Singh,Pardeep</v>
          </cell>
          <cell r="D85" t="str">
            <v>FC109</v>
          </cell>
          <cell r="E85">
            <v>0.33263888888888887</v>
          </cell>
          <cell r="G85" t="str">
            <v>P</v>
          </cell>
        </row>
        <row r="86">
          <cell r="A86">
            <v>205872523</v>
          </cell>
          <cell r="B86" t="str">
            <v>MUGISHA,RICHARD</v>
          </cell>
          <cell r="C86" t="str">
            <v>Scaria,Varghese</v>
          </cell>
          <cell r="D86" t="str">
            <v>LK015</v>
          </cell>
          <cell r="E86">
            <v>0.33124999999999999</v>
          </cell>
          <cell r="G86" t="str">
            <v>P</v>
          </cell>
        </row>
        <row r="87">
          <cell r="A87">
            <v>203741314</v>
          </cell>
          <cell r="B87" t="str">
            <v>TWUMWAA,AGNES</v>
          </cell>
          <cell r="C87" t="str">
            <v>Singh,Pardeep</v>
          </cell>
          <cell r="D87" t="str">
            <v>FC034</v>
          </cell>
          <cell r="E87">
            <v>0.33263888888888887</v>
          </cell>
          <cell r="G87" t="str">
            <v>P</v>
          </cell>
        </row>
        <row r="88">
          <cell r="A88">
            <v>206065195</v>
          </cell>
          <cell r="B88" t="str">
            <v>Basonege,Daniel</v>
          </cell>
          <cell r="C88" t="str">
            <v>Almarzooqi,Abbas</v>
          </cell>
          <cell r="D88" t="str">
            <v>FC109</v>
          </cell>
          <cell r="E88">
            <v>0.33194444444444443</v>
          </cell>
          <cell r="G88" t="str">
            <v>P</v>
          </cell>
        </row>
        <row r="89">
          <cell r="A89">
            <v>204967041</v>
          </cell>
          <cell r="B89" t="str">
            <v>DANSO YEBOAH,JOSEPH KOFI</v>
          </cell>
          <cell r="C89" t="str">
            <v>Lakkireddy,Sai Raghavendra Reddy</v>
          </cell>
          <cell r="D89" t="str">
            <v>FC034</v>
          </cell>
          <cell r="E89">
            <v>0.33194444444444443</v>
          </cell>
          <cell r="G89" t="str">
            <v>P</v>
          </cell>
        </row>
        <row r="90">
          <cell r="A90">
            <v>206065197</v>
          </cell>
          <cell r="B90" t="str">
            <v>Abdulai,Fataw</v>
          </cell>
          <cell r="C90" t="str">
            <v>Almarzooqi,Abbas</v>
          </cell>
          <cell r="D90" t="str">
            <v>FC159</v>
          </cell>
          <cell r="E90">
            <v>0.33124999999999999</v>
          </cell>
          <cell r="G90" t="str">
            <v>P</v>
          </cell>
        </row>
        <row r="91">
          <cell r="A91">
            <v>206065199</v>
          </cell>
          <cell r="B91" t="str">
            <v>Enang Nkwonji,Emmanuel</v>
          </cell>
          <cell r="C91" t="str">
            <v>Almarzooqi,Abbas</v>
          </cell>
          <cell r="D91" t="str">
            <v>FC159</v>
          </cell>
          <cell r="E91">
            <v>0.33194444444444443</v>
          </cell>
          <cell r="G91" t="str">
            <v>P</v>
          </cell>
        </row>
        <row r="92">
          <cell r="A92">
            <v>206953385</v>
          </cell>
          <cell r="B92" t="str">
            <v>Muthoni,Eunice</v>
          </cell>
          <cell r="C92" t="str">
            <v>Sohail,Anis</v>
          </cell>
          <cell r="D92" t="str">
            <v>FC159</v>
          </cell>
          <cell r="E92">
            <v>0.33055555555555555</v>
          </cell>
          <cell r="G92" t="str">
            <v>P</v>
          </cell>
        </row>
        <row r="93">
          <cell r="A93">
            <v>206875332</v>
          </cell>
          <cell r="B93" t="str">
            <v>JORAM,KABOGGOZA</v>
          </cell>
          <cell r="C93" t="str">
            <v>Meera,Bava Bahrudeen</v>
          </cell>
          <cell r="D93" t="str">
            <v>FC134</v>
          </cell>
          <cell r="E93">
            <v>0.33194444444444443</v>
          </cell>
          <cell r="G93" t="str">
            <v>P</v>
          </cell>
        </row>
        <row r="94">
          <cell r="A94">
            <v>206175107</v>
          </cell>
          <cell r="B94" t="str">
            <v>Mwangi Kamau,Samwel</v>
          </cell>
          <cell r="C94" t="str">
            <v>Meera,Bava Bahrudeen</v>
          </cell>
          <cell r="D94" t="str">
            <v>FC034</v>
          </cell>
          <cell r="E94">
            <v>0.33124999999999999</v>
          </cell>
          <cell r="G94" t="str">
            <v>P</v>
          </cell>
        </row>
        <row r="95">
          <cell r="A95">
            <v>203679308</v>
          </cell>
          <cell r="B95" t="str">
            <v>Asante,Enock</v>
          </cell>
          <cell r="C95" t="str">
            <v>Sohail,Anis</v>
          </cell>
          <cell r="D95" t="str">
            <v>FC159</v>
          </cell>
          <cell r="E95">
            <v>0.33124999999999999</v>
          </cell>
          <cell r="G95" t="str">
            <v>P</v>
          </cell>
        </row>
        <row r="96">
          <cell r="A96">
            <v>204967039</v>
          </cell>
          <cell r="B96" t="str">
            <v>ANIM,PRINCE OWUSU</v>
          </cell>
          <cell r="C96" t="str">
            <v>Ansari,Ammar Abdullah</v>
          </cell>
          <cell r="D96" t="str">
            <v>FC034</v>
          </cell>
          <cell r="E96">
            <v>0.33194444444444443</v>
          </cell>
          <cell r="G96" t="str">
            <v>P</v>
          </cell>
        </row>
        <row r="97">
          <cell r="A97">
            <v>206873715</v>
          </cell>
          <cell r="B97" t="str">
            <v>KASSIM,ABDALLAH</v>
          </cell>
          <cell r="C97" t="str">
            <v>Sohail,Anis</v>
          </cell>
          <cell r="D97" t="str">
            <v>FC034</v>
          </cell>
          <cell r="E97">
            <v>0.33194444444444443</v>
          </cell>
          <cell r="G97" t="str">
            <v>P</v>
          </cell>
        </row>
        <row r="98">
          <cell r="A98">
            <v>206949312</v>
          </cell>
          <cell r="B98" t="str">
            <v>ODEKE,JOHN</v>
          </cell>
          <cell r="C98" t="str">
            <v>Sohail,Anis</v>
          </cell>
          <cell r="D98" t="str">
            <v>FC159</v>
          </cell>
          <cell r="E98">
            <v>0.33263888888888887</v>
          </cell>
          <cell r="G98" t="str">
            <v>P</v>
          </cell>
        </row>
        <row r="99">
          <cell r="A99">
            <v>206850851</v>
          </cell>
          <cell r="B99" t="str">
            <v>BRIAN,AKANKWATSA</v>
          </cell>
          <cell r="C99" t="str">
            <v>Lakkireddy,Sai Raghavendra Reddy</v>
          </cell>
          <cell r="D99" t="str">
            <v>FC109</v>
          </cell>
          <cell r="E99">
            <v>0.33194444444444443</v>
          </cell>
          <cell r="G99" t="str">
            <v>P</v>
          </cell>
        </row>
        <row r="100">
          <cell r="A100">
            <v>206949310</v>
          </cell>
          <cell r="B100" t="str">
            <v>SIMWENDE,TIMOTHY</v>
          </cell>
          <cell r="C100" t="str">
            <v>Meera,Bava Bahrudeen</v>
          </cell>
          <cell r="D100" t="str">
            <v>FC109</v>
          </cell>
          <cell r="E100">
            <v>0.33124999999999999</v>
          </cell>
          <cell r="G100" t="str">
            <v>P</v>
          </cell>
        </row>
        <row r="101">
          <cell r="A101">
            <v>206073365</v>
          </cell>
          <cell r="B101" t="str">
            <v>Owusu,Leticia</v>
          </cell>
          <cell r="C101" t="str">
            <v>Almarzooqi,Abbas</v>
          </cell>
          <cell r="D101" t="str">
            <v>FC109</v>
          </cell>
          <cell r="E101">
            <v>0.33194444444444443</v>
          </cell>
          <cell r="G101" t="str">
            <v>P</v>
          </cell>
        </row>
        <row r="102">
          <cell r="A102">
            <v>206952968</v>
          </cell>
          <cell r="B102" t="str">
            <v>SAM,SSEMAKULA</v>
          </cell>
          <cell r="C102" t="str">
            <v>Meera,Bava Bahrudeen</v>
          </cell>
          <cell r="D102" t="str">
            <v>FC109</v>
          </cell>
          <cell r="E102">
            <v>0.33124999999999999</v>
          </cell>
          <cell r="G102" t="str">
            <v>P</v>
          </cell>
        </row>
        <row r="103">
          <cell r="A103">
            <v>206953815</v>
          </cell>
          <cell r="B103" t="str">
            <v>MUHEREZA,BRIGHTON</v>
          </cell>
          <cell r="C103" t="str">
            <v>Sohail,Anis</v>
          </cell>
          <cell r="D103" t="str">
            <v>FC109</v>
          </cell>
          <cell r="E103">
            <v>0.33124999999999999</v>
          </cell>
          <cell r="G103" t="str">
            <v>P</v>
          </cell>
        </row>
        <row r="104">
          <cell r="A104">
            <v>203469399</v>
          </cell>
          <cell r="B104" t="str">
            <v>Mills,Everlyne</v>
          </cell>
          <cell r="C104" t="str">
            <v>Sohail,Anis</v>
          </cell>
          <cell r="D104" t="str">
            <v>FC134</v>
          </cell>
          <cell r="E104">
            <v>0.33263888888888887</v>
          </cell>
          <cell r="G104" t="str">
            <v>P</v>
          </cell>
        </row>
        <row r="105">
          <cell r="A105">
            <v>206073363</v>
          </cell>
          <cell r="B105" t="str">
            <v>Owusu,Ebenezer</v>
          </cell>
          <cell r="C105" t="str">
            <v>Lakkireddy,Sai Raghavendra Reddy</v>
          </cell>
          <cell r="D105" t="str">
            <v>FC034</v>
          </cell>
          <cell r="E105">
            <v>0.33124999999999999</v>
          </cell>
          <cell r="G105" t="str">
            <v>P</v>
          </cell>
        </row>
        <row r="106">
          <cell r="A106">
            <v>204117188</v>
          </cell>
          <cell r="B106" t="str">
            <v>Lanyang,Berine Amoh</v>
          </cell>
          <cell r="C106" t="str">
            <v>Thomas,Binil</v>
          </cell>
          <cell r="D106" t="str">
            <v>LK016</v>
          </cell>
          <cell r="E106">
            <v>0.33124999999999999</v>
          </cell>
          <cell r="G106" t="str">
            <v>P</v>
          </cell>
        </row>
        <row r="107">
          <cell r="A107">
            <v>206953810</v>
          </cell>
          <cell r="B107" t="str">
            <v>MATEKE,BRIAN</v>
          </cell>
          <cell r="C107" t="str">
            <v>Sohail,Anis</v>
          </cell>
          <cell r="D107" t="str">
            <v>FC109</v>
          </cell>
          <cell r="E107">
            <v>0.33263888888888887</v>
          </cell>
          <cell r="G107" t="str">
            <v>P</v>
          </cell>
        </row>
        <row r="108">
          <cell r="A108">
            <v>206949318</v>
          </cell>
          <cell r="B108" t="str">
            <v>GUMUSIRIZA,MOSES</v>
          </cell>
          <cell r="C108" t="str">
            <v>Meera,Bava Bahrudeen</v>
          </cell>
          <cell r="D108" t="str">
            <v>FC109</v>
          </cell>
          <cell r="E108">
            <v>0.33194444444444443</v>
          </cell>
          <cell r="G108" t="str">
            <v>P</v>
          </cell>
        </row>
        <row r="109">
          <cell r="A109">
            <v>206873708</v>
          </cell>
          <cell r="B109" t="str">
            <v>ELIYA,AIJUKA</v>
          </cell>
          <cell r="C109" t="str">
            <v>Sohail,Anis</v>
          </cell>
          <cell r="D109" t="str">
            <v>FC034</v>
          </cell>
          <cell r="E109">
            <v>0.33333333333333331</v>
          </cell>
          <cell r="G109" t="str">
            <v>P</v>
          </cell>
        </row>
        <row r="110">
          <cell r="A110">
            <v>204299547</v>
          </cell>
          <cell r="B110" t="str">
            <v>Mohammed,Hamza</v>
          </cell>
          <cell r="C110" t="str">
            <v>Scaria,Varghese</v>
          </cell>
          <cell r="D110" t="str">
            <v>FC109</v>
          </cell>
          <cell r="E110">
            <v>0.32569444444444445</v>
          </cell>
          <cell r="G110" t="str">
            <v>P</v>
          </cell>
        </row>
        <row r="111">
          <cell r="A111">
            <v>204299548</v>
          </cell>
          <cell r="B111" t="str">
            <v>Tamah,Daniel Kweku</v>
          </cell>
          <cell r="C111" t="str">
            <v>Sohail,Anis</v>
          </cell>
          <cell r="D111" t="str">
            <v>FC034</v>
          </cell>
          <cell r="E111">
            <v>0.33263888888888887</v>
          </cell>
          <cell r="G111" t="str">
            <v>P</v>
          </cell>
        </row>
        <row r="112">
          <cell r="A112">
            <v>206953812</v>
          </cell>
          <cell r="B112" t="str">
            <v>MAGEMBE,PAUL</v>
          </cell>
          <cell r="C112" t="str">
            <v>Meera,Bava Bahrudeen</v>
          </cell>
          <cell r="D112" t="str">
            <v>FC159</v>
          </cell>
          <cell r="E112">
            <v>0.33333333333333331</v>
          </cell>
          <cell r="G112" t="str">
            <v>P</v>
          </cell>
        </row>
        <row r="113">
          <cell r="A113">
            <v>204967151</v>
          </cell>
          <cell r="B113" t="str">
            <v>KOOMSON,ERIC KUM</v>
          </cell>
          <cell r="C113" t="str">
            <v>Singh,Pardeep</v>
          </cell>
          <cell r="D113" t="str">
            <v>FC134</v>
          </cell>
          <cell r="E113">
            <v>0.33124999999999999</v>
          </cell>
          <cell r="G113" t="str">
            <v>P</v>
          </cell>
        </row>
        <row r="114">
          <cell r="A114">
            <v>204053434</v>
          </cell>
          <cell r="B114" t="str">
            <v>Mohammed,Azizuddin</v>
          </cell>
          <cell r="C114" t="str">
            <v>Ansari,Ammar Abdullah</v>
          </cell>
          <cell r="D114" t="str">
            <v>FC009</v>
          </cell>
          <cell r="E114">
            <v>0.33263888888888887</v>
          </cell>
          <cell r="G114" t="str">
            <v>P</v>
          </cell>
        </row>
        <row r="115">
          <cell r="A115">
            <v>203796750</v>
          </cell>
          <cell r="B115" t="str">
            <v>SEMAJONGI,RAMDHAN</v>
          </cell>
          <cell r="C115" t="str">
            <v>Katyal,Varun</v>
          </cell>
          <cell r="D115" t="str">
            <v>FC009</v>
          </cell>
          <cell r="E115">
            <v>0.33333333333333331</v>
          </cell>
          <cell r="G115" t="str">
            <v>P</v>
          </cell>
        </row>
        <row r="116">
          <cell r="A116">
            <v>203850924</v>
          </cell>
          <cell r="B116" t="str">
            <v>Katende,Ronald</v>
          </cell>
          <cell r="C116" t="str">
            <v>Ansari,Ammar Abdullah</v>
          </cell>
          <cell r="D116" t="str">
            <v>FC159</v>
          </cell>
          <cell r="E116">
            <v>0.33402777777777776</v>
          </cell>
          <cell r="G116" t="str">
            <v>P</v>
          </cell>
        </row>
        <row r="117">
          <cell r="A117">
            <v>206139179</v>
          </cell>
          <cell r="B117" t="str">
            <v>BERHE TEKLEHAYMANOT,SAMIAL</v>
          </cell>
          <cell r="C117" t="str">
            <v>Scaria,Varghese</v>
          </cell>
          <cell r="D117" t="str">
            <v>FC009</v>
          </cell>
          <cell r="E117">
            <v>0.33194444444444443</v>
          </cell>
          <cell r="G117" t="str">
            <v>P</v>
          </cell>
        </row>
        <row r="118">
          <cell r="A118">
            <v>203850925</v>
          </cell>
          <cell r="B118" t="str">
            <v>Mugisha,Richard</v>
          </cell>
          <cell r="C118" t="str">
            <v>Ansari,Ammar Abdullah</v>
          </cell>
          <cell r="D118" t="str">
            <v>FC009</v>
          </cell>
          <cell r="E118">
            <v>0.33333333333333331</v>
          </cell>
          <cell r="G118" t="str">
            <v>P</v>
          </cell>
        </row>
        <row r="119">
          <cell r="A119">
            <v>203850804</v>
          </cell>
          <cell r="B119" t="str">
            <v>Katamba,John</v>
          </cell>
          <cell r="C119" t="str">
            <v>Ansari,Ammar Abdullah</v>
          </cell>
          <cell r="D119" t="str">
            <v>FC159</v>
          </cell>
          <cell r="E119">
            <v>0.33402777777777776</v>
          </cell>
          <cell r="G119" t="str">
            <v>P</v>
          </cell>
        </row>
        <row r="120">
          <cell r="A120">
            <v>203850926</v>
          </cell>
          <cell r="B120" t="str">
            <v>Ssebukyu,Ronald</v>
          </cell>
          <cell r="C120" t="str">
            <v>Scaria,Varghese</v>
          </cell>
          <cell r="D120" t="str">
            <v>FC084</v>
          </cell>
          <cell r="E120">
            <v>0.3347222222222222</v>
          </cell>
          <cell r="G120" t="str">
            <v>P</v>
          </cell>
        </row>
        <row r="121">
          <cell r="A121">
            <v>206192235</v>
          </cell>
          <cell r="B121" t="str">
            <v>chirchir,Viola chepkemboi</v>
          </cell>
          <cell r="C121" t="str">
            <v>Meera,Bava Bahrudeen</v>
          </cell>
          <cell r="D121" t="str">
            <v>FC034</v>
          </cell>
          <cell r="E121">
            <v>0.33194444444444443</v>
          </cell>
          <cell r="G121" t="str">
            <v>P</v>
          </cell>
        </row>
        <row r="122">
          <cell r="A122">
            <v>206846113</v>
          </cell>
          <cell r="B122" t="str">
            <v>BAKUNDANA,FRED</v>
          </cell>
          <cell r="C122" t="str">
            <v>Sohail,Anis</v>
          </cell>
          <cell r="D122" t="str">
            <v>FC134</v>
          </cell>
          <cell r="E122">
            <v>0.33124999999999999</v>
          </cell>
          <cell r="G122" t="str">
            <v>P</v>
          </cell>
        </row>
        <row r="123">
          <cell r="A123">
            <v>203468509</v>
          </cell>
          <cell r="B123" t="str">
            <v>Cudjoe,Emmanuel</v>
          </cell>
          <cell r="C123" t="str">
            <v>Dinberu,Eden</v>
          </cell>
          <cell r="D123" t="str">
            <v>FC009</v>
          </cell>
          <cell r="E123">
            <v>0.33263888888888887</v>
          </cell>
          <cell r="G123" t="str">
            <v>P</v>
          </cell>
        </row>
        <row r="124">
          <cell r="A124">
            <v>206957730</v>
          </cell>
          <cell r="B124" t="str">
            <v>Ochieng,James</v>
          </cell>
          <cell r="C124" t="str">
            <v>Sohail,Anis</v>
          </cell>
          <cell r="D124" t="str">
            <v>FC009</v>
          </cell>
          <cell r="E124">
            <v>0.33194444444444443</v>
          </cell>
          <cell r="G124" t="str">
            <v>P</v>
          </cell>
        </row>
        <row r="125">
          <cell r="A125">
            <v>203468508</v>
          </cell>
          <cell r="B125" t="str">
            <v>Amadu,Ganiu</v>
          </cell>
          <cell r="C125" t="str">
            <v>Dinberu,Eden</v>
          </cell>
          <cell r="D125" t="str">
            <v>FC109</v>
          </cell>
          <cell r="E125">
            <v>0.33263888888888887</v>
          </cell>
          <cell r="G125" t="str">
            <v>P</v>
          </cell>
        </row>
        <row r="126">
          <cell r="A126">
            <v>203709877</v>
          </cell>
          <cell r="B126" t="str">
            <v>Nyein,Ei Ei</v>
          </cell>
          <cell r="C126" t="str">
            <v>Dinberu,Eden</v>
          </cell>
          <cell r="D126" t="str">
            <v>FC034</v>
          </cell>
          <cell r="E126">
            <v>0.33333333333333331</v>
          </cell>
          <cell r="G126" t="str">
            <v>P</v>
          </cell>
        </row>
        <row r="127">
          <cell r="A127">
            <v>203709876</v>
          </cell>
          <cell r="B127" t="str">
            <v>Me Ko,Khin Me</v>
          </cell>
          <cell r="C127" t="str">
            <v>Dinberu,Eden</v>
          </cell>
          <cell r="D127" t="str">
            <v>FC009</v>
          </cell>
          <cell r="E127">
            <v>0.33194444444444443</v>
          </cell>
          <cell r="G127" t="str">
            <v>P</v>
          </cell>
        </row>
        <row r="128">
          <cell r="A128">
            <v>204868706</v>
          </cell>
          <cell r="B128" t="str">
            <v>AMOAKO,SAMUEL</v>
          </cell>
          <cell r="C128" t="str">
            <v>Ansari,Ammar Abdullah</v>
          </cell>
          <cell r="D128" t="str">
            <v>FC134</v>
          </cell>
          <cell r="E128">
            <v>0.33263888888888887</v>
          </cell>
          <cell r="G128" t="str">
            <v>P</v>
          </cell>
        </row>
        <row r="129">
          <cell r="A129">
            <v>203816296</v>
          </cell>
          <cell r="B129" t="str">
            <v>Male,Muhammed Kiwanuka</v>
          </cell>
          <cell r="C129" t="str">
            <v>Meera,Bava Bahrudeen</v>
          </cell>
          <cell r="D129" t="str">
            <v>FC134</v>
          </cell>
          <cell r="E129">
            <v>0.33124999999999999</v>
          </cell>
          <cell r="G129" t="str">
            <v>P</v>
          </cell>
        </row>
        <row r="130">
          <cell r="A130">
            <v>203993306</v>
          </cell>
          <cell r="B130" t="str">
            <v>Asante,Comfort</v>
          </cell>
          <cell r="C130" t="str">
            <v>Narshad,Muhammad Ashik</v>
          </cell>
          <cell r="D130" t="str">
            <v>FC034</v>
          </cell>
          <cell r="E130">
            <v>0.33263888888888887</v>
          </cell>
          <cell r="G130" t="str">
            <v>P</v>
          </cell>
        </row>
        <row r="131">
          <cell r="A131">
            <v>203816295</v>
          </cell>
          <cell r="B131" t="str">
            <v>Jingo,Posible</v>
          </cell>
          <cell r="C131" t="str">
            <v>Nahla,Fathimathul</v>
          </cell>
          <cell r="D131" t="str">
            <v>FC009</v>
          </cell>
          <cell r="E131">
            <v>0.33263888888888887</v>
          </cell>
          <cell r="G131" t="str">
            <v>P</v>
          </cell>
        </row>
        <row r="132">
          <cell r="A132">
            <v>202334276</v>
          </cell>
          <cell r="B132" t="str">
            <v>Kamara,John</v>
          </cell>
          <cell r="C132" t="str">
            <v>Singh,Pardeep</v>
          </cell>
          <cell r="D132" t="str">
            <v>FC159</v>
          </cell>
          <cell r="E132">
            <v>0.33124999999999999</v>
          </cell>
          <cell r="G132" t="str">
            <v>P</v>
          </cell>
        </row>
        <row r="133">
          <cell r="A133">
            <v>203851103</v>
          </cell>
          <cell r="B133" t="str">
            <v>Tucker,Ajenical Baby</v>
          </cell>
          <cell r="C133" t="str">
            <v>Lakkireddy,Sai Raghavendra Reddy</v>
          </cell>
          <cell r="D133" t="str">
            <v>FC109</v>
          </cell>
          <cell r="E133">
            <v>0.33333333333333331</v>
          </cell>
          <cell r="G133" t="str">
            <v>P</v>
          </cell>
        </row>
        <row r="134">
          <cell r="A134">
            <v>205996683</v>
          </cell>
          <cell r="B134" t="str">
            <v>MAFOR UNABI,CHANTAL</v>
          </cell>
          <cell r="C134" t="str">
            <v>Dinberu,Eden</v>
          </cell>
          <cell r="D134" t="str">
            <v>FC109</v>
          </cell>
          <cell r="E134">
            <v>0.33194444444444443</v>
          </cell>
          <cell r="G134" t="str">
            <v>P</v>
          </cell>
        </row>
        <row r="135">
          <cell r="A135">
            <v>203800382</v>
          </cell>
          <cell r="B135" t="str">
            <v>ABAASA,AMON</v>
          </cell>
          <cell r="C135" t="str">
            <v>Sohail,Anis</v>
          </cell>
          <cell r="D135" t="str">
            <v>FC159</v>
          </cell>
          <cell r="E135">
            <v>0.33194444444444443</v>
          </cell>
          <cell r="G135" t="str">
            <v>P</v>
          </cell>
        </row>
        <row r="136">
          <cell r="A136">
            <v>205996686</v>
          </cell>
          <cell r="B136" t="str">
            <v>TIMAH,FELICIA</v>
          </cell>
          <cell r="C136" t="str">
            <v>Dinberu,Eden</v>
          </cell>
          <cell r="D136" t="str">
            <v>FC159</v>
          </cell>
          <cell r="E136">
            <v>0.33263888888888887</v>
          </cell>
          <cell r="G136" t="str">
            <v>P</v>
          </cell>
        </row>
        <row r="137">
          <cell r="A137">
            <v>102206211</v>
          </cell>
          <cell r="B137" t="str">
            <v>Adil,Muhammad</v>
          </cell>
          <cell r="C137" t="str">
            <v>Sohail,Anis</v>
          </cell>
          <cell r="D137" t="str">
            <v>FC034</v>
          </cell>
          <cell r="E137">
            <v>0.33124999999999999</v>
          </cell>
          <cell r="G137" t="str">
            <v>P</v>
          </cell>
        </row>
        <row r="138">
          <cell r="A138">
            <v>203800383</v>
          </cell>
          <cell r="B138" t="str">
            <v>KIWANUKA,GEORGE WILLIAM</v>
          </cell>
          <cell r="C138" t="str">
            <v>Katyal,Varun</v>
          </cell>
          <cell r="D138" t="str">
            <v>FC109</v>
          </cell>
          <cell r="E138">
            <v>0.33194444444444443</v>
          </cell>
          <cell r="G138" t="str">
            <v>P</v>
          </cell>
        </row>
        <row r="139">
          <cell r="A139">
            <v>203469404</v>
          </cell>
          <cell r="B139" t="str">
            <v>Mwebe,Musa Nkata</v>
          </cell>
          <cell r="C139" t="str">
            <v>Meera,Bava Bahrudeen</v>
          </cell>
          <cell r="D139" t="str">
            <v>FC034</v>
          </cell>
          <cell r="E139">
            <v>0.33194444444444443</v>
          </cell>
          <cell r="G139" t="str">
            <v>P</v>
          </cell>
        </row>
        <row r="140">
          <cell r="A140">
            <v>203851101</v>
          </cell>
          <cell r="B140" t="str">
            <v>Adusah,Prince Kwako</v>
          </cell>
          <cell r="C140" t="str">
            <v>Narshad,Muhammad Ashik</v>
          </cell>
          <cell r="D140" t="str">
            <v>FC034</v>
          </cell>
          <cell r="E140">
            <v>0.33124999999999999</v>
          </cell>
          <cell r="G140" t="str">
            <v>P</v>
          </cell>
        </row>
        <row r="141">
          <cell r="A141">
            <v>203850934</v>
          </cell>
          <cell r="B141" t="str">
            <v>Odoom,Emmanuel</v>
          </cell>
          <cell r="C141" t="str">
            <v>Dinberu,Eden</v>
          </cell>
          <cell r="D141" t="str">
            <v>FC134</v>
          </cell>
          <cell r="E141">
            <v>0.33194444444444443</v>
          </cell>
          <cell r="G141" t="str">
            <v>P</v>
          </cell>
        </row>
        <row r="142">
          <cell r="A142">
            <v>204890367</v>
          </cell>
          <cell r="B142" t="str">
            <v>MUGISHA,ANDREW</v>
          </cell>
          <cell r="C142" t="str">
            <v>Nahla,Fathimathul</v>
          </cell>
          <cell r="D142" t="str">
            <v>FC134</v>
          </cell>
          <cell r="E142">
            <v>0.33194444444444443</v>
          </cell>
          <cell r="G142" t="str">
            <v>P</v>
          </cell>
        </row>
        <row r="143">
          <cell r="A143">
            <v>203850935</v>
          </cell>
          <cell r="B143" t="str">
            <v>Ndlovu,Phumuzile</v>
          </cell>
          <cell r="C143" t="str">
            <v>Meera,Bava Bahrudeen</v>
          </cell>
          <cell r="D143" t="str">
            <v>FC034</v>
          </cell>
          <cell r="E143">
            <v>0.33124999999999999</v>
          </cell>
          <cell r="G143" t="str">
            <v>P</v>
          </cell>
        </row>
        <row r="144">
          <cell r="A144">
            <v>204373675</v>
          </cell>
          <cell r="B144" t="str">
            <v>Kutty,Hisham hashim Hashimon Essa</v>
          </cell>
          <cell r="C144" t="str">
            <v>Sohail,Anis</v>
          </cell>
          <cell r="D144" t="str">
            <v>FC009</v>
          </cell>
          <cell r="E144">
            <v>0.33263888888888887</v>
          </cell>
          <cell r="G144" t="str">
            <v>P</v>
          </cell>
        </row>
        <row r="145">
          <cell r="A145">
            <v>203468317</v>
          </cell>
          <cell r="B145" t="str">
            <v>Adom,David Benjamin</v>
          </cell>
          <cell r="C145" t="str">
            <v>Almarzooqi,Abbas</v>
          </cell>
          <cell r="D145" t="str">
            <v>FC109</v>
          </cell>
          <cell r="E145">
            <v>0.33333333333333331</v>
          </cell>
          <cell r="G145" t="str">
            <v>P</v>
          </cell>
        </row>
        <row r="146">
          <cell r="A146">
            <v>203469406</v>
          </cell>
          <cell r="B146" t="str">
            <v>NCUBE,SILETHEMBA</v>
          </cell>
          <cell r="C146" t="str">
            <v>Meera,Bava Bahrudeen</v>
          </cell>
          <cell r="D146" t="str">
            <v>FC134</v>
          </cell>
          <cell r="E146">
            <v>0.33333333333333331</v>
          </cell>
          <cell r="G146" t="str">
            <v>P</v>
          </cell>
        </row>
        <row r="147">
          <cell r="A147">
            <v>203850930</v>
          </cell>
          <cell r="B147" t="str">
            <v>Mustapha,Aminatu Korkor</v>
          </cell>
          <cell r="C147" t="str">
            <v>Dinberu,Eden</v>
          </cell>
          <cell r="D147" t="str">
            <v>FC109</v>
          </cell>
          <cell r="E147">
            <v>0.33263888888888887</v>
          </cell>
          <cell r="G147" t="str">
            <v>P</v>
          </cell>
        </row>
        <row r="148">
          <cell r="A148">
            <v>203850932</v>
          </cell>
          <cell r="B148" t="str">
            <v>Ayumu,Doreen Demor</v>
          </cell>
          <cell r="C148" t="str">
            <v>Dinberu,Eden</v>
          </cell>
          <cell r="D148" t="str">
            <v>FC109</v>
          </cell>
          <cell r="E148">
            <v>0.33263888888888887</v>
          </cell>
          <cell r="G148" t="str">
            <v>P</v>
          </cell>
        </row>
        <row r="149">
          <cell r="A149">
            <v>204072302</v>
          </cell>
          <cell r="B149" t="str">
            <v>KIBENGO,HARUNAH</v>
          </cell>
          <cell r="C149" t="str">
            <v>Lakkireddy,Sai Raghavendra Reddy</v>
          </cell>
          <cell r="D149" t="str">
            <v>FC134</v>
          </cell>
          <cell r="E149">
            <v>0.33194444444444443</v>
          </cell>
          <cell r="G149" t="str">
            <v>P</v>
          </cell>
        </row>
        <row r="150">
          <cell r="A150">
            <v>204072305</v>
          </cell>
          <cell r="B150" t="str">
            <v>SHRESTHA,PRADHUMNA</v>
          </cell>
          <cell r="C150" t="str">
            <v>Ansari,Ammar Abdullah</v>
          </cell>
          <cell r="D150" t="str">
            <v>FC009</v>
          </cell>
          <cell r="E150">
            <v>0.33055555555555555</v>
          </cell>
          <cell r="G150" t="str">
            <v>P</v>
          </cell>
        </row>
        <row r="151">
          <cell r="A151">
            <v>203850938</v>
          </cell>
          <cell r="B151" t="str">
            <v>Abudu,Mary</v>
          </cell>
          <cell r="C151" t="str">
            <v>Dinberu,Eden</v>
          </cell>
          <cell r="D151" t="str">
            <v>FC109</v>
          </cell>
          <cell r="E151">
            <v>0.33194444444444443</v>
          </cell>
          <cell r="G151" t="str">
            <v>P</v>
          </cell>
        </row>
        <row r="152">
          <cell r="A152">
            <v>203709884</v>
          </cell>
          <cell r="B152" t="str">
            <v>Soe,Yamin Kyaw</v>
          </cell>
          <cell r="C152" t="str">
            <v>Dinberu,Eden</v>
          </cell>
          <cell r="D152" t="str">
            <v>FC034</v>
          </cell>
          <cell r="E152">
            <v>0.33194444444444443</v>
          </cell>
          <cell r="G152" t="str">
            <v>P</v>
          </cell>
        </row>
        <row r="153">
          <cell r="A153">
            <v>204072306</v>
          </cell>
          <cell r="B153" t="str">
            <v>NASASIRA,JOHN</v>
          </cell>
          <cell r="C153" t="str">
            <v>Ansari,Ammar Abdullah</v>
          </cell>
          <cell r="D153" t="str">
            <v>FC134</v>
          </cell>
          <cell r="E153">
            <v>0.33263888888888887</v>
          </cell>
          <cell r="G153" t="str">
            <v>P</v>
          </cell>
        </row>
        <row r="154">
          <cell r="A154">
            <v>203709883</v>
          </cell>
          <cell r="B154" t="str">
            <v>Min Oo,Ye</v>
          </cell>
          <cell r="C154" t="str">
            <v>Dinberu,Eden</v>
          </cell>
          <cell r="D154" t="str">
            <v>FC134</v>
          </cell>
          <cell r="E154">
            <v>0.33055555555555555</v>
          </cell>
          <cell r="G154" t="str">
            <v>P</v>
          </cell>
        </row>
        <row r="155">
          <cell r="A155">
            <v>204880567</v>
          </cell>
          <cell r="B155" t="str">
            <v>MANSARAY,EDWARD IBRAHIM</v>
          </cell>
          <cell r="C155" t="str">
            <v>Katyal,Varun</v>
          </cell>
          <cell r="D155" t="str">
            <v>FC109</v>
          </cell>
          <cell r="E155">
            <v>0.33263888888888887</v>
          </cell>
          <cell r="G155" t="str">
            <v>P</v>
          </cell>
        </row>
        <row r="156">
          <cell r="A156">
            <v>205977111</v>
          </cell>
          <cell r="B156" t="str">
            <v>MPANDE,ALEX</v>
          </cell>
          <cell r="C156" t="str">
            <v>Singh,Pardeep</v>
          </cell>
          <cell r="D156" t="str">
            <v>FC134</v>
          </cell>
          <cell r="E156">
            <v>0.33194444444444443</v>
          </cell>
          <cell r="G156" t="str">
            <v>P</v>
          </cell>
        </row>
        <row r="157">
          <cell r="A157">
            <v>203800379</v>
          </cell>
          <cell r="B157" t="str">
            <v>MAVUGA,ZAIDI</v>
          </cell>
          <cell r="C157" t="str">
            <v>Nahla,Fathimathul</v>
          </cell>
          <cell r="D157" t="str">
            <v>FC009</v>
          </cell>
          <cell r="E157">
            <v>0.33194444444444443</v>
          </cell>
          <cell r="G157" t="str">
            <v>P</v>
          </cell>
        </row>
        <row r="158">
          <cell r="A158">
            <v>206015673</v>
          </cell>
          <cell r="B158" t="str">
            <v>Ikome Mbah,Harikia</v>
          </cell>
          <cell r="C158" t="str">
            <v>Sohail,Anis</v>
          </cell>
          <cell r="D158" t="str">
            <v>FC034</v>
          </cell>
          <cell r="E158">
            <v>0.33124999999999999</v>
          </cell>
          <cell r="G158" t="str">
            <v>P</v>
          </cell>
        </row>
        <row r="159">
          <cell r="A159">
            <v>203800377</v>
          </cell>
          <cell r="B159" t="str">
            <v>TUHAISE,TOM</v>
          </cell>
          <cell r="C159" t="str">
            <v>Meera,Bava Bahrudeen</v>
          </cell>
          <cell r="D159" t="str">
            <v>FC109</v>
          </cell>
          <cell r="E159">
            <v>0.33263888888888887</v>
          </cell>
          <cell r="G159" t="str">
            <v>P</v>
          </cell>
        </row>
        <row r="160">
          <cell r="A160">
            <v>203800376</v>
          </cell>
          <cell r="B160" t="str">
            <v>KIWANUKA,ABDU RASHID</v>
          </cell>
          <cell r="C160" t="str">
            <v>Sohail,Anis</v>
          </cell>
          <cell r="D160" t="str">
            <v>FC134</v>
          </cell>
          <cell r="E160">
            <v>0.33194444444444443</v>
          </cell>
          <cell r="G160" t="str">
            <v>P</v>
          </cell>
        </row>
        <row r="161">
          <cell r="A161">
            <v>205839585</v>
          </cell>
          <cell r="B161" t="str">
            <v>KIBALAMA,FAROUK</v>
          </cell>
          <cell r="C161" t="str">
            <v>Thomas,Binil</v>
          </cell>
          <cell r="D161" t="str">
            <v>FC009</v>
          </cell>
          <cell r="E161">
            <v>0.33194444444444443</v>
          </cell>
          <cell r="G161" t="str">
            <v>P</v>
          </cell>
        </row>
        <row r="162">
          <cell r="A162">
            <v>203965409</v>
          </cell>
          <cell r="B162" t="str">
            <v>Amankwah Buabeng,Emmanuel</v>
          </cell>
          <cell r="C162" t="str">
            <v>Lakkireddy,Sai Raghavendra Reddy</v>
          </cell>
          <cell r="D162" t="str">
            <v>FC159</v>
          </cell>
          <cell r="E162">
            <v>0.33124999999999999</v>
          </cell>
          <cell r="G162" t="str">
            <v>P</v>
          </cell>
        </row>
        <row r="163">
          <cell r="A163">
            <v>203800374</v>
          </cell>
          <cell r="B163" t="str">
            <v>MBUSA,NATHAN BAGHENDA</v>
          </cell>
          <cell r="C163" t="str">
            <v>Katyal,Varun</v>
          </cell>
          <cell r="D163" t="str">
            <v>FC009</v>
          </cell>
          <cell r="E163">
            <v>0.33263888888888887</v>
          </cell>
          <cell r="G163" t="str">
            <v>P</v>
          </cell>
        </row>
        <row r="164">
          <cell r="A164">
            <v>206846535</v>
          </cell>
          <cell r="B164" t="str">
            <v>BRIAN,TUGUME</v>
          </cell>
          <cell r="C164" t="str">
            <v>elrashid,Hassan</v>
          </cell>
          <cell r="D164" t="str">
            <v>FC009</v>
          </cell>
          <cell r="E164">
            <v>0.33263888888888887</v>
          </cell>
          <cell r="G164" t="str">
            <v>P</v>
          </cell>
        </row>
        <row r="165">
          <cell r="A165">
            <v>203881662</v>
          </cell>
          <cell r="B165" t="str">
            <v>Dramani,Prince</v>
          </cell>
          <cell r="C165" t="str">
            <v>Ansari,Ammar Abdullah</v>
          </cell>
          <cell r="D165" t="str">
            <v>FC034</v>
          </cell>
          <cell r="E165">
            <v>0.33194444444444443</v>
          </cell>
          <cell r="G165" t="str">
            <v>P</v>
          </cell>
        </row>
        <row r="166">
          <cell r="A166">
            <v>203965523</v>
          </cell>
          <cell r="B166" t="str">
            <v>Kwaku Boateng,Prosper</v>
          </cell>
          <cell r="C166" t="str">
            <v>Katyal,Varun</v>
          </cell>
          <cell r="D166" t="str">
            <v>FC034</v>
          </cell>
          <cell r="E166">
            <v>0.33124999999999999</v>
          </cell>
          <cell r="G166" t="str">
            <v>P</v>
          </cell>
        </row>
        <row r="167">
          <cell r="A167">
            <v>206915474</v>
          </cell>
          <cell r="B167" t="str">
            <v>KABUYE,DERRICK</v>
          </cell>
          <cell r="C167" t="str">
            <v>Scaria,Varghese</v>
          </cell>
          <cell r="D167" t="str">
            <v>FC159</v>
          </cell>
          <cell r="E167">
            <v>0.33055555555555555</v>
          </cell>
          <cell r="G167" t="str">
            <v>P</v>
          </cell>
        </row>
        <row r="168">
          <cell r="A168">
            <v>203965524</v>
          </cell>
          <cell r="B168" t="str">
            <v>Adu,Bright</v>
          </cell>
          <cell r="C168" t="str">
            <v>Almarzooqi,Abbas</v>
          </cell>
          <cell r="D168" t="str">
            <v>FC009</v>
          </cell>
          <cell r="E168">
            <v>0.33194444444444443</v>
          </cell>
          <cell r="G168" t="str">
            <v>P</v>
          </cell>
        </row>
        <row r="169">
          <cell r="A169">
            <v>203965406</v>
          </cell>
          <cell r="B169" t="str">
            <v>Kwaasi Aswireng,Peter</v>
          </cell>
          <cell r="C169" t="str">
            <v>Narshad,Muhammad Ashik</v>
          </cell>
          <cell r="D169" t="str">
            <v>FC109</v>
          </cell>
          <cell r="E169">
            <v>0.33194444444444443</v>
          </cell>
          <cell r="G169" t="str">
            <v>P</v>
          </cell>
        </row>
        <row r="170">
          <cell r="A170">
            <v>203735944</v>
          </cell>
          <cell r="B170" t="str">
            <v>WASSWA,MOSES</v>
          </cell>
          <cell r="C170" t="str">
            <v>Nahla,Fathimathul</v>
          </cell>
          <cell r="D170" t="str">
            <v>FC009</v>
          </cell>
          <cell r="E170">
            <v>0.33124999999999999</v>
          </cell>
          <cell r="G170" t="str">
            <v>P</v>
          </cell>
        </row>
        <row r="171">
          <cell r="A171">
            <v>203965176</v>
          </cell>
          <cell r="B171" t="str">
            <v>Agyemang,Freduah</v>
          </cell>
          <cell r="C171" t="str">
            <v>Lakkireddy,Sai Raghavendra Reddy</v>
          </cell>
          <cell r="D171" t="str">
            <v>FC034</v>
          </cell>
          <cell r="E171">
            <v>0.33333333333333331</v>
          </cell>
          <cell r="G171" t="str">
            <v>P</v>
          </cell>
        </row>
        <row r="172">
          <cell r="A172">
            <v>206200000</v>
          </cell>
          <cell r="B172" t="str">
            <v>TYSON ANCHE NGWAFONG,MAC</v>
          </cell>
          <cell r="C172" t="str">
            <v>elrashid,Hassan</v>
          </cell>
          <cell r="D172" t="str">
            <v>FC134</v>
          </cell>
          <cell r="E172">
            <v>0.33124999999999999</v>
          </cell>
          <cell r="G172" t="str">
            <v>P</v>
          </cell>
        </row>
        <row r="173">
          <cell r="A173">
            <v>205853886</v>
          </cell>
          <cell r="B173" t="str">
            <v>MUGWANYA,SHARIFU ALI</v>
          </cell>
          <cell r="C173" t="str">
            <v>Ansari,Ammar Abdullah</v>
          </cell>
          <cell r="D173" t="str">
            <v>FC009</v>
          </cell>
          <cell r="E173">
            <v>0.33124999999999999</v>
          </cell>
          <cell r="G173" t="str">
            <v>P</v>
          </cell>
        </row>
        <row r="174">
          <cell r="A174">
            <v>201204303</v>
          </cell>
          <cell r="B174" t="str">
            <v>Nuamah,Sampson</v>
          </cell>
          <cell r="C174" t="str">
            <v>Ansari,Ammar Abdullah</v>
          </cell>
          <cell r="D174" t="str">
            <v>FC134</v>
          </cell>
          <cell r="E174">
            <v>0.33124999999999999</v>
          </cell>
          <cell r="G174" t="str">
            <v>P</v>
          </cell>
        </row>
        <row r="175">
          <cell r="A175">
            <v>206148779</v>
          </cell>
          <cell r="B175" t="str">
            <v>Nako Petiafo,Theresa</v>
          </cell>
          <cell r="C175" t="str">
            <v>Dinberu,Eden</v>
          </cell>
          <cell r="D175" t="str">
            <v>FC009</v>
          </cell>
          <cell r="E175">
            <v>0.33194444444444443</v>
          </cell>
          <cell r="G175" t="str">
            <v>P</v>
          </cell>
        </row>
        <row r="176">
          <cell r="A176">
            <v>203965177</v>
          </cell>
          <cell r="B176" t="str">
            <v>STANLEY DEGLE,JOSHUA</v>
          </cell>
          <cell r="C176" t="str">
            <v>elrashid,Hassan</v>
          </cell>
          <cell r="D176" t="str">
            <v>FC134</v>
          </cell>
          <cell r="E176">
            <v>0.33055555555555555</v>
          </cell>
          <cell r="G176" t="str">
            <v>P</v>
          </cell>
        </row>
        <row r="177">
          <cell r="A177">
            <v>203469060</v>
          </cell>
          <cell r="B177" t="str">
            <v>manjengwa,Grace</v>
          </cell>
          <cell r="C177" t="str">
            <v>Sohail,Anis</v>
          </cell>
          <cell r="D177" t="str">
            <v>FC109</v>
          </cell>
          <cell r="E177">
            <v>0.33124999999999999</v>
          </cell>
          <cell r="G177" t="str">
            <v>P</v>
          </cell>
        </row>
        <row r="178">
          <cell r="A178">
            <v>205647585</v>
          </cell>
          <cell r="B178" t="str">
            <v>Sentongo,Shafik</v>
          </cell>
          <cell r="C178" t="str">
            <v>Meera,Bava Bahrudeen</v>
          </cell>
          <cell r="D178" t="str">
            <v>FC009</v>
          </cell>
          <cell r="E178">
            <v>0.33055555555555555</v>
          </cell>
          <cell r="G178" t="str">
            <v>P</v>
          </cell>
        </row>
        <row r="179">
          <cell r="A179">
            <v>206200800</v>
          </cell>
          <cell r="B179" t="str">
            <v>Mike,Ssebamobe</v>
          </cell>
          <cell r="C179" t="str">
            <v>elrashid,Hassan</v>
          </cell>
          <cell r="D179" t="str">
            <v>FC034</v>
          </cell>
          <cell r="E179">
            <v>0.33124999999999999</v>
          </cell>
          <cell r="G179" t="str">
            <v>P</v>
          </cell>
        </row>
        <row r="180">
          <cell r="A180">
            <v>204975662</v>
          </cell>
          <cell r="B180" t="str">
            <v>Islam,Mehebub</v>
          </cell>
          <cell r="C180" t="str">
            <v>Lakkireddy,Sai Raghavendra Reddy</v>
          </cell>
          <cell r="D180" t="str">
            <v>FC009</v>
          </cell>
          <cell r="E180">
            <v>0.33124999999999999</v>
          </cell>
          <cell r="G180" t="str">
            <v>P</v>
          </cell>
        </row>
        <row r="181">
          <cell r="A181">
            <v>104033277</v>
          </cell>
          <cell r="B181" t="str">
            <v>Abdul Sattar,Muhammad Zahid Khan</v>
          </cell>
          <cell r="C181" t="str">
            <v>Ansari,Ammar Abdullah</v>
          </cell>
          <cell r="D181" t="str">
            <v>FC034</v>
          </cell>
          <cell r="E181">
            <v>0.32361111111111113</v>
          </cell>
          <cell r="G181" t="str">
            <v>P</v>
          </cell>
        </row>
        <row r="182">
          <cell r="A182">
            <v>205997632</v>
          </cell>
          <cell r="B182" t="str">
            <v>YUOH GHEA,NAOMI</v>
          </cell>
          <cell r="C182" t="str">
            <v>Ansari,Ammar Abdullah</v>
          </cell>
          <cell r="D182" t="str">
            <v>FC159</v>
          </cell>
          <cell r="E182">
            <v>0.33194444444444443</v>
          </cell>
          <cell r="G182" t="str">
            <v>P</v>
          </cell>
        </row>
        <row r="183">
          <cell r="A183">
            <v>206348033</v>
          </cell>
          <cell r="B183" t="str">
            <v>ESI RAMSON,BENEDICTA</v>
          </cell>
          <cell r="C183" t="str">
            <v>Dinberu,Eden</v>
          </cell>
          <cell r="D183" t="str">
            <v>FC034</v>
          </cell>
          <cell r="E183">
            <v>0.33124999999999999</v>
          </cell>
          <cell r="G183" t="str">
            <v>P</v>
          </cell>
        </row>
        <row r="184">
          <cell r="A184">
            <v>203342654</v>
          </cell>
          <cell r="B184" t="str">
            <v>TAMPA,CARINTINE</v>
          </cell>
          <cell r="C184" t="str">
            <v>Lakkireddy,Sai Raghavendra Reddy</v>
          </cell>
          <cell r="D184" t="str">
            <v>FC034</v>
          </cell>
          <cell r="E184">
            <v>0.33194444444444443</v>
          </cell>
          <cell r="G184" t="str">
            <v>P</v>
          </cell>
        </row>
        <row r="185">
          <cell r="A185">
            <v>205997634</v>
          </cell>
          <cell r="B185" t="str">
            <v>OFORI,PRINCE</v>
          </cell>
          <cell r="C185" t="str">
            <v>Narshad,Muhammad Ashik</v>
          </cell>
          <cell r="D185" t="str">
            <v>FC159</v>
          </cell>
          <cell r="E185">
            <v>0.33194444444444443</v>
          </cell>
          <cell r="G185" t="str">
            <v>P</v>
          </cell>
        </row>
        <row r="186">
          <cell r="A186">
            <v>206348034</v>
          </cell>
          <cell r="B186" t="str">
            <v>MUDIMI WONIALA,MARTINE</v>
          </cell>
          <cell r="C186" t="str">
            <v>Dinberu,Eden</v>
          </cell>
          <cell r="D186" t="str">
            <v>FC109</v>
          </cell>
          <cell r="E186">
            <v>0.33333333333333331</v>
          </cell>
          <cell r="G186" t="str">
            <v>P</v>
          </cell>
        </row>
        <row r="187">
          <cell r="A187">
            <v>203851001</v>
          </cell>
          <cell r="B187" t="str">
            <v>Agbeviade,Mary</v>
          </cell>
          <cell r="C187" t="str">
            <v>Ansari,Ammar Abdullah</v>
          </cell>
          <cell r="D187" t="str">
            <v>FC034</v>
          </cell>
          <cell r="E187">
            <v>0.33194444444444443</v>
          </cell>
          <cell r="G187" t="str">
            <v>P</v>
          </cell>
        </row>
        <row r="188">
          <cell r="A188">
            <v>206915147</v>
          </cell>
          <cell r="B188" t="str">
            <v>AFEMA,FRANCIS</v>
          </cell>
          <cell r="C188" t="str">
            <v>Thomas,Binil</v>
          </cell>
          <cell r="D188" t="str">
            <v>FC159</v>
          </cell>
          <cell r="E188">
            <v>0.33124999999999999</v>
          </cell>
          <cell r="G188" t="str">
            <v>P</v>
          </cell>
        </row>
        <row r="189">
          <cell r="A189">
            <v>203737200</v>
          </cell>
          <cell r="B189" t="str">
            <v>KABANDA,HENRY PETER</v>
          </cell>
          <cell r="C189" t="str">
            <v>Singh,Pardeep</v>
          </cell>
          <cell r="D189" t="str">
            <v>FC134</v>
          </cell>
          <cell r="E189">
            <v>0.33124999999999999</v>
          </cell>
          <cell r="G189" t="str">
            <v>P</v>
          </cell>
        </row>
        <row r="190">
          <cell r="A190">
            <v>102582339</v>
          </cell>
          <cell r="B190" t="str">
            <v>FAZILUDEEN,NOUFAL</v>
          </cell>
          <cell r="C190" t="str">
            <v>Narshad,Muhammad Ashik</v>
          </cell>
          <cell r="D190" t="str">
            <v>FC109</v>
          </cell>
          <cell r="E190">
            <v>0.33263888888888887</v>
          </cell>
          <cell r="G190" t="str">
            <v>P</v>
          </cell>
        </row>
        <row r="191">
          <cell r="A191">
            <v>206953984</v>
          </cell>
          <cell r="B191" t="str">
            <v>KAMWATHENDO,DANIEL</v>
          </cell>
          <cell r="C191" t="str">
            <v>Sohail,Anis</v>
          </cell>
          <cell r="D191" t="str">
            <v>FC009</v>
          </cell>
          <cell r="E191">
            <v>0.33124999999999999</v>
          </cell>
          <cell r="G191" t="str">
            <v>P</v>
          </cell>
        </row>
        <row r="192">
          <cell r="A192">
            <v>205502952</v>
          </cell>
          <cell r="B192" t="str">
            <v>WANJIKU,LYDIA WANGARI</v>
          </cell>
          <cell r="C192" t="str">
            <v>Meera,Bava Bahrudeen</v>
          </cell>
          <cell r="D192" t="str">
            <v>FC134</v>
          </cell>
          <cell r="E192">
            <v>0.33263888888888887</v>
          </cell>
          <cell r="G192" t="str">
            <v>P</v>
          </cell>
        </row>
        <row r="193">
          <cell r="A193">
            <v>203555224</v>
          </cell>
          <cell r="B193" t="str">
            <v>Okine,Berylline Naa Ayeley</v>
          </cell>
          <cell r="C193" t="str">
            <v>Dinberu,Eden</v>
          </cell>
          <cell r="D193" t="str">
            <v>FC034</v>
          </cell>
          <cell r="E193">
            <v>0.33124999999999999</v>
          </cell>
          <cell r="G193" t="str">
            <v>P</v>
          </cell>
        </row>
        <row r="194">
          <cell r="A194">
            <v>204072301</v>
          </cell>
          <cell r="B194" t="str">
            <v>MUSINGUZI,GERALD</v>
          </cell>
          <cell r="C194" t="str">
            <v>Ansari,Ammar Abdullah</v>
          </cell>
          <cell r="D194" t="str">
            <v>FC134</v>
          </cell>
          <cell r="E194">
            <v>0.33263888888888887</v>
          </cell>
          <cell r="G194" t="str">
            <v>P</v>
          </cell>
        </row>
        <row r="195">
          <cell r="A195">
            <v>205236898</v>
          </cell>
          <cell r="B195" t="str">
            <v>KASSIM,MUKAILA</v>
          </cell>
          <cell r="C195" t="str">
            <v>Narshad,Muhammad Ashik</v>
          </cell>
          <cell r="D195" t="str">
            <v>FC009</v>
          </cell>
          <cell r="E195">
            <v>0.33194444444444443</v>
          </cell>
          <cell r="G195" t="str">
            <v>P</v>
          </cell>
        </row>
        <row r="196">
          <cell r="A196">
            <v>206072869</v>
          </cell>
          <cell r="B196" t="str">
            <v>Amengor,Eric</v>
          </cell>
          <cell r="C196" t="str">
            <v>Sohail,Anis</v>
          </cell>
          <cell r="D196" t="str">
            <v>FC009</v>
          </cell>
          <cell r="E196">
            <v>0.33055555555555555</v>
          </cell>
          <cell r="G196" t="str">
            <v>P</v>
          </cell>
        </row>
        <row r="197">
          <cell r="A197">
            <v>201536170</v>
          </cell>
          <cell r="B197" t="str">
            <v>Thullah,Saidu Brima</v>
          </cell>
          <cell r="C197" t="str">
            <v>Ansari,Ammar Abdullah</v>
          </cell>
          <cell r="D197" t="str">
            <v>FC009</v>
          </cell>
          <cell r="E197">
            <v>0.3347222222222222</v>
          </cell>
          <cell r="G197" t="str">
            <v>P</v>
          </cell>
        </row>
        <row r="198">
          <cell r="A198">
            <v>206072868</v>
          </cell>
          <cell r="B198" t="str">
            <v>Andoh,Gifty</v>
          </cell>
          <cell r="C198" t="str">
            <v>Singh,Pardeep</v>
          </cell>
          <cell r="D198" t="str">
            <v>FC134</v>
          </cell>
          <cell r="E198">
            <v>0.33124999999999999</v>
          </cell>
          <cell r="G198" t="str">
            <v>P</v>
          </cell>
        </row>
        <row r="199">
          <cell r="A199">
            <v>203469078</v>
          </cell>
          <cell r="B199" t="str">
            <v>Karugaba,johnpaul Jeckinz</v>
          </cell>
          <cell r="C199" t="str">
            <v>Sohail,Anis</v>
          </cell>
          <cell r="D199" t="str">
            <v>FC134</v>
          </cell>
          <cell r="E199">
            <v>0.33333333333333331</v>
          </cell>
          <cell r="G199" t="str">
            <v>P</v>
          </cell>
        </row>
        <row r="200">
          <cell r="A200">
            <v>204864796</v>
          </cell>
          <cell r="B200" t="str">
            <v>AKPAKA,CHARLES</v>
          </cell>
          <cell r="C200" t="str">
            <v>Ansari,Ammar Abdullah</v>
          </cell>
          <cell r="D200" t="str">
            <v>FC109</v>
          </cell>
          <cell r="E200">
            <v>0.33124999999999999</v>
          </cell>
          <cell r="G200" t="str">
            <v>P</v>
          </cell>
        </row>
        <row r="201">
          <cell r="A201">
            <v>204009672</v>
          </cell>
          <cell r="B201" t="str">
            <v>NEWAR,ANKIT</v>
          </cell>
          <cell r="C201" t="str">
            <v>Narshad,Muhammad Ashik</v>
          </cell>
          <cell r="D201" t="str">
            <v>FC009</v>
          </cell>
          <cell r="E201">
            <v>0.33124999999999999</v>
          </cell>
          <cell r="G201" t="str">
            <v>P</v>
          </cell>
        </row>
        <row r="202">
          <cell r="A202">
            <v>203993509</v>
          </cell>
          <cell r="B202" t="str">
            <v>NUWAHEREZA,FRANK</v>
          </cell>
          <cell r="C202" t="str">
            <v>Lakkireddy,Sai Raghavendra Reddy</v>
          </cell>
          <cell r="D202" t="str">
            <v>FC134</v>
          </cell>
          <cell r="E202">
            <v>0.33333333333333331</v>
          </cell>
          <cell r="G202" t="str">
            <v>P</v>
          </cell>
        </row>
        <row r="203">
          <cell r="A203">
            <v>204138500</v>
          </cell>
          <cell r="B203" t="str">
            <v>Asante,Emmanuel</v>
          </cell>
          <cell r="C203" t="str">
            <v>Narshad,Muhammad Ashik</v>
          </cell>
          <cell r="D203" t="str">
            <v>FC109</v>
          </cell>
          <cell r="E203">
            <v>0.33402777777777776</v>
          </cell>
          <cell r="G203" t="str">
            <v>P</v>
          </cell>
        </row>
        <row r="204">
          <cell r="A204">
            <v>206953972</v>
          </cell>
          <cell r="B204" t="str">
            <v>KIBUYE,JONATHAN MWESIGWA</v>
          </cell>
          <cell r="C204" t="str">
            <v>Sohail,Anis</v>
          </cell>
          <cell r="D204" t="str">
            <v>FC159</v>
          </cell>
          <cell r="E204">
            <v>0.33333333333333331</v>
          </cell>
          <cell r="G204" t="str">
            <v>P</v>
          </cell>
        </row>
        <row r="205">
          <cell r="A205">
            <v>204070590</v>
          </cell>
          <cell r="B205" t="str">
            <v>KIBUGA,GASTON</v>
          </cell>
          <cell r="C205" t="str">
            <v>Ansari,Ammar Abdullah</v>
          </cell>
          <cell r="D205" t="str">
            <v>FC034</v>
          </cell>
          <cell r="E205">
            <v>0.33194444444444443</v>
          </cell>
          <cell r="G205" t="str">
            <v>P</v>
          </cell>
        </row>
        <row r="206">
          <cell r="A206">
            <v>206953971</v>
          </cell>
          <cell r="B206" t="str">
            <v>LWANGA,MARTIN GOSHEN</v>
          </cell>
          <cell r="C206" t="str">
            <v>Meera,Bava Bahrudeen</v>
          </cell>
          <cell r="D206" t="str">
            <v>FC159</v>
          </cell>
          <cell r="E206">
            <v>0.33124999999999999</v>
          </cell>
          <cell r="G206" t="str">
            <v>P</v>
          </cell>
        </row>
        <row r="207">
          <cell r="A207">
            <v>206953974</v>
          </cell>
          <cell r="B207" t="str">
            <v>HARAWA,CHAWEZI GERESHOM</v>
          </cell>
          <cell r="C207" t="str">
            <v>Sohail,Anis</v>
          </cell>
          <cell r="D207" t="str">
            <v>FC109</v>
          </cell>
          <cell r="E207">
            <v>0.33333333333333331</v>
          </cell>
          <cell r="G207" t="str">
            <v>P</v>
          </cell>
        </row>
        <row r="208">
          <cell r="A208">
            <v>205495596</v>
          </cell>
          <cell r="B208" t="str">
            <v>KIPCHUMBA,COSMAS</v>
          </cell>
          <cell r="C208" t="str">
            <v>Katyal,Varun</v>
          </cell>
          <cell r="D208" t="str">
            <v>FC109</v>
          </cell>
          <cell r="E208">
            <v>0.33124999999999999</v>
          </cell>
          <cell r="G208" t="str">
            <v>P</v>
          </cell>
        </row>
        <row r="209">
          <cell r="A209">
            <v>203521425</v>
          </cell>
          <cell r="B209" t="str">
            <v>Sam,Isaac</v>
          </cell>
          <cell r="C209" t="str">
            <v>Almarzooqi,Abbas</v>
          </cell>
          <cell r="D209" t="str">
            <v>FC009</v>
          </cell>
          <cell r="E209">
            <v>0.33055555555555555</v>
          </cell>
          <cell r="G209" t="str">
            <v>P</v>
          </cell>
        </row>
        <row r="210">
          <cell r="A210">
            <v>206914994</v>
          </cell>
          <cell r="B210" t="str">
            <v>LAWRENCE,BUGGO</v>
          </cell>
          <cell r="C210" t="str">
            <v>Lakkireddy,Sai Raghavendra Reddy</v>
          </cell>
          <cell r="D210" t="str">
            <v>FC009</v>
          </cell>
          <cell r="E210">
            <v>0.33055555555555555</v>
          </cell>
          <cell r="G210" t="str">
            <v>P</v>
          </cell>
        </row>
        <row r="211">
          <cell r="A211">
            <v>206889908</v>
          </cell>
          <cell r="B211" t="str">
            <v>JEPLETING,RUTH</v>
          </cell>
          <cell r="C211" t="str">
            <v>Katyal,Varun</v>
          </cell>
          <cell r="D211" t="str">
            <v>FC134</v>
          </cell>
          <cell r="E211">
            <v>0.33124999999999999</v>
          </cell>
          <cell r="G211" t="str">
            <v>P</v>
          </cell>
        </row>
        <row r="212">
          <cell r="A212">
            <v>206897652</v>
          </cell>
          <cell r="B212" t="str">
            <v>WILLIAM SSEBUMPENJE,GEORGE</v>
          </cell>
          <cell r="C212" t="str">
            <v>Narshad,Muhammad Ashik</v>
          </cell>
          <cell r="D212" t="str">
            <v>LK014</v>
          </cell>
          <cell r="E212">
            <v>0.33194444444444443</v>
          </cell>
          <cell r="G212" t="str">
            <v>P</v>
          </cell>
        </row>
        <row r="213">
          <cell r="A213">
            <v>205495359</v>
          </cell>
          <cell r="B213" t="str">
            <v>NDISYA,FLORENCE NZULA</v>
          </cell>
          <cell r="C213" t="str">
            <v>Singh,Pardeep</v>
          </cell>
          <cell r="D213" t="str">
            <v>FC159</v>
          </cell>
          <cell r="E213">
            <v>0.33194444444444443</v>
          </cell>
          <cell r="G213" t="str">
            <v>P</v>
          </cell>
        </row>
        <row r="214">
          <cell r="A214">
            <v>203521427</v>
          </cell>
          <cell r="B214" t="str">
            <v>kamara,Gibrilla</v>
          </cell>
          <cell r="C214" t="str">
            <v>Singh,Pardeep</v>
          </cell>
          <cell r="D214" t="str">
            <v>FC009</v>
          </cell>
          <cell r="E214">
            <v>0.33194444444444443</v>
          </cell>
          <cell r="G214" t="str">
            <v>P</v>
          </cell>
        </row>
        <row r="215">
          <cell r="A215">
            <v>205845561</v>
          </cell>
          <cell r="B215" t="str">
            <v>SSEWANTE,TONNY</v>
          </cell>
          <cell r="C215" t="str">
            <v>Ansari,Ammar Abdullah</v>
          </cell>
          <cell r="D215" t="str">
            <v>FC034</v>
          </cell>
          <cell r="E215">
            <v>0.33124999999999999</v>
          </cell>
          <cell r="G215" t="str">
            <v>P</v>
          </cell>
        </row>
        <row r="216">
          <cell r="A216">
            <v>206890217</v>
          </cell>
          <cell r="B216" t="str">
            <v>JEPKIRUI,JANE</v>
          </cell>
          <cell r="C216" t="str">
            <v>Ansari,Ammar Abdullah</v>
          </cell>
          <cell r="D216" t="str">
            <v>FC159</v>
          </cell>
          <cell r="E216">
            <v>0.33124999999999999</v>
          </cell>
          <cell r="G216" t="str">
            <v>P</v>
          </cell>
        </row>
        <row r="217">
          <cell r="A217">
            <v>203964989</v>
          </cell>
          <cell r="B217" t="str">
            <v>Abdul Razak,Asarudeen</v>
          </cell>
          <cell r="C217" t="str">
            <v>Lakkireddy,Sai Raghavendra Reddy</v>
          </cell>
          <cell r="D217" t="str">
            <v>FC109</v>
          </cell>
          <cell r="E217">
            <v>0.33333333333333331</v>
          </cell>
          <cell r="G217" t="str">
            <v>P</v>
          </cell>
        </row>
        <row r="218">
          <cell r="A218">
            <v>203469449</v>
          </cell>
          <cell r="B218" t="str">
            <v>Boahen,Daniel</v>
          </cell>
          <cell r="C218" t="str">
            <v>Sohail,Anis</v>
          </cell>
          <cell r="D218" t="str">
            <v>FC009</v>
          </cell>
          <cell r="E218">
            <v>0.33124999999999999</v>
          </cell>
          <cell r="G218" t="str">
            <v>P</v>
          </cell>
        </row>
        <row r="219">
          <cell r="A219">
            <v>206953568</v>
          </cell>
          <cell r="B219" t="str">
            <v>Chepkirui,Violah</v>
          </cell>
          <cell r="C219" t="str">
            <v>Dinberu,Eden</v>
          </cell>
          <cell r="D219" t="str">
            <v>FC159</v>
          </cell>
          <cell r="E219">
            <v>0.33194444444444443</v>
          </cell>
          <cell r="G219" t="str">
            <v>P</v>
          </cell>
        </row>
        <row r="220">
          <cell r="A220">
            <v>203908351</v>
          </cell>
          <cell r="B220" t="str">
            <v>Mpaka,Kassim Hija</v>
          </cell>
          <cell r="C220" t="str">
            <v>elrashid,Hassan</v>
          </cell>
          <cell r="D220" t="str">
            <v>FC009</v>
          </cell>
          <cell r="E220">
            <v>0.3347222222222222</v>
          </cell>
          <cell r="G220" t="str">
            <v>P</v>
          </cell>
        </row>
        <row r="221">
          <cell r="A221">
            <v>204060922</v>
          </cell>
          <cell r="B221" t="str">
            <v>KATO,IVAN</v>
          </cell>
          <cell r="C221" t="str">
            <v>Ansari,Ammar Abdullah</v>
          </cell>
          <cell r="D221" t="str">
            <v>FC109</v>
          </cell>
          <cell r="E221">
            <v>0.33263888888888887</v>
          </cell>
          <cell r="G221" t="str">
            <v>P</v>
          </cell>
        </row>
        <row r="222">
          <cell r="A222">
            <v>203881596</v>
          </cell>
          <cell r="B222" t="str">
            <v>Tokpor,Maxwell</v>
          </cell>
          <cell r="C222" t="str">
            <v>Nahla,Fathimathul</v>
          </cell>
          <cell r="D222" t="str">
            <v>FC034</v>
          </cell>
          <cell r="E222">
            <v>0.33194444444444443</v>
          </cell>
          <cell r="G222" t="str">
            <v>P</v>
          </cell>
        </row>
        <row r="223">
          <cell r="A223">
            <v>106268319</v>
          </cell>
          <cell r="B223" t="str">
            <v>Plaza,Jemaisen Hermano Hermano</v>
          </cell>
          <cell r="C223" t="str">
            <v>Dinberu,Eden</v>
          </cell>
          <cell r="D223" t="str">
            <v>FC009</v>
          </cell>
          <cell r="E223">
            <v>0.33194444444444443</v>
          </cell>
          <cell r="G223" t="str">
            <v>P</v>
          </cell>
        </row>
        <row r="224">
          <cell r="A224">
            <v>203512951</v>
          </cell>
          <cell r="B224" t="str">
            <v>Saytue,Margretta Teta</v>
          </cell>
          <cell r="C224" t="str">
            <v>Ansari,Ammar Abdullah</v>
          </cell>
          <cell r="D224" t="str">
            <v>FC034</v>
          </cell>
          <cell r="E224">
            <v>0.33124999999999999</v>
          </cell>
          <cell r="G224" t="str">
            <v>P</v>
          </cell>
        </row>
        <row r="225">
          <cell r="A225">
            <v>202308467</v>
          </cell>
          <cell r="B225" t="str">
            <v>Oppong,Abraham</v>
          </cell>
          <cell r="C225" t="str">
            <v>Dinberu,Eden</v>
          </cell>
          <cell r="D225" t="str">
            <v>FC134</v>
          </cell>
          <cell r="E225">
            <v>0.33194444444444443</v>
          </cell>
          <cell r="G225" t="str">
            <v>P</v>
          </cell>
        </row>
        <row r="226">
          <cell r="A226">
            <v>106262694</v>
          </cell>
          <cell r="B226" t="str">
            <v>Gautam,Suresh</v>
          </cell>
          <cell r="C226" t="str">
            <v>Nahla,Fathimathul</v>
          </cell>
          <cell r="D226" t="str">
            <v>FC109</v>
          </cell>
          <cell r="E226">
            <v>0.33124999999999999</v>
          </cell>
          <cell r="G226" t="str">
            <v>P</v>
          </cell>
        </row>
        <row r="227">
          <cell r="A227">
            <v>206296194</v>
          </cell>
          <cell r="B227" t="str">
            <v>BWALYA,HELLEN tanasho</v>
          </cell>
          <cell r="C227" t="str">
            <v>Sohail,Anis</v>
          </cell>
          <cell r="D227" t="str">
            <v>FC109</v>
          </cell>
          <cell r="E227">
            <v>0.33263888888888887</v>
          </cell>
          <cell r="G227" t="str">
            <v>P</v>
          </cell>
        </row>
        <row r="228">
          <cell r="A228">
            <v>204864416</v>
          </cell>
          <cell r="B228" t="str">
            <v>ADARKWAH,NOAH</v>
          </cell>
          <cell r="C228" t="str">
            <v>Meera,Bava Bahrudeen</v>
          </cell>
          <cell r="D228" t="str">
            <v>FC134</v>
          </cell>
          <cell r="E228">
            <v>0.33263888888888887</v>
          </cell>
          <cell r="G228" t="str">
            <v>P</v>
          </cell>
        </row>
        <row r="229">
          <cell r="A229">
            <v>206930333</v>
          </cell>
          <cell r="B229" t="str">
            <v>WAMBUA,DIANA NDULU</v>
          </cell>
          <cell r="C229" t="str">
            <v>Thomas,Binil</v>
          </cell>
          <cell r="D229" t="str">
            <v>FC034</v>
          </cell>
          <cell r="E229">
            <v>0.33194444444444443</v>
          </cell>
          <cell r="G229" t="str">
            <v>P</v>
          </cell>
        </row>
        <row r="230">
          <cell r="A230">
            <v>206930336</v>
          </cell>
          <cell r="B230" t="str">
            <v>JEROP,FAITH</v>
          </cell>
          <cell r="C230" t="str">
            <v>Thomas,Binil</v>
          </cell>
          <cell r="D230" t="str">
            <v>FC109</v>
          </cell>
          <cell r="E230">
            <v>0.33124999999999999</v>
          </cell>
          <cell r="G230" t="str">
            <v>P</v>
          </cell>
        </row>
        <row r="231">
          <cell r="A231">
            <v>205848048</v>
          </cell>
          <cell r="B231" t="str">
            <v>MUREI,CHEPTOO ORBA</v>
          </cell>
          <cell r="C231" t="str">
            <v>Narshad,Muhammad Ashik</v>
          </cell>
          <cell r="D231" t="str">
            <v>FC109</v>
          </cell>
          <cell r="E231">
            <v>0.33194444444444443</v>
          </cell>
          <cell r="G231" t="str">
            <v>P</v>
          </cell>
        </row>
        <row r="232">
          <cell r="A232">
            <v>205848042</v>
          </cell>
          <cell r="B232" t="str">
            <v>KORIR,CAROLINE JELIMO</v>
          </cell>
          <cell r="C232" t="str">
            <v>Lakkireddy,Sai Raghavendra Reddy</v>
          </cell>
          <cell r="D232" t="str">
            <v>FC034</v>
          </cell>
          <cell r="E232">
            <v>0.33194444444444443</v>
          </cell>
          <cell r="G232" t="str">
            <v>P</v>
          </cell>
        </row>
        <row r="233">
          <cell r="A233">
            <v>102865829</v>
          </cell>
          <cell r="B233" t="str">
            <v>Tunay,Jayson Torres</v>
          </cell>
          <cell r="C233" t="str">
            <v>Ansari,Ammar Abdullah</v>
          </cell>
          <cell r="D233" t="str">
            <v>FC109</v>
          </cell>
          <cell r="E233">
            <v>0.32777777777777778</v>
          </cell>
          <cell r="G233" t="str">
            <v>P</v>
          </cell>
        </row>
        <row r="234">
          <cell r="A234">
            <v>206890213</v>
          </cell>
          <cell r="B234" t="str">
            <v>KIPCHUMBA,BRIAN</v>
          </cell>
          <cell r="C234" t="str">
            <v>Ansari,Ammar Abdullah</v>
          </cell>
          <cell r="D234" t="str">
            <v>FC159</v>
          </cell>
          <cell r="E234">
            <v>0.33333333333333331</v>
          </cell>
          <cell r="G234" t="str">
            <v>P</v>
          </cell>
        </row>
        <row r="235">
          <cell r="A235">
            <v>203512946</v>
          </cell>
          <cell r="B235" t="str">
            <v>Mawusi,Priscilla</v>
          </cell>
          <cell r="C235" t="str">
            <v>Ansari,Ammar Abdullah</v>
          </cell>
          <cell r="D235" t="str">
            <v>FC009</v>
          </cell>
          <cell r="E235">
            <v>0.33194444444444443</v>
          </cell>
          <cell r="G235" t="str">
            <v>P</v>
          </cell>
        </row>
        <row r="236">
          <cell r="A236">
            <v>206072090</v>
          </cell>
          <cell r="B236" t="str">
            <v>ASAMOAH,BENJAMIN</v>
          </cell>
          <cell r="C236" t="str">
            <v>Lakkireddy,Sai Raghavendra Reddy</v>
          </cell>
          <cell r="D236" t="str">
            <v>FC009</v>
          </cell>
          <cell r="E236">
            <v>0.33333333333333331</v>
          </cell>
          <cell r="G236" t="str">
            <v>P</v>
          </cell>
        </row>
        <row r="237">
          <cell r="A237">
            <v>205236908</v>
          </cell>
          <cell r="B237" t="str">
            <v>ADADE,JAMES</v>
          </cell>
          <cell r="C237" t="str">
            <v>Singh,Pardeep</v>
          </cell>
          <cell r="D237" t="str">
            <v>FC134</v>
          </cell>
          <cell r="E237">
            <v>0.33194444444444443</v>
          </cell>
          <cell r="G237" t="str">
            <v>P</v>
          </cell>
        </row>
        <row r="238">
          <cell r="A238">
            <v>102865821</v>
          </cell>
          <cell r="B238" t="str">
            <v>Yumang,Mike Leewee</v>
          </cell>
          <cell r="C238" t="str">
            <v>Tolentino,Rida</v>
          </cell>
          <cell r="D238" t="str">
            <v>FC034</v>
          </cell>
          <cell r="E238">
            <v>0.3263888888888889</v>
          </cell>
          <cell r="G238" t="str">
            <v>P</v>
          </cell>
        </row>
        <row r="239">
          <cell r="A239">
            <v>206015628</v>
          </cell>
          <cell r="B239" t="str">
            <v>Ssali,Jonathan</v>
          </cell>
          <cell r="C239" t="str">
            <v>Lakkireddy,Sai Raghavendra Reddy</v>
          </cell>
          <cell r="D239" t="str">
            <v>FC009</v>
          </cell>
          <cell r="E239">
            <v>0.33124999999999999</v>
          </cell>
          <cell r="G239" t="str">
            <v>P</v>
          </cell>
        </row>
        <row r="240">
          <cell r="A240">
            <v>206934491</v>
          </cell>
          <cell r="B240" t="str">
            <v>NSAAMU,MUDASHIRU</v>
          </cell>
          <cell r="C240" t="str">
            <v>Meera,Bava Bahrudeen</v>
          </cell>
          <cell r="D240" t="str">
            <v>FC034</v>
          </cell>
          <cell r="E240">
            <v>0.33194444444444443</v>
          </cell>
          <cell r="G240" t="str">
            <v>P</v>
          </cell>
        </row>
        <row r="241">
          <cell r="A241">
            <v>205236906</v>
          </cell>
          <cell r="B241" t="str">
            <v>AHMED,MUHAMIN</v>
          </cell>
          <cell r="C241" t="str">
            <v>Lakkireddy,Sai Raghavendra Reddy</v>
          </cell>
          <cell r="D241" t="str">
            <v>FC009</v>
          </cell>
          <cell r="E241">
            <v>0.33333333333333331</v>
          </cell>
          <cell r="G241" t="str">
            <v>P</v>
          </cell>
        </row>
        <row r="242">
          <cell r="A242">
            <v>206886512</v>
          </cell>
          <cell r="B242" t="str">
            <v>JEPKEMBOI,RUTH</v>
          </cell>
          <cell r="C242" t="str">
            <v>Katyal,Varun</v>
          </cell>
          <cell r="D242" t="str">
            <v>FC109</v>
          </cell>
          <cell r="E242">
            <v>0.33124999999999999</v>
          </cell>
          <cell r="G242" t="str">
            <v>P</v>
          </cell>
        </row>
        <row r="243">
          <cell r="A243">
            <v>203964997</v>
          </cell>
          <cell r="B243" t="str">
            <v>Mathew,Tom</v>
          </cell>
          <cell r="C243" t="str">
            <v>Ansari,Ammar Abdullah</v>
          </cell>
          <cell r="D243" t="str">
            <v>FC109</v>
          </cell>
          <cell r="E243">
            <v>0.33124999999999999</v>
          </cell>
          <cell r="G243" t="str">
            <v>P</v>
          </cell>
        </row>
        <row r="244">
          <cell r="A244">
            <v>205997628</v>
          </cell>
          <cell r="B244" t="str">
            <v>NYIRENDA SINGINI,BRENDA</v>
          </cell>
          <cell r="C244" t="str">
            <v>Sohail,Anis</v>
          </cell>
          <cell r="D244" t="str">
            <v>FC159</v>
          </cell>
          <cell r="E244">
            <v>0.33194444444444443</v>
          </cell>
          <cell r="G244" t="str">
            <v>P</v>
          </cell>
        </row>
        <row r="245">
          <cell r="A245">
            <v>206953791</v>
          </cell>
          <cell r="B245" t="str">
            <v>ODONGO,ABUBAKAESWIDIQ</v>
          </cell>
          <cell r="C245" t="str">
            <v>Sohail,Anis</v>
          </cell>
          <cell r="D245" t="str">
            <v>FC159</v>
          </cell>
          <cell r="E245">
            <v>0.33402777777777776</v>
          </cell>
          <cell r="G245" t="str">
            <v>P</v>
          </cell>
        </row>
        <row r="246">
          <cell r="A246">
            <v>206886514</v>
          </cell>
          <cell r="B246" t="str">
            <v>NKRUMAH,FELIX MENSAH</v>
          </cell>
          <cell r="C246" t="str">
            <v>Ansari,Ammar Abdullah</v>
          </cell>
          <cell r="D246" t="str">
            <v>FC159</v>
          </cell>
          <cell r="E246">
            <v>0.33194444444444443</v>
          </cell>
          <cell r="G246" t="str">
            <v>P</v>
          </cell>
        </row>
        <row r="247">
          <cell r="A247">
            <v>205280740</v>
          </cell>
          <cell r="B247" t="str">
            <v>Panta,Safal</v>
          </cell>
          <cell r="C247" t="str">
            <v>Antony,Arun</v>
          </cell>
          <cell r="D247" t="str">
            <v>FC009</v>
          </cell>
          <cell r="E247">
            <v>0.33750000000000002</v>
          </cell>
          <cell r="G247" t="str">
            <v>P</v>
          </cell>
        </row>
        <row r="248">
          <cell r="A248">
            <v>205279080</v>
          </cell>
          <cell r="B248" t="str">
            <v>Namakula,Sarah</v>
          </cell>
          <cell r="C248" t="str">
            <v>Scaria,Varghese</v>
          </cell>
          <cell r="D248" t="str">
            <v>FC109</v>
          </cell>
          <cell r="E248">
            <v>0.33263888888888887</v>
          </cell>
          <cell r="G248" t="str">
            <v>P</v>
          </cell>
        </row>
        <row r="249">
          <cell r="A249">
            <v>203965493</v>
          </cell>
          <cell r="B249" t="str">
            <v>Ibrahim,Osman</v>
          </cell>
          <cell r="C249" t="str">
            <v>Almarzooqi,Abbas</v>
          </cell>
          <cell r="D249" t="str">
            <v>FC034</v>
          </cell>
          <cell r="E249">
            <v>0.33194444444444443</v>
          </cell>
          <cell r="G249" t="str">
            <v>P</v>
          </cell>
        </row>
        <row r="250">
          <cell r="A250">
            <v>205647825</v>
          </cell>
          <cell r="B250" t="str">
            <v>Psaima,Sharon Cherono</v>
          </cell>
          <cell r="C250" t="str">
            <v>Meera,Bava Bahrudeen</v>
          </cell>
          <cell r="D250" t="str">
            <v>FC159</v>
          </cell>
          <cell r="E250">
            <v>0.33402777777777776</v>
          </cell>
          <cell r="G250" t="str">
            <v>P</v>
          </cell>
        </row>
        <row r="251">
          <cell r="A251">
            <v>203965010</v>
          </cell>
          <cell r="B251" t="str">
            <v>Pallikka,Nasarudheen</v>
          </cell>
          <cell r="C251" t="str">
            <v>Ansari,Ammar Abdullah</v>
          </cell>
          <cell r="D251" t="str">
            <v>FC159</v>
          </cell>
          <cell r="E251">
            <v>0.3347222222222222</v>
          </cell>
          <cell r="G251" t="str">
            <v>P</v>
          </cell>
        </row>
        <row r="252">
          <cell r="A252">
            <v>204883085</v>
          </cell>
          <cell r="B252" t="str">
            <v>Mambo,Flora Nde</v>
          </cell>
          <cell r="C252" t="str">
            <v>Katyal,Varun</v>
          </cell>
          <cell r="D252" t="str">
            <v>FC034</v>
          </cell>
          <cell r="E252">
            <v>0.33263888888888887</v>
          </cell>
          <cell r="G252" t="str">
            <v>P</v>
          </cell>
        </row>
        <row r="253">
          <cell r="A253">
            <v>206897636</v>
          </cell>
          <cell r="B253" t="str">
            <v>WAFULA KHAMILA,EMMANUEL</v>
          </cell>
          <cell r="C253" t="str">
            <v>Narshad,Muhammad Ashik</v>
          </cell>
          <cell r="D253" t="str">
            <v>FC034</v>
          </cell>
          <cell r="E253">
            <v>0.33263888888888887</v>
          </cell>
          <cell r="G253" t="str">
            <v>P</v>
          </cell>
        </row>
        <row r="254">
          <cell r="A254">
            <v>204341339</v>
          </cell>
          <cell r="B254" t="str">
            <v>Akuoko,Elizbeth</v>
          </cell>
          <cell r="C254" t="str">
            <v>Joshi,Anirudh</v>
          </cell>
          <cell r="D254" t="str">
            <v>FC059</v>
          </cell>
          <cell r="E254">
            <v>0.33194444444444443</v>
          </cell>
          <cell r="G254" t="str">
            <v>P</v>
          </cell>
        </row>
        <row r="255">
          <cell r="A255">
            <v>205275634</v>
          </cell>
          <cell r="B255" t="str">
            <v>Ndeke,Lee Muriuki</v>
          </cell>
          <cell r="C255" t="str">
            <v>Ansari,Ammar Abdullah</v>
          </cell>
          <cell r="D255" t="str">
            <v>FC009</v>
          </cell>
          <cell r="E255">
            <v>0.33194444444444443</v>
          </cell>
          <cell r="G255" t="str">
            <v>P</v>
          </cell>
        </row>
        <row r="256">
          <cell r="A256">
            <v>205275635</v>
          </cell>
          <cell r="B256" t="str">
            <v>Nyang,Zacharia Nyaosi</v>
          </cell>
          <cell r="C256" t="str">
            <v>Meera,Bava Bahrudeen</v>
          </cell>
          <cell r="D256" t="str">
            <v>FC034</v>
          </cell>
          <cell r="E256">
            <v>0.33124999999999999</v>
          </cell>
          <cell r="G256" t="str">
            <v>P</v>
          </cell>
        </row>
        <row r="257">
          <cell r="A257">
            <v>205252750</v>
          </cell>
          <cell r="B257" t="str">
            <v>Kipchirchir,Ruth Chepkemboi</v>
          </cell>
          <cell r="C257" t="str">
            <v>Narshad,Muhammad Ashik</v>
          </cell>
          <cell r="D257" t="str">
            <v>FC109</v>
          </cell>
          <cell r="E257">
            <v>0.33124999999999999</v>
          </cell>
          <cell r="G257" t="str">
            <v>P</v>
          </cell>
        </row>
        <row r="258">
          <cell r="A258">
            <v>206897637</v>
          </cell>
          <cell r="B258" t="str">
            <v>TANETSWA MPOFU,EDWIN</v>
          </cell>
          <cell r="C258" t="str">
            <v>Narshad,Muhammad Ashik</v>
          </cell>
          <cell r="D258" t="str">
            <v>FC009</v>
          </cell>
          <cell r="E258">
            <v>0.33194444444444443</v>
          </cell>
          <cell r="G258" t="str">
            <v>P</v>
          </cell>
        </row>
        <row r="259">
          <cell r="A259">
            <v>203174504</v>
          </cell>
          <cell r="B259" t="str">
            <v>Geo,Edilbert Geo Antony</v>
          </cell>
          <cell r="C259" t="str">
            <v>Joshi,Anirudh</v>
          </cell>
          <cell r="E259">
            <v>0.32916666666666666</v>
          </cell>
          <cell r="G259" t="str">
            <v>P</v>
          </cell>
        </row>
        <row r="260">
          <cell r="A260">
            <v>205845546</v>
          </cell>
          <cell r="B260" t="str">
            <v>AIJUKA,SIMON</v>
          </cell>
          <cell r="C260" t="str">
            <v>Ansari,Ammar Abdullah</v>
          </cell>
          <cell r="D260" t="str">
            <v>FC134</v>
          </cell>
          <cell r="E260">
            <v>0.33055555555555555</v>
          </cell>
          <cell r="G260" t="str">
            <v>P</v>
          </cell>
        </row>
        <row r="261">
          <cell r="A261">
            <v>203908332</v>
          </cell>
          <cell r="B261" t="str">
            <v>ASIIMWE,SIMON</v>
          </cell>
          <cell r="C261" t="str">
            <v>Thomas,Binil</v>
          </cell>
          <cell r="D261" t="str">
            <v>FC034</v>
          </cell>
          <cell r="E261">
            <v>0.33124999999999999</v>
          </cell>
          <cell r="G261" t="str">
            <v>P</v>
          </cell>
        </row>
        <row r="262">
          <cell r="A262">
            <v>203800485</v>
          </cell>
          <cell r="B262" t="str">
            <v>MWEBESA,EDSON</v>
          </cell>
          <cell r="C262" t="str">
            <v>Lakkireddy,Sai Raghavendra Reddy</v>
          </cell>
          <cell r="D262" t="str">
            <v>FC134</v>
          </cell>
          <cell r="E262">
            <v>0.33055555555555555</v>
          </cell>
          <cell r="G262" t="str">
            <v>P</v>
          </cell>
        </row>
        <row r="263">
          <cell r="A263">
            <v>204869096</v>
          </cell>
          <cell r="B263" t="str">
            <v>Masuka,Mercy</v>
          </cell>
          <cell r="C263" t="str">
            <v>Nahla,Fathimathul</v>
          </cell>
          <cell r="D263" t="str">
            <v>FC034</v>
          </cell>
          <cell r="E263">
            <v>0.33124999999999999</v>
          </cell>
          <cell r="G263" t="str">
            <v>P</v>
          </cell>
        </row>
        <row r="264">
          <cell r="A264">
            <v>203850879</v>
          </cell>
          <cell r="B264" t="str">
            <v>Mpaulo,Joshua</v>
          </cell>
          <cell r="C264" t="str">
            <v>Ansari,Ammar Abdullah</v>
          </cell>
          <cell r="D264" t="str">
            <v>FC009</v>
          </cell>
          <cell r="E264">
            <v>0.3298611111111111</v>
          </cell>
          <cell r="G264" t="str">
            <v>P</v>
          </cell>
        </row>
        <row r="265">
          <cell r="A265">
            <v>204869092</v>
          </cell>
          <cell r="B265" t="str">
            <v>Mbawa,Tanaka Shantel</v>
          </cell>
          <cell r="C265" t="str">
            <v>Almarzooqi,Abbas</v>
          </cell>
          <cell r="D265" t="str">
            <v>FC159</v>
          </cell>
          <cell r="E265">
            <v>0.33263888888888887</v>
          </cell>
          <cell r="G265" t="str">
            <v>P</v>
          </cell>
        </row>
        <row r="266">
          <cell r="A266">
            <v>204883081</v>
          </cell>
          <cell r="B266" t="str">
            <v>Okrah,Alberta Yuwaah</v>
          </cell>
          <cell r="C266" t="str">
            <v>Almarzooqi,Abbas</v>
          </cell>
          <cell r="D266" t="str">
            <v>FC109</v>
          </cell>
          <cell r="E266">
            <v>0.33124999999999999</v>
          </cell>
          <cell r="G266" t="str">
            <v>P</v>
          </cell>
        </row>
        <row r="267">
          <cell r="A267">
            <v>206937730</v>
          </cell>
          <cell r="B267" t="str">
            <v>SAKA NJATI,HETHERWICK</v>
          </cell>
          <cell r="C267" t="str">
            <v>Sohail,Anis</v>
          </cell>
          <cell r="D267" t="str">
            <v>FC109</v>
          </cell>
          <cell r="E267">
            <v>0.33194444444444443</v>
          </cell>
          <cell r="G267" t="str">
            <v>P</v>
          </cell>
        </row>
        <row r="268">
          <cell r="A268">
            <v>203850876</v>
          </cell>
          <cell r="B268" t="str">
            <v>Mukisa,Moses</v>
          </cell>
          <cell r="C268" t="str">
            <v>Narshad,Muhammad Ashik</v>
          </cell>
          <cell r="D268" t="str">
            <v>FC009</v>
          </cell>
          <cell r="E268">
            <v>0.32430555555555557</v>
          </cell>
          <cell r="G268" t="str">
            <v>P</v>
          </cell>
        </row>
        <row r="269">
          <cell r="A269">
            <v>203993281</v>
          </cell>
          <cell r="B269" t="str">
            <v>Turay,Isha</v>
          </cell>
          <cell r="C269" t="str">
            <v>Lakkireddy,Sai Raghavendra Reddy</v>
          </cell>
          <cell r="D269" t="str">
            <v>FC009</v>
          </cell>
          <cell r="E269">
            <v>0.33333333333333331</v>
          </cell>
          <cell r="G269" t="str">
            <v>P</v>
          </cell>
        </row>
        <row r="270">
          <cell r="A270">
            <v>204095446</v>
          </cell>
          <cell r="B270" t="str">
            <v>Ndugakue,Kelvin Anankeng Azem</v>
          </cell>
          <cell r="C270" t="str">
            <v>Dinberu,Eden</v>
          </cell>
          <cell r="D270" t="str">
            <v>FC134</v>
          </cell>
          <cell r="E270">
            <v>0.33402777777777776</v>
          </cell>
          <cell r="G270" t="str">
            <v>P</v>
          </cell>
        </row>
        <row r="271">
          <cell r="A271">
            <v>203599606</v>
          </cell>
          <cell r="B271" t="str">
            <v>OKYERE,JOHN</v>
          </cell>
          <cell r="C271" t="str">
            <v>Singh,Pardeep</v>
          </cell>
          <cell r="D271" t="str">
            <v>FC159</v>
          </cell>
          <cell r="E271">
            <v>0.33194444444444443</v>
          </cell>
          <cell r="G271" t="str">
            <v>P</v>
          </cell>
        </row>
        <row r="272">
          <cell r="A272">
            <v>204869090</v>
          </cell>
          <cell r="B272" t="str">
            <v>Ayong,Noeline Nuck</v>
          </cell>
          <cell r="C272" t="str">
            <v>Almarzooqi,Abbas</v>
          </cell>
          <cell r="D272" t="str">
            <v>FC009</v>
          </cell>
          <cell r="E272">
            <v>0.33194444444444443</v>
          </cell>
          <cell r="G272" t="str">
            <v>P</v>
          </cell>
        </row>
        <row r="273">
          <cell r="A273">
            <v>204319796</v>
          </cell>
          <cell r="B273" t="str">
            <v>Sesay,Kadiatu</v>
          </cell>
          <cell r="C273" t="str">
            <v>Narshad,Muhammad Ashik</v>
          </cell>
          <cell r="D273" t="str">
            <v>LK016</v>
          </cell>
          <cell r="E273">
            <v>0.33194444444444443</v>
          </cell>
          <cell r="G273" t="str">
            <v>P</v>
          </cell>
        </row>
        <row r="274">
          <cell r="A274">
            <v>205647835</v>
          </cell>
          <cell r="B274" t="str">
            <v>Maina,Steve Mbugua</v>
          </cell>
          <cell r="C274" t="str">
            <v>Meera,Bava Bahrudeen</v>
          </cell>
          <cell r="D274" t="str">
            <v>FC134</v>
          </cell>
          <cell r="E274">
            <v>0.33124999999999999</v>
          </cell>
          <cell r="G274" t="str">
            <v>P</v>
          </cell>
        </row>
        <row r="275">
          <cell r="A275">
            <v>204405779</v>
          </cell>
          <cell r="B275" t="str">
            <v>Takyi,Nicholas</v>
          </cell>
          <cell r="C275" t="str">
            <v>Almarzooqi,Abbas</v>
          </cell>
          <cell r="D275" t="str">
            <v>FC009</v>
          </cell>
          <cell r="E275">
            <v>0.33263888888888887</v>
          </cell>
          <cell r="G275" t="str">
            <v>P</v>
          </cell>
        </row>
        <row r="276">
          <cell r="A276">
            <v>203965024</v>
          </cell>
          <cell r="B276" t="str">
            <v>Ye,Aung</v>
          </cell>
          <cell r="C276" t="str">
            <v>Lakkireddy,Sai Raghavendra Reddy</v>
          </cell>
          <cell r="D276" t="str">
            <v>FC034</v>
          </cell>
          <cell r="E276">
            <v>0.33263888888888887</v>
          </cell>
          <cell r="G276" t="str">
            <v>P</v>
          </cell>
        </row>
        <row r="277">
          <cell r="A277">
            <v>206230580</v>
          </cell>
          <cell r="B277" t="str">
            <v>Ndagire,Shams</v>
          </cell>
          <cell r="C277" t="str">
            <v>Ansari,Ammar Abdullah</v>
          </cell>
          <cell r="D277" t="str">
            <v>FC009</v>
          </cell>
          <cell r="E277">
            <v>0.33333333333333331</v>
          </cell>
          <cell r="G277" t="str">
            <v>P</v>
          </cell>
        </row>
        <row r="278">
          <cell r="A278">
            <v>111231851</v>
          </cell>
          <cell r="B278" t="str">
            <v>MUHAMMAD AJMAL,ABDUL QADIR</v>
          </cell>
          <cell r="C278" t="str">
            <v>Singh,Pardeep</v>
          </cell>
          <cell r="D278" t="str">
            <v>FC159</v>
          </cell>
          <cell r="E278">
            <v>0.32916666666666666</v>
          </cell>
          <cell r="G278" t="str">
            <v>P</v>
          </cell>
        </row>
        <row r="279">
          <cell r="A279">
            <v>205845550</v>
          </cell>
          <cell r="B279" t="str">
            <v>ANDHI,SHAFIC</v>
          </cell>
          <cell r="C279" t="str">
            <v>Ansari,Ammar Abdullah</v>
          </cell>
          <cell r="D279" t="str">
            <v>LK015</v>
          </cell>
          <cell r="E279">
            <v>0.33124999999999999</v>
          </cell>
          <cell r="G279" t="str">
            <v>P</v>
          </cell>
        </row>
        <row r="280">
          <cell r="A280">
            <v>203800479</v>
          </cell>
          <cell r="B280" t="str">
            <v>KIGULI,SAMSON</v>
          </cell>
          <cell r="C280" t="str">
            <v>Narshad,Muhammad Ashik</v>
          </cell>
          <cell r="D280" t="str">
            <v>FC034</v>
          </cell>
          <cell r="E280">
            <v>0.33263888888888887</v>
          </cell>
          <cell r="G280" t="str">
            <v>P</v>
          </cell>
        </row>
        <row r="281">
          <cell r="A281">
            <v>205537427</v>
          </cell>
          <cell r="B281" t="str">
            <v>Elizabeth,Kisakye</v>
          </cell>
          <cell r="C281" t="str">
            <v>Adamachi,Maria</v>
          </cell>
          <cell r="D281" t="str">
            <v>FC009</v>
          </cell>
          <cell r="E281">
            <v>0.33124999999999999</v>
          </cell>
          <cell r="G281" t="str">
            <v>P</v>
          </cell>
        </row>
        <row r="282">
          <cell r="A282">
            <v>202189563</v>
          </cell>
          <cell r="B282" t="str">
            <v>Arthur,Prosper</v>
          </cell>
          <cell r="C282" t="str">
            <v>Ansari,Ammar Abdullah</v>
          </cell>
          <cell r="D282" t="str">
            <v>FC109</v>
          </cell>
          <cell r="E282">
            <v>0.32847222222222222</v>
          </cell>
          <cell r="G282" t="str">
            <v>P</v>
          </cell>
        </row>
        <row r="283">
          <cell r="A283">
            <v>205845557</v>
          </cell>
          <cell r="B283" t="str">
            <v>MUWONGE,VICENT</v>
          </cell>
          <cell r="C283" t="str">
            <v>Thomas,Binil</v>
          </cell>
          <cell r="D283" t="str">
            <v>LK012</v>
          </cell>
          <cell r="E283">
            <v>0.33124999999999999</v>
          </cell>
          <cell r="G283" t="str">
            <v>P</v>
          </cell>
        </row>
        <row r="284">
          <cell r="A284">
            <v>206250609</v>
          </cell>
          <cell r="B284" t="str">
            <v>APOLOT,MARTHA</v>
          </cell>
          <cell r="C284" t="str">
            <v>elrashid,Hassan</v>
          </cell>
          <cell r="D284" t="str">
            <v>FC034</v>
          </cell>
          <cell r="E284">
            <v>0.33263888888888887</v>
          </cell>
          <cell r="G284" t="str">
            <v>P</v>
          </cell>
        </row>
        <row r="285">
          <cell r="A285">
            <v>206004602</v>
          </cell>
          <cell r="B285" t="str">
            <v>KONAMAH BOATENG,PAULINA</v>
          </cell>
          <cell r="C285" t="str">
            <v>Ansari,Ammar Abdullah</v>
          </cell>
          <cell r="D285" t="str">
            <v>FC109</v>
          </cell>
          <cell r="E285">
            <v>0.33263888888888887</v>
          </cell>
          <cell r="G285" t="str">
            <v>P</v>
          </cell>
        </row>
        <row r="286">
          <cell r="A286">
            <v>204009355</v>
          </cell>
          <cell r="B286" t="str">
            <v>MUSIIME,EMMANUEL</v>
          </cell>
          <cell r="C286" t="str">
            <v>Ansari,Ammar Abdullah</v>
          </cell>
          <cell r="D286" t="str">
            <v>FC159</v>
          </cell>
          <cell r="E286">
            <v>0.33263888888888887</v>
          </cell>
          <cell r="G286" t="str">
            <v>P</v>
          </cell>
        </row>
        <row r="287">
          <cell r="A287">
            <v>204869089</v>
          </cell>
          <cell r="B287" t="str">
            <v>Nyikadzino,Patson</v>
          </cell>
          <cell r="C287" t="str">
            <v>Nahla,Fathimathul</v>
          </cell>
          <cell r="D287" t="str">
            <v>FC134</v>
          </cell>
          <cell r="E287">
            <v>0.33194444444444443</v>
          </cell>
          <cell r="G287" t="str">
            <v>P</v>
          </cell>
        </row>
        <row r="288">
          <cell r="A288">
            <v>203850884</v>
          </cell>
          <cell r="B288" t="str">
            <v>Thembo,John</v>
          </cell>
          <cell r="C288" t="str">
            <v>Thomas,Binil</v>
          </cell>
          <cell r="D288" t="str">
            <v>FC134</v>
          </cell>
          <cell r="E288">
            <v>0.33611111111111114</v>
          </cell>
          <cell r="G288" t="str">
            <v>P</v>
          </cell>
        </row>
        <row r="289">
          <cell r="A289">
            <v>204009358</v>
          </cell>
          <cell r="B289" t="str">
            <v>MUMBERE,SHAFFI</v>
          </cell>
          <cell r="C289" t="str">
            <v>Ansari,Ammar Abdullah</v>
          </cell>
          <cell r="D289" t="str">
            <v>FC159</v>
          </cell>
          <cell r="E289">
            <v>0.33333333333333331</v>
          </cell>
          <cell r="G289" t="str">
            <v>P</v>
          </cell>
        </row>
        <row r="290">
          <cell r="A290">
            <v>206886730</v>
          </cell>
          <cell r="B290" t="str">
            <v>JEPCHIRCHIR,VALENTINE</v>
          </cell>
          <cell r="C290" t="str">
            <v>Ansari,Ammar Abdullah</v>
          </cell>
          <cell r="D290" t="str">
            <v>FC159</v>
          </cell>
          <cell r="E290">
            <v>0.33124999999999999</v>
          </cell>
          <cell r="G290" t="str">
            <v>P</v>
          </cell>
        </row>
        <row r="291">
          <cell r="A291">
            <v>205845553</v>
          </cell>
          <cell r="B291" t="str">
            <v>ABIGABA,ONESMAS</v>
          </cell>
          <cell r="C291" t="str">
            <v>Thomas,Binil</v>
          </cell>
          <cell r="D291" t="str">
            <v>FC034</v>
          </cell>
          <cell r="E291">
            <v>0.33124999999999999</v>
          </cell>
          <cell r="G291" t="str">
            <v>P</v>
          </cell>
        </row>
        <row r="292">
          <cell r="A292">
            <v>204013730</v>
          </cell>
          <cell r="B292" t="str">
            <v>Kamara,Mybo</v>
          </cell>
          <cell r="C292" t="str">
            <v>Narshad,Muhammad Ashik</v>
          </cell>
          <cell r="D292" t="str">
            <v>FC134</v>
          </cell>
          <cell r="E292">
            <v>0.3347222222222222</v>
          </cell>
          <cell r="G292" t="str">
            <v>P</v>
          </cell>
        </row>
        <row r="293">
          <cell r="A293">
            <v>204869088</v>
          </cell>
          <cell r="B293" t="str">
            <v>Mathe,Thumelo Ethan</v>
          </cell>
          <cell r="C293" t="str">
            <v>Almarzooqi,Abbas</v>
          </cell>
          <cell r="D293" t="str">
            <v>FC159</v>
          </cell>
          <cell r="E293">
            <v>0.33194444444444443</v>
          </cell>
          <cell r="G293" t="str">
            <v>P</v>
          </cell>
        </row>
        <row r="294">
          <cell r="A294">
            <v>206004601</v>
          </cell>
          <cell r="B294" t="str">
            <v>OWUSU ANSAH,NANIES</v>
          </cell>
          <cell r="C294" t="str">
            <v>Ansari,Ammar Abdullah</v>
          </cell>
          <cell r="D294" t="str">
            <v>LK016</v>
          </cell>
          <cell r="E294">
            <v>0.33263888888888887</v>
          </cell>
          <cell r="G294" t="str">
            <v>P</v>
          </cell>
        </row>
        <row r="295">
          <cell r="A295">
            <v>203513810</v>
          </cell>
          <cell r="B295" t="str">
            <v>Kum,Bradon Bin</v>
          </cell>
          <cell r="C295" t="str">
            <v>elrashid,Hassan</v>
          </cell>
          <cell r="D295" t="str">
            <v>FC134</v>
          </cell>
          <cell r="E295">
            <v>0.3263888888888889</v>
          </cell>
          <cell r="G295" t="str">
            <v>P</v>
          </cell>
        </row>
        <row r="296">
          <cell r="A296">
            <v>203850646</v>
          </cell>
          <cell r="B296" t="str">
            <v>Nsengiunva,Abraham</v>
          </cell>
          <cell r="C296" t="str">
            <v>Katyal,Varun</v>
          </cell>
          <cell r="D296" t="str">
            <v>FC159</v>
          </cell>
          <cell r="E296">
            <v>0.33263888888888887</v>
          </cell>
          <cell r="G296" t="str">
            <v>P</v>
          </cell>
        </row>
        <row r="297">
          <cell r="A297">
            <v>206886735</v>
          </cell>
          <cell r="B297" t="str">
            <v>KWEDI,MOKA EKWALLA</v>
          </cell>
          <cell r="C297" t="str">
            <v>Narshad,Muhammad Ashik</v>
          </cell>
          <cell r="D297" t="str">
            <v>FC134</v>
          </cell>
          <cell r="E297">
            <v>0.33194444444444443</v>
          </cell>
          <cell r="G297" t="str">
            <v>P</v>
          </cell>
        </row>
        <row r="298">
          <cell r="A298">
            <v>106268302</v>
          </cell>
          <cell r="B298" t="str">
            <v>Abbas,Zamurd</v>
          </cell>
          <cell r="C298" t="str">
            <v>Ansari,Ammar Abdullah</v>
          </cell>
          <cell r="D298" t="str">
            <v>FC009</v>
          </cell>
          <cell r="E298">
            <v>0.32430555555555557</v>
          </cell>
          <cell r="G298" t="str">
            <v>P</v>
          </cell>
        </row>
        <row r="299">
          <cell r="A299">
            <v>206873881</v>
          </cell>
          <cell r="B299" t="str">
            <v>MUGWANA,SALIMU</v>
          </cell>
          <cell r="C299" t="str">
            <v>Meera,Bava Bahrudeen</v>
          </cell>
          <cell r="D299" t="str">
            <v>FC034</v>
          </cell>
          <cell r="E299">
            <v>0.33124999999999999</v>
          </cell>
          <cell r="G299" t="str">
            <v>P</v>
          </cell>
        </row>
        <row r="300">
          <cell r="A300">
            <v>112549647</v>
          </cell>
          <cell r="B300" t="str">
            <v>Bashir,Saqlain</v>
          </cell>
          <cell r="C300" t="str">
            <v>Ansari,Ammar Abdullah</v>
          </cell>
          <cell r="D300" t="str">
            <v>FC084</v>
          </cell>
          <cell r="E300">
            <v>0.33124999999999999</v>
          </cell>
          <cell r="G300" t="str">
            <v>P</v>
          </cell>
        </row>
        <row r="301">
          <cell r="A301">
            <v>204319464</v>
          </cell>
          <cell r="B301" t="str">
            <v>Conteh,Ibrahim A</v>
          </cell>
          <cell r="C301" t="str">
            <v>Sohail,Anis</v>
          </cell>
          <cell r="D301" t="str">
            <v>FC109</v>
          </cell>
          <cell r="E301">
            <v>0.33194444444444443</v>
          </cell>
          <cell r="G301" t="str">
            <v>P</v>
          </cell>
        </row>
        <row r="302">
          <cell r="A302">
            <v>204865037</v>
          </cell>
          <cell r="B302" t="str">
            <v>CUDJOE,FRANCIS</v>
          </cell>
          <cell r="C302" t="str">
            <v>Lakkireddy,Sai Raghavendra Reddy</v>
          </cell>
          <cell r="D302" t="str">
            <v>FC134</v>
          </cell>
          <cell r="E302">
            <v>0.33263888888888887</v>
          </cell>
          <cell r="G302" t="str">
            <v>P</v>
          </cell>
        </row>
        <row r="303">
          <cell r="A303">
            <v>112648320</v>
          </cell>
          <cell r="B303" t="str">
            <v>Kyei,Solomon</v>
          </cell>
          <cell r="C303" t="str">
            <v>Almarzooqi,Abbas</v>
          </cell>
          <cell r="D303" t="str">
            <v>FC009</v>
          </cell>
          <cell r="E303">
            <v>0.33124999999999999</v>
          </cell>
          <cell r="G303" t="str">
            <v>P</v>
          </cell>
        </row>
        <row r="304">
          <cell r="A304">
            <v>109749061</v>
          </cell>
          <cell r="B304" t="str">
            <v>Malladi,Nagabhushanam</v>
          </cell>
          <cell r="C304" t="str">
            <v>Almarzooqi,Abbas</v>
          </cell>
          <cell r="D304" t="str">
            <v>FC009</v>
          </cell>
          <cell r="E304">
            <v>0.3298611111111111</v>
          </cell>
          <cell r="G304" t="str">
            <v>P</v>
          </cell>
        </row>
        <row r="305">
          <cell r="A305">
            <v>204009364</v>
          </cell>
          <cell r="B305" t="str">
            <v>MUMBERE,WILSON</v>
          </cell>
          <cell r="C305" t="str">
            <v>Ansari,Ammar Abdullah</v>
          </cell>
          <cell r="D305" t="str">
            <v>FC109</v>
          </cell>
          <cell r="E305">
            <v>0.33263888888888887</v>
          </cell>
          <cell r="G305" t="str">
            <v>P</v>
          </cell>
        </row>
        <row r="306">
          <cell r="A306">
            <v>204246160</v>
          </cell>
          <cell r="B306" t="str">
            <v>Ali Muhammad,Danjuma</v>
          </cell>
          <cell r="C306" t="str">
            <v>Dinberu,Eden</v>
          </cell>
          <cell r="D306" t="str">
            <v>FC109</v>
          </cell>
          <cell r="E306">
            <v>0.33263888888888887</v>
          </cell>
          <cell r="G306" t="str">
            <v>P</v>
          </cell>
        </row>
        <row r="307">
          <cell r="A307">
            <v>201264954</v>
          </cell>
          <cell r="B307" t="str">
            <v>Boakye,Shadrack</v>
          </cell>
          <cell r="C307" t="str">
            <v>Ansari,Ammar Abdullah</v>
          </cell>
          <cell r="D307" t="str">
            <v>FC034</v>
          </cell>
          <cell r="E307">
            <v>0.33263888888888887</v>
          </cell>
          <cell r="G307" t="str">
            <v>P</v>
          </cell>
        </row>
        <row r="308">
          <cell r="A308">
            <v>203555404</v>
          </cell>
          <cell r="B308" t="str">
            <v>Dumba,Tashinga Widdy</v>
          </cell>
          <cell r="C308" t="str">
            <v>Meera,Bava Bahrudeen</v>
          </cell>
          <cell r="D308" t="str">
            <v>FC159</v>
          </cell>
          <cell r="E308">
            <v>0.33263888888888887</v>
          </cell>
          <cell r="G308" t="str">
            <v>P</v>
          </cell>
        </row>
        <row r="309">
          <cell r="A309">
            <v>103909188</v>
          </cell>
          <cell r="B309" t="str">
            <v>Jumail,Muhammed</v>
          </cell>
          <cell r="C309" t="str">
            <v>Narshad,Muhammad Ashik</v>
          </cell>
          <cell r="D309" t="str">
            <v>FC134</v>
          </cell>
          <cell r="E309">
            <v>0.32777777777777778</v>
          </cell>
          <cell r="G309" t="str">
            <v>P</v>
          </cell>
        </row>
        <row r="310">
          <cell r="A310">
            <v>206953803</v>
          </cell>
          <cell r="B310" t="str">
            <v>Maina,Jane Wangari</v>
          </cell>
          <cell r="C310" t="str">
            <v>Sohail,Anis</v>
          </cell>
          <cell r="D310" t="str">
            <v>FC159</v>
          </cell>
          <cell r="E310">
            <v>0.33055555555555555</v>
          </cell>
          <cell r="G310" t="str">
            <v>P</v>
          </cell>
        </row>
        <row r="311">
          <cell r="A311">
            <v>203555405</v>
          </cell>
          <cell r="B311" t="str">
            <v>Essumang,Mary</v>
          </cell>
          <cell r="C311" t="str">
            <v>Meera,Bava Bahrudeen</v>
          </cell>
          <cell r="D311" t="str">
            <v>FC159</v>
          </cell>
          <cell r="E311">
            <v>0.33263888888888887</v>
          </cell>
          <cell r="G311" t="str">
            <v>P</v>
          </cell>
        </row>
        <row r="312">
          <cell r="A312">
            <v>203800780</v>
          </cell>
          <cell r="B312" t="str">
            <v>GUPTA,PRADEEP KUMAR</v>
          </cell>
          <cell r="C312" t="str">
            <v>Ansari,Ammar Abdullah</v>
          </cell>
          <cell r="D312" t="str">
            <v>FC084</v>
          </cell>
          <cell r="E312">
            <v>0.33055555555555555</v>
          </cell>
          <cell r="G312" t="str">
            <v>P</v>
          </cell>
        </row>
        <row r="313">
          <cell r="A313">
            <v>203881713</v>
          </cell>
          <cell r="B313" t="str">
            <v>Chagwedera,Takundanashe Irvine</v>
          </cell>
          <cell r="C313" t="str">
            <v>Ansari,Ammar Abdullah</v>
          </cell>
          <cell r="D313" t="str">
            <v>FC109</v>
          </cell>
          <cell r="E313">
            <v>0.33402777777777776</v>
          </cell>
          <cell r="G313" t="str">
            <v>P</v>
          </cell>
        </row>
        <row r="314">
          <cell r="A314">
            <v>203850775</v>
          </cell>
          <cell r="B314" t="str">
            <v>Abit,Linda Sally</v>
          </cell>
          <cell r="C314" t="str">
            <v>Meera,Bava Bahrudeen</v>
          </cell>
          <cell r="D314" t="str">
            <v>FC159</v>
          </cell>
          <cell r="E314">
            <v>0.33194444444444443</v>
          </cell>
          <cell r="G314" t="str">
            <v>P</v>
          </cell>
        </row>
        <row r="315">
          <cell r="A315">
            <v>204246169</v>
          </cell>
          <cell r="B315" t="str">
            <v>Moyo,Prisbetty</v>
          </cell>
          <cell r="C315" t="str">
            <v>Nahla,Fathimathul</v>
          </cell>
          <cell r="D315" t="str">
            <v>FC134</v>
          </cell>
          <cell r="E315">
            <v>0.33124999999999999</v>
          </cell>
          <cell r="G315" t="str">
            <v>P</v>
          </cell>
        </row>
        <row r="316">
          <cell r="A316">
            <v>203342037</v>
          </cell>
          <cell r="B316" t="str">
            <v>MOHAMMAD,SALMAN</v>
          </cell>
          <cell r="C316" t="str">
            <v>Scaria,Varghese</v>
          </cell>
          <cell r="D316" t="str">
            <v>FC009</v>
          </cell>
          <cell r="E316">
            <v>0.3298611111111111</v>
          </cell>
          <cell r="G316" t="str">
            <v>P</v>
          </cell>
        </row>
        <row r="317">
          <cell r="A317">
            <v>206949308</v>
          </cell>
          <cell r="B317" t="str">
            <v>OGWANG,DAVID</v>
          </cell>
          <cell r="C317" t="str">
            <v>Sohail,Anis</v>
          </cell>
          <cell r="D317" t="str">
            <v>FC109</v>
          </cell>
          <cell r="E317">
            <v>0.33124999999999999</v>
          </cell>
          <cell r="G317" t="str">
            <v>P</v>
          </cell>
        </row>
        <row r="318">
          <cell r="A318">
            <v>206957724</v>
          </cell>
          <cell r="B318" t="str">
            <v>Mungai,Elizabeth Njeri</v>
          </cell>
          <cell r="C318" t="str">
            <v>Sohail,Anis</v>
          </cell>
          <cell r="D318" t="str">
            <v>FC109</v>
          </cell>
          <cell r="E318">
            <v>0.33124999999999999</v>
          </cell>
          <cell r="G318" t="str">
            <v>P</v>
          </cell>
        </row>
        <row r="319">
          <cell r="A319">
            <v>105485458</v>
          </cell>
          <cell r="B319" t="str">
            <v>Ali,Faizan</v>
          </cell>
          <cell r="C319" t="str">
            <v>Ansari,Ammar Abdullah</v>
          </cell>
          <cell r="D319" t="str">
            <v>FC159</v>
          </cell>
          <cell r="E319">
            <v>0.32291666666666669</v>
          </cell>
          <cell r="G319" t="str">
            <v>P</v>
          </cell>
        </row>
        <row r="320">
          <cell r="A320">
            <v>204145465</v>
          </cell>
          <cell r="B320" t="str">
            <v>Dwomoh,Clifford</v>
          </cell>
          <cell r="C320" t="str">
            <v>Narshad,Muhammad Ashik</v>
          </cell>
          <cell r="D320" t="str">
            <v>FC159</v>
          </cell>
          <cell r="E320">
            <v>0.33333333333333331</v>
          </cell>
          <cell r="G320" t="str">
            <v>P</v>
          </cell>
        </row>
        <row r="321">
          <cell r="A321">
            <v>203342034</v>
          </cell>
          <cell r="B321" t="str">
            <v>THUSHARI,CHATHURIKA SEWWANDI</v>
          </cell>
          <cell r="C321" t="str">
            <v>Ansari,Ammar Abdullah</v>
          </cell>
          <cell r="D321" t="str">
            <v>FC034</v>
          </cell>
          <cell r="E321">
            <v>0.32361111111111113</v>
          </cell>
          <cell r="G321" t="str">
            <v>P</v>
          </cell>
        </row>
        <row r="322">
          <cell r="A322">
            <v>206137344</v>
          </cell>
          <cell r="B322" t="str">
            <v>Opoku,Eric</v>
          </cell>
          <cell r="C322" t="str">
            <v>Thomas,Binil</v>
          </cell>
          <cell r="D322" t="str">
            <v>FC084</v>
          </cell>
          <cell r="E322">
            <v>0.33055555555555555</v>
          </cell>
          <cell r="G322" t="str">
            <v>P</v>
          </cell>
        </row>
        <row r="323">
          <cell r="A323">
            <v>204246606</v>
          </cell>
          <cell r="B323" t="str">
            <v>Thea,Rose</v>
          </cell>
          <cell r="C323" t="str">
            <v>Nahla,Fathimathul</v>
          </cell>
          <cell r="D323" t="str">
            <v>FC034</v>
          </cell>
          <cell r="E323">
            <v>0.33124999999999999</v>
          </cell>
          <cell r="G323" t="str">
            <v>P</v>
          </cell>
        </row>
        <row r="324">
          <cell r="A324">
            <v>205506017</v>
          </cell>
          <cell r="B324" t="str">
            <v>Maina Osora,Charles</v>
          </cell>
          <cell r="C324" t="str">
            <v>Singh,Pardeep</v>
          </cell>
          <cell r="D324" t="str">
            <v>FC034</v>
          </cell>
          <cell r="E324">
            <v>0.33194444444444443</v>
          </cell>
          <cell r="G324" t="str">
            <v>P</v>
          </cell>
        </row>
        <row r="325">
          <cell r="A325">
            <v>203555401</v>
          </cell>
          <cell r="B325" t="str">
            <v>Chingore,Melody</v>
          </cell>
          <cell r="C325" t="str">
            <v>Meera,Bava Bahrudeen</v>
          </cell>
          <cell r="D325" t="str">
            <v>FC034</v>
          </cell>
          <cell r="E325">
            <v>0.33124999999999999</v>
          </cell>
          <cell r="G325" t="str">
            <v>P</v>
          </cell>
        </row>
        <row r="326">
          <cell r="A326">
            <v>203737144</v>
          </cell>
          <cell r="B326" t="str">
            <v>HERMAN,KAMOGA HERMAN</v>
          </cell>
          <cell r="C326" t="str">
            <v>Nahla,Fathimathul</v>
          </cell>
          <cell r="D326" t="str">
            <v>FC134</v>
          </cell>
          <cell r="E326">
            <v>0.3298611111111111</v>
          </cell>
          <cell r="G326" t="str">
            <v>P</v>
          </cell>
        </row>
        <row r="327">
          <cell r="A327">
            <v>201633155</v>
          </cell>
          <cell r="B327" t="str">
            <v>Afzal,Muhammad Farhan</v>
          </cell>
          <cell r="C327" t="str">
            <v>Almarzooqi,Abbas</v>
          </cell>
          <cell r="D327" t="str">
            <v>FC109</v>
          </cell>
          <cell r="E327">
            <v>0.33194444444444443</v>
          </cell>
          <cell r="G327" t="str">
            <v>P</v>
          </cell>
        </row>
        <row r="328">
          <cell r="A328">
            <v>203850778</v>
          </cell>
          <cell r="B328" t="str">
            <v>Ssebuggwawo,Andrew</v>
          </cell>
          <cell r="C328" t="str">
            <v>Lakkireddy,Sai Raghavendra Reddy</v>
          </cell>
          <cell r="D328" t="str">
            <v>FC134</v>
          </cell>
          <cell r="E328">
            <v>0.33263888888888887</v>
          </cell>
          <cell r="G328" t="str">
            <v>P</v>
          </cell>
        </row>
        <row r="329">
          <cell r="A329">
            <v>203342030</v>
          </cell>
          <cell r="B329" t="str">
            <v>KORUKONDA,AVINASH KORUKONDA</v>
          </cell>
          <cell r="C329" t="str">
            <v>Narshad,Muhammad Ashik</v>
          </cell>
          <cell r="D329" t="str">
            <v>FC034</v>
          </cell>
          <cell r="E329">
            <v>0.33194444444444443</v>
          </cell>
          <cell r="G329" t="str">
            <v>P</v>
          </cell>
        </row>
        <row r="330">
          <cell r="A330">
            <v>203555403</v>
          </cell>
          <cell r="B330" t="str">
            <v>Sampana,Christiana Yamigmah</v>
          </cell>
          <cell r="C330" t="str">
            <v>Sohail,Anis</v>
          </cell>
          <cell r="D330" t="str">
            <v>FC034</v>
          </cell>
          <cell r="E330">
            <v>0.33124999999999999</v>
          </cell>
          <cell r="G330" t="str">
            <v>P</v>
          </cell>
        </row>
        <row r="331">
          <cell r="A331">
            <v>206930130</v>
          </cell>
          <cell r="B331" t="str">
            <v>MUHIAH,ANN WAMBUI</v>
          </cell>
          <cell r="C331" t="str">
            <v>Thomas,Binil</v>
          </cell>
          <cell r="D331" t="str">
            <v>FC034</v>
          </cell>
          <cell r="E331">
            <v>0.33194444444444443</v>
          </cell>
          <cell r="G331" t="str">
            <v>P</v>
          </cell>
        </row>
        <row r="332">
          <cell r="A332">
            <v>206129609</v>
          </cell>
          <cell r="B332" t="str">
            <v>Babah Turay,Abdulai</v>
          </cell>
          <cell r="C332" t="str">
            <v>Ansari,Ammar Abdullah</v>
          </cell>
          <cell r="D332" t="str">
            <v>FC159</v>
          </cell>
          <cell r="E332">
            <v>0.33194444444444443</v>
          </cell>
          <cell r="G332" t="str">
            <v>P</v>
          </cell>
        </row>
        <row r="333">
          <cell r="A333">
            <v>203083928</v>
          </cell>
          <cell r="B333" t="str">
            <v>Owusu,Alex</v>
          </cell>
          <cell r="C333" t="str">
            <v>Sohail,Anis</v>
          </cell>
          <cell r="D333" t="str">
            <v>FC134</v>
          </cell>
          <cell r="E333">
            <v>0.33194444444444443</v>
          </cell>
          <cell r="G333" t="str">
            <v>P</v>
          </cell>
        </row>
        <row r="334">
          <cell r="A334">
            <v>206851163</v>
          </cell>
          <cell r="B334" t="str">
            <v>KIGGUNDU,ROBERT</v>
          </cell>
          <cell r="C334" t="str">
            <v>Meera,Bava Bahrudeen</v>
          </cell>
          <cell r="D334" t="str">
            <v>FC134</v>
          </cell>
          <cell r="E334">
            <v>0.33194444444444443</v>
          </cell>
          <cell r="G334" t="str">
            <v>P</v>
          </cell>
        </row>
        <row r="335">
          <cell r="A335">
            <v>206873658</v>
          </cell>
          <cell r="B335" t="str">
            <v>KASSAH,SAMUEL</v>
          </cell>
          <cell r="C335" t="str">
            <v>Nahla,Fathimathul</v>
          </cell>
          <cell r="D335" t="str">
            <v>FC009</v>
          </cell>
          <cell r="E335">
            <v>0.3298611111111111</v>
          </cell>
          <cell r="G335" t="str">
            <v>P</v>
          </cell>
        </row>
        <row r="336">
          <cell r="A336">
            <v>203679326</v>
          </cell>
          <cell r="B336" t="str">
            <v>Eshun,Ruth</v>
          </cell>
          <cell r="C336" t="str">
            <v>Meera,Bava Bahrudeen</v>
          </cell>
          <cell r="D336" t="str">
            <v>FC034</v>
          </cell>
          <cell r="E336">
            <v>0.33124999999999999</v>
          </cell>
          <cell r="G336" t="str">
            <v>P</v>
          </cell>
        </row>
        <row r="337">
          <cell r="A337">
            <v>103875256</v>
          </cell>
          <cell r="B337" t="str">
            <v>khalid,Muhammad</v>
          </cell>
          <cell r="C337" t="str">
            <v>Dinberu,Eden</v>
          </cell>
          <cell r="D337" t="str">
            <v>FC159</v>
          </cell>
          <cell r="E337">
            <v>0.32847222222222222</v>
          </cell>
          <cell r="G337" t="str">
            <v>P</v>
          </cell>
        </row>
        <row r="338">
          <cell r="A338">
            <v>204138121</v>
          </cell>
          <cell r="B338" t="str">
            <v>Jarra,Haddijatou</v>
          </cell>
          <cell r="C338" t="str">
            <v>Narshad,Muhammad Ashik</v>
          </cell>
          <cell r="D338" t="str">
            <v>LK012</v>
          </cell>
          <cell r="E338">
            <v>0.33263888888888887</v>
          </cell>
          <cell r="G338" t="str">
            <v>P</v>
          </cell>
        </row>
        <row r="339">
          <cell r="A339">
            <v>203737250</v>
          </cell>
          <cell r="B339" t="str">
            <v>SSESANGA,MURSHID</v>
          </cell>
          <cell r="C339" t="str">
            <v>Katyal,Varun</v>
          </cell>
          <cell r="D339" t="str">
            <v>FC109</v>
          </cell>
          <cell r="E339">
            <v>0.33263888888888887</v>
          </cell>
          <cell r="G339" t="str">
            <v>P</v>
          </cell>
        </row>
        <row r="340">
          <cell r="A340">
            <v>204117684</v>
          </cell>
          <cell r="B340" t="str">
            <v>Matika,Lovejoy</v>
          </cell>
          <cell r="C340" t="str">
            <v>Thomas,Binil</v>
          </cell>
          <cell r="D340" t="str">
            <v>FC109</v>
          </cell>
          <cell r="E340">
            <v>0.33263888888888887</v>
          </cell>
          <cell r="G340" t="str">
            <v>P</v>
          </cell>
        </row>
        <row r="341">
          <cell r="A341">
            <v>204467948</v>
          </cell>
          <cell r="B341" t="str">
            <v>Sahr M'Bayo,Richard</v>
          </cell>
          <cell r="C341" t="str">
            <v>Narshad,Muhammad Ashik</v>
          </cell>
          <cell r="D341" t="str">
            <v>FC134</v>
          </cell>
          <cell r="E341">
            <v>0.33124999999999999</v>
          </cell>
          <cell r="G341" t="str">
            <v>P</v>
          </cell>
        </row>
        <row r="342">
          <cell r="A342">
            <v>204246157</v>
          </cell>
          <cell r="B342" t="str">
            <v>Dhobha,Dadirai</v>
          </cell>
          <cell r="C342" t="str">
            <v>Katyal,Varun</v>
          </cell>
          <cell r="D342" t="str">
            <v>FC109</v>
          </cell>
          <cell r="E342">
            <v>0.33194444444444443</v>
          </cell>
          <cell r="G342" t="str">
            <v>P</v>
          </cell>
        </row>
        <row r="343">
          <cell r="A343">
            <v>203802272</v>
          </cell>
          <cell r="B343" t="str">
            <v>FUSEINI,AWAL</v>
          </cell>
          <cell r="C343" t="str">
            <v>Singh,Pardeep</v>
          </cell>
          <cell r="D343" t="str">
            <v>FC109</v>
          </cell>
          <cell r="E343">
            <v>0.33124999999999999</v>
          </cell>
          <cell r="G343" t="str">
            <v>P</v>
          </cell>
        </row>
        <row r="344">
          <cell r="A344">
            <v>206239769</v>
          </cell>
          <cell r="B344" t="str">
            <v>ERNEST,OSEI</v>
          </cell>
          <cell r="C344" t="str">
            <v>Ansari,Ammar Abdullah</v>
          </cell>
          <cell r="D344" t="str">
            <v>FC034</v>
          </cell>
          <cell r="E344">
            <v>0.33194444444444443</v>
          </cell>
          <cell r="G344" t="str">
            <v>P</v>
          </cell>
        </row>
        <row r="345">
          <cell r="A345">
            <v>206239528</v>
          </cell>
          <cell r="B345" t="str">
            <v>OYE,KEZIAH OYE</v>
          </cell>
          <cell r="C345" t="str">
            <v>Dinberu,Eden</v>
          </cell>
          <cell r="D345" t="str">
            <v>FC009</v>
          </cell>
          <cell r="E345">
            <v>0.33333333333333331</v>
          </cell>
          <cell r="G345" t="str">
            <v>P</v>
          </cell>
        </row>
        <row r="346">
          <cell r="A346">
            <v>206137333</v>
          </cell>
          <cell r="B346" t="str">
            <v>Walt Kwaku Amoaben,Noah</v>
          </cell>
          <cell r="C346" t="str">
            <v>Scaria,Varghese</v>
          </cell>
          <cell r="D346" t="str">
            <v>FC109</v>
          </cell>
          <cell r="E346">
            <v>0.33124999999999999</v>
          </cell>
          <cell r="G346" t="str">
            <v>P</v>
          </cell>
        </row>
        <row r="347">
          <cell r="A347">
            <v>204967053</v>
          </cell>
          <cell r="B347" t="str">
            <v>MENSAH,ERIC</v>
          </cell>
          <cell r="C347" t="str">
            <v>Lakkireddy,Sai Raghavendra Reddy</v>
          </cell>
          <cell r="D347" t="str">
            <v>FC134</v>
          </cell>
          <cell r="E347">
            <v>0.33124999999999999</v>
          </cell>
          <cell r="G347" t="str">
            <v>P</v>
          </cell>
        </row>
        <row r="348">
          <cell r="A348">
            <v>203741547</v>
          </cell>
          <cell r="B348" t="str">
            <v>OKRAH,CHARLES</v>
          </cell>
          <cell r="C348" t="str">
            <v>Sohail,Anis</v>
          </cell>
          <cell r="D348" t="str">
            <v>FC009</v>
          </cell>
          <cell r="E348">
            <v>0.33194444444444443</v>
          </cell>
          <cell r="G348" t="str">
            <v>P</v>
          </cell>
        </row>
        <row r="349">
          <cell r="A349">
            <v>203737012</v>
          </cell>
          <cell r="B349" t="str">
            <v>Hayford,Kweatey Tetteh</v>
          </cell>
          <cell r="C349" t="str">
            <v>Lakkireddy,Sai Raghavendra Reddy</v>
          </cell>
          <cell r="D349" t="str">
            <v>FC109</v>
          </cell>
          <cell r="E349">
            <v>0.33124999999999999</v>
          </cell>
          <cell r="G349" t="str">
            <v>P</v>
          </cell>
        </row>
        <row r="350">
          <cell r="A350">
            <v>113433097</v>
          </cell>
          <cell r="B350" t="str">
            <v>KAMAL..,MORAS.</v>
          </cell>
          <cell r="C350" t="str">
            <v>Narshad,Muhammad Ashik</v>
          </cell>
          <cell r="D350" t="str">
            <v>FC109</v>
          </cell>
          <cell r="E350">
            <v>0.33124999999999999</v>
          </cell>
          <cell r="G350" t="str">
            <v>P</v>
          </cell>
        </row>
        <row r="351">
          <cell r="A351">
            <v>206239529</v>
          </cell>
          <cell r="B351" t="str">
            <v>ADU,GLORIA</v>
          </cell>
          <cell r="C351" t="str">
            <v>Narshad,Muhammad Ashik</v>
          </cell>
          <cell r="D351" t="str">
            <v>FC159</v>
          </cell>
          <cell r="E351">
            <v>0.33194444444444443</v>
          </cell>
          <cell r="G351" t="str">
            <v>P</v>
          </cell>
        </row>
        <row r="352">
          <cell r="A352">
            <v>203965009</v>
          </cell>
          <cell r="B352" t="str">
            <v>Shakir,Mohamed</v>
          </cell>
          <cell r="C352" t="str">
            <v>Thomas,Binil</v>
          </cell>
          <cell r="D352" t="str">
            <v>LK012</v>
          </cell>
          <cell r="E352">
            <v>0.3347222222222222</v>
          </cell>
          <cell r="G352" t="str">
            <v>P</v>
          </cell>
        </row>
        <row r="353">
          <cell r="A353">
            <v>203737252</v>
          </cell>
          <cell r="B353" t="str">
            <v>NDAWULA,SHAFIK KYAZE</v>
          </cell>
          <cell r="C353" t="str">
            <v>Nahla,Fathimathul</v>
          </cell>
          <cell r="D353" t="str">
            <v>FC159</v>
          </cell>
          <cell r="E353">
            <v>0.32361111111111113</v>
          </cell>
          <cell r="G353" t="str">
            <v>P</v>
          </cell>
        </row>
        <row r="354">
          <cell r="A354">
            <v>204373724</v>
          </cell>
          <cell r="B354" t="str">
            <v>CHARLES,SARSHAN</v>
          </cell>
          <cell r="C354" t="str">
            <v>Ansari,Ammar Abdullah</v>
          </cell>
          <cell r="D354" t="str">
            <v>FC159</v>
          </cell>
          <cell r="E354">
            <v>0.33333333333333331</v>
          </cell>
          <cell r="G354" t="str">
            <v>P</v>
          </cell>
        </row>
        <row r="355">
          <cell r="A355">
            <v>203736757</v>
          </cell>
          <cell r="B355" t="str">
            <v>H,K</v>
          </cell>
          <cell r="C355" t="str">
            <v>Nahla,Fathimathul</v>
          </cell>
          <cell r="D355" t="str">
            <v>FC159</v>
          </cell>
          <cell r="E355">
            <v>0.32916666666666666</v>
          </cell>
          <cell r="G355" t="str">
            <v>P</v>
          </cell>
        </row>
        <row r="356">
          <cell r="A356">
            <v>204882473</v>
          </cell>
          <cell r="B356" t="str">
            <v>KAMANDA,AUGUSTINE</v>
          </cell>
          <cell r="C356" t="str">
            <v>Lakkireddy,Sai Raghavendra Reddy</v>
          </cell>
          <cell r="D356" t="str">
            <v>FC134</v>
          </cell>
          <cell r="E356">
            <v>0.33124999999999999</v>
          </cell>
          <cell r="G356" t="str">
            <v>P</v>
          </cell>
        </row>
        <row r="357">
          <cell r="A357">
            <v>206129616</v>
          </cell>
          <cell r="B357" t="str">
            <v>Ador,Rabbi</v>
          </cell>
          <cell r="C357" t="str">
            <v>Ansari,Ammar Abdullah</v>
          </cell>
          <cell r="D357" t="str">
            <v>FC109</v>
          </cell>
          <cell r="E357">
            <v>0.33124999999999999</v>
          </cell>
          <cell r="G357" t="str">
            <v>P</v>
          </cell>
        </row>
        <row r="358">
          <cell r="A358">
            <v>203736755</v>
          </cell>
          <cell r="B358" t="str">
            <v>Maxy,Mrithul</v>
          </cell>
          <cell r="C358" t="str">
            <v>Nahla,Fathimathul</v>
          </cell>
          <cell r="D358" t="str">
            <v>FC034</v>
          </cell>
          <cell r="E358">
            <v>0.32847222222222222</v>
          </cell>
          <cell r="G358" t="str">
            <v>P</v>
          </cell>
        </row>
        <row r="359">
          <cell r="A359">
            <v>203521525</v>
          </cell>
          <cell r="B359" t="str">
            <v>Agorgi,Jonathan</v>
          </cell>
          <cell r="C359" t="str">
            <v>Singh,Pardeep</v>
          </cell>
          <cell r="D359" t="str">
            <v>FC159</v>
          </cell>
          <cell r="E359">
            <v>0.33263888888888887</v>
          </cell>
          <cell r="G359" t="str">
            <v>P</v>
          </cell>
        </row>
        <row r="360">
          <cell r="A360">
            <v>205477624</v>
          </cell>
          <cell r="B360" t="str">
            <v>NYANKEY,JOHN</v>
          </cell>
          <cell r="C360" t="str">
            <v>Almarzooqi,Abbas</v>
          </cell>
          <cell r="D360" t="str">
            <v>FC159</v>
          </cell>
          <cell r="E360">
            <v>0.33055555555555555</v>
          </cell>
          <cell r="G360" t="str">
            <v>P</v>
          </cell>
        </row>
        <row r="361">
          <cell r="A361">
            <v>206129614</v>
          </cell>
          <cell r="B361" t="str">
            <v>Regina Narkie,Odjam</v>
          </cell>
          <cell r="C361" t="str">
            <v>Ansari,Ammar Abdullah</v>
          </cell>
          <cell r="D361" t="str">
            <v>LK017</v>
          </cell>
          <cell r="E361">
            <v>0.33194444444444443</v>
          </cell>
          <cell r="G361" t="str">
            <v>P</v>
          </cell>
        </row>
        <row r="362">
          <cell r="A362">
            <v>203736754</v>
          </cell>
          <cell r="B362" t="str">
            <v>Myat,Aung Kaung</v>
          </cell>
          <cell r="C362" t="str">
            <v>Singh,Pardeep</v>
          </cell>
          <cell r="D362" t="str">
            <v>FC109</v>
          </cell>
          <cell r="E362">
            <v>0.33194444444444443</v>
          </cell>
          <cell r="G362" t="str">
            <v>P</v>
          </cell>
        </row>
        <row r="363">
          <cell r="A363">
            <v>204172225</v>
          </cell>
          <cell r="B363" t="str">
            <v>SAH,AVINASH</v>
          </cell>
          <cell r="C363" t="str">
            <v>Lakkireddy,Sai Raghavendra Reddy</v>
          </cell>
          <cell r="D363" t="str">
            <v>FC134</v>
          </cell>
          <cell r="E363">
            <v>0.33263888888888887</v>
          </cell>
          <cell r="G363" t="str">
            <v>P</v>
          </cell>
        </row>
        <row r="364">
          <cell r="A364">
            <v>204172222</v>
          </cell>
          <cell r="B364" t="str">
            <v>sunday,Bruce</v>
          </cell>
          <cell r="C364" t="str">
            <v>Ansari,Ammar Abdullah</v>
          </cell>
          <cell r="D364" t="str">
            <v>FC034</v>
          </cell>
          <cell r="E364">
            <v>0.33194444444444443</v>
          </cell>
          <cell r="G364" t="str">
            <v>P</v>
          </cell>
        </row>
        <row r="365">
          <cell r="A365">
            <v>204299909</v>
          </cell>
          <cell r="B365" t="str">
            <v>Nti,Peter</v>
          </cell>
          <cell r="C365" t="str">
            <v>Meera,Bava Bahrudeen</v>
          </cell>
          <cell r="D365" t="str">
            <v>FC034</v>
          </cell>
          <cell r="E365">
            <v>0.33124999999999999</v>
          </cell>
          <cell r="G365" t="str">
            <v>P</v>
          </cell>
        </row>
        <row r="366">
          <cell r="A366">
            <v>206296189</v>
          </cell>
          <cell r="B366" t="str">
            <v>MAMBWE,FRANCIS</v>
          </cell>
          <cell r="C366" t="str">
            <v>Sohail,Anis</v>
          </cell>
          <cell r="D366" t="str">
            <v>FC109</v>
          </cell>
          <cell r="E366">
            <v>0.33124999999999999</v>
          </cell>
          <cell r="G366" t="str">
            <v>P</v>
          </cell>
        </row>
        <row r="367">
          <cell r="A367">
            <v>203341958</v>
          </cell>
          <cell r="B367" t="str">
            <v>KHAN,TANVEER</v>
          </cell>
          <cell r="C367" t="str">
            <v>Scaria,Varghese</v>
          </cell>
          <cell r="D367" t="str">
            <v>FC009</v>
          </cell>
          <cell r="E367">
            <v>0.3263888888888889</v>
          </cell>
          <cell r="G367" t="str">
            <v>P</v>
          </cell>
        </row>
        <row r="368">
          <cell r="A368">
            <v>205608627</v>
          </cell>
          <cell r="B368" t="str">
            <v>AGLAGOVI,PRINCE</v>
          </cell>
          <cell r="C368" t="str">
            <v>Nahla,Fathimathul</v>
          </cell>
          <cell r="D368" t="str">
            <v>FC159</v>
          </cell>
          <cell r="E368">
            <v>0.33055555555555555</v>
          </cell>
          <cell r="G368" t="str">
            <v>P</v>
          </cell>
        </row>
        <row r="369">
          <cell r="A369">
            <v>206239750</v>
          </cell>
          <cell r="B369" t="str">
            <v>JOSEPH,BOATENG</v>
          </cell>
          <cell r="C369" t="str">
            <v>Scaria,Varghese</v>
          </cell>
          <cell r="D369" t="str">
            <v>LK017</v>
          </cell>
          <cell r="E369">
            <v>0.33333333333333331</v>
          </cell>
          <cell r="G369" t="str">
            <v>P</v>
          </cell>
        </row>
        <row r="370">
          <cell r="A370">
            <v>203470579</v>
          </cell>
          <cell r="B370" t="str">
            <v>Faizal,Zizinga</v>
          </cell>
          <cell r="C370" t="str">
            <v>Dinberu,Eden</v>
          </cell>
          <cell r="D370" t="str">
            <v>FC034</v>
          </cell>
          <cell r="E370">
            <v>0.33194444444444443</v>
          </cell>
          <cell r="G370" t="str">
            <v>P</v>
          </cell>
        </row>
        <row r="371">
          <cell r="A371">
            <v>204138114</v>
          </cell>
          <cell r="B371" t="str">
            <v>Kamara,Mohamed S</v>
          </cell>
          <cell r="C371" t="str">
            <v>Scaria,Varghese</v>
          </cell>
          <cell r="D371" t="str">
            <v>FC009</v>
          </cell>
          <cell r="E371">
            <v>0.3347222222222222</v>
          </cell>
          <cell r="G371" t="str">
            <v>P</v>
          </cell>
        </row>
        <row r="372">
          <cell r="A372">
            <v>203879776</v>
          </cell>
          <cell r="B372" t="str">
            <v>Ansari,Md Shahid</v>
          </cell>
          <cell r="C372" t="str">
            <v>Lakkireddy,Sai Raghavendra Reddy</v>
          </cell>
          <cell r="D372" t="str">
            <v>FC034</v>
          </cell>
          <cell r="E372">
            <v>0.32777777777777778</v>
          </cell>
          <cell r="G372" t="str">
            <v>P</v>
          </cell>
        </row>
        <row r="373">
          <cell r="A373">
            <v>204138116</v>
          </cell>
          <cell r="B373" t="str">
            <v>Daiga Kingsly,Fongoh</v>
          </cell>
          <cell r="C373" t="str">
            <v>Lakkireddy,Sai Raghavendra Reddy</v>
          </cell>
          <cell r="D373" t="str">
            <v>FC159</v>
          </cell>
          <cell r="E373">
            <v>0.33194444444444443</v>
          </cell>
          <cell r="G373" t="str">
            <v>P</v>
          </cell>
        </row>
        <row r="374">
          <cell r="A374">
            <v>204138118</v>
          </cell>
          <cell r="B374" t="str">
            <v>Appiah,Leticia</v>
          </cell>
          <cell r="C374" t="str">
            <v>Lakkireddy,Sai Raghavendra Reddy</v>
          </cell>
          <cell r="D374" t="str">
            <v>FC134</v>
          </cell>
          <cell r="E374">
            <v>0.33194444444444443</v>
          </cell>
          <cell r="G374" t="str">
            <v>P</v>
          </cell>
        </row>
        <row r="375">
          <cell r="A375">
            <v>203736752</v>
          </cell>
          <cell r="B375" t="str">
            <v>MUSTHAFA,ISMAIL THEKKE KUNNUMMAL</v>
          </cell>
          <cell r="C375" t="str">
            <v>Ansari,Ammar Abdullah</v>
          </cell>
          <cell r="D375" t="str">
            <v>FC009</v>
          </cell>
          <cell r="E375">
            <v>0.33055555555555555</v>
          </cell>
          <cell r="G375" t="str">
            <v>P</v>
          </cell>
        </row>
        <row r="376">
          <cell r="A376">
            <v>204951503</v>
          </cell>
          <cell r="B376" t="str">
            <v>YEBOAH,ISAAC KWADWO</v>
          </cell>
          <cell r="C376" t="str">
            <v>Lakkireddy,Sai Raghavendra Reddy</v>
          </cell>
          <cell r="D376" t="str">
            <v>FC134</v>
          </cell>
          <cell r="E376">
            <v>0.33402777777777776</v>
          </cell>
          <cell r="G376" t="str">
            <v>P</v>
          </cell>
        </row>
        <row r="377">
          <cell r="A377">
            <v>206006412</v>
          </cell>
          <cell r="B377" t="str">
            <v>PROMISE NAMALE,CATHERINE</v>
          </cell>
          <cell r="C377" t="str">
            <v>Singh,Pardeep</v>
          </cell>
          <cell r="D377" t="str">
            <v>FC034</v>
          </cell>
          <cell r="E377">
            <v>0.33263888888888887</v>
          </cell>
          <cell r="G377" t="str">
            <v>P</v>
          </cell>
        </row>
        <row r="378">
          <cell r="A378">
            <v>205477618</v>
          </cell>
          <cell r="B378" t="str">
            <v>KOROMA,ALUSINE</v>
          </cell>
          <cell r="C378" t="str">
            <v>Almarzooqi,Abbas</v>
          </cell>
          <cell r="D378" t="str">
            <v>FC159</v>
          </cell>
          <cell r="E378">
            <v>0.33055555555555555</v>
          </cell>
          <cell r="G378" t="str">
            <v>P</v>
          </cell>
        </row>
        <row r="379">
          <cell r="A379">
            <v>206953570</v>
          </cell>
          <cell r="B379" t="str">
            <v>Chepngetich,Joan</v>
          </cell>
          <cell r="C379" t="str">
            <v>Sohail,Anis</v>
          </cell>
          <cell r="D379" t="str">
            <v>FC159</v>
          </cell>
          <cell r="E379">
            <v>0.33194444444444443</v>
          </cell>
          <cell r="G379" t="str">
            <v>P</v>
          </cell>
        </row>
        <row r="380">
          <cell r="A380">
            <v>109808051</v>
          </cell>
          <cell r="B380" t="str">
            <v>Ali,Awais</v>
          </cell>
          <cell r="C380" t="str">
            <v>Ansari,Ammar Abdullah</v>
          </cell>
          <cell r="D380" t="str">
            <v>FC009</v>
          </cell>
          <cell r="E380">
            <v>0.32708333333333334</v>
          </cell>
          <cell r="G380" t="str">
            <v>P</v>
          </cell>
        </row>
        <row r="381">
          <cell r="A381">
            <v>205609143</v>
          </cell>
          <cell r="B381" t="str">
            <v>MUSA MUBI,UMARU</v>
          </cell>
          <cell r="C381" t="str">
            <v>Meera,Bava Bahrudeen</v>
          </cell>
          <cell r="D381" t="str">
            <v>FC159</v>
          </cell>
          <cell r="E381">
            <v>0.33194444444444443</v>
          </cell>
          <cell r="G381" t="str">
            <v>P</v>
          </cell>
        </row>
        <row r="382">
          <cell r="A382">
            <v>203469114</v>
          </cell>
          <cell r="B382" t="str">
            <v>Owusu,Solomon</v>
          </cell>
          <cell r="C382" t="str">
            <v>Meera,Bava Bahrudeen</v>
          </cell>
          <cell r="D382" t="str">
            <v>FC159</v>
          </cell>
          <cell r="E382">
            <v>0.33263888888888887</v>
          </cell>
          <cell r="G382" t="str">
            <v>P</v>
          </cell>
        </row>
        <row r="383">
          <cell r="A383">
            <v>205608619</v>
          </cell>
          <cell r="B383" t="str">
            <v>KASSIM,MAMUDU</v>
          </cell>
          <cell r="C383" t="str">
            <v>Meera,Bava Bahrudeen</v>
          </cell>
          <cell r="D383" t="str">
            <v>FC159</v>
          </cell>
          <cell r="E383">
            <v>0.33124999999999999</v>
          </cell>
          <cell r="G383" t="str">
            <v>P</v>
          </cell>
        </row>
        <row r="384">
          <cell r="A384">
            <v>204299902</v>
          </cell>
          <cell r="B384" t="str">
            <v>Opoku,Emmanuel Gyamfi</v>
          </cell>
          <cell r="C384" t="str">
            <v>Sohail,Anis</v>
          </cell>
          <cell r="D384" t="str">
            <v>FC134</v>
          </cell>
          <cell r="E384">
            <v>0.33194444444444443</v>
          </cell>
          <cell r="G384" t="str">
            <v>P</v>
          </cell>
        </row>
        <row r="385">
          <cell r="A385">
            <v>205506109</v>
          </cell>
          <cell r="B385" t="str">
            <v>NG'ANG'A,SUSAN WANJIKU</v>
          </cell>
          <cell r="C385" t="str">
            <v>Nahla,Fathimathul</v>
          </cell>
          <cell r="D385" t="str">
            <v>FC034</v>
          </cell>
          <cell r="E385">
            <v>0.33194444444444443</v>
          </cell>
          <cell r="G385" t="str">
            <v>P</v>
          </cell>
        </row>
        <row r="386">
          <cell r="A386">
            <v>202218633</v>
          </cell>
          <cell r="B386" t="str">
            <v>WIAFE,GORDON</v>
          </cell>
          <cell r="C386" t="str">
            <v>Singh,Pardeep</v>
          </cell>
          <cell r="D386" t="str">
            <v>FC134</v>
          </cell>
          <cell r="E386">
            <v>0.33263888888888887</v>
          </cell>
          <cell r="G386" t="str">
            <v>P</v>
          </cell>
        </row>
      </sheetData>
      <sheetData sheetId="1">
        <row r="2">
          <cell r="A2" t="str">
            <v>SUNDARAD</v>
          </cell>
          <cell r="B2" t="e">
            <v>#N/A</v>
          </cell>
          <cell r="C2" t="e">
            <v>#N/A</v>
          </cell>
          <cell r="D2" t="e">
            <v>#N/A</v>
          </cell>
        </row>
        <row r="3">
          <cell r="A3" t="str">
            <v>goodeuge</v>
          </cell>
          <cell r="B3" t="str">
            <v>Approved</v>
          </cell>
          <cell r="C3" t="str">
            <v>16-Aug-2026</v>
          </cell>
          <cell r="D3" t="str">
            <v>30-Aug-2026</v>
          </cell>
          <cell r="E3" t="str">
            <v>PL</v>
          </cell>
        </row>
        <row r="4">
          <cell r="A4" t="str">
            <v>sessijam</v>
          </cell>
          <cell r="B4" t="str">
            <v>Approved</v>
          </cell>
          <cell r="C4" t="str">
            <v>19-Aug-2026</v>
          </cell>
          <cell r="D4" t="str">
            <v>25-Aug-2026</v>
          </cell>
          <cell r="E4" t="str">
            <v>PL</v>
          </cell>
        </row>
        <row r="5">
          <cell r="A5" t="str">
            <v>JAYPEEL</v>
          </cell>
          <cell r="B5" t="e">
            <v>#N/A</v>
          </cell>
          <cell r="C5" t="e">
            <v>#N/A</v>
          </cell>
          <cell r="D5" t="e">
            <v>#N/A</v>
          </cell>
        </row>
        <row r="6">
          <cell r="A6" t="str">
            <v>faresoal</v>
          </cell>
          <cell r="B6" t="e">
            <v>#N/A</v>
          </cell>
          <cell r="C6" t="e">
            <v>#N/A</v>
          </cell>
          <cell r="D6" t="e">
            <v>#N/A</v>
          </cell>
        </row>
        <row r="7">
          <cell r="A7" t="str">
            <v>lmohsyed</v>
          </cell>
          <cell r="B7" t="e">
            <v>#N/A</v>
          </cell>
          <cell r="C7" t="e">
            <v>#N/A</v>
          </cell>
          <cell r="D7" t="e">
            <v>#N/A</v>
          </cell>
        </row>
        <row r="8">
          <cell r="A8" t="str">
            <v>taatinde</v>
          </cell>
          <cell r="B8" t="e">
            <v>#N/A</v>
          </cell>
          <cell r="C8" t="e">
            <v>#N/A</v>
          </cell>
          <cell r="D8" t="e">
            <v>#N/A</v>
          </cell>
        </row>
        <row r="9">
          <cell r="A9" t="str">
            <v>emmaabug</v>
          </cell>
          <cell r="B9">
            <v>0</v>
          </cell>
          <cell r="C9" t="str">
            <v>23-Aug-2026</v>
          </cell>
          <cell r="D9" t="str">
            <v>24-Aug-2026</v>
          </cell>
          <cell r="E9" t="str">
            <v>PL</v>
          </cell>
        </row>
        <row r="10">
          <cell r="A10" t="str">
            <v>firstmup</v>
          </cell>
          <cell r="B10" t="e">
            <v>#N/A</v>
          </cell>
          <cell r="C10" t="e">
            <v>#N/A</v>
          </cell>
          <cell r="D10" t="e">
            <v>#N/A</v>
          </cell>
        </row>
        <row r="11">
          <cell r="A11" t="str">
            <v>ashiegbi</v>
          </cell>
          <cell r="B11" t="str">
            <v>Approved</v>
          </cell>
          <cell r="C11" t="str">
            <v>23-Aug-2026</v>
          </cell>
          <cell r="D11" t="str">
            <v>26-Aug-2026</v>
          </cell>
          <cell r="E11" t="str">
            <v>PL</v>
          </cell>
        </row>
        <row r="12">
          <cell r="A12" t="str">
            <v>iahfrank</v>
          </cell>
          <cell r="B12" t="e">
            <v>#N/A</v>
          </cell>
          <cell r="C12" t="e">
            <v>#N/A</v>
          </cell>
          <cell r="D12" t="e">
            <v>#N/A</v>
          </cell>
        </row>
        <row r="13">
          <cell r="A13" t="str">
            <v>opariyar</v>
          </cell>
          <cell r="B13" t="str">
            <v>Approved</v>
          </cell>
          <cell r="C13" t="str">
            <v>24-Aug-2026</v>
          </cell>
          <cell r="D13" t="str">
            <v>24-Aug-2026</v>
          </cell>
          <cell r="E13" t="str">
            <v>PL</v>
          </cell>
        </row>
        <row r="14">
          <cell r="A14" t="str">
            <v>umarkas</v>
          </cell>
          <cell r="B14" t="e">
            <v>#N/A</v>
          </cell>
          <cell r="C14" t="e">
            <v>#N/A</v>
          </cell>
          <cell r="D14" t="e">
            <v>#N/A</v>
          </cell>
        </row>
        <row r="15">
          <cell r="A15" t="str">
            <v>umerr</v>
          </cell>
          <cell r="B15" t="e">
            <v>#N/A</v>
          </cell>
          <cell r="C15" t="e">
            <v>#N/A</v>
          </cell>
          <cell r="D15" t="e">
            <v>#N/A</v>
          </cell>
        </row>
        <row r="16">
          <cell r="A16" t="str">
            <v>namudirq</v>
          </cell>
          <cell r="B16" t="e">
            <v>#N/A</v>
          </cell>
          <cell r="C16" t="e">
            <v>#N/A</v>
          </cell>
          <cell r="D16" t="e">
            <v>#N/A</v>
          </cell>
        </row>
        <row r="17">
          <cell r="A17" t="str">
            <v>folisuzw</v>
          </cell>
          <cell r="B17" t="e">
            <v>#N/A</v>
          </cell>
          <cell r="C17" t="e">
            <v>#N/A</v>
          </cell>
          <cell r="D17" t="e">
            <v>#N/A</v>
          </cell>
        </row>
        <row r="18">
          <cell r="A18" t="str">
            <v>tamanyet</v>
          </cell>
          <cell r="B18" t="e">
            <v>#N/A</v>
          </cell>
          <cell r="C18" t="e">
            <v>#N/A</v>
          </cell>
          <cell r="D18" t="e">
            <v>#N/A</v>
          </cell>
        </row>
        <row r="19">
          <cell r="A19" t="str">
            <v>hissahza</v>
          </cell>
          <cell r="B19" t="e">
            <v>#N/A</v>
          </cell>
          <cell r="C19" t="e">
            <v>#N/A</v>
          </cell>
          <cell r="D19" t="e">
            <v>#N/A</v>
          </cell>
        </row>
        <row r="20">
          <cell r="A20" t="str">
            <v>chrafful</v>
          </cell>
          <cell r="B20" t="str">
            <v>Approved</v>
          </cell>
          <cell r="C20" t="str">
            <v>20-Aug-2026</v>
          </cell>
          <cell r="D20" t="str">
            <v>24-Aug-2026</v>
          </cell>
          <cell r="E20" t="str">
            <v>PL</v>
          </cell>
        </row>
        <row r="21">
          <cell r="A21" t="str">
            <v>odelap</v>
          </cell>
          <cell r="B21" t="e">
            <v>#N/A</v>
          </cell>
          <cell r="C21" t="e">
            <v>#N/A</v>
          </cell>
          <cell r="D21" t="e">
            <v>#N/A</v>
          </cell>
        </row>
        <row r="22">
          <cell r="A22" t="str">
            <v>lewmaina</v>
          </cell>
          <cell r="B22" t="str">
            <v>Approved</v>
          </cell>
          <cell r="C22" t="str">
            <v>17-Aug-2026</v>
          </cell>
          <cell r="D22" t="str">
            <v>31-Aug-2026</v>
          </cell>
          <cell r="E22" t="str">
            <v>PL</v>
          </cell>
        </row>
        <row r="23">
          <cell r="A23" t="str">
            <v>kadelias</v>
          </cell>
          <cell r="B23" t="str">
            <v>Approved</v>
          </cell>
          <cell r="C23" t="str">
            <v>24-Aug-2026</v>
          </cell>
          <cell r="D23" t="str">
            <v>24-Aug-2026</v>
          </cell>
          <cell r="E23" t="str">
            <v>PL</v>
          </cell>
        </row>
        <row r="24">
          <cell r="A24" t="str">
            <v>remmanda</v>
          </cell>
          <cell r="B24" t="e">
            <v>#N/A</v>
          </cell>
          <cell r="C24" t="e">
            <v>#N/A</v>
          </cell>
          <cell r="D24" t="e">
            <v>#N/A</v>
          </cell>
        </row>
        <row r="25">
          <cell r="A25" t="str">
            <v>nkhonesn</v>
          </cell>
          <cell r="B25" t="e">
            <v>#N/A</v>
          </cell>
          <cell r="C25" t="e">
            <v>#N/A</v>
          </cell>
          <cell r="D25" t="e">
            <v>#N/A</v>
          </cell>
        </row>
        <row r="26">
          <cell r="A26" t="str">
            <v>larbiygl</v>
          </cell>
          <cell r="B26" t="str">
            <v xml:space="preserve">Back to school event- No quota </v>
          </cell>
          <cell r="C26" t="str">
            <v>24-Aug-2026</v>
          </cell>
          <cell r="D26" t="str">
            <v>30-Aug-2026</v>
          </cell>
          <cell r="E26" t="str">
            <v>PL</v>
          </cell>
        </row>
        <row r="27">
          <cell r="A27" t="str">
            <v>otooibra</v>
          </cell>
          <cell r="B27" t="e">
            <v>#N/A</v>
          </cell>
          <cell r="C27" t="e">
            <v>#N/A</v>
          </cell>
          <cell r="D27" t="e">
            <v>#N/A</v>
          </cell>
        </row>
        <row r="28">
          <cell r="A28" t="str">
            <v>ndedjose</v>
          </cell>
          <cell r="B28">
            <v>0</v>
          </cell>
          <cell r="C28" t="str">
            <v>12-Aug-2026</v>
          </cell>
          <cell r="D28" t="str">
            <v>28-Aug-2026</v>
          </cell>
          <cell r="E28" t="str">
            <v>PL</v>
          </cell>
        </row>
        <row r="29">
          <cell r="A29" t="str">
            <v>reginkum</v>
          </cell>
          <cell r="B29" t="e">
            <v>#N/A</v>
          </cell>
          <cell r="C29" t="e">
            <v>#N/A</v>
          </cell>
          <cell r="D29" t="e">
            <v>#N/A</v>
          </cell>
        </row>
        <row r="30">
          <cell r="A30" t="str">
            <v>atuahech</v>
          </cell>
          <cell r="B30" t="str">
            <v>Approved</v>
          </cell>
          <cell r="C30" t="str">
            <v>22-Aug-2026</v>
          </cell>
          <cell r="D30" t="str">
            <v>26-Aug-2026</v>
          </cell>
          <cell r="E30" t="str">
            <v>PL</v>
          </cell>
        </row>
        <row r="31">
          <cell r="A31" t="str">
            <v>javshahi</v>
          </cell>
          <cell r="B31" t="e">
            <v>#N/A</v>
          </cell>
          <cell r="C31" t="e">
            <v>#N/A</v>
          </cell>
          <cell r="D31" t="e">
            <v>#N/A</v>
          </cell>
        </row>
        <row r="32">
          <cell r="A32" t="str">
            <v>jemuelc</v>
          </cell>
          <cell r="B32" t="e">
            <v>#N/A</v>
          </cell>
          <cell r="C32" t="e">
            <v>#N/A</v>
          </cell>
          <cell r="D32" t="e">
            <v>#N/A</v>
          </cell>
        </row>
        <row r="33">
          <cell r="A33" t="str">
            <v>stelasar</v>
          </cell>
          <cell r="B33" t="e">
            <v>#N/A</v>
          </cell>
          <cell r="C33" t="e">
            <v>#N/A</v>
          </cell>
          <cell r="D33" t="e">
            <v>#N/A</v>
          </cell>
        </row>
        <row r="34">
          <cell r="A34" t="str">
            <v>kmokube</v>
          </cell>
          <cell r="B34" t="e">
            <v>#N/A</v>
          </cell>
          <cell r="C34" t="e">
            <v>#N/A</v>
          </cell>
          <cell r="D34" t="e">
            <v>#N/A</v>
          </cell>
        </row>
        <row r="35">
          <cell r="A35" t="str">
            <v>abrighta</v>
          </cell>
          <cell r="B35" t="str">
            <v>Approved</v>
          </cell>
          <cell r="C35" t="str">
            <v>24-Aug-2026</v>
          </cell>
          <cell r="D35" t="str">
            <v>31-Aug-2026</v>
          </cell>
          <cell r="E35" t="str">
            <v>PL</v>
          </cell>
        </row>
        <row r="36">
          <cell r="A36" t="str">
            <v>ekndapem</v>
          </cell>
          <cell r="B36" t="str">
            <v xml:space="preserve">Approved </v>
          </cell>
          <cell r="C36" t="str">
            <v>17-Aug-2026</v>
          </cell>
          <cell r="D36" t="str">
            <v>31-Aug-2026</v>
          </cell>
          <cell r="E36" t="str">
            <v>PL</v>
          </cell>
        </row>
        <row r="37">
          <cell r="A37" t="str">
            <v>labcamar</v>
          </cell>
          <cell r="B37" t="e">
            <v>#N/A</v>
          </cell>
          <cell r="C37" t="e">
            <v>#N/A</v>
          </cell>
          <cell r="D37" t="e">
            <v>#N/A</v>
          </cell>
        </row>
        <row r="38">
          <cell r="A38" t="str">
            <v>isaankru</v>
          </cell>
          <cell r="B38">
            <v>0</v>
          </cell>
          <cell r="C38" t="str">
            <v>14-Aug-2026</v>
          </cell>
          <cell r="D38" t="str">
            <v>31-Aug-2026</v>
          </cell>
          <cell r="E38" t="str">
            <v>PL</v>
          </cell>
        </row>
        <row r="39">
          <cell r="A39" t="str">
            <v>atvinoth</v>
          </cell>
          <cell r="B39" t="e">
            <v>#N/A</v>
          </cell>
          <cell r="C39" t="e">
            <v>#N/A</v>
          </cell>
          <cell r="D39" t="e">
            <v>#N/A</v>
          </cell>
        </row>
        <row r="40">
          <cell r="A40" t="str">
            <v>chakkumm</v>
          </cell>
          <cell r="B40" t="e">
            <v>#N/A</v>
          </cell>
          <cell r="C40" t="e">
            <v>#N/A</v>
          </cell>
          <cell r="D40" t="e">
            <v>#N/A</v>
          </cell>
        </row>
        <row r="41">
          <cell r="A41" t="str">
            <v>jgania</v>
          </cell>
          <cell r="B41" t="e">
            <v>#N/A</v>
          </cell>
          <cell r="C41" t="e">
            <v>#N/A</v>
          </cell>
          <cell r="D41" t="e">
            <v>#N/A</v>
          </cell>
        </row>
        <row r="42">
          <cell r="A42" t="str">
            <v>ismchasy</v>
          </cell>
          <cell r="B42" t="e">
            <v>#N/A</v>
          </cell>
          <cell r="C42" t="e">
            <v>#N/A</v>
          </cell>
          <cell r="D42" t="e">
            <v>#N/A</v>
          </cell>
        </row>
        <row r="43">
          <cell r="A43" t="str">
            <v>ajithrak</v>
          </cell>
          <cell r="B43" t="e">
            <v>#N/A</v>
          </cell>
          <cell r="C43" t="e">
            <v>#N/A</v>
          </cell>
          <cell r="D43" t="e">
            <v>#N/A</v>
          </cell>
        </row>
        <row r="44">
          <cell r="A44" t="str">
            <v>karthiqv</v>
          </cell>
          <cell r="B44" t="e">
            <v>#N/A</v>
          </cell>
          <cell r="C44" t="e">
            <v>#N/A</v>
          </cell>
          <cell r="D44" t="e">
            <v>#N/A</v>
          </cell>
        </row>
        <row r="45">
          <cell r="A45" t="str">
            <v>canudamo</v>
          </cell>
          <cell r="B45" t="e">
            <v>#N/A</v>
          </cell>
          <cell r="C45" t="e">
            <v>#N/A</v>
          </cell>
          <cell r="D45" t="e">
            <v>#N/A</v>
          </cell>
        </row>
        <row r="46">
          <cell r="A46" t="str">
            <v>alreena</v>
          </cell>
          <cell r="B46" t="e">
            <v>#N/A</v>
          </cell>
          <cell r="C46" t="e">
            <v>#N/A</v>
          </cell>
          <cell r="D46" t="e">
            <v>#N/A</v>
          </cell>
        </row>
        <row r="47">
          <cell r="A47" t="str">
            <v>swavishw</v>
          </cell>
          <cell r="B47" t="e">
            <v>#N/A</v>
          </cell>
          <cell r="C47" t="e">
            <v>#N/A</v>
          </cell>
          <cell r="D47" t="e">
            <v>#N/A</v>
          </cell>
        </row>
        <row r="48">
          <cell r="A48" t="str">
            <v>priokyer</v>
          </cell>
          <cell r="B48" t="e">
            <v>#N/A</v>
          </cell>
          <cell r="C48" t="e">
            <v>#N/A</v>
          </cell>
          <cell r="D48" t="e">
            <v>#N/A</v>
          </cell>
        </row>
        <row r="49">
          <cell r="A49" t="str">
            <v>simontwe</v>
          </cell>
          <cell r="B49" t="e">
            <v>#N/A</v>
          </cell>
          <cell r="C49" t="e">
            <v>#N/A</v>
          </cell>
          <cell r="D49" t="e">
            <v>#N/A</v>
          </cell>
        </row>
        <row r="50">
          <cell r="A50" t="str">
            <v>thembik</v>
          </cell>
          <cell r="B50" t="e">
            <v>#N/A</v>
          </cell>
          <cell r="C50" t="e">
            <v>#N/A</v>
          </cell>
          <cell r="D50" t="e">
            <v>#N/A</v>
          </cell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D776E-8BD3-41FA-8717-273CB2AA9E41}" name="Table1" displayName="Table1" ref="A6:AA1407" totalsRowShown="0" headerRowDxfId="31" dataDxfId="29" headerRowBorderDxfId="30" tableBorderDxfId="28" totalsRowBorderDxfId="27" dataCellStyle="Percent">
  <sortState xmlns:xlrd2="http://schemas.microsoft.com/office/spreadsheetml/2017/richdata2" ref="A73:Y1245">
    <sortCondition ref="S6:S1407"/>
  </sortState>
  <tableColumns count="27">
    <tableColumn id="1" xr3:uid="{BCE29A67-12E8-4558-8580-3259C3F345D1}" name="S.No" dataDxfId="26" dataCellStyle="Percent"/>
    <tableColumn id="2" xr3:uid="{2A531BA2-670E-47B6-8C54-A268061DF0C4}" name="Psoft No" dataDxfId="25" dataCellStyle="Percent"/>
    <tableColumn id="3" xr3:uid="{5211A305-297F-4148-BFE0-A822C9572ABC}" name="AMZ ID" dataDxfId="24" dataCellStyle="Comma"/>
    <tableColumn id="4" xr3:uid="{3A164886-BB7E-4199-B547-D765B2D8E209}" name="EMP Name" dataDxfId="23" dataCellStyle="Comma"/>
    <tableColumn id="21" xr3:uid="{B96A5737-172D-4C27-A01A-D01707DF4279}" name="Employment Type" dataDxfId="22" dataCellStyle="Percent"/>
    <tableColumn id="5" xr3:uid="{5F7A53E1-02F5-47EB-81C8-97C09FA2B568}" name="Country" dataDxfId="21" dataCellStyle="Percent"/>
    <tableColumn id="7" xr3:uid="{200B394F-49B2-4204-9B36-0BE27E346183}" name="Building" dataDxfId="20" dataCellStyle="Percent"/>
    <tableColumn id="26" xr3:uid="{F76B59A1-168E-4A24-8FB8-6FD00A02BCF3}" name="Column1" dataDxfId="19" dataCellStyle="Percent">
      <calculatedColumnFormula>VLOOKUP(Table1[[#This Row],[Psoft No]],[1]Roster!$C$2:$H$1402,6,)</calculatedColumnFormula>
    </tableColumn>
    <tableColumn id="27" xr3:uid="{20704000-0ED0-4A0B-A853-59102090184D}" name="Column2" dataDxfId="18" dataCellStyle="Percent">
      <calculatedColumnFormula>Table1[[#This Row],[Building]]=Table1[[#This Row],[Column1]]</calculatedColumnFormula>
    </tableColumn>
    <tableColumn id="22" xr3:uid="{6940F9EF-2C19-4297-85AF-FB9B029F70F8}" name="LOB" dataDxfId="17" dataCellStyle="Percent"/>
    <tableColumn id="8" xr3:uid="{AD7FC9C0-1CB1-4924-8082-447C98D6207B}" name="Cost Center" dataDxfId="16" dataCellStyle="Percent"/>
    <tableColumn id="9" xr3:uid="{A2DF0313-D2EB-48E2-B0AE-440FDA42B3F4}" name="Shift" dataDxfId="15" dataCellStyle="Percent"/>
    <tableColumn id="23" xr3:uid="{4F2A0626-A831-4633-B9B7-D7736BC61A21}" name="Shift Difference" dataDxfId="14" dataCellStyle="Percent"/>
    <tableColumn id="10" xr3:uid="{3039464D-2B75-4E9D-8C2B-C45F2AE0EA25}" name="OFF1" dataDxfId="13" dataCellStyle="Percent"/>
    <tableColumn id="11" xr3:uid="{FB40016D-4358-4A88-BE20-305D2220A7D7}" name="OFF2" dataDxfId="12" dataCellStyle="Percent"/>
    <tableColumn id="12" xr3:uid="{9C11C26C-621B-47DA-8AD2-48E4EA7AF7F6}" name="Job Title" dataDxfId="11" dataCellStyle="Percent"/>
    <tableColumn id="13" xr3:uid="{78CCCED1-4589-4768-88FD-C337A4B51D57}" name="Department" dataDxfId="10" dataCellStyle="Percent"/>
    <tableColumn id="15" xr3:uid="{BF545AB2-BB16-462C-98B6-98B12CCDA3E2}" name="Type" dataDxfId="9" dataCellStyle="Percent"/>
    <tableColumn id="16" xr3:uid="{33176F9B-859A-4E8A-BFC8-2B3E80F765B1}" name="3P" dataDxfId="8" dataCellStyle="Percent"/>
    <tableColumn id="17" xr3:uid="{B16D20CA-C8D1-4A73-9FED-F32C03A7F7B1}" name="Line Manager Login" dataDxfId="7" dataCellStyle="Percent"/>
    <tableColumn id="18" xr3:uid="{EDBED78B-2E5D-4CAA-ADED-B7A17FBB7972}" name="Line Manager" dataDxfId="6" dataCellStyle="Percent"/>
    <tableColumn id="19" xr3:uid="{963E2666-A9AD-44A5-92DF-EE8BBB31D341}" name="Attendance " dataDxfId="5" dataCellStyle="Percent">
      <calculatedColumnFormula>VLOOKUP(Table1[[#This Row],[Psoft No]],[2]Sheet1!$A$2:$G$386,7,0)</calculatedColumnFormula>
    </tableColumn>
    <tableColumn id="20" xr3:uid="{B55677C2-AA17-4298-9607-D84F248BC1EA}" name="Remarks" dataDxfId="4" dataCellStyle="Percent"/>
    <tableColumn id="24" xr3:uid="{F0941C5C-C7C6-48D2-9385-5ECE49D31862}" name="DOJ" dataDxfId="3" dataCellStyle="Percent"/>
    <tableColumn id="25" xr3:uid="{1771362B-7773-4548-9495-CD299074DEFD}" name="Process Path" dataDxfId="2" dataCellStyle="Percent"/>
    <tableColumn id="6" xr3:uid="{A30E1BF1-4B61-49C9-B04C-D43259C608C1}" name="DWD Dashboard" dataDxfId="1" dataCellStyle="Percent"/>
    <tableColumn id="14" xr3:uid="{6BC5DD5D-FF2B-44A7-B48A-A6406A246F8A}" name="GB LEAVES" dataDxfId="0" dataCellStyle="Percent"/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BB81-D12B-4874-9D23-DC0F023889C9}">
  <sheetPr filterMode="1"/>
  <dimension ref="A1:AQ34"/>
  <sheetViews>
    <sheetView showGridLines="0" zoomScale="90" zoomScaleNormal="90" workbookViewId="0">
      <selection activeCell="Y11" sqref="Y11"/>
    </sheetView>
  </sheetViews>
  <sheetFormatPr defaultColWidth="11.453125" defaultRowHeight="12"/>
  <cols>
    <col min="1" max="1" width="12" style="7" bestFit="1" customWidth="1"/>
    <col min="2" max="2" width="13.7265625" style="7" bestFit="1" customWidth="1"/>
    <col min="3" max="3" width="14.54296875" style="7" customWidth="1"/>
    <col min="4" max="4" width="13.1796875" style="7" bestFit="1" customWidth="1"/>
    <col min="5" max="5" width="8.453125" style="7" bestFit="1" customWidth="1"/>
    <col min="6" max="6" width="9.81640625" style="7" bestFit="1" customWidth="1"/>
    <col min="7" max="7" width="19.453125" style="7" customWidth="1"/>
    <col min="8" max="8" width="8.81640625" style="7" customWidth="1"/>
    <col min="9" max="9" width="17.1796875" style="7" bestFit="1" customWidth="1"/>
    <col min="10" max="10" width="11.26953125" style="7" customWidth="1"/>
    <col min="11" max="11" width="14.7265625" style="7" bestFit="1" customWidth="1"/>
    <col min="12" max="12" width="8.7265625" style="7" bestFit="1" customWidth="1"/>
    <col min="13" max="14" width="10.1796875" style="7" customWidth="1"/>
    <col min="15" max="15" width="7.453125" style="7" bestFit="1" customWidth="1"/>
    <col min="16" max="16" width="7.7265625" style="7" customWidth="1"/>
    <col min="17" max="17" width="7.453125" style="7" customWidth="1"/>
    <col min="18" max="18" width="2" style="7" customWidth="1"/>
    <col min="19" max="19" width="13.81640625" style="7" bestFit="1" customWidth="1"/>
    <col min="20" max="20" width="13.7265625" style="7" bestFit="1" customWidth="1"/>
    <col min="21" max="21" width="9.81640625" style="7" bestFit="1" customWidth="1"/>
    <col min="22" max="22" width="13.1796875" style="7" bestFit="1" customWidth="1"/>
    <col min="23" max="23" width="8.453125" style="7" bestFit="1" customWidth="1"/>
    <col min="24" max="24" width="10" style="7" bestFit="1" customWidth="1"/>
    <col min="25" max="25" width="11.453125" style="7" bestFit="1" customWidth="1"/>
    <col min="26" max="26" width="8.26953125" style="7" bestFit="1" customWidth="1"/>
    <col min="27" max="27" width="10.453125" style="7" bestFit="1" customWidth="1"/>
    <col min="28" max="28" width="8.81640625" style="7" bestFit="1" customWidth="1"/>
    <col min="29" max="29" width="14.7265625" style="7" bestFit="1" customWidth="1"/>
    <col min="30" max="30" width="6.453125" style="7" bestFit="1" customWidth="1"/>
    <col min="31" max="31" width="2" style="7" customWidth="1"/>
    <col min="32" max="32" width="12.453125" style="7" bestFit="1" customWidth="1"/>
    <col min="33" max="33" width="13.7265625" style="7" bestFit="1" customWidth="1"/>
    <col min="34" max="34" width="9.54296875" style="7" bestFit="1" customWidth="1"/>
    <col min="35" max="35" width="13.1796875" style="7" bestFit="1" customWidth="1"/>
    <col min="36" max="36" width="8.453125" style="7" bestFit="1" customWidth="1"/>
    <col min="37" max="37" width="9.81640625" style="7" bestFit="1" customWidth="1"/>
    <col min="38" max="38" width="11.453125" style="7" bestFit="1" customWidth="1"/>
    <col min="39" max="39" width="8.26953125" style="7" bestFit="1" customWidth="1"/>
    <col min="40" max="40" width="7.54296875" style="7" bestFit="1" customWidth="1"/>
    <col min="41" max="41" width="8.81640625" style="7" bestFit="1" customWidth="1"/>
    <col min="42" max="42" width="14.7265625" style="7" bestFit="1" customWidth="1"/>
    <col min="43" max="43" width="6" style="7" bestFit="1" customWidth="1"/>
    <col min="44" max="16384" width="11.453125" style="7"/>
  </cols>
  <sheetData>
    <row r="1" spans="1:43" ht="21">
      <c r="A1" s="170" t="s">
        <v>64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66"/>
      <c r="O1" s="66"/>
      <c r="P1" s="66"/>
      <c r="Q1" s="66"/>
      <c r="R1" s="142"/>
      <c r="S1" s="143" t="s">
        <v>65</v>
      </c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5"/>
      <c r="AE1" s="142"/>
      <c r="AF1" s="143" t="s">
        <v>66</v>
      </c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5"/>
    </row>
    <row r="2" spans="1:43" s="8" customFormat="1" ht="24">
      <c r="A2" s="34" t="s">
        <v>40</v>
      </c>
      <c r="B2" s="53" t="s">
        <v>41</v>
      </c>
      <c r="C2" s="34" t="s">
        <v>42</v>
      </c>
      <c r="D2" s="34" t="s">
        <v>43</v>
      </c>
      <c r="E2" s="34" t="s">
        <v>44</v>
      </c>
      <c r="F2" s="34" t="s">
        <v>45</v>
      </c>
      <c r="G2" s="34" t="s">
        <v>46</v>
      </c>
      <c r="H2" s="150" t="s">
        <v>30</v>
      </c>
      <c r="I2" s="150"/>
      <c r="J2" s="150"/>
      <c r="K2" s="150"/>
      <c r="L2" s="150"/>
      <c r="M2" s="150"/>
      <c r="N2" s="67"/>
      <c r="O2" s="67"/>
      <c r="P2" s="67"/>
      <c r="Q2" s="67"/>
      <c r="R2" s="142"/>
      <c r="S2" s="33" t="s">
        <v>40</v>
      </c>
      <c r="T2" s="34" t="s">
        <v>41</v>
      </c>
      <c r="U2" s="34" t="s">
        <v>42</v>
      </c>
      <c r="V2" s="34" t="s">
        <v>43</v>
      </c>
      <c r="W2" s="34" t="s">
        <v>44</v>
      </c>
      <c r="X2" s="34" t="s">
        <v>45</v>
      </c>
      <c r="Y2" s="34" t="s">
        <v>46</v>
      </c>
      <c r="Z2" s="150" t="s">
        <v>30</v>
      </c>
      <c r="AA2" s="150"/>
      <c r="AB2" s="150"/>
      <c r="AC2" s="150"/>
      <c r="AD2" s="150"/>
      <c r="AE2" s="142"/>
      <c r="AF2" s="33" t="s">
        <v>40</v>
      </c>
      <c r="AG2" s="34" t="s">
        <v>41</v>
      </c>
      <c r="AH2" s="34" t="s">
        <v>42</v>
      </c>
      <c r="AI2" s="34" t="s">
        <v>43</v>
      </c>
      <c r="AJ2" s="34" t="s">
        <v>44</v>
      </c>
      <c r="AK2" s="34" t="s">
        <v>45</v>
      </c>
      <c r="AL2" s="34" t="s">
        <v>46</v>
      </c>
      <c r="AM2" s="150" t="s">
        <v>30</v>
      </c>
      <c r="AN2" s="150"/>
      <c r="AO2" s="150"/>
      <c r="AP2" s="150"/>
      <c r="AQ2" s="151"/>
    </row>
    <row r="3" spans="1:43" s="9" customFormat="1">
      <c r="A3" s="19">
        <v>1241</v>
      </c>
      <c r="B3" s="11">
        <f>COUNTIFS(Roster!P:P,"FC Associate III",Roster!G:G,"AUH1",Roster!R:R,"Direct")</f>
        <v>28</v>
      </c>
      <c r="C3" s="11">
        <f>COUNTIFS(Roster!E:E,"Regular",Roster!G:G,"AUH1",Roster!R:R,"Direct")</f>
        <v>58</v>
      </c>
      <c r="D3" s="11">
        <f>COUNTIFS(Roster!E:E,"Temporary",Roster!G:G,"AUH1",Roster!R:R,"Direct")</f>
        <v>1176</v>
      </c>
      <c r="E3" s="11">
        <f>C3+D3</f>
        <v>1234</v>
      </c>
      <c r="F3" s="19">
        <f>E3</f>
        <v>1234</v>
      </c>
      <c r="G3" s="12">
        <f>E3/F3</f>
        <v>1</v>
      </c>
      <c r="H3" s="158"/>
      <c r="I3" s="140"/>
      <c r="J3" s="140"/>
      <c r="K3" s="140"/>
      <c r="L3" s="140"/>
      <c r="M3" s="140"/>
      <c r="R3" s="142"/>
      <c r="S3" s="20">
        <v>82</v>
      </c>
      <c r="T3" s="11">
        <f>COUNTIFS(Roster!P:P,"Hub Supervisor",Roster!R:R,"Direct",Roster!Q:Q,"Warehouse Deals")</f>
        <v>4</v>
      </c>
      <c r="U3" s="11">
        <f>COUNTIFS(Roster!E:E,"Regular",Roster!R:R,"Direct",Roster!Q:Q,"Warehouse Deals")</f>
        <v>14</v>
      </c>
      <c r="V3" s="11">
        <f>COUNTIFS(Roster!E:E,"Temporary",Roster!R:R,"Direct",Roster!Q:Q,"Warehouse Deals")</f>
        <v>86</v>
      </c>
      <c r="W3" s="11">
        <f>U3+V3</f>
        <v>100</v>
      </c>
      <c r="X3" s="20">
        <f>W3</f>
        <v>100</v>
      </c>
      <c r="Y3" s="12">
        <f>W3/X3</f>
        <v>1</v>
      </c>
      <c r="Z3" s="159"/>
      <c r="AA3" s="160"/>
      <c r="AB3" s="160"/>
      <c r="AC3" s="160"/>
      <c r="AD3" s="161"/>
      <c r="AE3" s="142"/>
      <c r="AF3" s="20">
        <v>12</v>
      </c>
      <c r="AG3" s="11">
        <f>COUNTIFS(Roster!P:P,"FC Associate III",Roster!G:G,"DAD1",Roster!R:R,"Support")</f>
        <v>0</v>
      </c>
      <c r="AH3" s="11">
        <f>COUNTIFS(Roster!E:E,"Regular",Roster!G:G,"DAD1",Roster!R:R,"Support")</f>
        <v>0</v>
      </c>
      <c r="AI3" s="11">
        <f>COUNTIFS(Roster!E:E,"Temporary",Roster!G:G,"DAD1",Roster!R:R,"Support")</f>
        <v>12</v>
      </c>
      <c r="AJ3" s="11">
        <f>AH3+AI3</f>
        <v>12</v>
      </c>
      <c r="AK3" s="19">
        <f>AJ3</f>
        <v>12</v>
      </c>
      <c r="AL3" s="12">
        <f>AJ3/AK3</f>
        <v>1</v>
      </c>
      <c r="AM3" s="140"/>
      <c r="AN3" s="140"/>
      <c r="AO3" s="140"/>
      <c r="AP3" s="140"/>
      <c r="AQ3" s="141"/>
    </row>
    <row r="4" spans="1:43">
      <c r="A4" s="42">
        <f>Roster!B1</f>
        <v>46258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69"/>
      <c r="M4" s="141"/>
      <c r="N4" s="9"/>
      <c r="O4" s="9"/>
      <c r="P4" s="9"/>
      <c r="Q4" s="9"/>
      <c r="R4" s="142"/>
      <c r="S4" s="42">
        <f>Roster!B1</f>
        <v>46258</v>
      </c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1"/>
      <c r="AE4" s="142"/>
      <c r="AF4" s="42">
        <f>Roster!B1</f>
        <v>46258</v>
      </c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9"/>
    </row>
    <row r="5" spans="1:43" s="8" customFormat="1" ht="24">
      <c r="A5" s="33" t="s">
        <v>20</v>
      </c>
      <c r="B5" s="34" t="s">
        <v>47</v>
      </c>
      <c r="C5" s="34" t="s">
        <v>48</v>
      </c>
      <c r="D5" s="34" t="s">
        <v>49</v>
      </c>
      <c r="E5" s="34" t="s">
        <v>7</v>
      </c>
      <c r="F5" s="34" t="s">
        <v>36</v>
      </c>
      <c r="G5" s="34" t="s">
        <v>50</v>
      </c>
      <c r="H5" s="34" t="s">
        <v>2</v>
      </c>
      <c r="I5" s="34" t="s">
        <v>71</v>
      </c>
      <c r="J5" s="34" t="s">
        <v>52</v>
      </c>
      <c r="K5" s="34" t="s">
        <v>53</v>
      </c>
      <c r="L5" s="58"/>
      <c r="M5" s="156"/>
      <c r="R5" s="142"/>
      <c r="S5" s="33" t="s">
        <v>20</v>
      </c>
      <c r="T5" s="34" t="s">
        <v>47</v>
      </c>
      <c r="U5" s="34" t="s">
        <v>48</v>
      </c>
      <c r="V5" s="34" t="s">
        <v>49</v>
      </c>
      <c r="W5" s="34" t="s">
        <v>7</v>
      </c>
      <c r="X5" s="34" t="s">
        <v>36</v>
      </c>
      <c r="Y5" s="34" t="s">
        <v>50</v>
      </c>
      <c r="Z5" s="34" t="s">
        <v>2</v>
      </c>
      <c r="AA5" s="34" t="s">
        <v>51</v>
      </c>
      <c r="AB5" s="34" t="s">
        <v>52</v>
      </c>
      <c r="AC5" s="34" t="s">
        <v>53</v>
      </c>
      <c r="AD5" s="162"/>
      <c r="AE5" s="142"/>
      <c r="AF5" s="33" t="s">
        <v>20</v>
      </c>
      <c r="AG5" s="34" t="s">
        <v>47</v>
      </c>
      <c r="AH5" s="34" t="s">
        <v>48</v>
      </c>
      <c r="AI5" s="34" t="s">
        <v>49</v>
      </c>
      <c r="AJ5" s="34" t="s">
        <v>7</v>
      </c>
      <c r="AK5" s="34" t="s">
        <v>50</v>
      </c>
      <c r="AL5" s="34" t="s">
        <v>36</v>
      </c>
      <c r="AM5" s="34" t="s">
        <v>2</v>
      </c>
      <c r="AN5" s="34" t="s">
        <v>51</v>
      </c>
      <c r="AO5" s="34" t="s">
        <v>52</v>
      </c>
      <c r="AP5" s="34" t="s">
        <v>53</v>
      </c>
      <c r="AQ5" s="156"/>
    </row>
    <row r="6" spans="1:43">
      <c r="A6" s="11" t="s">
        <v>32</v>
      </c>
      <c r="B6" s="11">
        <f>COUNTIFS(Roster!G:G,"AUH1",Roster!R:R,"Direct",Roster!L:L,"Day Shift")</f>
        <v>668</v>
      </c>
      <c r="C6" s="11">
        <f>SUMIFS($D$12:$D$27,$B$12:$B$27,"Day Shift")</f>
        <v>248</v>
      </c>
      <c r="D6" s="11">
        <f>SUMIFS($K$12:$K$27,$B$12:$B$27,"Day Shift")</f>
        <v>408</v>
      </c>
      <c r="E6" s="11">
        <f>SUMIFS($E$12:$E$27,$B$12:$B$27,"Day Shift")</f>
        <v>23</v>
      </c>
      <c r="F6" s="11">
        <f>COUNTIFS(Table1[[#All],[Building]],"AUH1",Table1[[#All],[Shift]],"Day Shift",Table1[[#All],[OFF1]],"OT",Table1[[#All],[Type]],"Direct")+COUNTIFS(Table1[[#All],[Building]],"AUH1",Table1[[#All],[Shift]],"Day Shift",Table1[[#All],[OFF2]],"OT",Table1[[#All],[Type]],"Direct")</f>
        <v>12</v>
      </c>
      <c r="G6" s="11">
        <f>SUMIFS($H$12:$H$26,$B$12:$B$26,"Day Shift")+SUMIFS($I$12:$I$26,$B$12:$B$26,"Day Shift")</f>
        <v>15</v>
      </c>
      <c r="H6" s="11">
        <f>D6-E6-G6</f>
        <v>370</v>
      </c>
      <c r="I6" s="12">
        <f>H6/D6</f>
        <v>0.90686274509803921</v>
      </c>
      <c r="J6" s="21">
        <v>0.88391891891891883</v>
      </c>
      <c r="K6" s="12">
        <f>I6/J6</f>
        <v>1.0259569352890217</v>
      </c>
      <c r="L6" s="59"/>
      <c r="M6" s="156"/>
      <c r="N6" s="8"/>
      <c r="O6" s="8"/>
      <c r="P6" s="8"/>
      <c r="Q6" s="8"/>
      <c r="R6" s="142"/>
      <c r="S6" s="13" t="s">
        <v>32</v>
      </c>
      <c r="T6" s="11">
        <f>COUNTIFS(Roster!G:G,"AUH3",Roster!R:R,"Direct",Roster!L:L,"Day Shift")+COUNTIFS(Roster!G:G,"DDB1",Roster!R:R,"Direct",Roster!L:L,"Day Shift")</f>
        <v>39</v>
      </c>
      <c r="U6" s="11">
        <f>SUMIFS($V$12:$V$14,$T$12:$T$14,"Day Shift")</f>
        <v>12</v>
      </c>
      <c r="V6" s="11">
        <f>SUMIFS($AC$12:$AC$14,$T$12:$T$14,"Day Shift")</f>
        <v>27</v>
      </c>
      <c r="W6" s="11">
        <f>SUMIFS($W$12:$W$14,$T$12:$T$14,"Day Shift")</f>
        <v>0</v>
      </c>
      <c r="X6" s="11">
        <f>COUNTIFS(Table1[[#All],[Building]],"AUH3",Table1[[#All],[Shift]],"Day Shift",Table1[[#All],[OFF1]],"OT",Table1[[#All],[Type]],"Direct")+COUNTIFS(Table1[[#All],[Building]],"AUH3",Table1[[#All],[Shift]],"Day Shift",Table1[[#All],[OFF2]],"OT",Table1[[#All],[Type]],"Direct")</f>
        <v>0</v>
      </c>
      <c r="Y6" s="11">
        <f>SUMIFS($Z$12:$Z$14,$T$12:$T$14,"Day Shift")+SUMIFS($AA$12:$AA$14,$T$12:$T$14,"Day Shift")</f>
        <v>0</v>
      </c>
      <c r="Z6" s="11">
        <f>V6-W6-Y6</f>
        <v>27</v>
      </c>
      <c r="AA6" s="12">
        <f>Z6/V6</f>
        <v>1</v>
      </c>
      <c r="AB6" s="21">
        <v>0.8930769230769231</v>
      </c>
      <c r="AC6" s="12">
        <f>AA6/AB6</f>
        <v>1.119724375538329</v>
      </c>
      <c r="AD6" s="163"/>
      <c r="AE6" s="142"/>
      <c r="AF6" s="14" t="s">
        <v>32</v>
      </c>
      <c r="AG6" s="2">
        <f>COUNTIFS(Roster!G:G,"DAD1",Roster!R:R,"Support",Roster!L:L,"Day Shift")</f>
        <v>0</v>
      </c>
      <c r="AH6" s="2">
        <f>SUMIFS($AI$12:$AI$15,$AG$12:$AG$15,"Day Shift")</f>
        <v>0</v>
      </c>
      <c r="AI6" s="2">
        <f>SUMIFS($AP$12:$AP$15,$AG$12:$AG$15,"Day Shift")</f>
        <v>0</v>
      </c>
      <c r="AJ6" s="2">
        <f>SUMIFS($AJ$12:$AJ$15,$AG$12:$AG$15,"Day Shift")</f>
        <v>0</v>
      </c>
      <c r="AK6" s="2">
        <f>SUMIFS($AM$12:$AM$15,$AG$12:$AG$15,"Day Shift")+SUMIFS($AN$12:$AN$15,$AG$12:$AG$15,"Day Shift")</f>
        <v>0</v>
      </c>
      <c r="AL6" s="11">
        <f>COUNTIFS(Table1[[#All],[Building]],"DAD1",Table1[[#All],[Shift]],"Day Shift",Table1[[#All],[OFF1]],"OT",Table1[[#All],[Type]],"Direct")+COUNTIFS(Table1[[#All],[Building]],"DAD1",Table1[[#All],[Shift]],"Day Shift",Table1[[#All],[OFF2]],"OT",Table1[[#All],[Type]],"Support")</f>
        <v>0</v>
      </c>
      <c r="AM6" s="2">
        <f>AI6-AJ6-AK6</f>
        <v>0</v>
      </c>
      <c r="AN6" s="15" t="e">
        <f>AM6/AI6</f>
        <v>#DIV/0!</v>
      </c>
      <c r="AO6" s="22">
        <v>0.95120000000000005</v>
      </c>
      <c r="AP6" s="15" t="e">
        <f>AN6/AO6</f>
        <v>#DIV/0!</v>
      </c>
      <c r="AQ6" s="156"/>
    </row>
    <row r="7" spans="1:43">
      <c r="A7" s="13" t="s">
        <v>38</v>
      </c>
      <c r="B7" s="11">
        <f>COUNTIFS(Roster!G:G,"AUH1",Roster!R:R,"Direct",Roster!L:L,"Mid Shift")</f>
        <v>0</v>
      </c>
      <c r="C7" s="11">
        <f>SUMIFS($D$12:$D$27,$B$12:$B$27,"Mid Shift")</f>
        <v>0</v>
      </c>
      <c r="D7" s="11">
        <f>SUMIFS($K$12:$K$27,$B$12:$B$27,"Mid Shift")</f>
        <v>0</v>
      </c>
      <c r="E7" s="11">
        <f>SUMIFS($E$12:$E$27,$B$12:$B$27,"Mid Shift")</f>
        <v>0</v>
      </c>
      <c r="F7" s="11">
        <f>COUNTIFS(Table1[[#All],[Building]],"AUH1",Table1[[#All],[Shift]],"Mid Shift",Table1[[#All],[OFF1]],"OT",Table1[[#All],[Type]],"Direct")+COUNTIFS(Table1[[#All],[Building]],"AUH1",Table1[[#All],[Shift]],"Mid Shift",Table1[[#All],[OFF2]],"OT",Table1[[#All],[Type]],"Direct")</f>
        <v>0</v>
      </c>
      <c r="G7" s="11">
        <f>SUMIFS($H$12:$H$27,$B$12:$B$27,"Mid Shift")+SUMIFS($I$12:$I$27,$B$12:$B$27,"Mid Shift")</f>
        <v>0</v>
      </c>
      <c r="H7" s="11">
        <f>D7-E7-G7</f>
        <v>0</v>
      </c>
      <c r="I7" s="12" t="e">
        <f>(H7-F7)/(D7-F7)</f>
        <v>#DIV/0!</v>
      </c>
      <c r="J7" s="21">
        <v>0</v>
      </c>
      <c r="K7" s="52" t="e">
        <f>I7/J7</f>
        <v>#DIV/0!</v>
      </c>
      <c r="L7" s="60"/>
      <c r="M7" s="156"/>
      <c r="N7" s="8"/>
      <c r="O7" s="8"/>
      <c r="P7" s="8"/>
      <c r="Q7" s="8"/>
      <c r="R7" s="142"/>
      <c r="S7" s="13" t="s">
        <v>38</v>
      </c>
      <c r="T7" s="11">
        <f>COUNTIFS(Roster!G:G,"AUH3",Roster!R:R,"Direct",Roster!L:L,"Mid Shift")+COUNTIFS(Roster!G:G,"DDB1",Roster!R:R,"Direct",Roster!L:L,"Mid Shift")</f>
        <v>0</v>
      </c>
      <c r="U7" s="11">
        <f>SUMIFS($V$12:$V$14,$T$12:$T$14,"Mid Shift")</f>
        <v>0</v>
      </c>
      <c r="V7" s="11">
        <f>SUMIFS($AC$12:$AC$14,$T$12:$T$14,"Mid Shift")</f>
        <v>0</v>
      </c>
      <c r="W7" s="11">
        <f>SUMIFS($W$12:$W$14,$T$12:$T$14,"Mid Shift")</f>
        <v>0</v>
      </c>
      <c r="X7" s="11">
        <f>COUNTIFS(Table1[[#All],[Building]],"AUH3",Table1[[#All],[Shift]],"Mid Shift",Table1[[#All],[OFF1]],"OT",Table1[[#All],[Type]],"Direct")+COUNTIFS(Table1[[#All],[Building]],"AUH3",Table1[[#All],[Shift]],"Mid Shift",Table1[[#All],[OFF2]],"OT",Table1[[#All],[Type]],"Direct")</f>
        <v>0</v>
      </c>
      <c r="Y7" s="11">
        <f>SUMIFS($Z$12:$Z$14,$T$12:$T$14,"Mid Shift")+SUMIFS($AA$12:$AA$14,$T$12:$T$14,"Mid Shift")</f>
        <v>0</v>
      </c>
      <c r="Z7" s="11">
        <f>V7-W7-Y7</f>
        <v>0</v>
      </c>
      <c r="AA7" s="12" t="e">
        <f>Z7/V7</f>
        <v>#DIV/0!</v>
      </c>
      <c r="AB7" s="21">
        <v>0</v>
      </c>
      <c r="AC7" s="12" t="e">
        <f>AA7/AB7</f>
        <v>#DIV/0!</v>
      </c>
      <c r="AD7" s="163"/>
      <c r="AE7" s="142"/>
      <c r="AF7" s="14" t="s">
        <v>38</v>
      </c>
      <c r="AG7" s="2">
        <f>COUNTIFS(Roster!G:G,"DAD1",Roster!R:R,"Support",Roster!L:L,"Mid Shift")</f>
        <v>0</v>
      </c>
      <c r="AH7" s="2">
        <f>SUMIFS($AI$12:$AI$15,$AG$12:$AG$15,"Mid Shift")</f>
        <v>0</v>
      </c>
      <c r="AI7" s="2">
        <f>SUMIFS($AP$12:$AP$15,$AF$12:$AF$15,"Mid Shift")</f>
        <v>0</v>
      </c>
      <c r="AJ7" s="2">
        <f>SUMIFS($AJ$12:$AJ$15,$AG$12:$AG$15,"Mid Shift")</f>
        <v>0</v>
      </c>
      <c r="AK7" s="2">
        <f>SUMIFS($AM$12:$AM$15,$AG$12:$AG$15,"Mid Shift")+SUMIFS($AN$12:$AN$15,$AG$12:$AG$15,"Mid Shift")</f>
        <v>0</v>
      </c>
      <c r="AL7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7" s="2">
        <f>AI7-AJ7-AK7</f>
        <v>0</v>
      </c>
      <c r="AN7" s="15" t="e">
        <f>AM7/AI7</f>
        <v>#DIV/0!</v>
      </c>
      <c r="AO7" s="22">
        <v>0.95650000000000002</v>
      </c>
      <c r="AP7" s="15" t="e">
        <f>AN7/AO7</f>
        <v>#DIV/0!</v>
      </c>
      <c r="AQ7" s="156"/>
    </row>
    <row r="8" spans="1:43">
      <c r="A8" s="11" t="s">
        <v>39</v>
      </c>
      <c r="B8" s="11">
        <f>COUNTIFS(Roster!G:G,"AUH1",Roster!R:R,"Direct",Roster!L:L,"Night Shift")</f>
        <v>566</v>
      </c>
      <c r="C8" s="11">
        <f>SUMIFS($D$12:$D$27,$B$12:$B$27,"Night Shift")</f>
        <v>174</v>
      </c>
      <c r="D8" s="11">
        <f>SUMIFS($K$12:$K$27,$B$12:$B$27,"Night Shift")</f>
        <v>388</v>
      </c>
      <c r="E8" s="11">
        <f>SUMIFS($E$12:$E$27,$B$12:$B$27,"Night Shift")</f>
        <v>15</v>
      </c>
      <c r="F8" s="11">
        <f>COUNTIFS(Table1[[#All],[Building]],"AUH1",Table1[[#All],[Shift]],"Night Shift",Table1[[#All],[OFF1]],"OT",Table1[[#All],[Type]],"Direct")+COUNTIFS(Table1[[#All],[Building]],"AUH1",Table1[[#All],[Shift]],"Night Shift",Table1[[#All],[OFF2]],"OT",Table1[[#All],[Type]],"Direct")</f>
        <v>4</v>
      </c>
      <c r="G8" s="11">
        <f>SUMIFS($H$12:$H$27,$B$12:$B$27,"Night Shift")+SUMIFS($I$12:$I$27,$B$12:$B$27,"Night Shift")</f>
        <v>7</v>
      </c>
      <c r="H8" s="11">
        <f>D8-E8-G8</f>
        <v>366</v>
      </c>
      <c r="I8" s="12">
        <f>H8/D8</f>
        <v>0.94329896907216493</v>
      </c>
      <c r="J8" s="21">
        <v>0.90377551020408164</v>
      </c>
      <c r="K8" s="12">
        <f>I8/J8</f>
        <v>1.0437315001588818</v>
      </c>
      <c r="L8" s="59"/>
      <c r="M8" s="156"/>
      <c r="N8" s="8"/>
      <c r="O8" s="8"/>
      <c r="P8" s="8"/>
      <c r="Q8" s="8"/>
      <c r="R8" s="142"/>
      <c r="S8" s="13" t="s">
        <v>39</v>
      </c>
      <c r="T8" s="11">
        <f>COUNTIFS(Roster!G:G,"AUH3",Roster!R:R,"Direct",Roster!L:L,"Night Shift")+COUNTIFS(Roster!G:G,"DDB1",Roster!R:R,"Direct",Roster!L:L,"Night Shift")</f>
        <v>61</v>
      </c>
      <c r="U8" s="11">
        <f>SUMIFS($V$12:$V$14,$T$12:$T$14,"Night Shift")</f>
        <v>21</v>
      </c>
      <c r="V8" s="11">
        <f>SUMIFS($AC$12:$AC$14,$T$12:$T$14,"Night Shift")</f>
        <v>40</v>
      </c>
      <c r="W8" s="11">
        <f>SUMIFS($W$12:$W$14,$T$12:$T$14,"Night Shift")</f>
        <v>1</v>
      </c>
      <c r="X8" s="11">
        <f>COUNTIFS(Table1[[#All],[Building]],"AUH3",Table1[[#All],[Shift]],"Night Shift",Table1[[#All],[OFF1]],"OT",Table1[[#All],[Type]],"Direct")+COUNTIFS(Table1[[#All],[Building]],"AUH3",Table1[[#All],[Shift]],"Night Shift",Table1[[#All],[OFF2]],"OT",Table1[[#All],[Type]],"Direct")</f>
        <v>0</v>
      </c>
      <c r="Y8" s="11">
        <f>SUMIFS($Z$12:$Z$14,$T$12:$T$14,"Night Shift")+SUMIFS($AA$12:$AA$14,$T$12:$T$14,"Night Shift")</f>
        <v>1</v>
      </c>
      <c r="Z8" s="11">
        <f>V8-W8-Y8</f>
        <v>38</v>
      </c>
      <c r="AA8" s="12">
        <f>Z8/V8</f>
        <v>0.95</v>
      </c>
      <c r="AB8" s="21">
        <v>0.91736842105263161</v>
      </c>
      <c r="AC8" s="12">
        <f>AA8/AB8</f>
        <v>1.0355708548479632</v>
      </c>
      <c r="AD8" s="163"/>
      <c r="AE8" s="142"/>
      <c r="AF8" s="14" t="s">
        <v>39</v>
      </c>
      <c r="AG8" s="2">
        <f>COUNTIFS(Roster!G:G,"DAD1",Roster!R:R,"Support",Roster!L:L,"Night Shift")</f>
        <v>12</v>
      </c>
      <c r="AH8" s="2">
        <f>SUMIFS($AI$12:$AI$15,$AG$12:$AG$15,"Night Shift")</f>
        <v>2</v>
      </c>
      <c r="AI8" s="2">
        <f>SUMIFS($AP$12:$AP$15,$AG$12:$AG$15,"Night Shift")</f>
        <v>10</v>
      </c>
      <c r="AJ8" s="2">
        <f>SUMIFS($AJ$12:$AJ$15,$AG$12:$AG$15,"Night Shift")</f>
        <v>0</v>
      </c>
      <c r="AK8" s="2">
        <f>SUMIFS($AM$12:$AM$15,$AG$12:$AG$15,"Night Shift")+SUMIFS($AN$12:$AN$15,$AG$12:$AG$15,"Night Shift")</f>
        <v>0</v>
      </c>
      <c r="AL8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8" s="2">
        <f>AI8-AJ8-AK8</f>
        <v>10</v>
      </c>
      <c r="AN8" s="15">
        <f>AM8/AI8</f>
        <v>1</v>
      </c>
      <c r="AO8" s="22">
        <v>0.95679999999999998</v>
      </c>
      <c r="AP8" s="15">
        <f>AN8/AO8</f>
        <v>1.0451505016722409</v>
      </c>
      <c r="AQ8" s="156"/>
    </row>
    <row r="9" spans="1:43">
      <c r="A9" s="34" t="s">
        <v>54</v>
      </c>
      <c r="B9" s="35">
        <f t="shared" ref="B9:H9" si="0">SUM(B6:B8)</f>
        <v>1234</v>
      </c>
      <c r="C9" s="35">
        <f t="shared" si="0"/>
        <v>422</v>
      </c>
      <c r="D9" s="35">
        <f t="shared" si="0"/>
        <v>796</v>
      </c>
      <c r="E9" s="35">
        <f t="shared" si="0"/>
        <v>38</v>
      </c>
      <c r="F9" s="35">
        <f t="shared" si="0"/>
        <v>16</v>
      </c>
      <c r="G9" s="35">
        <f>SUM(G6:G8)</f>
        <v>22</v>
      </c>
      <c r="H9" s="35">
        <f t="shared" si="0"/>
        <v>736</v>
      </c>
      <c r="I9" s="36">
        <f>H9/D9</f>
        <v>0.92462311557788945</v>
      </c>
      <c r="J9" s="36">
        <v>0.89366082603254071</v>
      </c>
      <c r="K9" s="36">
        <f>I9/J9</f>
        <v>1.0346465780343173</v>
      </c>
      <c r="L9" s="61"/>
      <c r="M9" s="156"/>
      <c r="N9" s="8"/>
      <c r="O9" s="68"/>
      <c r="P9" s="69"/>
      <c r="Q9" s="8"/>
      <c r="R9" s="142"/>
      <c r="S9" s="33" t="s">
        <v>54</v>
      </c>
      <c r="T9" s="35">
        <f t="shared" ref="T9:Z9" si="1">SUM(T6:T8)</f>
        <v>100</v>
      </c>
      <c r="U9" s="35">
        <f t="shared" si="1"/>
        <v>33</v>
      </c>
      <c r="V9" s="35">
        <f t="shared" si="1"/>
        <v>67</v>
      </c>
      <c r="W9" s="35">
        <f t="shared" si="1"/>
        <v>1</v>
      </c>
      <c r="X9" s="35">
        <f t="shared" si="1"/>
        <v>0</v>
      </c>
      <c r="Y9" s="35">
        <f t="shared" si="1"/>
        <v>1</v>
      </c>
      <c r="Z9" s="35">
        <f t="shared" si="1"/>
        <v>65</v>
      </c>
      <c r="AA9" s="36">
        <f>Z9/V9</f>
        <v>0.97014925373134331</v>
      </c>
      <c r="AB9" s="36">
        <v>0.90790849673202612</v>
      </c>
      <c r="AC9" s="36">
        <f>AA9/AB9</f>
        <v>1.0685539977027969</v>
      </c>
      <c r="AD9" s="164"/>
      <c r="AE9" s="142"/>
      <c r="AF9" s="33" t="s">
        <v>54</v>
      </c>
      <c r="AG9" s="35">
        <f t="shared" ref="AG9:AM9" si="2">SUM(AG6:AG8)</f>
        <v>12</v>
      </c>
      <c r="AH9" s="35">
        <f t="shared" si="2"/>
        <v>2</v>
      </c>
      <c r="AI9" s="35">
        <f t="shared" si="2"/>
        <v>10</v>
      </c>
      <c r="AJ9" s="35">
        <f t="shared" si="2"/>
        <v>0</v>
      </c>
      <c r="AK9" s="35">
        <f t="shared" si="2"/>
        <v>0</v>
      </c>
      <c r="AL9" s="35">
        <f t="shared" si="2"/>
        <v>0</v>
      </c>
      <c r="AM9" s="35">
        <f t="shared" si="2"/>
        <v>10</v>
      </c>
      <c r="AN9" s="39">
        <f>AM9/AI9</f>
        <v>1</v>
      </c>
      <c r="AO9" s="39">
        <f>AVERAGE(AO6,AO7,AO8)</f>
        <v>0.95483333333333331</v>
      </c>
      <c r="AP9" s="39">
        <f>AN9/AO9</f>
        <v>1.0473031942747426</v>
      </c>
      <c r="AQ9" s="156"/>
    </row>
    <row r="10" spans="1:43">
      <c r="A10" s="13"/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69"/>
      <c r="M10" s="141"/>
      <c r="N10" s="9"/>
      <c r="O10" s="9"/>
      <c r="P10" s="9"/>
      <c r="Q10" s="9"/>
      <c r="R10" s="142"/>
      <c r="S10" s="165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7"/>
      <c r="AE10" s="142"/>
      <c r="AF10" s="14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56"/>
    </row>
    <row r="11" spans="1:43" s="8" customFormat="1" ht="60.5" thickBot="1">
      <c r="A11" s="34" t="s">
        <v>24</v>
      </c>
      <c r="B11" s="34" t="s">
        <v>20</v>
      </c>
      <c r="C11" s="34">
        <v>0</v>
      </c>
      <c r="D11" s="34" t="s">
        <v>10</v>
      </c>
      <c r="E11" s="34" t="s">
        <v>7</v>
      </c>
      <c r="F11" s="34" t="s">
        <v>36</v>
      </c>
      <c r="G11" s="34" t="s">
        <v>73</v>
      </c>
      <c r="H11" s="34" t="s">
        <v>3</v>
      </c>
      <c r="I11" s="34" t="s">
        <v>55</v>
      </c>
      <c r="J11" s="34" t="s">
        <v>54</v>
      </c>
      <c r="K11" s="34" t="s">
        <v>56</v>
      </c>
      <c r="L11" s="34" t="s">
        <v>72</v>
      </c>
      <c r="M11" s="34" t="s">
        <v>1585</v>
      </c>
      <c r="N11" s="34" t="s">
        <v>1616</v>
      </c>
      <c r="O11" s="34" t="s">
        <v>1617</v>
      </c>
      <c r="P11" s="34" t="s">
        <v>1618</v>
      </c>
      <c r="Q11" s="34" t="s">
        <v>1619</v>
      </c>
      <c r="R11" s="142"/>
      <c r="S11" s="33" t="s">
        <v>24</v>
      </c>
      <c r="T11" s="34" t="s">
        <v>20</v>
      </c>
      <c r="U11" s="34">
        <v>0</v>
      </c>
      <c r="V11" s="34" t="s">
        <v>10</v>
      </c>
      <c r="W11" s="34" t="s">
        <v>7</v>
      </c>
      <c r="X11" s="34" t="s">
        <v>36</v>
      </c>
      <c r="Y11" s="34" t="s">
        <v>2</v>
      </c>
      <c r="Z11" s="34" t="s">
        <v>3</v>
      </c>
      <c r="AA11" s="34" t="s">
        <v>55</v>
      </c>
      <c r="AB11" s="34" t="s">
        <v>54</v>
      </c>
      <c r="AC11" s="34" t="s">
        <v>56</v>
      </c>
      <c r="AD11" s="40" t="s">
        <v>60</v>
      </c>
      <c r="AE11" s="142"/>
      <c r="AF11" s="33" t="s">
        <v>24</v>
      </c>
      <c r="AG11" s="34" t="s">
        <v>20</v>
      </c>
      <c r="AH11" s="34">
        <v>0</v>
      </c>
      <c r="AI11" s="34" t="s">
        <v>10</v>
      </c>
      <c r="AJ11" s="34" t="s">
        <v>7</v>
      </c>
      <c r="AK11" s="34" t="s">
        <v>2</v>
      </c>
      <c r="AL11" s="34" t="s">
        <v>36</v>
      </c>
      <c r="AM11" s="34" t="s">
        <v>3</v>
      </c>
      <c r="AN11" s="34" t="s">
        <v>55</v>
      </c>
      <c r="AO11" s="34" t="s">
        <v>54</v>
      </c>
      <c r="AP11" s="34" t="s">
        <v>56</v>
      </c>
      <c r="AQ11" s="40" t="s">
        <v>60</v>
      </c>
    </row>
    <row r="12" spans="1:43">
      <c r="A12" s="140" t="s">
        <v>33</v>
      </c>
      <c r="B12" s="11" t="s">
        <v>32</v>
      </c>
      <c r="C12" s="11">
        <f>COUNTIFS(Roster!V:V,"0",Roster!Q:Q,"ICQA",Roster!L:L,"Day Shift",Roster!R:R,"Direct",Roster!G:G,"AUH1")</f>
        <v>0</v>
      </c>
      <c r="D12" s="11">
        <f>COUNTIFS(Roster!V:V,"OFF",Roster!Q:Q,"ICQA",Roster!L:L,"Day Shift",Roster!R:R,"Direct",Roster!G:G,"AUH1")</f>
        <v>11</v>
      </c>
      <c r="E12" s="11">
        <f>COUNTIFS(Roster!V:V,"PL",Roster!Q:Q,"ICQA",Roster!L:L,"Day Shift",Roster!R:R,"Direct",Roster!G:G,"AUH1")</f>
        <v>1</v>
      </c>
      <c r="F12" s="11">
        <f>COUNTIFS(Table1[[#All],[Building]],"AUH1",Table1[[#All],[Shift]],"Day Shift",Table1[[#All],[OFF1]],"OT",Table1[[#All],[Department]],Dashboard!A12)+COUNTIFS(Table1[[#All],[Building]],"AUH1",Table1[[#All],[Shift]],"Day Shift",Table1[[#All],[OFF2]],"OT",Table1[[#All],[Department]],Dashboard!A12)</f>
        <v>0</v>
      </c>
      <c r="G12" s="11">
        <f>COUNTIFS(Roster!V:V,"P",Roster!Q:Q,"ICQA",Roster!L:L,"Day Shift",Roster!R:R,"Direct",Roster!G:G,"AUH1")</f>
        <v>30</v>
      </c>
      <c r="H12" s="11">
        <f>COUNTIFS(Roster!V:V,"SL",Roster!Q:Q,"ICQA",Roster!L:L,"Day Shift",Roster!R:R,"Direct",Roster!G:G,"AUH1")</f>
        <v>1</v>
      </c>
      <c r="I12" s="11">
        <f>COUNTIFS(Roster!V:V,"AB",Roster!Q:Q,"ICQA",Roster!L:L,"Day Shift",Roster!R:R,"Direct",Roster!G:G,"AUH1")+COUNTIFS(Roster!V:V,"ABWI",Roster!Q:Q,"ICQA",Roster!L:L,"Day Shift",Roster!R:R,"Direct",Roster!G:G,"AUH1")</f>
        <v>0</v>
      </c>
      <c r="J12" s="11">
        <f>SUM(G12:I12,)+SUM(C12:E12)</f>
        <v>43</v>
      </c>
      <c r="K12" s="11">
        <f>(J12-D12)-C12-F12</f>
        <v>32</v>
      </c>
      <c r="L12" s="62">
        <v>0.87124999999999997</v>
      </c>
      <c r="M12" s="12">
        <f t="shared" ref="M12:M28" si="3">(G12-F12)/(K12)</f>
        <v>0.9375</v>
      </c>
      <c r="N12" s="12">
        <f>G12/K12</f>
        <v>0.9375</v>
      </c>
      <c r="O12" s="12"/>
      <c r="P12" s="12"/>
      <c r="Q12" s="12"/>
      <c r="R12" s="142"/>
      <c r="S12" s="157" t="s">
        <v>68</v>
      </c>
      <c r="T12" s="11" t="s">
        <v>32</v>
      </c>
      <c r="U12" s="11">
        <f>COUNTIFS(Roster!V:V,"0",Roster!Q:Q,"Warehouse Deals",Roster!L:L,"Day Shift",Roster!R:R,"Direct",Roster!G:G,"AUH3")+COUNTIFS(Roster!V:V,"0",Roster!Q:Q,"Warehouse Deals",Roster!L:L,"Day Shift",Roster!R:R,"Direct",Roster!G:G,"DDB1")</f>
        <v>0</v>
      </c>
      <c r="V12" s="11">
        <f>COUNTIFS(Roster!V:V,"OFF",Roster!Q:Q,"Warehouse Deals",Roster!L:L,"Day Shift",Roster!R:R,"Direct",Roster!G:G,"AUH3")+COUNTIFS(Roster!V:V,"OFF",Roster!Q:Q,"Warehouse Deals",Roster!L:L,"Day Shift",Roster!R:R,"Direct",Roster!G:G,"DDB1")</f>
        <v>12</v>
      </c>
      <c r="W12" s="11">
        <f>COUNTIFS(Roster!V:V,"PL",Roster!Q:Q,"Warehouse Deals",Roster!L:L,"Day Shift",Roster!R:R,"Direct",Roster!G:G,"AUH3")+COUNTIFS(Roster!V:V,"PL",Roster!Q:Q,"Warehouse Deals",Roster!L:L,"Day Shift",Roster!R:R,"Direct",Roster!G:G,"DDB1")</f>
        <v>0</v>
      </c>
      <c r="X12" s="11">
        <f>COUNTIFS(Table1[[#All],[Building]],"AUH3",Table1[[#All],[Shift]],"Day Shift",Table1[[#All],[OFF1]],"OT",Table1[[#All],[Department]],Dashboard!S12)+COUNTIFS(Table1[[#All],[Building]],"AUH3",Table1[[#All],[Shift]],"Day Shift",Table1[[#All],[OFF2]],"OT",Table1[[#All],[Department]],Dashboard!S12)</f>
        <v>0</v>
      </c>
      <c r="Y12" s="11">
        <f>COUNTIFS(Roster!V:V,"P",Roster!Q:Q,"Warehouse Deals",Roster!L:L,"Day Shift",Roster!R:R,"Direct",Roster!G:G,"AUH3")+COUNTIFS(Roster!V:V,"P",Roster!Q:Q,"Warehouse Deals",Roster!L:L,"Day Shift",Roster!R:R,"Direct",Roster!G:G,"DDB1")</f>
        <v>27</v>
      </c>
      <c r="Z12" s="11">
        <f>COUNTIFS(Roster!V:V,"SL",Roster!Q:Q,"Warehouse Deals",Roster!L:L,"Day Shift",Roster!R:R,"Direct",Roster!G:G,"AUH3")+COUNTIFS(Roster!V:V,"SL",Roster!Q:Q,"Warehouse Deals",Roster!L:L,"Day Shift",Roster!R:R,"Direct",Roster!G:G,"DDB1")</f>
        <v>0</v>
      </c>
      <c r="AA12" s="11">
        <f>COUNTIFS(Roster!V:V,"AB",Roster!Q:Q,"Warehouse Deals",Roster!L:L,"Day Shift",Roster!R:R,"Direct",Roster!G:G,"AUH3")+COUNTIFS(Roster!V:V,"AB",Roster!Q:Q,"Warehouse Deals",Roster!L:L,"Day Shift",Roster!R:R,"Direct",Roster!G:G,"DDB1")+COUNTIFS(Roster!V:V,"ABWI",Roster!Q:Q,"Warehouse Deals",Roster!L:L,"Day Shift",Roster!R:R,"Direct",Roster!G:G,"AUH3")+COUNTIFS(Roster!V:V,"ABWI",Roster!Q:Q,"Warehouse Deals",Roster!L:L,"Day Shift",Roster!R:R,"Direct",Roster!G:G,"DDB1")</f>
        <v>0</v>
      </c>
      <c r="AB12" s="11">
        <f>SUM(Y12:AA12,)+SUM(U12:W12)</f>
        <v>39</v>
      </c>
      <c r="AC12" s="11">
        <f>(AB12-V12)-U12-X12</f>
        <v>27</v>
      </c>
      <c r="AD12" s="16">
        <f>Y12/AC12</f>
        <v>1</v>
      </c>
      <c r="AE12" s="142"/>
      <c r="AF12" s="157" t="s">
        <v>68</v>
      </c>
      <c r="AG12" s="2" t="s">
        <v>32</v>
      </c>
      <c r="AH12" s="2">
        <f>COUNTIFS(Roster!V:V,"0",Roster!Q:Q,"Warehouse Deals",Roster!L:L,"Day Shift",Roster!R:R,"Support",Roster!G:G,"DAD1")</f>
        <v>0</v>
      </c>
      <c r="AI12" s="2">
        <f>COUNTIFS(Roster!V:V,"OFF",Roster!Q:Q,"Warehouse Deals",Roster!L:L,"Day Shift",Roster!R:R,"Support",Roster!G:G,"DAD1")</f>
        <v>0</v>
      </c>
      <c r="AJ12" s="2">
        <f>COUNTIFS(Roster!V:V,"PL",Roster!Q:Q,"Warehouse Deals",Roster!L:L,"Day Shift",Roster!R:R,"Support",Roster!G:G,"DAD1")</f>
        <v>0</v>
      </c>
      <c r="AK12" s="2">
        <f>COUNTIFS(Roster!V:V,"P",Roster!Q:Q,"Warehouse Deals",Roster!L:L,"Day Shift",Roster!R:R,"Support",Roster!G:G,"DAD1")</f>
        <v>0</v>
      </c>
      <c r="AL12" s="11">
        <f>COUNTIFS(Table1[[#All],[Building]],"DAD1",Table1[[#All],[Shift]],"Day Shift",Table1[[#All],[OFF1]],"OT",Table1[[#All],[Type]],"Support")+COUNTIFS(Table1[[#All],[Building]],"DAD1",Table1[[#All],[Shift]],"Day Shift",Table1[[#All],[OFF2]],"OT",Table1[[#All],[Type]],"Support")</f>
        <v>0</v>
      </c>
      <c r="AM12" s="2">
        <f>COUNTIFS(Roster!V:V,"SL",Roster!Q:Q,"Warehouse Deals",Roster!L:L,"Day Shift",Roster!R:R,"Support",Roster!G:G,"DAD1")</f>
        <v>0</v>
      </c>
      <c r="AN12" s="2">
        <f>COUNTIFS(Roster!V:V,"AB",Roster!Q:Q,"Warehouse Deals",Roster!L:L,"Day Shift",Roster!R:R,"Support",Roster!G:G,"DAD1")+COUNTIFS(Roster!V:V,"ABWI",Roster!Q:Q,"Warehouse Deals",Roster!L:L,"Day Shift",Roster!R:R,"Support",Roster!G:G,"DAD1")</f>
        <v>0</v>
      </c>
      <c r="AO12" s="2">
        <f>SUM(AM12:AN12,)+SUM(AH12:AK12)</f>
        <v>0</v>
      </c>
      <c r="AP12" s="29">
        <f>(AO12-AI12)-AH12</f>
        <v>0</v>
      </c>
      <c r="AQ12" s="30" t="e">
        <f>AK12/AP12</f>
        <v>#DIV/0!</v>
      </c>
    </row>
    <row r="13" spans="1:43" hidden="1">
      <c r="A13" s="171"/>
      <c r="B13" s="74" t="s">
        <v>38</v>
      </c>
      <c r="C13" s="11">
        <v>0</v>
      </c>
      <c r="D13" s="11">
        <f>COUNTIFS(Roster!V:V,"OFF",Roster!Q:Q,"ICQA",Roster!L:L,"Mid Shift",Roster!R:R,"Direct",Roster!G:G,"AUH1")</f>
        <v>0</v>
      </c>
      <c r="E13" s="11">
        <f>COUNTIFS(Roster!V:V,"PL",Roster!Q:Q,"ICQA",Roster!L:L,"Mid Shift",Roster!R:R,"Direct",Roster!G:G,"AUH1")</f>
        <v>0</v>
      </c>
      <c r="F13" s="11">
        <f>COUNTIFS(Table1[[#All],[Building]],"AUH1",Table1[[#All],[Shift]],"Mid Shift",Table1[[#All],[OFF1]],"OT",Table1[[#All],[Department]],Dashboard!A12)+COUNTIFS(Table1[[#All],[Building]],"AUH1",Table1[[#All],[Shift]],"Mid Shift",Table1[[#All],[OFF2]],"OT",Table1[[#All],[Department]],Dashboard!A12)</f>
        <v>0</v>
      </c>
      <c r="G13" s="11">
        <f>COUNTIFS(Roster!V:V,"P",Roster!Q:Q,"ICQA",Roster!L:L,"Mid Shift",Roster!R:R,"Direct",Roster!G:G,"AUH1")</f>
        <v>0</v>
      </c>
      <c r="H13" s="11">
        <f>COUNTIFS(Roster!V:V,"SL",Roster!Q:Q,"ICQA",Roster!L:L,"Mid Shift",Roster!R:R,"Direct",Roster!G:G,"AUH1")</f>
        <v>0</v>
      </c>
      <c r="I13" s="11">
        <f>COUNTIFS(Roster!V:V,"AB",Roster!Q:Q,"ICQA",Roster!L:L,"Mid Shift",Roster!R:R,"Direct",Roster!G:G,"AUH1")+COUNTIFS(Roster!V:V,"ABWI",Roster!Q:Q,"ICQA",Roster!L:L,"Mid Shift",Roster!R:R,"Direct",Roster!G:G,"AUH1")</f>
        <v>0</v>
      </c>
      <c r="J13" s="11">
        <f t="shared" ref="J13:J26" si="4">SUM(G13:I13,)+SUM(C13:E13)</f>
        <v>0</v>
      </c>
      <c r="K13" s="11">
        <f>(J13-D13)-C13-F13</f>
        <v>0</v>
      </c>
      <c r="L13" s="62"/>
      <c r="M13" s="12" t="e">
        <f t="shared" si="3"/>
        <v>#DIV/0!</v>
      </c>
      <c r="N13" s="12" t="e">
        <f>(H13-G13)/(L13)</f>
        <v>#DIV/0!</v>
      </c>
      <c r="O13" s="12"/>
      <c r="P13" s="12"/>
      <c r="Q13" s="12"/>
      <c r="R13" s="142"/>
      <c r="S13" s="157"/>
      <c r="T13" s="11" t="s">
        <v>38</v>
      </c>
      <c r="U13" s="11">
        <f>COUNTIFS(Roster!V:V,"0",Roster!Q:Q,"Warehouse Deals",Roster!L:L,"Mid Shift",Roster!R:R,"Direct",Roster!G:G,"AUH3")+COUNTIFS(Roster!V:V,"0",Roster!Q:Q,"Warehouse Deals",Roster!L:L,"Mid Shift",Roster!R:R,"Direct",Roster!G:G,"DDB1")</f>
        <v>0</v>
      </c>
      <c r="V13" s="11">
        <f>COUNTIFS(Roster!V:V,"OFF",Roster!Q:Q,"Warehouse Deals",Roster!L:L,"Mid Shift",Roster!R:R,"Direct",Roster!G:G,"AUH3")+COUNTIFS(Roster!V:V,"OFF",Roster!Q:Q,"Warehouse Deals",Roster!L:L,"Mid Shift",Roster!R:R,"Direct",Roster!G:G,"DDB1")</f>
        <v>0</v>
      </c>
      <c r="W13" s="11">
        <f>COUNTIFS(Roster!V:V,"PL",Roster!Q:Q,"Warehouse Deals",Roster!L:L,"Mid Shift",Roster!R:R,"Direct",Roster!G:G,"AUH3")+COUNTIFS(Roster!V:V,"PL",Roster!Q:Q,"Warehouse Deals",Roster!L:L,"Mid Shift",Roster!R:R,"Direct",Roster!G:G,"DDB1")</f>
        <v>0</v>
      </c>
      <c r="X13" s="11">
        <f>COUNTIFS(Table1[[#All],[Building]],"AUH3",Table1[[#All],[Shift]],"Mid Shift",Table1[[#All],[OFF1]],"OT",Table1[[#All],[Department]],Dashboard!S12)+COUNTIFS(Table1[[#All],[Building]],"AUH3",Table1[[#All],[Shift]],"Mid Shift",Table1[[#All],[OFF2]],"OT",Table1[[#All],[Department]],Dashboard!S12)</f>
        <v>0</v>
      </c>
      <c r="Y13" s="11">
        <f>COUNTIFS(Roster!V:V,"P",Roster!Q:Q,"Warehouse Deals",Roster!L:L,"Mid Shift",Roster!R:R,"Direct",Roster!G:G,"AUH3")+COUNTIFS(Roster!V:V,"P",Roster!Q:Q,"Warehouse Deals",Roster!L:L,"Mid Shift",Roster!R:R,"Direct",Roster!G:G,"DDB1")</f>
        <v>0</v>
      </c>
      <c r="Z13" s="11">
        <f>COUNTIFS(Roster!V:V,"SL",Roster!Q:Q,"Warehouse Deals",Roster!L:L,"Mid Shift",Roster!R:R,"Direct",Roster!G:G,"AUH3")+COUNTIFS(Roster!V:V,"SL",Roster!Q:Q,"Warehouse Deals",Roster!L:L,"Mid Shift",Roster!R:R,"Direct",Roster!G:G,"DDB1")</f>
        <v>0</v>
      </c>
      <c r="AA13" s="11">
        <f>COUNTIFS(Roster!V:V,"AB",Roster!Q:Q,"Warehouse Deals",Roster!L:L,"Mid Shift",Roster!R:R,"Direct",Roster!G:G,"AUH3")+COUNTIFS(Roster!V:V,"AB",Roster!Q:Q,"Warehouse Deals",Roster!L:L,"Mid Shift",Roster!R:R,"Direct",Roster!G:G,"DDB1")+COUNTIFS(Roster!V:V,"ABWI",Roster!Q:Q,"Warehouse Deals",Roster!L:L,"Mid Shift",Roster!R:R,"Direct",Roster!G:G,"AUH3")+COUNTIFS(Roster!V:V,"ABWI",Roster!Q:Q,"Warehouse Deals",Roster!L:L,"Mid Shift",Roster!R:R,"Direct",Roster!G:G,"DDB1")</f>
        <v>0</v>
      </c>
      <c r="AB13" s="11">
        <f>SUM(Y13:AA13,)+SUM(U13:W13)</f>
        <v>0</v>
      </c>
      <c r="AC13" s="11">
        <f>(AB13-V13)-U13-X13</f>
        <v>0</v>
      </c>
      <c r="AD13" s="16" t="e">
        <f>Y13/AC13</f>
        <v>#DIV/0!</v>
      </c>
      <c r="AE13" s="142"/>
      <c r="AF13" s="157"/>
      <c r="AG13" s="2" t="s">
        <v>38</v>
      </c>
      <c r="AH13" s="2">
        <f>COUNTIFS(Roster!V:V,"0",Roster!Q:Q,"Warehouse Deals",Roster!L:L,"Mid Shift",Roster!R:R,"Support",Roster!G:G,"DAD1")</f>
        <v>0</v>
      </c>
      <c r="AI13" s="2">
        <f>COUNTIFS(Roster!V:V,"OFF",Roster!Q:Q,"Warehouse Deals",Roster!L:L,"Mid Shift",Roster!R:R,"Support",Roster!G:G,"DAD1")</f>
        <v>0</v>
      </c>
      <c r="AJ13" s="2">
        <f>COUNTIFS(Roster!V:V,"PL",Roster!Q:Q,"Warehouse Deals",Roster!L:L,"Mid Shift",Roster!R:R,"Support",Roster!G:G,"DAD1")</f>
        <v>0</v>
      </c>
      <c r="AK13" s="2">
        <f>COUNTIFS(Roster!V:V,"P",Roster!Q:Q,"Warehouse Deals",Roster!L:L,"Mid Shift",Roster!R:R,"Support",Roster!G:G,"DAD1")</f>
        <v>0</v>
      </c>
      <c r="AL13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13" s="2">
        <f>COUNTIFS(Roster!V:V,"SL",Roster!Q:Q,"Warehouse Deals",Roster!L:L,"Mid Shift",Roster!R:R,"Support",Roster!G:G,"DAD1")</f>
        <v>0</v>
      </c>
      <c r="AN13" s="2">
        <f>COUNTIFS(Roster!V:V,"AB",Roster!Q:Q,"Warehouse Deals",Roster!L:L,"Mid Shift",Roster!R:R,"Support",Roster!G:G,"DAD1")+COUNTIFS(Roster!V:V,"ABWI",Roster!Q:Q,"Warehouse Deals",Roster!L:L,"Mid Shift",Roster!R:R,"Support",Roster!G:G,"DAD1")</f>
        <v>0</v>
      </c>
      <c r="AO13" s="2">
        <f>SUM(AM13:AN13,)+SUM(AH13:AK13)</f>
        <v>0</v>
      </c>
      <c r="AP13" s="29">
        <f>(AO13-AI13)-AH13</f>
        <v>0</v>
      </c>
      <c r="AQ13" s="31" t="e">
        <f>AK13/AP13</f>
        <v>#DIV/0!</v>
      </c>
    </row>
    <row r="14" spans="1:43" ht="12.5" thickBot="1">
      <c r="A14" s="140"/>
      <c r="B14" s="11" t="s">
        <v>39</v>
      </c>
      <c r="C14" s="11">
        <f>COUNTIFS(Roster!V:V,"0",Roster!Q:Q,"ICQA",Roster!L:L,"Night Shift",Roster!R:R,"Direct",Roster!G:G,"AUH1")</f>
        <v>0</v>
      </c>
      <c r="D14" s="11">
        <f>COUNTIFS(Roster!V:V,"OFF",Roster!Q:Q,"ICQA",Roster!L:L,"Night Shift",Roster!R:R,"Direct",Roster!G:G,"AUH1")</f>
        <v>2</v>
      </c>
      <c r="E14" s="11">
        <f>COUNTIFS(Roster!V:V,"PL",Roster!Q:Q,"ICQA",Roster!L:L,"Night Shift",Roster!R:R,"Direct",Roster!G:G,"AUH1")</f>
        <v>0</v>
      </c>
      <c r="F14" s="11">
        <f>COUNTIFS(Table1[[#All],[Building]],"AUH1",Table1[[#All],[Shift]],"Night Shift",Table1[[#All],[OFF1]],"OT",Table1[[#All],[Department]],Dashboard!A12)+COUNTIFS(Table1[[#All],[Building]],"AUH1",Table1[[#All],[Shift]],"Night Shift",Table1[[#All],[OFF2]],"OT",Table1[[#All],[Department]],Dashboard!A12)</f>
        <v>0</v>
      </c>
      <c r="G14" s="11">
        <f>COUNTIFS(Roster!V:V,"P",Roster!Q:Q,"ICQA",Roster!L:L,"Night Shift",Roster!R:R,"Direct",Roster!G:G,"AUH1")</f>
        <v>5</v>
      </c>
      <c r="H14" s="11">
        <f>COUNTIFS(Roster!V:V,"SL",Roster!Q:Q,"ICQA",Roster!L:L,"Night Shift",Roster!R:R,"Direct",Roster!G:G,"AUH1")</f>
        <v>0</v>
      </c>
      <c r="I14" s="11">
        <f>COUNTIFS(Roster!V:V,"AB",Roster!Q:Q,"ICQA",Roster!L:L,"Night Shift",Roster!R:R,"Direct",Roster!G:G,"AUH1")+COUNTIFS(Roster!V:V,"ABWI",Roster!Q:Q,"ICQA",Roster!L:L,"Night Shift",Roster!R:R,"Direct",Roster!G:G,"AUH1")</f>
        <v>0</v>
      </c>
      <c r="J14" s="11">
        <f>SUM(G14:I14,)+SUM(C14:E14)</f>
        <v>7</v>
      </c>
      <c r="K14" s="11">
        <f>(J14-D14)-C14-F14</f>
        <v>5</v>
      </c>
      <c r="L14" s="62">
        <v>0.96499999999999997</v>
      </c>
      <c r="M14" s="12">
        <f t="shared" si="3"/>
        <v>1</v>
      </c>
      <c r="N14" s="12">
        <f t="shared" ref="N14:N28" si="5">G14/K14</f>
        <v>1</v>
      </c>
      <c r="O14" s="12"/>
      <c r="P14" s="12"/>
      <c r="Q14" s="12"/>
      <c r="R14" s="142"/>
      <c r="S14" s="157"/>
      <c r="T14" s="11" t="s">
        <v>39</v>
      </c>
      <c r="U14" s="11">
        <f>COUNTIFS(Roster!V:V,"0",Roster!Q:Q,"Warehouse Deals",Roster!L:L,"Mid Shift",Roster!R:R,"Direct",Roster!G:G,"AUH3")+COUNTIFS(Roster!V:V,"0",Roster!Q:Q,"Warehouse Deals",Roster!L:L,"Mid Shift",Roster!R:R,"Direct",Roster!G:G,"DDB1")</f>
        <v>0</v>
      </c>
      <c r="V14" s="11">
        <f>COUNTIFS(Roster!V:V,"OFF",Roster!Q:Q,"Warehouse Deals",Roster!L:L,"Night Shift",Roster!R:R,"Direct",Roster!G:G,"AUH3")+COUNTIFS(Roster!V:V,"OFF",Roster!Q:Q,"Warehouse Deals",Roster!L:L,"Night Shift",Roster!R:R,"Direct",Roster!G:G,"DDB1")</f>
        <v>21</v>
      </c>
      <c r="W14" s="11">
        <f>COUNTIFS(Roster!V:V,"PL",Roster!Q:Q,"Warehouse Deals",Roster!L:L,"Night Shift",Roster!R:R,"Direct",Roster!G:G,"AUH3")+COUNTIFS(Roster!V:V,"PL",Roster!Q:Q,"Warehouse Deals",Roster!L:L,"Night Shift",Roster!R:R,"Direct",Roster!G:G,"DDB1")</f>
        <v>1</v>
      </c>
      <c r="X14" s="11">
        <f>COUNTIFS(Table1[[#All],[Building]],"AUH3",Table1[[#All],[Shift]],"Night Shift",Table1[[#All],[OFF1]],"OT",Table1[[#All],[Department]],Dashboard!S12)+COUNTIFS(Table1[[#All],[Building]],"AUH3",Table1[[#All],[Shift]],"Night Shift",Table1[[#All],[OFF2]],"OT",Table1[[#All],[Department]],Dashboard!S12)</f>
        <v>0</v>
      </c>
      <c r="Y14" s="11">
        <f>COUNTIFS(Roster!V:V,"P",Roster!Q:Q,"Warehouse Deals",Roster!L:L,"Night Shift",Roster!R:R,"Direct",Roster!G:G,"AUH3")+COUNTIFS(Roster!V:V,"P",Roster!Q:Q,"Warehouse Deals",Roster!L:L,"Night Shift",Roster!R:R,"Direct",Roster!G:G,"DDB1")</f>
        <v>38</v>
      </c>
      <c r="Z14" s="11">
        <f>COUNTIFS(Roster!V:V,"SL",Roster!Q:Q,"Warehouse Deals",Roster!L:L,"Night Shift",Roster!R:R,"Direct",Roster!G:G,"AUH3")+COUNTIFS(Roster!V:V,"SL",Roster!Q:Q,"Warehouse Deals",Roster!L:L,"Night Shift",Roster!R:R,"Direct",Roster!G:G,"DDB1")</f>
        <v>1</v>
      </c>
      <c r="AA14" s="11">
        <f>COUNTIFS(Roster!V:V,"AB",Roster!Q:Q,"Warehouse Deals",Roster!L:L,"Night Shift",Roster!R:R,"Direct",Roster!G:G,"AUH3")+COUNTIFS(Roster!V:V,"AB",Roster!Q:Q,"Warehouse Deals",Roster!L:L,"Night Shift",Roster!R:R,"Direct",Roster!G:G,"DDB1")+COUNTIFS(Roster!V:V,"ABWI",Roster!Q:Q,"Warehouse Deals",Roster!L:L,"Night Shift",Roster!R:R,"Direct",Roster!G:G,"AUH3")+COUNTIFS(Roster!V:V,"ABWI",Roster!Q:Q,"Warehouse Deals",Roster!L:L,"Night Shift",Roster!R:R,"Direct",Roster!G:G,"DDB1")</f>
        <v>0</v>
      </c>
      <c r="AB14" s="11">
        <f>SUM(Y14:AA14,)+SUM(U14:W14)</f>
        <v>61</v>
      </c>
      <c r="AC14" s="11">
        <f>(AB14-V14)-U14-X14</f>
        <v>40</v>
      </c>
      <c r="AD14" s="16">
        <f>Y14/AC14</f>
        <v>0.95</v>
      </c>
      <c r="AE14" s="142"/>
      <c r="AF14" s="157"/>
      <c r="AG14" s="2" t="s">
        <v>39</v>
      </c>
      <c r="AH14" s="2">
        <f>COUNTIFS(Roster!V:V,"0",Roster!Q:Q,"Warehouse Deals",Roster!L:L,"Night Shift",Roster!R:R,"Support",Roster!G:G,"DAD1")</f>
        <v>0</v>
      </c>
      <c r="AI14" s="2">
        <f>COUNTIFS(Roster!V:V,"OFF",Roster!Q:Q,"Warehouse Deals",Roster!L:L,"Night Shift",Roster!R:R,"Support",Roster!G:G,"DAD1")</f>
        <v>2</v>
      </c>
      <c r="AJ14" s="2">
        <f>COUNTIFS(Roster!V:V,"PL",Roster!Q:Q,"Warehouse Deals",Roster!L:L,"Night Shift",Roster!R:R,"Support",Roster!G:G,"DAD1")</f>
        <v>0</v>
      </c>
      <c r="AK14" s="2">
        <f>COUNTIFS(Roster!V:V,"P",Roster!Q:Q,"Warehouse Deals",Roster!L:L,"Night Shift",Roster!R:R,"Support",Roster!G:G,"DAD1")</f>
        <v>10</v>
      </c>
      <c r="AL14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14" s="2">
        <f>COUNTIFS(Roster!V:V,"SL",Roster!Q:Q,"Warehouse Deals",Roster!L:L,"Night Shift",Roster!R:R,"Support",Roster!G:G,"DAD1")</f>
        <v>0</v>
      </c>
      <c r="AN14" s="2">
        <f>COUNTIFS(Roster!V:V,"AB",Roster!Q:Q,"Warehouse Deals",Roster!L:L,"Night Shift",Roster!R:R,"Support",Roster!G:G,"DAD1")+COUNTIFS(Roster!V:V,"ABWI",Roster!Q:Q,"Warehouse Deals",Roster!L:L,"Night Shift",Roster!R:R,"Support",Roster!G:G,"DAD1")</f>
        <v>0</v>
      </c>
      <c r="AO14" s="2">
        <f>SUM(AM14:AN14,)+SUM(AH14:AK14)</f>
        <v>12</v>
      </c>
      <c r="AP14" s="29">
        <f>(AO14-AI14)-AH14</f>
        <v>10</v>
      </c>
      <c r="AQ14" s="32">
        <f>AK14/AP14</f>
        <v>1</v>
      </c>
    </row>
    <row r="15" spans="1:43" s="10" customFormat="1">
      <c r="A15" s="149" t="s">
        <v>57</v>
      </c>
      <c r="B15" s="149"/>
      <c r="C15" s="23">
        <f t="shared" ref="C15:J15" si="6">SUM(C12:C14)</f>
        <v>0</v>
      </c>
      <c r="D15" s="23">
        <f t="shared" si="6"/>
        <v>13</v>
      </c>
      <c r="E15" s="23">
        <f t="shared" si="6"/>
        <v>1</v>
      </c>
      <c r="F15" s="23">
        <f t="shared" si="6"/>
        <v>0</v>
      </c>
      <c r="G15" s="24">
        <f t="shared" si="6"/>
        <v>35</v>
      </c>
      <c r="H15" s="23">
        <f t="shared" si="6"/>
        <v>1</v>
      </c>
      <c r="I15" s="23">
        <f t="shared" si="6"/>
        <v>0</v>
      </c>
      <c r="J15" s="23">
        <f t="shared" si="6"/>
        <v>50</v>
      </c>
      <c r="K15" s="23">
        <f>SUM(K12:K14)</f>
        <v>37</v>
      </c>
      <c r="L15" s="63">
        <v>0.88391891891891894</v>
      </c>
      <c r="M15" s="57">
        <f>(G15-F15)/(K15)</f>
        <v>0.94594594594594594</v>
      </c>
      <c r="N15" s="57">
        <f t="shared" si="5"/>
        <v>0.94594594594594594</v>
      </c>
      <c r="O15" s="84">
        <f>L15*K15</f>
        <v>32.704999999999998</v>
      </c>
      <c r="P15" s="84">
        <f>G15-F15</f>
        <v>35</v>
      </c>
      <c r="Q15" s="84">
        <f>P15-O15</f>
        <v>2.2950000000000017</v>
      </c>
      <c r="R15" s="142"/>
      <c r="S15" s="148" t="s">
        <v>59</v>
      </c>
      <c r="T15" s="149"/>
      <c r="U15" s="23">
        <f t="shared" ref="U15:AB15" si="7">SUM(U12:U14)</f>
        <v>0</v>
      </c>
      <c r="V15" s="23">
        <f t="shared" si="7"/>
        <v>33</v>
      </c>
      <c r="W15" s="23">
        <f t="shared" si="7"/>
        <v>1</v>
      </c>
      <c r="X15" s="23">
        <f>SUM(X12:X14)</f>
        <v>0</v>
      </c>
      <c r="Y15" s="24">
        <f t="shared" si="7"/>
        <v>65</v>
      </c>
      <c r="Z15" s="23">
        <f t="shared" si="7"/>
        <v>1</v>
      </c>
      <c r="AA15" s="23">
        <f t="shared" si="7"/>
        <v>0</v>
      </c>
      <c r="AB15" s="23">
        <f t="shared" si="7"/>
        <v>100</v>
      </c>
      <c r="AC15" s="23">
        <f>SUM(AC12:AC14)</f>
        <v>67</v>
      </c>
      <c r="AD15" s="25"/>
      <c r="AE15" s="142"/>
      <c r="AF15" s="152" t="s">
        <v>68</v>
      </c>
      <c r="AG15" s="153"/>
      <c r="AH15" s="27">
        <f t="shared" ref="AH15:AN15" si="8">SUM(AH12:AH14)</f>
        <v>0</v>
      </c>
      <c r="AI15" s="27">
        <f t="shared" si="8"/>
        <v>2</v>
      </c>
      <c r="AJ15" s="27">
        <f t="shared" si="8"/>
        <v>0</v>
      </c>
      <c r="AK15" s="26">
        <f t="shared" si="8"/>
        <v>10</v>
      </c>
      <c r="AL15" s="26">
        <f t="shared" si="8"/>
        <v>0</v>
      </c>
      <c r="AM15" s="27">
        <f t="shared" si="8"/>
        <v>0</v>
      </c>
      <c r="AN15" s="27">
        <f t="shared" si="8"/>
        <v>0</v>
      </c>
      <c r="AO15" s="27">
        <f>SUM(AO12:AO14)</f>
        <v>12</v>
      </c>
      <c r="AP15" s="28">
        <f>SUM(AP12:AP14)</f>
        <v>10</v>
      </c>
      <c r="AQ15" s="146"/>
    </row>
    <row r="16" spans="1:43" ht="13.5" thickBot="1">
      <c r="A16" s="175" t="s">
        <v>35</v>
      </c>
      <c r="B16" s="54" t="s">
        <v>32</v>
      </c>
      <c r="C16" s="54">
        <f>COUNTIFS(Roster!V:V,"0",Roster!Q:Q,"Inbound",Roster!L:L,"Day Shift",Roster!R:R,"Direct",Roster!G:G,"AUH1")</f>
        <v>0</v>
      </c>
      <c r="D16" s="54">
        <f>COUNTIFS(Roster!V:V,"OFF",Roster!Q:Q,"Inbound",Roster!L:L,"Day Shift",Roster!R:R,"Direct",Roster!G:G,"AUH1")</f>
        <v>137</v>
      </c>
      <c r="E16" s="54">
        <f>COUNTIFS(Roster!V:V,"PL",Roster!Q:Q,"Inbound",Roster!L:L,"Day Shift",Roster!R:R,"Direct",Roster!G:G,"AUH1")</f>
        <v>2</v>
      </c>
      <c r="F16" s="54">
        <f>COUNTIFS(Table1[[#All],[Building]],"AUH1",Table1[[#All],[Shift]],"Day Shift",Table1[[#All],[OFF1]],"OT",Table1[[#All],[Department]],Dashboard!A16)+COUNTIFS(Table1[[#All],[Building]],"AUH1",Table1[[#All],[Shift]],"Day Shift",Table1[[#All],[OFF2]],"OT",Table1[[#All],[Department]],Dashboard!A16)</f>
        <v>0</v>
      </c>
      <c r="G16" s="54">
        <f>COUNTIFS(Roster!V:V,"P",Roster!Q:Q,"Inbound",Roster!L:L,"Day Shift",Roster!R:R,"Direct",Roster!G:G,"AUH1")</f>
        <v>85</v>
      </c>
      <c r="H16" s="54">
        <f>COUNTIFS(Roster!V:V,"SL",Roster!Q:Q,"Inbound",Roster!L:L,"Day Shift",Roster!R:R,"Direct",Roster!G:G,"AUH1")</f>
        <v>3</v>
      </c>
      <c r="I16" s="54">
        <f>COUNTIFS(Roster!V:V,"AB",Roster!Q:Q,"Inbound",Roster!L:L,"Day Shift",Roster!R:R,"Direct",Roster!G:G,"AUH1")+COUNTIFS(Roster!V:V,"ABWI",Roster!Q:Q,"Inbound",Roster!L:L,"Day Shift",Roster!R:R,"Direct",Roster!G:G,"AUH1")</f>
        <v>2</v>
      </c>
      <c r="J16" s="54">
        <f t="shared" si="4"/>
        <v>229</v>
      </c>
      <c r="K16" s="54">
        <f>(J16-D16)-C16-F16</f>
        <v>92</v>
      </c>
      <c r="L16" s="62">
        <v>0.89131578947368417</v>
      </c>
      <c r="M16" s="12">
        <f t="shared" si="3"/>
        <v>0.92391304347826086</v>
      </c>
      <c r="N16" s="12">
        <f t="shared" si="5"/>
        <v>0.92391304347826086</v>
      </c>
      <c r="O16" s="93"/>
      <c r="P16" s="93"/>
      <c r="Q16" s="12"/>
      <c r="R16" s="142"/>
      <c r="S16" s="157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1"/>
      <c r="AE16" s="142"/>
      <c r="AF16" s="154" t="s">
        <v>54</v>
      </c>
      <c r="AG16" s="155"/>
      <c r="AH16" s="38">
        <f>AH15</f>
        <v>0</v>
      </c>
      <c r="AI16" s="38">
        <f t="shared" ref="AI16:AP16" si="9">AI15</f>
        <v>2</v>
      </c>
      <c r="AJ16" s="38">
        <f t="shared" si="9"/>
        <v>0</v>
      </c>
      <c r="AK16" s="38">
        <f t="shared" si="9"/>
        <v>10</v>
      </c>
      <c r="AL16" s="38">
        <f t="shared" si="9"/>
        <v>0</v>
      </c>
      <c r="AM16" s="38">
        <f t="shared" si="9"/>
        <v>0</v>
      </c>
      <c r="AN16" s="38">
        <f t="shared" si="9"/>
        <v>0</v>
      </c>
      <c r="AO16" s="38">
        <f t="shared" si="9"/>
        <v>12</v>
      </c>
      <c r="AP16" s="41">
        <f t="shared" si="9"/>
        <v>10</v>
      </c>
      <c r="AQ16" s="147"/>
    </row>
    <row r="17" spans="1:43" hidden="1">
      <c r="A17" s="176"/>
      <c r="B17" s="74" t="s">
        <v>38</v>
      </c>
      <c r="C17" s="11">
        <f>COUNTIFS(Roster!V:V,"0",Roster!Q:Q,"Inbound",Roster!L:L,"Mid Shift",Roster!R:R,"Direct",Roster!G:G,"AUH1")</f>
        <v>0</v>
      </c>
      <c r="D17" s="11">
        <f>COUNTIFS(Roster!V:V,"OFF",Roster!Q:Q,"Inbound",Roster!L:L,"Mid Shift",Roster!R:R,"Direct",Roster!G:G,"AUH1")</f>
        <v>0</v>
      </c>
      <c r="E17" s="11">
        <f>COUNTIFS(Roster!V:V,"PL",Roster!Q:Q,"Inbound",Roster!L:L,"Mid Shift",Roster!R:R,"Direct",Roster!G:G,"AUH1")</f>
        <v>0</v>
      </c>
      <c r="F17" s="11">
        <f>COUNTIFS(Table1[[#All],[Building]],"AUH1",Table1[[#All],[Shift]],"Mid Shift",Table1[[#All],[OFF1]],"OT",Table1[[#All],[Department]],Dashboard!A16)+COUNTIFS(Table1[[#All],[Building]],"AUH1",Table1[[#All],[Shift]],"Mid Shift",Table1[[#All],[OFF2]],"OT",Table1[[#All],[Department]],Dashboard!A16)</f>
        <v>0</v>
      </c>
      <c r="G17" s="11">
        <f>COUNTIFS(Roster!V:V,"P",Roster!Q:Q,"Inbound",Roster!L:L,"Mid Shift",Roster!R:R,"Direct",Roster!G:G,"AUH1")</f>
        <v>0</v>
      </c>
      <c r="H17" s="11">
        <f>COUNTIFS(Roster!V:V,"SL",Roster!Q:Q,"Inbound",Roster!L:L,"Mid Shift",Roster!R:R,"Direct",Roster!G:G,"AUH1")</f>
        <v>0</v>
      </c>
      <c r="I17" s="11">
        <f>COUNTIFS(Roster!V:V,"AB",Roster!Q:Q,"Inbound",Roster!L:L,"Mid Shift",Roster!R:R,"Direct",Roster!G:G,"AUH1")+COUNTIFS(Roster!V:V,"ABWI",Roster!Q:Q,"Inbound",Roster!L:L,"Mid Shift",Roster!R:R,"Direct",Roster!G:G,"AUH1")</f>
        <v>0</v>
      </c>
      <c r="J17" s="11">
        <f t="shared" si="4"/>
        <v>0</v>
      </c>
      <c r="K17" s="54">
        <f>(J17-D17)-C17-F17</f>
        <v>0</v>
      </c>
      <c r="L17" s="62"/>
      <c r="M17" s="12" t="e">
        <f t="shared" si="3"/>
        <v>#DIV/0!</v>
      </c>
      <c r="N17" s="12" t="e">
        <f t="shared" si="5"/>
        <v>#DIV/0!</v>
      </c>
      <c r="O17" s="93"/>
      <c r="P17" s="93"/>
      <c r="Q17" s="12"/>
      <c r="R17" s="142"/>
      <c r="S17" s="33" t="s">
        <v>24</v>
      </c>
      <c r="T17" s="34" t="s">
        <v>20</v>
      </c>
      <c r="U17" s="34">
        <v>0</v>
      </c>
      <c r="V17" s="34" t="s">
        <v>10</v>
      </c>
      <c r="W17" s="34" t="s">
        <v>7</v>
      </c>
      <c r="X17" s="34" t="s">
        <v>36</v>
      </c>
      <c r="Y17" s="35" t="s">
        <v>2</v>
      </c>
      <c r="Z17" s="34" t="s">
        <v>3</v>
      </c>
      <c r="AA17" s="34" t="s">
        <v>55</v>
      </c>
      <c r="AB17" s="34" t="s">
        <v>54</v>
      </c>
      <c r="AC17" s="34" t="s">
        <v>56</v>
      </c>
      <c r="AD17" s="37" t="s">
        <v>60</v>
      </c>
      <c r="AE17" s="142"/>
    </row>
    <row r="18" spans="1:43">
      <c r="A18" s="171"/>
      <c r="B18" s="11" t="s">
        <v>39</v>
      </c>
      <c r="C18" s="11">
        <f>COUNTIFS(Roster!V:V,"0",Roster!Q:Q,"Inbound",Roster!L:L,"Night Shift",Roster!R:R,"Direct",Roster!G:G,"AUH1")</f>
        <v>0</v>
      </c>
      <c r="D18" s="11">
        <f>COUNTIFS(Roster!V:V,"OFF",Roster!Q:Q,"Inbound",Roster!L:L,"Night Shift",Roster!R:R,"Direct",Roster!G:G,"AUH1")</f>
        <v>34</v>
      </c>
      <c r="E18" s="11">
        <f>COUNTIFS(Roster!V:V,"PL",Roster!Q:Q,"Inbound",Roster!L:L,"Night Shift",Roster!R:R,"Direct",Roster!G:G,"AUH1")</f>
        <v>3</v>
      </c>
      <c r="F18" s="11">
        <f>COUNTIFS(Table1[[#All],[Building]],"AUH1",Table1[[#All],[Shift]],"Night Shift",Table1[[#All],[OFF1]],"OT",Table1[[#All],[Department]],Dashboard!A16)+COUNTIFS(Table1[[#All],[Building]],"AUH1",Table1[[#All],[Shift]],"Night Shift",Table1[[#All],[OFF2]],"OT",Table1[[#All],[Department]],Dashboard!A16)</f>
        <v>0</v>
      </c>
      <c r="G18" s="11">
        <f>COUNTIFS(Roster!V:V,"P",Roster!Q:Q,"Inbound",Roster!L:L,"Night Shift",Roster!R:R,"Direct",Roster!G:G,"AUH1")</f>
        <v>45</v>
      </c>
      <c r="H18" s="11">
        <f>COUNTIFS(Roster!V:V,"SL",Roster!Q:Q,"Inbound",Roster!L:L,"Night Shift",Roster!R:R,"Direct",Roster!G:G,"AUH1")</f>
        <v>0</v>
      </c>
      <c r="I18" s="11">
        <f>COUNTIFS(Roster!V:V,"AB",Roster!Q:Q,"Inbound",Roster!L:L,"Night Shift",Roster!R:R,"Direct",Roster!G:G,"AUH1")+COUNTIFS(Roster!V:V,"ABWI",Roster!Q:Q,"Inbound",Roster!L:L,"Night Shift",Roster!R:R,"Direct",Roster!G:G,"AUH1")</f>
        <v>0</v>
      </c>
      <c r="J18" s="11">
        <f t="shared" si="4"/>
        <v>82</v>
      </c>
      <c r="K18" s="54">
        <f>(J18-D18)-C18-F18</f>
        <v>48</v>
      </c>
      <c r="L18" s="62">
        <v>0.8833673469387755</v>
      </c>
      <c r="M18" s="12">
        <f t="shared" si="3"/>
        <v>0.9375</v>
      </c>
      <c r="N18" s="12">
        <f t="shared" si="5"/>
        <v>0.9375</v>
      </c>
      <c r="O18" s="93"/>
      <c r="P18" s="93"/>
      <c r="Q18" s="12"/>
      <c r="R18" s="142"/>
      <c r="S18" s="157" t="s">
        <v>68</v>
      </c>
      <c r="T18" s="11" t="s">
        <v>34</v>
      </c>
      <c r="U18" s="11">
        <f>COUNTIFS(Roster!G:G,"AUH3",Roster!R:R,"Direct",Roster!V:V,"0",Roster!E:E,"Regular")+COUNTIFS(Roster!G:G,"DDB1",Roster!R:R,"Direct",Roster!V:V,"0",Roster!E:E,"Regular")</f>
        <v>0</v>
      </c>
      <c r="V18" s="11">
        <f>COUNTIFS(Roster!G:G,"AUH3",Roster!R:R,"Direct",Roster!V:V,"OFF",Roster!E:E,"Regular")+COUNTIFS(Roster!G:G,"DDB1",Roster!R:R,"Direct",Roster!V:V,"OFF",Roster!E:E,"Regular")</f>
        <v>5</v>
      </c>
      <c r="W18" s="11">
        <f>COUNTIFS(Roster!G:G,"AUH3",Roster!R:R,"Direct",Roster!V:V,"PL",Roster!E:E,"Regular")+COUNTIFS(Roster!G:G,"DDB1",Roster!R:R,"Direct",Roster!V:V,"PL",Roster!E:E,"Regular")</f>
        <v>0</v>
      </c>
      <c r="X18" s="11">
        <f>COUNTIFS(Table1[[#All],[Building]],"AUH3",Table1[[#All],[Employment Type]],"Regular",Table1[[#All],[OFF1]],"OT",Table1[[#All],[Department]],Dashboard!S18)+COUNTIFS(Table1[[#All],[Building]],"AUH3",Table1[[#All],[Employment Type]],"Regular",Table1[[#All],[OFF2]],"OT",Table1[[#All],[Department]],Dashboard!S18)</f>
        <v>0</v>
      </c>
      <c r="Y18" s="11">
        <f>COUNTIFS(Roster!G:G,"AUH3",Roster!R:R,"Direct",Roster!V:V,"P",Roster!E:E,"Regular")+COUNTIFS(Roster!G:G,"DDB1",Roster!R:R,"Direct",Roster!V:V,"P",Roster!E:E,"Regular")</f>
        <v>9</v>
      </c>
      <c r="Z18" s="11">
        <f>COUNTIFS(Roster!G:G,"AUH3",Roster!R:R,"Direct",Roster!V:V,"SL",Roster!E:E,"Regular")+COUNTIFS(Roster!G:G,"DDB1",Roster!R:R,"Direct",Roster!V:V,"SL",Roster!E:E,"Regular")</f>
        <v>0</v>
      </c>
      <c r="AA18" s="11">
        <f>COUNTIFS(Roster!G:G,"AUH3",Roster!R:R,"Direct",Roster!V:V,"AB",Roster!E:E,"Regular")+COUNTIFS(Roster!G:G,"DDB1",Roster!R:R,"Direct",Roster!V:V,"AB",Roster!E:E,"Regular")+COUNTIFS(Roster!G:G,"AUH3",Roster!R:R,"Direct",Roster!V:V,"ABWI",Roster!E:E,"Regular")+COUNTIFS(Roster!G:G,"DDB1",Roster!R:R,"Direct",Roster!V:V,"ABWI",Roster!E:E,"Regular")</f>
        <v>0</v>
      </c>
      <c r="AB18" s="11">
        <f>SUM(Y18:AA18,)+SUM(U18:W18)</f>
        <v>14</v>
      </c>
      <c r="AC18" s="11">
        <f>(AB18-V18)-U18</f>
        <v>9</v>
      </c>
      <c r="AD18" s="16">
        <f>Y18/AC18</f>
        <v>1</v>
      </c>
      <c r="AE18" s="142"/>
      <c r="AL18" s="7">
        <f>1443+83</f>
        <v>1526</v>
      </c>
    </row>
    <row r="19" spans="1:43" s="10" customFormat="1">
      <c r="A19" s="149" t="s">
        <v>70</v>
      </c>
      <c r="B19" s="149"/>
      <c r="C19" s="23">
        <f>SUM(C16:C18)</f>
        <v>0</v>
      </c>
      <c r="D19" s="23">
        <f t="shared" ref="D19:J19" si="10">SUM(D16:D18)</f>
        <v>171</v>
      </c>
      <c r="E19" s="23">
        <f>SUM(E16:E18)</f>
        <v>5</v>
      </c>
      <c r="F19" s="23">
        <f>SUM(F16:F18)</f>
        <v>0</v>
      </c>
      <c r="G19" s="24">
        <f t="shared" si="10"/>
        <v>130</v>
      </c>
      <c r="H19" s="23">
        <f t="shared" si="10"/>
        <v>3</v>
      </c>
      <c r="I19" s="23">
        <f t="shared" si="10"/>
        <v>2</v>
      </c>
      <c r="J19" s="23">
        <f t="shared" si="10"/>
        <v>311</v>
      </c>
      <c r="K19" s="23">
        <f>SUM(K16:K18)</f>
        <v>140</v>
      </c>
      <c r="L19" s="63">
        <v>0.88861111111111113</v>
      </c>
      <c r="M19" s="57">
        <f>(G19-F19)/(K19)</f>
        <v>0.9285714285714286</v>
      </c>
      <c r="N19" s="57">
        <f t="shared" si="5"/>
        <v>0.9285714285714286</v>
      </c>
      <c r="O19" s="84">
        <f>L19*K19</f>
        <v>124.40555555555555</v>
      </c>
      <c r="P19" s="84">
        <f>G19-F19</f>
        <v>130</v>
      </c>
      <c r="Q19" s="84">
        <f>P19-O19</f>
        <v>5.5944444444444485</v>
      </c>
      <c r="R19" s="142"/>
      <c r="S19" s="157"/>
      <c r="T19" s="11" t="s">
        <v>31</v>
      </c>
      <c r="U19" s="11">
        <f>COUNTIFS(Roster!G:G,"AUH3",Roster!R:R,"Direct",Roster!V:V,"0",Roster!E:E,"Temporary")+COUNTIFS(Roster!G:G,"DDB1",Roster!R:R,"Direct",Roster!V:V,"0",Roster!E:E,"Temporary")</f>
        <v>0</v>
      </c>
      <c r="V19" s="11">
        <f>COUNTIFS(Roster!G:G,"AUH3",Roster!R:R,"Direct",Roster!V:V,"OFF",Roster!E:E,"Temporary")+COUNTIFS(Roster!G:G,"DDB1",Roster!R:R,"Direct",Roster!V:V,"OFF",Roster!E:E,"Temporary")</f>
        <v>28</v>
      </c>
      <c r="W19" s="11">
        <f>COUNTIFS(Roster!G:G,"AUH3",Roster!R:R,"Direct",Roster!V:V,"PL",Roster!E:E,"Temporary")+COUNTIFS(Roster!G:G,"DDB1",Roster!R:R,"Direct",Roster!V:V,"PL",Roster!E:E,"Temporary")</f>
        <v>1</v>
      </c>
      <c r="X19" s="11">
        <f>COUNTIFS(Table1[[#All],[Building]],"AUH3",Table1[[#All],[Employment Type]],"Temporary",Table1[[#All],[OFF1]],"OT",Table1[[#All],[Department]],Dashboard!S18)+COUNTIFS(Table1[[#All],[Building]],"AUH3",Table1[[#All],[Employment Type]],"Temporary",Table1[[#All],[OFF2]],"OT",Table1[[#All],[Department]],Dashboard!S18)</f>
        <v>0</v>
      </c>
      <c r="Y19" s="11">
        <f>COUNTIFS(Roster!G:G,"AUH3",Roster!R:R,"Direct",Roster!V:V,"P",Roster!E:E,"Temporary")+COUNTIFS(Roster!G:G,"DDB1",Roster!R:R,"Direct",Roster!V:V,"P",Roster!E:E,"Temporary")</f>
        <v>56</v>
      </c>
      <c r="Z19" s="11">
        <f>COUNTIFS(Roster!G:G,"AUH3",Roster!R:R,"Direct",Roster!V:V,"SL",Roster!E:E,"Temporary")+COUNTIFS(Roster!G:G,"DDB1",Roster!R:R,"Direct",Roster!V:V,"SL",Roster!E:E,"Temporary")</f>
        <v>1</v>
      </c>
      <c r="AA19" s="11">
        <f>COUNTIFS(Roster!G:G,"AUH3",Roster!R:R,"Direct",Roster!V:V,"AB",Roster!E:E,"Temporary")+COUNTIFS(Roster!G:G,"DDB1",Roster!R:R,"Direct",Roster!V:V,"AB",Roster!E:E,"Temporary")+COUNTIFS(Roster!G:G,"AUH3",Roster!R:R,"Direct",Roster!V:V,"ABWI",Roster!E:E,"Temporary")+COUNTIFS(Roster!G:G,"DDB1",Roster!R:R,"Direct",Roster!V:V,"ABWI",Roster!E:E,"Temporary")</f>
        <v>0</v>
      </c>
      <c r="AB19" s="11">
        <f>SUM(Y19:AA19,)+SUM(U19:W19)</f>
        <v>86</v>
      </c>
      <c r="AC19" s="11">
        <f>(AB19-V19)-U19</f>
        <v>58</v>
      </c>
      <c r="AD19" s="16">
        <f>Y19/AC19</f>
        <v>0.96551724137931039</v>
      </c>
      <c r="AE19" s="142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>
      <c r="A20" s="140" t="s">
        <v>37</v>
      </c>
      <c r="B20" s="11" t="s">
        <v>32</v>
      </c>
      <c r="C20" s="11">
        <f>COUNTIFS(Roster!V:V,"0",Roster!Q:Q,"Outbound",Roster!L:L,"Day Shift",Roster!R:R,"Direct",Roster!G:G,"AUH1")</f>
        <v>0</v>
      </c>
      <c r="D20" s="11">
        <f>COUNTIFS(Roster!V:V,"OFF",Roster!Q:Q,"Outbound",Roster!L:L,"Day Shift",Roster!R:R,"Direct",Roster!G:G,"AUH1")</f>
        <v>67</v>
      </c>
      <c r="E20" s="11">
        <f>COUNTIFS(Roster!V:V,"PL",Roster!Q:Q,"Outbound",Roster!L:L,"Day Shift",Roster!R:R,"Direct",Roster!G:G,"AUH1")</f>
        <v>13</v>
      </c>
      <c r="F20" s="11">
        <f>COUNTIFS(Table1[[#All],[Building]],"AUH1",Table1[[#All],[Shift]],"Day Shift",Table1[[#All],[OFF1]],"OT",Table1[[#All],[Department]],Dashboard!A20)+COUNTIFS(Table1[[#All],[Building]],"AUH1",Table1[[#All],[Shift]],"Day Shift",Table1[[#All],[OFF2]],"OT",Table1[[#All],[Department]],Dashboard!A20)</f>
        <v>12</v>
      </c>
      <c r="G20" s="11">
        <f>COUNTIFS(Roster!V:V,"P",Roster!Q:Q,"Outbound",Roster!L:L,"Day Shift",Roster!R:R,"Direct",Roster!G:G,"AUH1")</f>
        <v>179</v>
      </c>
      <c r="H20" s="11">
        <f>COUNTIFS(Roster!V:V,"SL",Roster!Q:Q,"Outbound",Roster!L:L,"Day Shift",Roster!R:R,"Direct",Roster!G:G,"AUH1")</f>
        <v>5</v>
      </c>
      <c r="I20" s="11">
        <f>COUNTIFS(Roster!V:V,"AB",Roster!Q:Q,"Outbound",Roster!L:L,"Day Shift",Roster!R:R,"Direct",Roster!G:G,"AUH1")+COUNTIFS(Roster!V:V,"ABWI",Roster!Q:Q,"Outbound",Roster!L:L,"Day Shift",Roster!R:R,"Direct",Roster!G:G,"AUH1")</f>
        <v>0</v>
      </c>
      <c r="J20" s="11">
        <f>SUM(G20:I20,)+SUM(C20:E20)</f>
        <v>264</v>
      </c>
      <c r="K20" s="11">
        <f>(J20-D20)-C20-F20</f>
        <v>185</v>
      </c>
      <c r="L20" s="62">
        <v>0.87055555555555553</v>
      </c>
      <c r="M20" s="12">
        <f t="shared" si="3"/>
        <v>0.9027027027027027</v>
      </c>
      <c r="N20" s="12">
        <f t="shared" si="5"/>
        <v>0.96756756756756757</v>
      </c>
      <c r="O20" s="93"/>
      <c r="P20" s="93"/>
      <c r="Q20" s="12"/>
      <c r="R20" s="142"/>
      <c r="S20" s="148" t="s">
        <v>59</v>
      </c>
      <c r="T20" s="149"/>
      <c r="U20" s="23">
        <f t="shared" ref="U20:AA20" si="11">SUM(U17:U19)</f>
        <v>0</v>
      </c>
      <c r="V20" s="23">
        <f t="shared" si="11"/>
        <v>33</v>
      </c>
      <c r="W20" s="23">
        <f t="shared" si="11"/>
        <v>1</v>
      </c>
      <c r="X20" s="23">
        <f t="shared" si="11"/>
        <v>0</v>
      </c>
      <c r="Y20" s="24">
        <f t="shared" si="11"/>
        <v>65</v>
      </c>
      <c r="Z20" s="23">
        <f t="shared" si="11"/>
        <v>1</v>
      </c>
      <c r="AA20" s="23">
        <f t="shared" si="11"/>
        <v>0</v>
      </c>
      <c r="AB20" s="23">
        <f>SUM(AB17:AB19)</f>
        <v>100</v>
      </c>
      <c r="AC20" s="23">
        <f>SUM(AC18:AC19)</f>
        <v>67</v>
      </c>
      <c r="AD20" s="25"/>
      <c r="AE20" s="142"/>
    </row>
    <row r="21" spans="1:43" hidden="1">
      <c r="A21" s="171"/>
      <c r="B21" s="74" t="s">
        <v>38</v>
      </c>
      <c r="C21" s="11">
        <f>COUNTIFS(Roster!V:V,"0",Roster!Q:Q,"Outbound",Roster!L:L,"Mid Shift",Roster!R:R,"Direct",Roster!G:G,"AUH1")</f>
        <v>0</v>
      </c>
      <c r="D21" s="11">
        <f>COUNTIFS(Roster!V:V,"OFF",Roster!Q:Q,"Outbound",Roster!L:L,"Mid Shift",Roster!R:R,"Direct",Roster!G:G,"AUH1")</f>
        <v>0</v>
      </c>
      <c r="E21" s="11">
        <f>COUNTIFS(Roster!V:V,"PL",Roster!Q:Q,"Outbound",Roster!L:L,"Mid Shift",Roster!R:R,"Direct",Roster!G:G,"AUH1")</f>
        <v>0</v>
      </c>
      <c r="F21" s="11">
        <f>COUNTIFS(Table1[[#All],[Building]],"AUH1",Table1[[#All],[Shift]],"Mid Shift",Table1[[#All],[OFF1]],"OT",Table1[[#All],[Department]],Dashboard!A20)+COUNTIFS(Table1[[#All],[Building]],"AUH1",Table1[[#All],[Shift]],"Mid Shift",Table1[[#All],[OFF2]],"OT",Table1[[#All],[Department]],Dashboard!A20)</f>
        <v>0</v>
      </c>
      <c r="G21" s="11">
        <f>COUNTIFS(Roster!V:V,"P",Roster!Q:Q,"Outbound",Roster!L:L,"Mid Shift",Roster!R:R,"Direct",Roster!G:G,"AUH1")</f>
        <v>0</v>
      </c>
      <c r="H21" s="11">
        <f>COUNTIFS(Roster!V:V,"SL",Roster!Q:Q,"Outbound",Roster!L:L,"Mid Shift",Roster!R:R,"Direct",Roster!G:G,"AUH1")</f>
        <v>0</v>
      </c>
      <c r="I21" s="11">
        <f>COUNTIFS(Roster!V:V,"AB",Roster!Q:Q,"Outbound",Roster!L:L,"Mid Shift",Roster!R:R,"Direct",Roster!G:G,"AUH1")+COUNTIFS(Roster!V:V,"ABWI",Roster!Q:Q,"Outbound",Roster!L:L,"Mid Shift",Roster!R:R,"Direct",Roster!G:G,"AUH1")</f>
        <v>0</v>
      </c>
      <c r="J21" s="11">
        <f t="shared" si="4"/>
        <v>0</v>
      </c>
      <c r="K21" s="11">
        <f>(J21-D21)-C21-F21</f>
        <v>0</v>
      </c>
      <c r="L21" s="62"/>
      <c r="M21" s="12" t="e">
        <f t="shared" si="3"/>
        <v>#DIV/0!</v>
      </c>
      <c r="N21" s="12" t="e">
        <f t="shared" si="5"/>
        <v>#DIV/0!</v>
      </c>
      <c r="O21" s="93"/>
      <c r="P21" s="93"/>
      <c r="Q21" s="12"/>
      <c r="R21" s="142"/>
      <c r="S21" s="157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1"/>
      <c r="AE21" s="142"/>
    </row>
    <row r="22" spans="1:43">
      <c r="A22" s="177"/>
      <c r="B22" s="54" t="s">
        <v>39</v>
      </c>
      <c r="C22" s="54">
        <f>COUNTIFS(Roster!V:V,"0",Roster!Q:Q,"Outbound",Roster!L:L,"Night Shift",Roster!R:R,"Direct",Roster!G:G,"AUH1")</f>
        <v>0</v>
      </c>
      <c r="D22" s="54">
        <f>COUNTIFS(Roster!V:V,"OFF",Roster!Q:Q,"Outbound",Roster!L:L,"Night Shift",Roster!R:R,"Direct",Roster!G:G,"AUH1")</f>
        <v>112</v>
      </c>
      <c r="E22" s="54">
        <f>COUNTIFS(Roster!V:V,"PL",Roster!Q:Q,"Outbound",Roster!L:L,"Night Shift",Roster!R:R,"Direct",Roster!G:G,"AUH1")</f>
        <v>10</v>
      </c>
      <c r="F22" s="54">
        <f>COUNTIFS(Table1[[#All],[Building]],"AUH1",Table1[[#All],[Shift]],"Night Shift",Table1[[#All],[OFF1]],"OT",Table1[[#All],[Department]],Dashboard!A20)+COUNTIFS(Table1[[#All],[Building]],"AUH1",Table1[[#All],[Shift]],"Night Shift",Table1[[#All],[OFF2]],"OT",Table1[[#All],[Department]],Dashboard!A20)</f>
        <v>4</v>
      </c>
      <c r="G22" s="54">
        <f>COUNTIFS(Roster!V:V,"P",Roster!Q:Q,"Outbound",Roster!L:L,"Night Shift",Roster!R:R,"Direct",Roster!G:G,"AUH1")</f>
        <v>264</v>
      </c>
      <c r="H22" s="54">
        <f>COUNTIFS(Roster!V:V,"SL",Roster!Q:Q,"Outbound",Roster!L:L,"Night Shift",Roster!R:R,"Direct",Roster!G:G,"AUH1")</f>
        <v>1</v>
      </c>
      <c r="I22" s="54">
        <f>COUNTIFS(Roster!V:V,"AB",Roster!Q:Q,"Outbound",Roster!L:L,"Night Shift",Roster!R:R,"Direct",Roster!G:G,"AUH1")+COUNTIFS(Roster!V:V,"ABWI",Roster!Q:Q,"Outbound",Roster!L:L,"Night Shift",Roster!R:R,"Direct",Roster!G:G,"AUH1")</f>
        <v>4</v>
      </c>
      <c r="J22" s="54">
        <f t="shared" si="4"/>
        <v>391</v>
      </c>
      <c r="K22" s="54">
        <f>(J22-D22)-C22-F22</f>
        <v>275</v>
      </c>
      <c r="L22" s="62">
        <v>0.90384892086330937</v>
      </c>
      <c r="M22" s="65">
        <f t="shared" si="3"/>
        <v>0.94545454545454544</v>
      </c>
      <c r="N22" s="65">
        <f t="shared" si="5"/>
        <v>0.96</v>
      </c>
      <c r="O22" s="94"/>
      <c r="P22" s="94"/>
      <c r="Q22" s="12"/>
      <c r="R22" s="142"/>
      <c r="S22" s="33" t="s">
        <v>20</v>
      </c>
      <c r="T22" s="34" t="s">
        <v>47</v>
      </c>
      <c r="U22" s="34" t="s">
        <v>48</v>
      </c>
      <c r="V22" s="34" t="s">
        <v>49</v>
      </c>
      <c r="W22" s="34" t="s">
        <v>7</v>
      </c>
      <c r="X22" s="34" t="s">
        <v>36</v>
      </c>
      <c r="Y22" s="34" t="s">
        <v>50</v>
      </c>
      <c r="Z22" s="34" t="s">
        <v>2</v>
      </c>
      <c r="AA22" s="34" t="s">
        <v>51</v>
      </c>
      <c r="AB22" s="34" t="s">
        <v>52</v>
      </c>
      <c r="AC22" s="34" t="s">
        <v>53</v>
      </c>
      <c r="AD22" s="172"/>
      <c r="AE22" s="142"/>
    </row>
    <row r="23" spans="1:43" s="10" customFormat="1">
      <c r="A23" s="149" t="s">
        <v>58</v>
      </c>
      <c r="B23" s="149"/>
      <c r="C23" s="23">
        <f t="shared" ref="C23:J23" si="12">SUM(C20:C22)</f>
        <v>0</v>
      </c>
      <c r="D23" s="23">
        <f t="shared" si="12"/>
        <v>179</v>
      </c>
      <c r="E23" s="23">
        <f t="shared" si="12"/>
        <v>23</v>
      </c>
      <c r="F23" s="23">
        <f>SUM(F20:F22)</f>
        <v>16</v>
      </c>
      <c r="G23" s="24">
        <f t="shared" si="12"/>
        <v>443</v>
      </c>
      <c r="H23" s="23">
        <f t="shared" si="12"/>
        <v>6</v>
      </c>
      <c r="I23" s="23">
        <f t="shared" si="12"/>
        <v>4</v>
      </c>
      <c r="J23" s="23">
        <f t="shared" si="12"/>
        <v>655</v>
      </c>
      <c r="K23" s="23">
        <f>SUM(K20:K22)</f>
        <v>460</v>
      </c>
      <c r="L23" s="63">
        <v>0.89076419213973801</v>
      </c>
      <c r="M23" s="57">
        <f>(G23-F23)/(K23)</f>
        <v>0.92826086956521736</v>
      </c>
      <c r="N23" s="57">
        <f t="shared" si="5"/>
        <v>0.96304347826086956</v>
      </c>
      <c r="O23" s="84">
        <f>L23*K23</f>
        <v>409.75152838427948</v>
      </c>
      <c r="P23" s="84">
        <f>G23-F23</f>
        <v>427</v>
      </c>
      <c r="Q23" s="84">
        <f>P23-O23</f>
        <v>17.248471615720518</v>
      </c>
      <c r="R23" s="142"/>
      <c r="S23" s="13" t="s">
        <v>34</v>
      </c>
      <c r="T23" s="11">
        <f>COUNTIFS(Roster!G:G,"AUH3",Roster!E:E,"Regular")+COUNTIFS(Roster!G:G,"DDB1",Roster!E:E,"Regular",Roster!R:R,"Direct")</f>
        <v>14</v>
      </c>
      <c r="U23" s="11">
        <f>COUNTIFS(Roster!G:G,"AUH3",Roster!E:E,"Regular",Roster!V:V,"OFF",Roster!R:R,"Direct")+COUNTIFS(Roster!G:G,"DDB1",Roster!E:E,"Regular",Roster!V:V,"OFF",Roster!R:R,"Direct")</f>
        <v>5</v>
      </c>
      <c r="V23" s="11">
        <f>SUMIFS($AC$18:$AC$19,$T$18:$T$19,"Regular")</f>
        <v>9</v>
      </c>
      <c r="W23" s="11">
        <f>COUNTIFS(Roster!G:G,"AUH3",Roster!E:E,"Regular",Roster!V:V,"PL",Roster!R:R,"Direct")+COUNTIFS(Roster!G:G,"DDB1",Roster!E:E,"Regular",Roster!V:V,"PL",Roster!R:R,"Direct")</f>
        <v>0</v>
      </c>
      <c r="X23" s="11">
        <f>COUNTIFS(Table1[[#All],[Building]],"AUH3",Table1[[#All],[Employment Type]],"Regular",Table1[[#All],[OFF1]],"OT",Table1[[#All],[Department]],Dashboard!S23)+COUNTIFS(Table1[[#All],[Building]],"AUH3",Table1[[#All],[Employment Type]],"Regular",Table1[[#All],[OFF2]],"OT",Table1[[#All],[Department]],Dashboard!S23)</f>
        <v>0</v>
      </c>
      <c r="Y23" s="11">
        <f>COUNTIFS(Roster!G:G,"AUH3",Roster!E:E,"Regular",Roster!V:V,"AB",Roster!R:R,"Direct")+COUNTIFS(Roster!G:G,"AUH3",Roster!E:E,"Regular",Roster!V:V,"SL",Roster!R:R,"Direct")+COUNTIFS(Roster!G:G,"AUH3",Roster!E:E,"Regular",Roster!V:V,"ABWI",Roster!R:R,"Direct")+COUNTIFS(Roster!G:G,"DDB1",Roster!E:E,"Regular",Roster!V:V,"ABWI")</f>
        <v>0</v>
      </c>
      <c r="Z23" s="11">
        <f>V23-W23-Y23</f>
        <v>9</v>
      </c>
      <c r="AA23" s="12">
        <f>Z23/V23</f>
        <v>1</v>
      </c>
      <c r="AB23" s="21">
        <v>0.92384615384615376</v>
      </c>
      <c r="AC23" s="12">
        <f>AA23/AB23</f>
        <v>1.0824313072439635</v>
      </c>
      <c r="AD23" s="173"/>
      <c r="AE23" s="142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43" s="10" customFormat="1" ht="12.5" thickBot="1">
      <c r="A24" s="140" t="s">
        <v>67</v>
      </c>
      <c r="B24" s="11" t="s">
        <v>32</v>
      </c>
      <c r="C24" s="11">
        <f>COUNTIFS(Roster!V:V,"0",Roster!Q:Q,"CRET",Roster!L:L,"Day Shift",Roster!R:R,"Direct",Roster!G:G,"AUH1")</f>
        <v>0</v>
      </c>
      <c r="D24" s="11">
        <f>COUNTIFS(Roster!V:V,"OFF",Roster!Q:Q,"CRET",Roster!L:L,"Day Shift",Roster!R:R,"Direct",Roster!G:G,"AUH1")</f>
        <v>33</v>
      </c>
      <c r="E24" s="11">
        <f>COUNTIFS(Roster!V:V,"PL",Roster!Q:Q,"CRET",Roster!L:L,"Day Shift",Roster!R:R,"Direct",Roster!G:G,"AUH1")</f>
        <v>7</v>
      </c>
      <c r="F24" s="11">
        <f>COUNTIFS(Table1[[#All],[Building]],"AUH1",Table1[[#All],[Shift]],"Day Shift",Table1[[#All],[OFF1]],"OT",Table1[[#All],[Department]],Dashboard!A24)+COUNTIFS(Table1[[#All],[Building]],"AUH1",Table1[[#All],[Shift]],"Day Shift",Table1[[#All],[OFF2]],"OT",Table1[[#All],[Department]],Dashboard!A24)</f>
        <v>0</v>
      </c>
      <c r="G24" s="11">
        <f>COUNTIFS(Roster!V:V,"P",Roster!Q:Q,"CRET",Roster!L:L,"Day Shift",Roster!R:R,"Direct",Roster!G:G,"AUH1")</f>
        <v>88</v>
      </c>
      <c r="H24" s="11">
        <f>COUNTIFS(Roster!V:V,"SL",Roster!Q:Q,"CRET",Roster!L:L,"Day Shift",Roster!R:R,"Direct",Roster!G:G,"AUH1")</f>
        <v>3</v>
      </c>
      <c r="I24" s="11">
        <f>COUNTIFS(Roster!V:V,"AB",Roster!Q:Q,"CRET",Roster!L:L,"Day Shift",Roster!R:R,"Direct",Roster!G:G,"AUH1")+COUNTIFS(Roster!V:V,"ABWI",Roster!Q:Q,"CRET",Roster!L:L,"Day Shift",Roster!R:R,"Direct",Roster!G:G,"AUH1")</f>
        <v>1</v>
      </c>
      <c r="J24" s="11">
        <f t="shared" si="4"/>
        <v>132</v>
      </c>
      <c r="K24" s="11">
        <f>(J24-D24)-C24-F24</f>
        <v>99</v>
      </c>
      <c r="L24" s="62">
        <v>0.90499999999999992</v>
      </c>
      <c r="M24" s="12">
        <f t="shared" si="3"/>
        <v>0.88888888888888884</v>
      </c>
      <c r="N24" s="12">
        <f t="shared" si="5"/>
        <v>0.88888888888888884</v>
      </c>
      <c r="O24" s="93"/>
      <c r="P24" s="93"/>
      <c r="Q24" s="12"/>
      <c r="R24" s="142"/>
      <c r="S24" s="17" t="s">
        <v>31</v>
      </c>
      <c r="T24" s="18">
        <f>COUNTIFS(Roster!G:G,"AUH3",Roster!E:E,"Temporary")+COUNTIFS(Roster!G:G,"DDB1",Roster!E:E,"Temporary",Roster!R:R,"Direct")</f>
        <v>86</v>
      </c>
      <c r="U24" s="18">
        <f>COUNTIFS(Roster!G:G,"AUH3",Roster!E:E,"Temporary",Roster!V:V,"OFF",Roster!R:R,"Direct")+COUNTIFS(Roster!G:G,"DDB1",Roster!E:E,"Temporary",Roster!V:V,"OFF",Roster!R:R,"Direct")</f>
        <v>28</v>
      </c>
      <c r="V24" s="18">
        <f>SUMIFS($AC$18:$AC$19,$T$18:$T$19,"Temporary")</f>
        <v>58</v>
      </c>
      <c r="W24" s="18">
        <f>COUNTIFS(Roster!G:G,"AUH3",Roster!E:E,"Temporary",Roster!V:V,"PL",Roster!R:R,"Direct")+COUNTIFS(Roster!G:G,"DDB1",Roster!E:E,"Temporary",Roster!V:V,"PL",Roster!R:R,"Direct")</f>
        <v>1</v>
      </c>
      <c r="X24" s="18">
        <f>COUNTIFS(Table1[[#All],[Building]],"AUH3",Table1[[#All],[Employment Type]],"Temporary",Table1[[#All],[OFF1]],"OT",Table1[[#All],[Department]],Dashboard!S23)+COUNTIFS(Table1[[#All],[Building]],"AUH3",Table1[[#All],[Employment Type]],"Temporary",Table1[[#All],[OFF2]],"OT",Table1[[#All],[Department]],Dashboard!S23)</f>
        <v>0</v>
      </c>
      <c r="Y24" s="18">
        <f>COUNTIFS(Roster!G:G,"AUH3",Roster!E:E,"Temporary",Roster!V:V,"AB")+COUNTIFS(Roster!G:G,"AUH3",Roster!E:E,"Temporary",Roster!V:V,"SL")+COUNTIFS(Roster!G:G,"AUH3",Roster!E:E,"Temporary",Roster!V:V,"ABWI")+COUNTIFS(Roster!G:G,"DDB1",Roster!E:E,"Temporary",Roster!V:V,"ABWI",Roster!R:R,"Direct")</f>
        <v>1</v>
      </c>
      <c r="Z24" s="18">
        <f>V24-W24-Y24</f>
        <v>56</v>
      </c>
      <c r="AA24" s="12">
        <f>Z24/V24</f>
        <v>0.96551724137931039</v>
      </c>
      <c r="AB24" s="21">
        <v>0.90181818181818185</v>
      </c>
      <c r="AC24" s="12">
        <f>AA24/AB24</f>
        <v>1.0706340378197998</v>
      </c>
      <c r="AD24" s="174"/>
      <c r="AE24" s="142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43" s="10" customFormat="1" hidden="1">
      <c r="A25" s="171"/>
      <c r="B25" s="74" t="s">
        <v>38</v>
      </c>
      <c r="C25" s="11">
        <f>COUNTIFS(Roster!V:V,"0",Roster!Q:Q,"CRET",Roster!L:L,"Mid Shift",Roster!R:R,"Direct",Roster!G:G,"AUH1")</f>
        <v>0</v>
      </c>
      <c r="D25" s="11">
        <f>COUNTIFS(Roster!V:V,"OFF",Roster!Q:Q,"CRET",Roster!L:L,"Mid Shift",Roster!R:R,"Direct",Roster!G:G,"AUH1")</f>
        <v>0</v>
      </c>
      <c r="E25" s="11">
        <f>COUNTIFS(Roster!V:V,"PL",Roster!Q:Q,"CRET",Roster!L:L,"Mid Shift",Roster!R:R,"Direct",Roster!G:G,"AUH1")</f>
        <v>0</v>
      </c>
      <c r="F25" s="11">
        <f>COUNTIFS(Table1[[#All],[Building]],"AUH1",Table1[[#All],[Shift]],"Mid Shift",Table1[[#All],[OFF1]],"OT",Table1[[#All],[Department]],Dashboard!A24)+COUNTIFS(Table1[[#All],[Building]],"AUH1",Table1[[#All],[Shift]],"Mid Shift",Table1[[#All],[OFF2]],"OT",Table1[[#All],[Department]],Dashboard!A24)</f>
        <v>0</v>
      </c>
      <c r="G25" s="11">
        <f>COUNTIFS(Roster!V:V,"P",Roster!Q:Q,"CRET",Roster!L:L,"Mid Shift",Roster!R:R,"Direct",Roster!G:G,"AUH1")</f>
        <v>0</v>
      </c>
      <c r="H25" s="11">
        <f>COUNTIFS(Roster!V:V,"SL",Roster!Q:Q,"CRET",Roster!L:L,"Mid Shift",Roster!R:R,"Direct",Roster!G:G,"AUH1")</f>
        <v>0</v>
      </c>
      <c r="I25" s="11">
        <f>COUNTIFS(Roster!V:V,"AB",Roster!Q:Q,"CRET",Roster!L:L,"Mid Shift",Roster!R:R,"Direct",Roster!G:G,"AUH1")+COUNTIFS(Roster!V:V,"ABWI",Roster!Q:Q,"CRET",Roster!L:L,"Mid Shift",Roster!R:R,"Direct",Roster!G:G,"AUH1")</f>
        <v>0</v>
      </c>
      <c r="J25" s="11">
        <f t="shared" si="4"/>
        <v>0</v>
      </c>
      <c r="K25" s="11">
        <f>(J25-D25)-C25-F25</f>
        <v>0</v>
      </c>
      <c r="L25" s="62"/>
      <c r="M25" s="12" t="e">
        <f t="shared" si="3"/>
        <v>#DIV/0!</v>
      </c>
      <c r="N25" s="12" t="e">
        <f t="shared" si="5"/>
        <v>#DIV/0!</v>
      </c>
      <c r="O25" s="93"/>
      <c r="P25" s="93"/>
      <c r="Q25" s="12"/>
      <c r="R25" s="142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142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s="10" customFormat="1">
      <c r="A26" s="140"/>
      <c r="B26" s="11" t="s">
        <v>39</v>
      </c>
      <c r="C26" s="11">
        <f>COUNTIFS(Roster!V:V,"0",Roster!Q:Q,"CRET",Roster!L:L,"Night Shift",Roster!R:R,"Direct",Roster!G:G,"AUH1")</f>
        <v>0</v>
      </c>
      <c r="D26" s="11">
        <f>COUNTIFS(Roster!V:V,"OFF",Roster!Q:Q,"CRET",Roster!L:L,"Night Shift",Roster!R:R,"Direct",Roster!G:G,"AUH1")</f>
        <v>26</v>
      </c>
      <c r="E26" s="11">
        <f>COUNTIFS(Roster!V:V,"PL",Roster!Q:Q,"CRET",Roster!L:L,"Night Shift",Roster!R:R,"Direct",Roster!G:G,"AUH1")</f>
        <v>2</v>
      </c>
      <c r="F26" s="11">
        <f>COUNTIFS(Table1[[#All],[Building]],"AUH1",Table1[[#All],[Shift]],"Night Shift",Table1[[#All],[OFF1]],"OT",Table1[[#All],[Department]],Dashboard!A24)+COUNTIFS(Table1[[#All],[Building]],"AUH1",Table1[[#All],[Shift]],"Night Shift",Table1[[#All],[OFF2]],"OT",Table1[[#All],[Department]],Dashboard!A24)</f>
        <v>0</v>
      </c>
      <c r="G26" s="11">
        <f>COUNTIFS(Roster!V:V,"P",Roster!Q:Q,"CRET",Roster!L:L,"Night Shift",Roster!R:R,"Direct",Roster!G:G,"AUH1")</f>
        <v>56</v>
      </c>
      <c r="H26" s="11">
        <f>COUNTIFS(Roster!V:V,"SL",Roster!Q:Q,"CRET",Roster!L:L,"Night Shift",Roster!R:R,"Direct",Roster!G:G,"AUH1")</f>
        <v>0</v>
      </c>
      <c r="I26" s="11">
        <f>COUNTIFS(Roster!V:V,"AB",Roster!Q:Q,"CRET",Roster!L:L,"Night Shift",Roster!R:R,"Direct",Roster!G:G,"AUH1")+COUNTIFS(Roster!V:V,"ABWI",Roster!Q:Q,"CRET",Roster!L:L,"Night Shift",Roster!R:R,"Direct",Roster!G:G,"AUH1")</f>
        <v>2</v>
      </c>
      <c r="J26" s="11">
        <f t="shared" si="4"/>
        <v>86</v>
      </c>
      <c r="K26" s="11">
        <f>(J26-D26)-C26-F26</f>
        <v>60</v>
      </c>
      <c r="L26" s="62">
        <v>0.91499999999999992</v>
      </c>
      <c r="M26" s="12">
        <f t="shared" si="3"/>
        <v>0.93333333333333335</v>
      </c>
      <c r="N26" s="12">
        <f t="shared" si="5"/>
        <v>0.93333333333333335</v>
      </c>
      <c r="O26" s="93"/>
      <c r="P26" s="93"/>
      <c r="Q26" s="12"/>
      <c r="R26" s="142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142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s="10" customFormat="1">
      <c r="A27" s="149" t="s">
        <v>69</v>
      </c>
      <c r="B27" s="149"/>
      <c r="C27" s="23">
        <f t="shared" ref="C27:J27" si="13">SUM(C24:C26)</f>
        <v>0</v>
      </c>
      <c r="D27" s="23">
        <f t="shared" si="13"/>
        <v>59</v>
      </c>
      <c r="E27" s="23">
        <f t="shared" si="13"/>
        <v>9</v>
      </c>
      <c r="F27" s="23">
        <f>SUM(F24:F26)</f>
        <v>0</v>
      </c>
      <c r="G27" s="24">
        <f t="shared" si="13"/>
        <v>144</v>
      </c>
      <c r="H27" s="23">
        <f t="shared" si="13"/>
        <v>3</v>
      </c>
      <c r="I27" s="23">
        <f t="shared" si="13"/>
        <v>3</v>
      </c>
      <c r="J27" s="23">
        <f t="shared" si="13"/>
        <v>218</v>
      </c>
      <c r="K27" s="23">
        <f>SUM(K24:K26)</f>
        <v>159</v>
      </c>
      <c r="L27" s="63">
        <v>0.90874999999999995</v>
      </c>
      <c r="M27" s="57">
        <f t="shared" si="3"/>
        <v>0.90566037735849059</v>
      </c>
      <c r="N27" s="63">
        <f t="shared" si="5"/>
        <v>0.90566037735849059</v>
      </c>
      <c r="O27" s="84">
        <f>L27*K27</f>
        <v>144.49124999999998</v>
      </c>
      <c r="P27" s="84">
        <f>G27-F27</f>
        <v>144</v>
      </c>
      <c r="Q27" s="84">
        <f>P27-O27</f>
        <v>-0.49124999999997954</v>
      </c>
      <c r="R27" s="142"/>
      <c r="S27" s="7"/>
      <c r="T27" s="7"/>
      <c r="U27" s="7"/>
      <c r="V27" s="7"/>
      <c r="W27" s="46"/>
      <c r="X27" s="7"/>
      <c r="Y27" s="7"/>
      <c r="Z27" s="46"/>
      <c r="AA27" s="7"/>
      <c r="AB27" s="7"/>
      <c r="AC27" s="7"/>
      <c r="AD27" s="7"/>
      <c r="AE27" s="142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ht="13">
      <c r="A28" s="168" t="s">
        <v>54</v>
      </c>
      <c r="B28" s="168"/>
      <c r="C28" s="50">
        <f t="shared" ref="C28:J28" si="14">C15+C19+C23+C27</f>
        <v>0</v>
      </c>
      <c r="D28" s="50">
        <f t="shared" si="14"/>
        <v>422</v>
      </c>
      <c r="E28" s="50">
        <f t="shared" si="14"/>
        <v>38</v>
      </c>
      <c r="F28" s="50">
        <f t="shared" si="14"/>
        <v>16</v>
      </c>
      <c r="G28" s="50">
        <f t="shared" si="14"/>
        <v>752</v>
      </c>
      <c r="H28" s="50">
        <f t="shared" si="14"/>
        <v>13</v>
      </c>
      <c r="I28" s="50">
        <f t="shared" si="14"/>
        <v>9</v>
      </c>
      <c r="J28" s="50">
        <f t="shared" si="14"/>
        <v>1234</v>
      </c>
      <c r="K28" s="50">
        <f>K15+K19+K23+K27</f>
        <v>796</v>
      </c>
      <c r="L28" s="36">
        <f>J9</f>
        <v>0.89366082603254071</v>
      </c>
      <c r="M28" s="64">
        <f t="shared" si="3"/>
        <v>0.92462311557788945</v>
      </c>
      <c r="N28" s="64">
        <f t="shared" si="5"/>
        <v>0.94472361809045224</v>
      </c>
      <c r="O28" s="84">
        <f>L28*K28</f>
        <v>711.35401752190239</v>
      </c>
      <c r="P28" s="84">
        <f>G28-F28</f>
        <v>736</v>
      </c>
      <c r="Q28" s="85">
        <f>P28-O28</f>
        <v>24.645982478097608</v>
      </c>
      <c r="R28" s="142"/>
      <c r="AE28" s="142"/>
    </row>
    <row r="29" spans="1:43">
      <c r="E29" s="46"/>
      <c r="G29" s="46"/>
    </row>
    <row r="30" spans="1:43">
      <c r="E30" s="46">
        <f>E6/(D6-F6)</f>
        <v>5.808080808080808E-2</v>
      </c>
      <c r="F30" s="7" t="s">
        <v>3012</v>
      </c>
      <c r="G30" s="46">
        <f>G6/(D6-F6)</f>
        <v>3.787878787878788E-2</v>
      </c>
      <c r="H30" s="81"/>
      <c r="J30" s="55"/>
    </row>
    <row r="31" spans="1:43">
      <c r="E31" s="46">
        <f>E9/(D9-F9)</f>
        <v>4.8717948717948718E-2</v>
      </c>
      <c r="F31" s="7" t="s">
        <v>3013</v>
      </c>
      <c r="G31" s="46">
        <f>G9/(D9-F9)</f>
        <v>2.8205128205128206E-2</v>
      </c>
    </row>
    <row r="32" spans="1:43">
      <c r="E32" s="46">
        <f>E8/(D8-F8)</f>
        <v>3.90625E-2</v>
      </c>
      <c r="F32" s="7" t="s">
        <v>3014</v>
      </c>
      <c r="G32" s="46">
        <f>G8/(D8-F8)</f>
        <v>1.8229166666666668E-2</v>
      </c>
      <c r="J32" s="46"/>
    </row>
    <row r="34" spans="5:5">
      <c r="E34" s="46"/>
    </row>
  </sheetData>
  <sheetProtection formatCells="0" formatColumns="0" formatRows="0" insertColumns="0" insertRows="0" insertHyperlinks="0" deleteColumns="0" deleteRows="0" sort="0" autoFilter="0" pivotTables="0"/>
  <autoFilter ref="A11:Q28" xr:uid="{80CABB81-D12B-4874-9D23-DC0F023889C9}">
    <filterColumn colId="1">
      <filters blank="1">
        <filter val="Day Shift"/>
        <filter val="Night Shift"/>
      </filters>
    </filterColumn>
  </autoFilter>
  <mergeCells count="39">
    <mergeCell ref="A23:B23"/>
    <mergeCell ref="A28:B28"/>
    <mergeCell ref="B10:M10"/>
    <mergeCell ref="A19:B19"/>
    <mergeCell ref="S1:AD1"/>
    <mergeCell ref="R1:R28"/>
    <mergeCell ref="A1:M1"/>
    <mergeCell ref="B4:M4"/>
    <mergeCell ref="M5:M9"/>
    <mergeCell ref="A24:A26"/>
    <mergeCell ref="A27:B27"/>
    <mergeCell ref="AD22:AD24"/>
    <mergeCell ref="A12:A14"/>
    <mergeCell ref="A16:A18"/>
    <mergeCell ref="A20:A22"/>
    <mergeCell ref="S21:AD21"/>
    <mergeCell ref="H2:M2"/>
    <mergeCell ref="H3:M3"/>
    <mergeCell ref="Z2:AD2"/>
    <mergeCell ref="Z3:AD3"/>
    <mergeCell ref="A15:B15"/>
    <mergeCell ref="S12:S14"/>
    <mergeCell ref="AD5:AD9"/>
    <mergeCell ref="S10:AD10"/>
    <mergeCell ref="AG4:AQ4"/>
    <mergeCell ref="T4:AD4"/>
    <mergeCell ref="AE1:AE28"/>
    <mergeCell ref="AF1:AQ1"/>
    <mergeCell ref="AQ15:AQ16"/>
    <mergeCell ref="S20:T20"/>
    <mergeCell ref="S15:T15"/>
    <mergeCell ref="AM2:AQ2"/>
    <mergeCell ref="AM3:AQ3"/>
    <mergeCell ref="AF15:AG15"/>
    <mergeCell ref="AF16:AG16"/>
    <mergeCell ref="AQ5:AQ10"/>
    <mergeCell ref="S18:S19"/>
    <mergeCell ref="S16:AD16"/>
    <mergeCell ref="AF12:AF14"/>
  </mergeCells>
  <pageMargins left="0.7" right="0.7" top="0.75" bottom="0.75" header="0.3" footer="0.3"/>
  <pageSetup orientation="portrait" r:id="rId1"/>
  <ignoredErrors>
    <ignoredError sqref="J15:K15 J19:K19 AO15 J23:K23" formula="1"/>
    <ignoredError sqref="AK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07"/>
  <sheetViews>
    <sheetView tabSelected="1" topLeftCell="F1" zoomScale="70" zoomScaleNormal="70" workbookViewId="0">
      <selection activeCell="G1" sqref="G1"/>
    </sheetView>
  </sheetViews>
  <sheetFormatPr defaultColWidth="14.26953125" defaultRowHeight="13" customHeight="1"/>
  <cols>
    <col min="1" max="1" width="4.81640625" bestFit="1" customWidth="1"/>
    <col min="2" max="2" width="9.26953125" bestFit="1" customWidth="1"/>
    <col min="3" max="3" width="10.36328125" bestFit="1" customWidth="1"/>
    <col min="4" max="4" width="37.453125" bestFit="1" customWidth="1"/>
    <col min="5" max="5" width="13.81640625" bestFit="1" customWidth="1"/>
    <col min="6" max="6" width="6.54296875" bestFit="1" customWidth="1"/>
    <col min="7" max="7" width="6.453125" bestFit="1" customWidth="1"/>
    <col min="8" max="9" width="6.453125" customWidth="1"/>
    <col min="10" max="10" width="3.7265625" bestFit="1" customWidth="1"/>
    <col min="11" max="11" width="9.26953125" bestFit="1" customWidth="1"/>
    <col min="12" max="12" width="8.26953125" bestFit="1" customWidth="1"/>
    <col min="13" max="13" width="12" bestFit="1" customWidth="1"/>
    <col min="14" max="15" width="9.54296875" bestFit="1" customWidth="1"/>
    <col min="16" max="16" width="23.81640625" bestFit="1" customWidth="1"/>
    <col min="17" max="17" width="13.6328125" bestFit="1" customWidth="1"/>
    <col min="18" max="18" width="6.453125" bestFit="1" customWidth="1"/>
    <col min="19" max="19" width="8.6328125" bestFit="1" customWidth="1"/>
    <col min="20" max="20" width="14.7265625" bestFit="1" customWidth="1"/>
    <col min="21" max="21" width="26.08984375" bestFit="1" customWidth="1"/>
    <col min="22" max="22" width="9.54296875" style="56" bestFit="1" customWidth="1"/>
    <col min="23" max="23" width="21" bestFit="1" customWidth="1"/>
    <col min="24" max="24" width="8.6328125" bestFit="1" customWidth="1"/>
    <col min="25" max="25" width="13.6328125" bestFit="1" customWidth="1"/>
  </cols>
  <sheetData>
    <row r="1" spans="1:27" ht="13" customHeight="1" thickBot="1">
      <c r="A1" s="43" t="s">
        <v>0</v>
      </c>
      <c r="B1" s="44">
        <v>46258</v>
      </c>
      <c r="C1" s="45" t="str">
        <f>TEXT(B1,"dddd")</f>
        <v>Monday</v>
      </c>
      <c r="F1" t="s">
        <v>72</v>
      </c>
      <c r="G1" s="178">
        <v>7.1300000000000002E-2</v>
      </c>
      <c r="S1" s="1" t="s">
        <v>1</v>
      </c>
      <c r="T1" s="2" t="s">
        <v>2</v>
      </c>
      <c r="U1" s="2" t="s">
        <v>3</v>
      </c>
      <c r="V1"/>
    </row>
    <row r="2" spans="1:27" ht="13" customHeight="1">
      <c r="S2" s="3" t="s">
        <v>4</v>
      </c>
      <c r="T2" s="2" t="s">
        <v>5</v>
      </c>
      <c r="U2" s="2" t="s">
        <v>6</v>
      </c>
      <c r="V2"/>
    </row>
    <row r="3" spans="1:27" ht="13" customHeight="1">
      <c r="S3" s="4" t="s">
        <v>7</v>
      </c>
      <c r="T3" s="2" t="s">
        <v>8</v>
      </c>
      <c r="U3" s="5" t="s">
        <v>9</v>
      </c>
      <c r="V3"/>
    </row>
    <row r="4" spans="1:27" ht="13" customHeight="1">
      <c r="S4" s="72" t="s">
        <v>10</v>
      </c>
      <c r="T4" s="2" t="s">
        <v>11</v>
      </c>
      <c r="U4" s="6">
        <v>0</v>
      </c>
      <c r="V4"/>
    </row>
    <row r="5" spans="1:27" ht="13" customHeight="1">
      <c r="L5" t="s">
        <v>2686</v>
      </c>
      <c r="V5"/>
    </row>
    <row r="6" spans="1:27" ht="13" customHeight="1">
      <c r="A6" s="70" t="s">
        <v>12</v>
      </c>
      <c r="B6" s="70" t="s">
        <v>13</v>
      </c>
      <c r="C6" s="70" t="s">
        <v>14</v>
      </c>
      <c r="D6" s="70" t="s">
        <v>15</v>
      </c>
      <c r="E6" s="70" t="s">
        <v>17</v>
      </c>
      <c r="F6" s="71" t="s">
        <v>61</v>
      </c>
      <c r="G6" s="70" t="s">
        <v>18</v>
      </c>
      <c r="H6" s="70" t="s">
        <v>3026</v>
      </c>
      <c r="I6" s="70" t="s">
        <v>3027</v>
      </c>
      <c r="J6" s="70" t="s">
        <v>62</v>
      </c>
      <c r="K6" s="70" t="s">
        <v>19</v>
      </c>
      <c r="L6" s="70" t="s">
        <v>20</v>
      </c>
      <c r="M6" s="70" t="s">
        <v>63</v>
      </c>
      <c r="N6" s="70" t="s">
        <v>21</v>
      </c>
      <c r="O6" s="70" t="s">
        <v>22</v>
      </c>
      <c r="P6" s="70" t="s">
        <v>23</v>
      </c>
      <c r="Q6" s="70" t="s">
        <v>24</v>
      </c>
      <c r="R6" s="70" t="s">
        <v>26</v>
      </c>
      <c r="S6" s="70" t="s">
        <v>27</v>
      </c>
      <c r="T6" s="70" t="s">
        <v>28</v>
      </c>
      <c r="U6" s="70" t="s">
        <v>29</v>
      </c>
      <c r="V6" s="70" t="s">
        <v>3016</v>
      </c>
      <c r="W6" s="70" t="s">
        <v>30</v>
      </c>
      <c r="X6" s="70" t="s">
        <v>16</v>
      </c>
      <c r="Y6" s="131" t="s">
        <v>25</v>
      </c>
      <c r="Z6" s="136" t="s">
        <v>3019</v>
      </c>
      <c r="AA6" s="136" t="s">
        <v>3020</v>
      </c>
    </row>
    <row r="7" spans="1:27" ht="13" customHeight="1">
      <c r="A7" s="11">
        <v>1</v>
      </c>
      <c r="B7" s="47">
        <v>206875258</v>
      </c>
      <c r="C7" s="89" t="s">
        <v>1722</v>
      </c>
      <c r="D7" s="11" t="s">
        <v>1723</v>
      </c>
      <c r="E7" s="48" t="s">
        <v>31</v>
      </c>
      <c r="F7" s="48" t="s">
        <v>74</v>
      </c>
      <c r="G7" s="48" t="s">
        <v>64</v>
      </c>
      <c r="H7" s="48" t="str">
        <f>VLOOKUP(Table1[[#This Row],[Psoft No]],[1]Roster!$C$2:$H$1402,6,)</f>
        <v>AUH1</v>
      </c>
      <c r="I7" s="48" t="b">
        <f>Table1[[#This Row],[Building]]=Table1[[#This Row],[Column1]]</f>
        <v>1</v>
      </c>
      <c r="J7" s="48" t="s">
        <v>75</v>
      </c>
      <c r="K7" s="11">
        <v>1299</v>
      </c>
      <c r="L7" s="49" t="s">
        <v>32</v>
      </c>
      <c r="M7" s="49" t="s">
        <v>76</v>
      </c>
      <c r="N7" s="49" t="s">
        <v>78</v>
      </c>
      <c r="O7" s="49" t="s">
        <v>92</v>
      </c>
      <c r="P7" s="49" t="s">
        <v>89</v>
      </c>
      <c r="Q7" s="48" t="s">
        <v>67</v>
      </c>
      <c r="R7" s="48" t="s">
        <v>80</v>
      </c>
      <c r="S7" s="11" t="s">
        <v>90</v>
      </c>
      <c r="T7" s="11" t="s">
        <v>82</v>
      </c>
      <c r="U7" s="11" t="s">
        <v>2713</v>
      </c>
      <c r="V7" s="116" t="s">
        <v>10</v>
      </c>
      <c r="W7" s="88"/>
      <c r="X7" s="51">
        <v>46051</v>
      </c>
      <c r="Y7" s="102" t="s">
        <v>1568</v>
      </c>
      <c r="Z7" s="135" t="s">
        <v>3023</v>
      </c>
      <c r="AA7" s="135">
        <v>0</v>
      </c>
    </row>
    <row r="8" spans="1:27" ht="13" customHeight="1">
      <c r="A8" s="11">
        <v>2</v>
      </c>
      <c r="B8" s="47">
        <v>206873715</v>
      </c>
      <c r="C8" s="89" t="s">
        <v>1712</v>
      </c>
      <c r="D8" s="11" t="s">
        <v>1713</v>
      </c>
      <c r="E8" s="48" t="s">
        <v>31</v>
      </c>
      <c r="F8" s="48" t="s">
        <v>74</v>
      </c>
      <c r="G8" s="48" t="s">
        <v>64</v>
      </c>
      <c r="H8" s="48" t="str">
        <f>VLOOKUP(Table1[[#This Row],[Psoft No]],[1]Roster!$C$2:$H$1402,6,)</f>
        <v>AUH1</v>
      </c>
      <c r="I8" s="48" t="b">
        <f>Table1[[#This Row],[Building]]=Table1[[#This Row],[Column1]]</f>
        <v>1</v>
      </c>
      <c r="J8" s="48" t="s">
        <v>75</v>
      </c>
      <c r="K8" s="11">
        <v>1299</v>
      </c>
      <c r="L8" s="49" t="s">
        <v>32</v>
      </c>
      <c r="M8" s="49" t="s">
        <v>76</v>
      </c>
      <c r="N8" s="49" t="s">
        <v>77</v>
      </c>
      <c r="O8" s="49" t="s">
        <v>78</v>
      </c>
      <c r="P8" s="49" t="s">
        <v>89</v>
      </c>
      <c r="Q8" s="48" t="s">
        <v>67</v>
      </c>
      <c r="R8" s="48" t="s">
        <v>80</v>
      </c>
      <c r="S8" s="11" t="s">
        <v>90</v>
      </c>
      <c r="T8" s="11" t="s">
        <v>82</v>
      </c>
      <c r="U8" s="11" t="s">
        <v>2713</v>
      </c>
      <c r="V8" s="116" t="str">
        <f>VLOOKUP(Table1[[#This Row],[Psoft No]],[2]Sheet1!$A$2:$G$386,7,0)</f>
        <v>P</v>
      </c>
      <c r="W8" s="88"/>
      <c r="X8" s="51">
        <v>46020</v>
      </c>
      <c r="Y8" s="102" t="s">
        <v>1568</v>
      </c>
      <c r="Z8" s="135" t="s">
        <v>2</v>
      </c>
      <c r="AA8" s="135">
        <v>0</v>
      </c>
    </row>
    <row r="9" spans="1:27" ht="13" customHeight="1">
      <c r="A9" s="11">
        <v>3</v>
      </c>
      <c r="B9" s="47">
        <v>203679309</v>
      </c>
      <c r="C9" s="89" t="s">
        <v>2213</v>
      </c>
      <c r="D9" s="11" t="s">
        <v>2214</v>
      </c>
      <c r="E9" s="48" t="s">
        <v>31</v>
      </c>
      <c r="F9" s="48" t="s">
        <v>74</v>
      </c>
      <c r="G9" s="11" t="s">
        <v>64</v>
      </c>
      <c r="H9" s="48" t="str">
        <f>VLOOKUP(Table1[[#This Row],[Psoft No]],[1]Roster!$C$2:$H$1402,6,)</f>
        <v>AUH1</v>
      </c>
      <c r="I9" s="48" t="b">
        <f>Table1[[#This Row],[Building]]=Table1[[#This Row],[Column1]]</f>
        <v>1</v>
      </c>
      <c r="J9" s="11" t="s">
        <v>75</v>
      </c>
      <c r="K9" s="11">
        <v>1299</v>
      </c>
      <c r="L9" s="49" t="s">
        <v>39</v>
      </c>
      <c r="M9" s="49" t="s">
        <v>76</v>
      </c>
      <c r="N9" s="49" t="s">
        <v>78</v>
      </c>
      <c r="O9" s="49" t="s">
        <v>92</v>
      </c>
      <c r="P9" s="48" t="s">
        <v>79</v>
      </c>
      <c r="Q9" s="49" t="s">
        <v>67</v>
      </c>
      <c r="R9" s="11" t="s">
        <v>80</v>
      </c>
      <c r="S9" s="11" t="s">
        <v>81</v>
      </c>
      <c r="T9" s="11" t="s">
        <v>82</v>
      </c>
      <c r="U9" s="11" t="s">
        <v>2713</v>
      </c>
      <c r="V9" s="116" t="s">
        <v>10</v>
      </c>
      <c r="W9" s="88"/>
      <c r="X9" s="51">
        <v>45488</v>
      </c>
      <c r="Y9" s="102" t="s">
        <v>1568</v>
      </c>
      <c r="Z9" s="135" t="s">
        <v>3023</v>
      </c>
      <c r="AA9" s="135">
        <v>0</v>
      </c>
    </row>
    <row r="10" spans="1:27" ht="13" customHeight="1">
      <c r="A10" s="11">
        <v>4</v>
      </c>
      <c r="B10" s="47">
        <v>204864408</v>
      </c>
      <c r="C10" s="89" t="s">
        <v>91</v>
      </c>
      <c r="D10" s="11" t="s">
        <v>1996</v>
      </c>
      <c r="E10" s="48" t="s">
        <v>31</v>
      </c>
      <c r="F10" s="48" t="s">
        <v>74</v>
      </c>
      <c r="G10" s="11" t="s">
        <v>64</v>
      </c>
      <c r="H10" s="48" t="str">
        <f>VLOOKUP(Table1[[#This Row],[Psoft No]],[1]Roster!$C$2:$H$1402,6,)</f>
        <v>AUH1</v>
      </c>
      <c r="I10" s="48" t="b">
        <f>Table1[[#This Row],[Building]]=Table1[[#This Row],[Column1]]</f>
        <v>1</v>
      </c>
      <c r="J10" s="11" t="s">
        <v>75</v>
      </c>
      <c r="K10" s="11">
        <v>1299</v>
      </c>
      <c r="L10" s="49" t="s">
        <v>39</v>
      </c>
      <c r="M10" s="49" t="s">
        <v>76</v>
      </c>
      <c r="N10" s="49" t="s">
        <v>78</v>
      </c>
      <c r="O10" s="49" t="s">
        <v>92</v>
      </c>
      <c r="P10" s="49" t="s">
        <v>89</v>
      </c>
      <c r="Q10" s="49" t="s">
        <v>67</v>
      </c>
      <c r="R10" s="11" t="s">
        <v>80</v>
      </c>
      <c r="S10" s="11" t="s">
        <v>90</v>
      </c>
      <c r="T10" s="11" t="s">
        <v>82</v>
      </c>
      <c r="U10" s="11" t="s">
        <v>2713</v>
      </c>
      <c r="V10" s="116" t="s">
        <v>10</v>
      </c>
      <c r="W10" s="88"/>
      <c r="X10" s="51">
        <v>45684</v>
      </c>
      <c r="Y10" s="102" t="s">
        <v>1568</v>
      </c>
      <c r="Z10" s="135" t="s">
        <v>3023</v>
      </c>
      <c r="AA10" s="135">
        <v>0</v>
      </c>
    </row>
    <row r="11" spans="1:27" ht="13" customHeight="1">
      <c r="A11" s="11">
        <v>5</v>
      </c>
      <c r="B11" s="47">
        <v>203800376</v>
      </c>
      <c r="C11" s="89" t="s">
        <v>2215</v>
      </c>
      <c r="D11" s="11" t="s">
        <v>2216</v>
      </c>
      <c r="E11" s="48" t="s">
        <v>31</v>
      </c>
      <c r="F11" s="48" t="s">
        <v>74</v>
      </c>
      <c r="G11" s="11" t="s">
        <v>64</v>
      </c>
      <c r="H11" s="48" t="str">
        <f>VLOOKUP(Table1[[#This Row],[Psoft No]],[1]Roster!$C$2:$H$1402,6,)</f>
        <v>AUH1</v>
      </c>
      <c r="I11" s="48" t="b">
        <f>Table1[[#This Row],[Building]]=Table1[[#This Row],[Column1]]</f>
        <v>1</v>
      </c>
      <c r="J11" s="11" t="s">
        <v>75</v>
      </c>
      <c r="K11" s="11">
        <v>1299</v>
      </c>
      <c r="L11" s="49" t="s">
        <v>32</v>
      </c>
      <c r="M11" s="49" t="s">
        <v>76</v>
      </c>
      <c r="N11" s="49" t="s">
        <v>85</v>
      </c>
      <c r="O11" s="49" t="s">
        <v>88</v>
      </c>
      <c r="P11" s="49" t="s">
        <v>89</v>
      </c>
      <c r="Q11" s="49" t="s">
        <v>67</v>
      </c>
      <c r="R11" s="11" t="s">
        <v>80</v>
      </c>
      <c r="S11" s="11" t="s">
        <v>90</v>
      </c>
      <c r="T11" s="11" t="s">
        <v>82</v>
      </c>
      <c r="U11" s="11" t="s">
        <v>2713</v>
      </c>
      <c r="V11" s="116" t="str">
        <f>VLOOKUP(Table1[[#This Row],[Psoft No]],[2]Sheet1!$A$2:$G$386,7,0)</f>
        <v>P</v>
      </c>
      <c r="W11" s="88"/>
      <c r="X11" s="51">
        <v>45516</v>
      </c>
      <c r="Y11" s="102" t="s">
        <v>1568</v>
      </c>
      <c r="Z11" s="135" t="s">
        <v>2</v>
      </c>
      <c r="AA11" s="135">
        <v>0</v>
      </c>
    </row>
    <row r="12" spans="1:27" ht="13" customHeight="1">
      <c r="A12" s="11">
        <v>6</v>
      </c>
      <c r="B12" s="47">
        <v>206953791</v>
      </c>
      <c r="C12" s="90" t="s">
        <v>2154</v>
      </c>
      <c r="D12" s="103" t="s">
        <v>2155</v>
      </c>
      <c r="E12" s="48" t="s">
        <v>31</v>
      </c>
      <c r="F12" s="48" t="s">
        <v>74</v>
      </c>
      <c r="G12" s="11" t="s">
        <v>64</v>
      </c>
      <c r="H12" s="48" t="str">
        <f>VLOOKUP(Table1[[#This Row],[Psoft No]],[1]Roster!$C$2:$H$1402,6,)</f>
        <v>AUH1</v>
      </c>
      <c r="I12" s="48" t="b">
        <f>Table1[[#This Row],[Building]]=Table1[[#This Row],[Column1]]</f>
        <v>1</v>
      </c>
      <c r="J12" s="11" t="s">
        <v>75</v>
      </c>
      <c r="K12" s="11">
        <v>1299</v>
      </c>
      <c r="L12" s="49" t="s">
        <v>32</v>
      </c>
      <c r="M12" s="49" t="s">
        <v>76</v>
      </c>
      <c r="N12" s="49" t="s">
        <v>88</v>
      </c>
      <c r="O12" s="49" t="s">
        <v>95</v>
      </c>
      <c r="P12" s="48" t="s">
        <v>86</v>
      </c>
      <c r="Q12" s="49" t="s">
        <v>67</v>
      </c>
      <c r="R12" s="49" t="s">
        <v>80</v>
      </c>
      <c r="S12" s="49" t="s">
        <v>90</v>
      </c>
      <c r="T12" s="11" t="s">
        <v>82</v>
      </c>
      <c r="U12" s="11" t="s">
        <v>2713</v>
      </c>
      <c r="V12" s="116" t="str">
        <f>VLOOKUP(Table1[[#This Row],[Psoft No]],[2]Sheet1!$A$2:$G$386,7,0)</f>
        <v>P</v>
      </c>
      <c r="W12" s="88"/>
      <c r="X12" s="51">
        <v>46048</v>
      </c>
      <c r="Y12" s="102" t="s">
        <v>1568</v>
      </c>
      <c r="Z12" s="135" t="s">
        <v>2</v>
      </c>
      <c r="AA12" s="135">
        <v>0</v>
      </c>
    </row>
    <row r="13" spans="1:27" ht="13" customHeight="1">
      <c r="A13" s="11">
        <v>7</v>
      </c>
      <c r="B13" s="47">
        <v>205608373</v>
      </c>
      <c r="C13" s="89" t="s">
        <v>232</v>
      </c>
      <c r="D13" s="11" t="s">
        <v>1997</v>
      </c>
      <c r="E13" s="48" t="s">
        <v>31</v>
      </c>
      <c r="F13" s="48" t="s">
        <v>74</v>
      </c>
      <c r="G13" s="11" t="s">
        <v>64</v>
      </c>
      <c r="H13" s="48" t="str">
        <f>VLOOKUP(Table1[[#This Row],[Psoft No]],[1]Roster!$C$2:$H$1402,6,)</f>
        <v>AUH1</v>
      </c>
      <c r="I13" s="48" t="b">
        <f>Table1[[#This Row],[Building]]=Table1[[#This Row],[Column1]]</f>
        <v>1</v>
      </c>
      <c r="J13" s="11" t="s">
        <v>75</v>
      </c>
      <c r="K13" s="11">
        <v>1299</v>
      </c>
      <c r="L13" s="49" t="s">
        <v>39</v>
      </c>
      <c r="M13" s="49" t="s">
        <v>76</v>
      </c>
      <c r="N13" s="49" t="s">
        <v>85</v>
      </c>
      <c r="O13" s="49" t="s">
        <v>88</v>
      </c>
      <c r="P13" s="49" t="s">
        <v>89</v>
      </c>
      <c r="Q13" s="49" t="s">
        <v>67</v>
      </c>
      <c r="R13" s="11" t="s">
        <v>80</v>
      </c>
      <c r="S13" s="11" t="s">
        <v>90</v>
      </c>
      <c r="T13" s="11" t="s">
        <v>82</v>
      </c>
      <c r="U13" s="11" t="s">
        <v>2713</v>
      </c>
      <c r="V13" s="116" t="s">
        <v>1</v>
      </c>
      <c r="W13" s="88"/>
      <c r="X13" s="51">
        <v>45845</v>
      </c>
      <c r="Y13" s="102" t="s">
        <v>1568</v>
      </c>
      <c r="Z13" s="135" t="s">
        <v>2</v>
      </c>
      <c r="AA13" s="135">
        <v>0</v>
      </c>
    </row>
    <row r="14" spans="1:27" ht="13" customHeight="1">
      <c r="A14" s="11">
        <v>8</v>
      </c>
      <c r="B14" s="47">
        <v>204869098</v>
      </c>
      <c r="C14" s="89" t="s">
        <v>93</v>
      </c>
      <c r="D14" s="11" t="s">
        <v>94</v>
      </c>
      <c r="E14" s="48" t="s">
        <v>31</v>
      </c>
      <c r="F14" s="48" t="s">
        <v>74</v>
      </c>
      <c r="G14" s="11" t="s">
        <v>64</v>
      </c>
      <c r="H14" s="48" t="str">
        <f>VLOOKUP(Table1[[#This Row],[Psoft No]],[1]Roster!$C$2:$H$1402,6,)</f>
        <v>AUH1</v>
      </c>
      <c r="I14" s="48" t="b">
        <f>Table1[[#This Row],[Building]]=Table1[[#This Row],[Column1]]</f>
        <v>1</v>
      </c>
      <c r="J14" s="11" t="s">
        <v>75</v>
      </c>
      <c r="K14" s="11">
        <v>1299</v>
      </c>
      <c r="L14" s="49" t="s">
        <v>39</v>
      </c>
      <c r="M14" s="49" t="s">
        <v>76</v>
      </c>
      <c r="N14" s="49" t="s">
        <v>95</v>
      </c>
      <c r="O14" s="49" t="s">
        <v>77</v>
      </c>
      <c r="P14" s="49" t="s">
        <v>89</v>
      </c>
      <c r="Q14" s="49" t="s">
        <v>67</v>
      </c>
      <c r="R14" s="11" t="s">
        <v>80</v>
      </c>
      <c r="S14" s="11" t="s">
        <v>87</v>
      </c>
      <c r="T14" s="11" t="s">
        <v>82</v>
      </c>
      <c r="U14" s="11" t="s">
        <v>2713</v>
      </c>
      <c r="V14" s="116" t="s">
        <v>1</v>
      </c>
      <c r="W14" s="88"/>
      <c r="X14" s="51">
        <v>45691</v>
      </c>
      <c r="Y14" s="102" t="s">
        <v>1568</v>
      </c>
      <c r="Z14" s="135" t="s">
        <v>2</v>
      </c>
      <c r="AA14" s="135">
        <v>0</v>
      </c>
    </row>
    <row r="15" spans="1:27" ht="13" customHeight="1">
      <c r="A15" s="11">
        <v>9</v>
      </c>
      <c r="B15" s="47">
        <v>206875144</v>
      </c>
      <c r="C15" s="89" t="s">
        <v>1716</v>
      </c>
      <c r="D15" s="11" t="s">
        <v>1717</v>
      </c>
      <c r="E15" s="48" t="s">
        <v>31</v>
      </c>
      <c r="F15" s="48" t="s">
        <v>74</v>
      </c>
      <c r="G15" s="48" t="s">
        <v>64</v>
      </c>
      <c r="H15" s="48" t="str">
        <f>VLOOKUP(Table1[[#This Row],[Psoft No]],[1]Roster!$C$2:$H$1402,6,)</f>
        <v>AUH1</v>
      </c>
      <c r="I15" s="48" t="b">
        <f>Table1[[#This Row],[Building]]=Table1[[#This Row],[Column1]]</f>
        <v>1</v>
      </c>
      <c r="J15" s="48" t="s">
        <v>75</v>
      </c>
      <c r="K15" s="11">
        <v>1299</v>
      </c>
      <c r="L15" s="49" t="s">
        <v>39</v>
      </c>
      <c r="M15" s="49" t="s">
        <v>76</v>
      </c>
      <c r="N15" s="49" t="s">
        <v>78</v>
      </c>
      <c r="O15" s="49" t="s">
        <v>92</v>
      </c>
      <c r="P15" s="49" t="s">
        <v>89</v>
      </c>
      <c r="Q15" s="48" t="s">
        <v>67</v>
      </c>
      <c r="R15" s="48" t="s">
        <v>80</v>
      </c>
      <c r="S15" s="11" t="s">
        <v>90</v>
      </c>
      <c r="T15" s="11" t="s">
        <v>82</v>
      </c>
      <c r="U15" s="11" t="s">
        <v>2713</v>
      </c>
      <c r="V15" s="116" t="s">
        <v>10</v>
      </c>
      <c r="W15" s="88"/>
      <c r="X15" s="51">
        <v>46020</v>
      </c>
      <c r="Y15" s="102" t="s">
        <v>1568</v>
      </c>
      <c r="Z15" s="135" t="s">
        <v>3023</v>
      </c>
      <c r="AA15" s="135">
        <v>0</v>
      </c>
    </row>
    <row r="16" spans="1:27" ht="13" customHeight="1">
      <c r="A16" s="11">
        <v>10</v>
      </c>
      <c r="B16" s="47">
        <v>204299542</v>
      </c>
      <c r="C16" s="89" t="s">
        <v>2217</v>
      </c>
      <c r="D16" s="11" t="s">
        <v>2218</v>
      </c>
      <c r="E16" s="48" t="s">
        <v>31</v>
      </c>
      <c r="F16" s="48" t="s">
        <v>74</v>
      </c>
      <c r="G16" s="11" t="s">
        <v>64</v>
      </c>
      <c r="H16" s="48" t="str">
        <f>VLOOKUP(Table1[[#This Row],[Psoft No]],[1]Roster!$C$2:$H$1402,6,)</f>
        <v>AUH1</v>
      </c>
      <c r="I16" s="48" t="b">
        <f>Table1[[#This Row],[Building]]=Table1[[#This Row],[Column1]]</f>
        <v>1</v>
      </c>
      <c r="J16" s="11" t="s">
        <v>75</v>
      </c>
      <c r="K16" s="11">
        <v>1299</v>
      </c>
      <c r="L16" s="49" t="s">
        <v>39</v>
      </c>
      <c r="M16" s="49" t="s">
        <v>76</v>
      </c>
      <c r="N16" s="49" t="s">
        <v>88</v>
      </c>
      <c r="O16" s="49" t="s">
        <v>95</v>
      </c>
      <c r="P16" s="49" t="s">
        <v>89</v>
      </c>
      <c r="Q16" s="49" t="s">
        <v>67</v>
      </c>
      <c r="R16" s="11" t="s">
        <v>80</v>
      </c>
      <c r="S16" s="11" t="s">
        <v>87</v>
      </c>
      <c r="T16" s="11" t="s">
        <v>82</v>
      </c>
      <c r="U16" s="11" t="s">
        <v>2713</v>
      </c>
      <c r="V16" s="116" t="s">
        <v>1</v>
      </c>
      <c r="W16" s="88"/>
      <c r="X16" s="51">
        <v>45586</v>
      </c>
      <c r="Y16" s="102" t="s">
        <v>1568</v>
      </c>
      <c r="Z16" s="135" t="s">
        <v>2</v>
      </c>
      <c r="AA16" s="135">
        <v>0</v>
      </c>
    </row>
    <row r="17" spans="1:27" ht="13" customHeight="1">
      <c r="A17" s="11">
        <v>11</v>
      </c>
      <c r="B17" s="47">
        <v>206873708</v>
      </c>
      <c r="C17" s="89" t="s">
        <v>1710</v>
      </c>
      <c r="D17" s="11" t="s">
        <v>1711</v>
      </c>
      <c r="E17" s="48" t="s">
        <v>31</v>
      </c>
      <c r="F17" s="48" t="s">
        <v>74</v>
      </c>
      <c r="G17" s="48" t="s">
        <v>64</v>
      </c>
      <c r="H17" s="48" t="str">
        <f>VLOOKUP(Table1[[#This Row],[Psoft No]],[1]Roster!$C$2:$H$1402,6,)</f>
        <v>AUH1</v>
      </c>
      <c r="I17" s="48" t="b">
        <f>Table1[[#This Row],[Building]]=Table1[[#This Row],[Column1]]</f>
        <v>1</v>
      </c>
      <c r="J17" s="48" t="s">
        <v>75</v>
      </c>
      <c r="K17" s="11">
        <v>1299</v>
      </c>
      <c r="L17" s="49" t="s">
        <v>32</v>
      </c>
      <c r="M17" s="49" t="s">
        <v>76</v>
      </c>
      <c r="N17" s="49" t="s">
        <v>77</v>
      </c>
      <c r="O17" s="49" t="s">
        <v>78</v>
      </c>
      <c r="P17" s="49" t="s">
        <v>89</v>
      </c>
      <c r="Q17" s="48" t="s">
        <v>67</v>
      </c>
      <c r="R17" s="48" t="s">
        <v>80</v>
      </c>
      <c r="S17" s="11" t="s">
        <v>90</v>
      </c>
      <c r="T17" s="11" t="s">
        <v>82</v>
      </c>
      <c r="U17" s="11" t="s">
        <v>2713</v>
      </c>
      <c r="V17" s="116" t="str">
        <f>VLOOKUP(Table1[[#This Row],[Psoft No]],[2]Sheet1!$A$2:$G$386,7,0)</f>
        <v>P</v>
      </c>
      <c r="W17" s="88"/>
      <c r="X17" s="51">
        <v>46020</v>
      </c>
      <c r="Y17" s="102" t="s">
        <v>1568</v>
      </c>
      <c r="Z17" s="135" t="s">
        <v>2</v>
      </c>
      <c r="AA17" s="135">
        <v>0</v>
      </c>
    </row>
    <row r="18" spans="1:27" ht="13" customHeight="1">
      <c r="A18" s="11">
        <v>12</v>
      </c>
      <c r="B18" s="47">
        <v>203469458</v>
      </c>
      <c r="C18" s="89" t="s">
        <v>104</v>
      </c>
      <c r="D18" s="11" t="s">
        <v>1926</v>
      </c>
      <c r="E18" s="48" t="s">
        <v>31</v>
      </c>
      <c r="F18" s="48" t="s">
        <v>74</v>
      </c>
      <c r="G18" s="11" t="s">
        <v>64</v>
      </c>
      <c r="H18" s="48" t="str">
        <f>VLOOKUP(Table1[[#This Row],[Psoft No]],[1]Roster!$C$2:$H$1402,6,)</f>
        <v>AUH1</v>
      </c>
      <c r="I18" s="48" t="b">
        <f>Table1[[#This Row],[Building]]=Table1[[#This Row],[Column1]]</f>
        <v>1</v>
      </c>
      <c r="J18" s="11" t="s">
        <v>75</v>
      </c>
      <c r="K18" s="11">
        <v>1299</v>
      </c>
      <c r="L18" s="49" t="s">
        <v>32</v>
      </c>
      <c r="M18" s="49" t="s">
        <v>76</v>
      </c>
      <c r="N18" s="49" t="s">
        <v>92</v>
      </c>
      <c r="O18" s="49" t="s">
        <v>84</v>
      </c>
      <c r="P18" s="48" t="s">
        <v>86</v>
      </c>
      <c r="Q18" s="49" t="s">
        <v>67</v>
      </c>
      <c r="R18" s="11" t="s">
        <v>80</v>
      </c>
      <c r="S18" s="11" t="s">
        <v>99</v>
      </c>
      <c r="T18" s="11" t="s">
        <v>82</v>
      </c>
      <c r="U18" s="11" t="s">
        <v>2713</v>
      </c>
      <c r="V18" s="116" t="s">
        <v>10</v>
      </c>
      <c r="W18" s="88"/>
      <c r="X18" s="51">
        <v>45456</v>
      </c>
      <c r="Y18" s="102" t="s">
        <v>1568</v>
      </c>
      <c r="Z18" s="135" t="s">
        <v>3023</v>
      </c>
      <c r="AA18" s="135" t="s">
        <v>3024</v>
      </c>
    </row>
    <row r="19" spans="1:27" ht="13" customHeight="1">
      <c r="A19" s="11">
        <v>13</v>
      </c>
      <c r="B19" s="47">
        <v>204403651</v>
      </c>
      <c r="C19" s="89" t="s">
        <v>2219</v>
      </c>
      <c r="D19" s="11" t="s">
        <v>2220</v>
      </c>
      <c r="E19" s="48" t="s">
        <v>31</v>
      </c>
      <c r="F19" s="48" t="s">
        <v>74</v>
      </c>
      <c r="G19" s="11" t="s">
        <v>64</v>
      </c>
      <c r="H19" s="48" t="str">
        <f>VLOOKUP(Table1[[#This Row],[Psoft No]],[1]Roster!$C$2:$H$1402,6,)</f>
        <v>AUH1</v>
      </c>
      <c r="I19" s="48" t="b">
        <f>Table1[[#This Row],[Building]]=Table1[[#This Row],[Column1]]</f>
        <v>1</v>
      </c>
      <c r="J19" s="11" t="s">
        <v>75</v>
      </c>
      <c r="K19" s="11">
        <v>1299</v>
      </c>
      <c r="L19" s="49" t="s">
        <v>39</v>
      </c>
      <c r="M19" s="49" t="s">
        <v>76</v>
      </c>
      <c r="N19" s="49" t="s">
        <v>85</v>
      </c>
      <c r="O19" s="49" t="s">
        <v>88</v>
      </c>
      <c r="P19" s="48" t="s">
        <v>86</v>
      </c>
      <c r="Q19" s="49" t="s">
        <v>67</v>
      </c>
      <c r="R19" s="11" t="s">
        <v>80</v>
      </c>
      <c r="S19" s="11" t="s">
        <v>99</v>
      </c>
      <c r="T19" s="11" t="s">
        <v>82</v>
      </c>
      <c r="U19" s="11" t="s">
        <v>2713</v>
      </c>
      <c r="V19" s="116" t="s">
        <v>1</v>
      </c>
      <c r="W19" s="88"/>
      <c r="X19" s="51">
        <v>45596</v>
      </c>
      <c r="Y19" s="102" t="s">
        <v>1568</v>
      </c>
      <c r="Z19" s="135" t="s">
        <v>2</v>
      </c>
      <c r="AA19" s="135">
        <v>0</v>
      </c>
    </row>
    <row r="20" spans="1:27" ht="13" customHeight="1">
      <c r="A20" s="11">
        <v>14</v>
      </c>
      <c r="B20" s="47">
        <v>204299562</v>
      </c>
      <c r="C20" s="89" t="s">
        <v>2221</v>
      </c>
      <c r="D20" s="11" t="s">
        <v>2222</v>
      </c>
      <c r="E20" s="48" t="s">
        <v>31</v>
      </c>
      <c r="F20" s="48" t="s">
        <v>74</v>
      </c>
      <c r="G20" s="11" t="s">
        <v>64</v>
      </c>
      <c r="H20" s="48" t="str">
        <f>VLOOKUP(Table1[[#This Row],[Psoft No]],[1]Roster!$C$2:$H$1402,6,)</f>
        <v>AUH1</v>
      </c>
      <c r="I20" s="48" t="b">
        <f>Table1[[#This Row],[Building]]=Table1[[#This Row],[Column1]]</f>
        <v>1</v>
      </c>
      <c r="J20" s="11" t="s">
        <v>75</v>
      </c>
      <c r="K20" s="11">
        <v>1299</v>
      </c>
      <c r="L20" s="49" t="s">
        <v>39</v>
      </c>
      <c r="M20" s="49" t="s">
        <v>76</v>
      </c>
      <c r="N20" s="49" t="s">
        <v>92</v>
      </c>
      <c r="O20" s="49" t="s">
        <v>84</v>
      </c>
      <c r="P20" s="48" t="s">
        <v>86</v>
      </c>
      <c r="Q20" s="49" t="s">
        <v>67</v>
      </c>
      <c r="R20" s="11" t="s">
        <v>80</v>
      </c>
      <c r="S20" s="11" t="s">
        <v>87</v>
      </c>
      <c r="T20" s="11" t="s">
        <v>82</v>
      </c>
      <c r="U20" s="11" t="s">
        <v>2713</v>
      </c>
      <c r="V20" s="116" t="s">
        <v>10</v>
      </c>
      <c r="W20" s="88"/>
      <c r="X20" s="51">
        <v>45586</v>
      </c>
      <c r="Y20" s="102" t="s">
        <v>1568</v>
      </c>
      <c r="Z20" s="135" t="s">
        <v>3023</v>
      </c>
      <c r="AA20" s="135">
        <v>0</v>
      </c>
    </row>
    <row r="21" spans="1:27" ht="13" customHeight="1">
      <c r="A21" s="11">
        <v>15</v>
      </c>
      <c r="B21" s="47">
        <v>206949071</v>
      </c>
      <c r="C21" s="90" t="s">
        <v>2158</v>
      </c>
      <c r="D21" s="103" t="s">
        <v>2159</v>
      </c>
      <c r="E21" s="48" t="s">
        <v>31</v>
      </c>
      <c r="F21" s="48" t="s">
        <v>74</v>
      </c>
      <c r="G21" s="11" t="s">
        <v>64</v>
      </c>
      <c r="H21" s="48" t="str">
        <f>VLOOKUP(Table1[[#This Row],[Psoft No]],[1]Roster!$C$2:$H$1402,6,)</f>
        <v>AUH1</v>
      </c>
      <c r="I21" s="48" t="b">
        <f>Table1[[#This Row],[Building]]=Table1[[#This Row],[Column1]]</f>
        <v>1</v>
      </c>
      <c r="J21" s="11" t="s">
        <v>75</v>
      </c>
      <c r="K21" s="11">
        <v>1299</v>
      </c>
      <c r="L21" s="49" t="s">
        <v>39</v>
      </c>
      <c r="M21" s="49" t="s">
        <v>76</v>
      </c>
      <c r="N21" s="49" t="s">
        <v>88</v>
      </c>
      <c r="O21" s="49" t="s">
        <v>95</v>
      </c>
      <c r="P21" s="48" t="s">
        <v>86</v>
      </c>
      <c r="Q21" s="49" t="s">
        <v>67</v>
      </c>
      <c r="R21" s="49" t="s">
        <v>80</v>
      </c>
      <c r="S21" s="49" t="s">
        <v>90</v>
      </c>
      <c r="T21" s="11" t="s">
        <v>82</v>
      </c>
      <c r="U21" s="11" t="s">
        <v>2713</v>
      </c>
      <c r="V21" s="116" t="s">
        <v>1</v>
      </c>
      <c r="W21" s="88"/>
      <c r="X21" s="51">
        <v>46048</v>
      </c>
      <c r="Y21" s="102" t="s">
        <v>1568</v>
      </c>
      <c r="Z21" s="135" t="s">
        <v>2</v>
      </c>
      <c r="AA21" s="135">
        <v>0</v>
      </c>
    </row>
    <row r="22" spans="1:27" ht="13" customHeight="1">
      <c r="A22" s="11">
        <v>16</v>
      </c>
      <c r="B22" s="47">
        <v>203083928</v>
      </c>
      <c r="C22" s="89" t="s">
        <v>100</v>
      </c>
      <c r="D22" s="11" t="s">
        <v>2000</v>
      </c>
      <c r="E22" s="48" t="s">
        <v>31</v>
      </c>
      <c r="F22" s="48" t="s">
        <v>74</v>
      </c>
      <c r="G22" s="11" t="s">
        <v>64</v>
      </c>
      <c r="H22" s="48" t="str">
        <f>VLOOKUP(Table1[[#This Row],[Psoft No]],[1]Roster!$C$2:$H$1402,6,)</f>
        <v>AUH1</v>
      </c>
      <c r="I22" s="48" t="b">
        <f>Table1[[#This Row],[Building]]=Table1[[#This Row],[Column1]]</f>
        <v>1</v>
      </c>
      <c r="J22" s="11" t="s">
        <v>75</v>
      </c>
      <c r="K22" s="11">
        <v>1299</v>
      </c>
      <c r="L22" s="49" t="s">
        <v>32</v>
      </c>
      <c r="M22" s="49" t="s">
        <v>76</v>
      </c>
      <c r="N22" s="49" t="s">
        <v>85</v>
      </c>
      <c r="O22" s="49" t="s">
        <v>88</v>
      </c>
      <c r="P22" s="48" t="s">
        <v>79</v>
      </c>
      <c r="Q22" s="49" t="s">
        <v>67</v>
      </c>
      <c r="R22" s="11" t="s">
        <v>80</v>
      </c>
      <c r="S22" s="11" t="s">
        <v>81</v>
      </c>
      <c r="T22" s="11" t="s">
        <v>82</v>
      </c>
      <c r="U22" s="11" t="s">
        <v>2713</v>
      </c>
      <c r="V22" s="116" t="str">
        <f>VLOOKUP(Table1[[#This Row],[Psoft No]],[2]Sheet1!$A$2:$G$386,7,0)</f>
        <v>P</v>
      </c>
      <c r="W22" s="88"/>
      <c r="X22" s="51">
        <v>45488</v>
      </c>
      <c r="Y22" s="102" t="s">
        <v>1568</v>
      </c>
      <c r="Z22" s="135" t="s">
        <v>2</v>
      </c>
      <c r="AA22" s="135">
        <v>0</v>
      </c>
    </row>
    <row r="23" spans="1:27" ht="13" customHeight="1">
      <c r="A23" s="11">
        <v>17</v>
      </c>
      <c r="B23" s="47">
        <v>206926473</v>
      </c>
      <c r="C23" s="89" t="s">
        <v>2186</v>
      </c>
      <c r="D23" s="11" t="s">
        <v>2050</v>
      </c>
      <c r="E23" s="48" t="s">
        <v>31</v>
      </c>
      <c r="F23" s="48" t="s">
        <v>74</v>
      </c>
      <c r="G23" s="11" t="s">
        <v>64</v>
      </c>
      <c r="H23" s="48" t="str">
        <f>VLOOKUP(Table1[[#This Row],[Psoft No]],[1]Roster!$C$2:$H$1402,6,)</f>
        <v>AUH1</v>
      </c>
      <c r="I23" s="48" t="b">
        <f>Table1[[#This Row],[Building]]=Table1[[#This Row],[Column1]]</f>
        <v>1</v>
      </c>
      <c r="J23" s="11" t="s">
        <v>75</v>
      </c>
      <c r="K23" s="11">
        <v>1299</v>
      </c>
      <c r="L23" s="49" t="s">
        <v>32</v>
      </c>
      <c r="M23" s="49" t="s">
        <v>76</v>
      </c>
      <c r="N23" s="49" t="s">
        <v>84</v>
      </c>
      <c r="O23" s="49" t="s">
        <v>85</v>
      </c>
      <c r="P23" s="48" t="s">
        <v>89</v>
      </c>
      <c r="Q23" s="49" t="s">
        <v>67</v>
      </c>
      <c r="R23" s="11" t="s">
        <v>80</v>
      </c>
      <c r="S23" s="11" t="s">
        <v>90</v>
      </c>
      <c r="T23" s="11" t="s">
        <v>82</v>
      </c>
      <c r="U23" s="11" t="s">
        <v>2713</v>
      </c>
      <c r="V23" s="116" t="str">
        <f>VLOOKUP(Table1[[#This Row],[Psoft No]],[2]Sheet1!$A$2:$G$386,7,0)</f>
        <v>P</v>
      </c>
      <c r="W23" s="88"/>
      <c r="X23" s="51">
        <v>46048</v>
      </c>
      <c r="Y23" s="102" t="s">
        <v>1568</v>
      </c>
      <c r="Z23" s="135" t="s">
        <v>2</v>
      </c>
      <c r="AA23" s="135">
        <v>0</v>
      </c>
    </row>
    <row r="24" spans="1:27" ht="13" customHeight="1">
      <c r="A24" s="11">
        <v>18</v>
      </c>
      <c r="B24" s="47">
        <v>203469072</v>
      </c>
      <c r="C24" s="89" t="s">
        <v>2223</v>
      </c>
      <c r="D24" s="11" t="s">
        <v>2224</v>
      </c>
      <c r="E24" s="48" t="s">
        <v>31</v>
      </c>
      <c r="F24" s="48" t="s">
        <v>74</v>
      </c>
      <c r="G24" s="11" t="s">
        <v>64</v>
      </c>
      <c r="H24" s="48" t="str">
        <f>VLOOKUP(Table1[[#This Row],[Psoft No]],[1]Roster!$C$2:$H$1402,6,)</f>
        <v>AUH1</v>
      </c>
      <c r="I24" s="48" t="b">
        <f>Table1[[#This Row],[Building]]=Table1[[#This Row],[Column1]]</f>
        <v>1</v>
      </c>
      <c r="J24" s="11" t="s">
        <v>75</v>
      </c>
      <c r="K24" s="11">
        <v>1299</v>
      </c>
      <c r="L24" s="49" t="s">
        <v>39</v>
      </c>
      <c r="M24" s="49" t="s">
        <v>76</v>
      </c>
      <c r="N24" s="49" t="s">
        <v>95</v>
      </c>
      <c r="O24" s="49" t="s">
        <v>77</v>
      </c>
      <c r="P24" s="48" t="s">
        <v>79</v>
      </c>
      <c r="Q24" s="49" t="s">
        <v>67</v>
      </c>
      <c r="R24" s="11" t="s">
        <v>80</v>
      </c>
      <c r="S24" s="11" t="s">
        <v>81</v>
      </c>
      <c r="T24" s="11" t="s">
        <v>82</v>
      </c>
      <c r="U24" s="11" t="s">
        <v>2713</v>
      </c>
      <c r="V24" s="116" t="s">
        <v>1</v>
      </c>
      <c r="W24" s="88"/>
      <c r="X24" s="51">
        <v>45456</v>
      </c>
      <c r="Y24" s="102" t="s">
        <v>1568</v>
      </c>
      <c r="Z24" s="135" t="s">
        <v>2</v>
      </c>
      <c r="AA24" s="135">
        <v>0</v>
      </c>
    </row>
    <row r="25" spans="1:27" ht="13" customHeight="1">
      <c r="A25" s="11">
        <v>19</v>
      </c>
      <c r="B25" s="47">
        <v>206875142</v>
      </c>
      <c r="C25" s="89" t="s">
        <v>1726</v>
      </c>
      <c r="D25" s="11" t="s">
        <v>1727</v>
      </c>
      <c r="E25" s="48" t="s">
        <v>31</v>
      </c>
      <c r="F25" s="48" t="s">
        <v>74</v>
      </c>
      <c r="G25" s="48" t="s">
        <v>64</v>
      </c>
      <c r="H25" s="48" t="str">
        <f>VLOOKUP(Table1[[#This Row],[Psoft No]],[1]Roster!$C$2:$H$1402,6,)</f>
        <v>AUH1</v>
      </c>
      <c r="I25" s="48" t="b">
        <f>Table1[[#This Row],[Building]]=Table1[[#This Row],[Column1]]</f>
        <v>1</v>
      </c>
      <c r="J25" s="48" t="s">
        <v>75</v>
      </c>
      <c r="K25" s="11">
        <v>1299</v>
      </c>
      <c r="L25" s="49" t="s">
        <v>39</v>
      </c>
      <c r="M25" s="49" t="s">
        <v>76</v>
      </c>
      <c r="N25" s="49" t="s">
        <v>78</v>
      </c>
      <c r="O25" s="49" t="s">
        <v>92</v>
      </c>
      <c r="P25" s="49" t="s">
        <v>89</v>
      </c>
      <c r="Q25" s="48" t="s">
        <v>67</v>
      </c>
      <c r="R25" s="48" t="s">
        <v>80</v>
      </c>
      <c r="S25" s="11" t="s">
        <v>90</v>
      </c>
      <c r="T25" s="11" t="s">
        <v>82</v>
      </c>
      <c r="U25" s="11" t="s">
        <v>2713</v>
      </c>
      <c r="V25" s="116" t="s">
        <v>10</v>
      </c>
      <c r="W25" s="88"/>
      <c r="X25" s="51">
        <v>46020</v>
      </c>
      <c r="Y25" s="102" t="s">
        <v>1568</v>
      </c>
      <c r="Z25" s="135" t="s">
        <v>3023</v>
      </c>
      <c r="AA25" s="135">
        <v>0</v>
      </c>
    </row>
    <row r="26" spans="1:27" ht="13" customHeight="1">
      <c r="A26" s="11">
        <v>20</v>
      </c>
      <c r="B26" s="47">
        <v>206953811</v>
      </c>
      <c r="C26" s="89" t="s">
        <v>2189</v>
      </c>
      <c r="D26" s="11" t="s">
        <v>2190</v>
      </c>
      <c r="E26" s="48" t="s">
        <v>31</v>
      </c>
      <c r="F26" s="48" t="s">
        <v>74</v>
      </c>
      <c r="G26" s="11" t="s">
        <v>64</v>
      </c>
      <c r="H26" s="48" t="str">
        <f>VLOOKUP(Table1[[#This Row],[Psoft No]],[1]Roster!$C$2:$H$1402,6,)</f>
        <v>AUH1</v>
      </c>
      <c r="I26" s="48" t="b">
        <f>Table1[[#This Row],[Building]]=Table1[[#This Row],[Column1]]</f>
        <v>1</v>
      </c>
      <c r="J26" s="11" t="s">
        <v>75</v>
      </c>
      <c r="K26" s="11">
        <v>1299</v>
      </c>
      <c r="L26" s="49" t="s">
        <v>39</v>
      </c>
      <c r="M26" s="49" t="s">
        <v>76</v>
      </c>
      <c r="N26" s="49" t="s">
        <v>88</v>
      </c>
      <c r="O26" s="49" t="s">
        <v>95</v>
      </c>
      <c r="P26" s="49" t="s">
        <v>86</v>
      </c>
      <c r="Q26" s="49" t="s">
        <v>67</v>
      </c>
      <c r="R26" s="11" t="s">
        <v>80</v>
      </c>
      <c r="S26" s="82" t="s">
        <v>90</v>
      </c>
      <c r="T26" s="11" t="s">
        <v>2711</v>
      </c>
      <c r="U26" s="11" t="s">
        <v>2712</v>
      </c>
      <c r="V26" s="116" t="s">
        <v>1</v>
      </c>
      <c r="W26" s="88"/>
      <c r="X26" s="51">
        <v>46048</v>
      </c>
      <c r="Y26" s="102" t="s">
        <v>1568</v>
      </c>
      <c r="Z26" s="135" t="s">
        <v>2</v>
      </c>
      <c r="AA26" s="135">
        <v>0</v>
      </c>
    </row>
    <row r="27" spans="1:27" ht="13" customHeight="1">
      <c r="A27" s="11">
        <v>21</v>
      </c>
      <c r="B27" s="47">
        <v>206875146</v>
      </c>
      <c r="C27" s="89" t="s">
        <v>1750</v>
      </c>
      <c r="D27" s="11" t="s">
        <v>1751</v>
      </c>
      <c r="E27" s="48" t="s">
        <v>31</v>
      </c>
      <c r="F27" s="48" t="s">
        <v>74</v>
      </c>
      <c r="G27" s="48" t="s">
        <v>64</v>
      </c>
      <c r="H27" s="48" t="str">
        <f>VLOOKUP(Table1[[#This Row],[Psoft No]],[1]Roster!$C$2:$H$1402,6,)</f>
        <v>AUH1</v>
      </c>
      <c r="I27" s="48" t="b">
        <f>Table1[[#This Row],[Building]]=Table1[[#This Row],[Column1]]</f>
        <v>1</v>
      </c>
      <c r="J27" s="48" t="s">
        <v>75</v>
      </c>
      <c r="K27" s="11">
        <v>1299</v>
      </c>
      <c r="L27" s="49" t="s">
        <v>39</v>
      </c>
      <c r="M27" s="49" t="s">
        <v>76</v>
      </c>
      <c r="N27" s="49" t="s">
        <v>77</v>
      </c>
      <c r="O27" s="49" t="s">
        <v>78</v>
      </c>
      <c r="P27" s="49" t="s">
        <v>89</v>
      </c>
      <c r="Q27" s="11" t="s">
        <v>67</v>
      </c>
      <c r="R27" s="48" t="s">
        <v>80</v>
      </c>
      <c r="S27" s="11" t="s">
        <v>90</v>
      </c>
      <c r="T27" s="11" t="s">
        <v>82</v>
      </c>
      <c r="U27" s="11" t="s">
        <v>2713</v>
      </c>
      <c r="V27" s="116" t="s">
        <v>1</v>
      </c>
      <c r="W27" s="88"/>
      <c r="X27" s="51">
        <v>46020</v>
      </c>
      <c r="Y27" s="102" t="s">
        <v>1568</v>
      </c>
      <c r="Z27" s="135" t="s">
        <v>2</v>
      </c>
      <c r="AA27" s="135">
        <v>0</v>
      </c>
    </row>
    <row r="28" spans="1:27" ht="13" customHeight="1">
      <c r="A28" s="11">
        <v>22</v>
      </c>
      <c r="B28" s="47">
        <v>205496017</v>
      </c>
      <c r="C28" s="89" t="s">
        <v>251</v>
      </c>
      <c r="D28" s="11" t="s">
        <v>1922</v>
      </c>
      <c r="E28" s="48" t="s">
        <v>31</v>
      </c>
      <c r="F28" s="48" t="s">
        <v>74</v>
      </c>
      <c r="G28" s="11" t="s">
        <v>64</v>
      </c>
      <c r="H28" s="48" t="str">
        <f>VLOOKUP(Table1[[#This Row],[Psoft No]],[1]Roster!$C$2:$H$1402,6,)</f>
        <v>AUH1</v>
      </c>
      <c r="I28" s="48" t="b">
        <f>Table1[[#This Row],[Building]]=Table1[[#This Row],[Column1]]</f>
        <v>1</v>
      </c>
      <c r="J28" s="11" t="s">
        <v>75</v>
      </c>
      <c r="K28" s="11">
        <v>1299</v>
      </c>
      <c r="L28" s="49" t="s">
        <v>39</v>
      </c>
      <c r="M28" s="49" t="s">
        <v>76</v>
      </c>
      <c r="N28" s="49" t="s">
        <v>84</v>
      </c>
      <c r="O28" s="49" t="s">
        <v>85</v>
      </c>
      <c r="P28" s="49" t="s">
        <v>89</v>
      </c>
      <c r="Q28" s="49" t="s">
        <v>67</v>
      </c>
      <c r="R28" s="11" t="s">
        <v>80</v>
      </c>
      <c r="S28" s="11" t="s">
        <v>96</v>
      </c>
      <c r="T28" s="11" t="s">
        <v>82</v>
      </c>
      <c r="U28" s="11" t="s">
        <v>2713</v>
      </c>
      <c r="V28" s="116" t="s">
        <v>1</v>
      </c>
      <c r="W28" s="88"/>
      <c r="X28" s="51">
        <v>45831</v>
      </c>
      <c r="Y28" s="102" t="s">
        <v>1568</v>
      </c>
      <c r="Z28" s="135" t="s">
        <v>2</v>
      </c>
      <c r="AA28" s="135">
        <v>0</v>
      </c>
    </row>
    <row r="29" spans="1:27" ht="13" customHeight="1">
      <c r="A29" s="11">
        <v>23</v>
      </c>
      <c r="B29" s="47">
        <v>206294541</v>
      </c>
      <c r="C29" s="89" t="s">
        <v>2225</v>
      </c>
      <c r="D29" s="11" t="s">
        <v>2226</v>
      </c>
      <c r="E29" s="48" t="s">
        <v>31</v>
      </c>
      <c r="F29" s="48" t="s">
        <v>74</v>
      </c>
      <c r="G29" s="11" t="s">
        <v>64</v>
      </c>
      <c r="H29" s="48" t="str">
        <f>VLOOKUP(Table1[[#This Row],[Psoft No]],[1]Roster!$C$2:$H$1402,6,)</f>
        <v>AUH1</v>
      </c>
      <c r="I29" s="48" t="b">
        <f>Table1[[#This Row],[Building]]=Table1[[#This Row],[Column1]]</f>
        <v>1</v>
      </c>
      <c r="J29" s="11" t="s">
        <v>75</v>
      </c>
      <c r="K29" s="11">
        <v>1299</v>
      </c>
      <c r="L29" s="49" t="s">
        <v>39</v>
      </c>
      <c r="M29" s="49" t="s">
        <v>76</v>
      </c>
      <c r="N29" s="49" t="s">
        <v>88</v>
      </c>
      <c r="O29" s="49" t="s">
        <v>95</v>
      </c>
      <c r="P29" s="49" t="s">
        <v>89</v>
      </c>
      <c r="Q29" s="49" t="s">
        <v>67</v>
      </c>
      <c r="R29" s="11" t="s">
        <v>80</v>
      </c>
      <c r="S29" s="11" t="s">
        <v>96</v>
      </c>
      <c r="T29" s="11" t="s">
        <v>82</v>
      </c>
      <c r="U29" s="11" t="s">
        <v>2713</v>
      </c>
      <c r="V29" s="116" t="s">
        <v>1</v>
      </c>
      <c r="W29" s="88"/>
      <c r="X29" s="51">
        <v>45950</v>
      </c>
      <c r="Y29" s="102" t="s">
        <v>1568</v>
      </c>
      <c r="Z29" s="135" t="s">
        <v>2</v>
      </c>
      <c r="AA29" s="135">
        <v>0</v>
      </c>
    </row>
    <row r="30" spans="1:27" ht="13" customHeight="1">
      <c r="A30" s="11">
        <v>24</v>
      </c>
      <c r="B30" s="47">
        <v>203800382</v>
      </c>
      <c r="C30" s="89" t="s">
        <v>2465</v>
      </c>
      <c r="D30" s="11" t="s">
        <v>2466</v>
      </c>
      <c r="E30" s="48" t="s">
        <v>31</v>
      </c>
      <c r="F30" s="48" t="s">
        <v>74</v>
      </c>
      <c r="G30" s="11" t="s">
        <v>64</v>
      </c>
      <c r="H30" s="48" t="str">
        <f>VLOOKUP(Table1[[#This Row],[Psoft No]],[1]Roster!$C$2:$H$1402,6,)</f>
        <v>AUH1</v>
      </c>
      <c r="I30" s="48" t="b">
        <f>Table1[[#This Row],[Building]]=Table1[[#This Row],[Column1]]</f>
        <v>1</v>
      </c>
      <c r="J30" s="11" t="s">
        <v>75</v>
      </c>
      <c r="K30" s="11">
        <v>1299</v>
      </c>
      <c r="L30" s="49" t="s">
        <v>32</v>
      </c>
      <c r="M30" s="49" t="s">
        <v>76</v>
      </c>
      <c r="N30" s="49" t="s">
        <v>88</v>
      </c>
      <c r="O30" s="49" t="s">
        <v>95</v>
      </c>
      <c r="P30" s="49" t="s">
        <v>89</v>
      </c>
      <c r="Q30" s="49" t="s">
        <v>67</v>
      </c>
      <c r="R30" s="11" t="s">
        <v>80</v>
      </c>
      <c r="S30" s="11" t="s">
        <v>90</v>
      </c>
      <c r="T30" s="11" t="s">
        <v>82</v>
      </c>
      <c r="U30" s="11" t="s">
        <v>2713</v>
      </c>
      <c r="V30" s="116" t="str">
        <f>VLOOKUP(Table1[[#This Row],[Psoft No]],[2]Sheet1!$A$2:$G$386,7,0)</f>
        <v>P</v>
      </c>
      <c r="W30" s="88"/>
      <c r="X30" s="51">
        <v>45516</v>
      </c>
      <c r="Y30" s="102" t="s">
        <v>1568</v>
      </c>
      <c r="Z30" s="135" t="s">
        <v>2</v>
      </c>
      <c r="AA30" s="135">
        <v>0</v>
      </c>
    </row>
    <row r="31" spans="1:27" ht="13" customHeight="1">
      <c r="A31" s="11">
        <v>25</v>
      </c>
      <c r="B31" s="47">
        <v>206930700</v>
      </c>
      <c r="C31" s="89" t="s">
        <v>2127</v>
      </c>
      <c r="D31" s="11" t="s">
        <v>2053</v>
      </c>
      <c r="E31" s="48" t="s">
        <v>31</v>
      </c>
      <c r="F31" s="48" t="s">
        <v>74</v>
      </c>
      <c r="G31" s="11" t="s">
        <v>64</v>
      </c>
      <c r="H31" s="48" t="str">
        <f>VLOOKUP(Table1[[#This Row],[Psoft No]],[1]Roster!$C$2:$H$1402,6,)</f>
        <v>AUH1</v>
      </c>
      <c r="I31" s="48" t="b">
        <f>Table1[[#This Row],[Building]]=Table1[[#This Row],[Column1]]</f>
        <v>1</v>
      </c>
      <c r="J31" s="11" t="s">
        <v>75</v>
      </c>
      <c r="K31" s="11">
        <v>1299</v>
      </c>
      <c r="L31" s="49" t="s">
        <v>32</v>
      </c>
      <c r="M31" s="49" t="s">
        <v>76</v>
      </c>
      <c r="N31" s="49" t="s">
        <v>77</v>
      </c>
      <c r="O31" s="49" t="s">
        <v>78</v>
      </c>
      <c r="P31" s="48" t="s">
        <v>86</v>
      </c>
      <c r="Q31" s="49" t="s">
        <v>67</v>
      </c>
      <c r="R31" s="11" t="s">
        <v>80</v>
      </c>
      <c r="S31" s="11" t="s">
        <v>90</v>
      </c>
      <c r="T31" s="11" t="s">
        <v>82</v>
      </c>
      <c r="U31" s="11" t="s">
        <v>2713</v>
      </c>
      <c r="V31" s="116" t="str">
        <f>VLOOKUP(Table1[[#This Row],[Psoft No]],[2]Sheet1!$A$2:$G$386,7,0)</f>
        <v>P</v>
      </c>
      <c r="W31" s="88"/>
      <c r="X31" s="51">
        <v>46048</v>
      </c>
      <c r="Y31" s="102" t="s">
        <v>1568</v>
      </c>
      <c r="Z31" s="135" t="s">
        <v>2</v>
      </c>
      <c r="AA31" s="135">
        <v>0</v>
      </c>
    </row>
    <row r="32" spans="1:27" ht="13" customHeight="1">
      <c r="A32" s="11">
        <v>26</v>
      </c>
      <c r="B32" s="47">
        <v>206953786</v>
      </c>
      <c r="C32" s="89" t="s">
        <v>2133</v>
      </c>
      <c r="D32" s="11" t="s">
        <v>2061</v>
      </c>
      <c r="E32" s="48" t="s">
        <v>31</v>
      </c>
      <c r="F32" s="48" t="s">
        <v>74</v>
      </c>
      <c r="G32" s="11" t="s">
        <v>64</v>
      </c>
      <c r="H32" s="48" t="str">
        <f>VLOOKUP(Table1[[#This Row],[Psoft No]],[1]Roster!$C$2:$H$1402,6,)</f>
        <v>AUH1</v>
      </c>
      <c r="I32" s="48" t="b">
        <f>Table1[[#This Row],[Building]]=Table1[[#This Row],[Column1]]</f>
        <v>1</v>
      </c>
      <c r="J32" s="11" t="s">
        <v>75</v>
      </c>
      <c r="K32" s="11">
        <v>1299</v>
      </c>
      <c r="L32" s="49" t="s">
        <v>32</v>
      </c>
      <c r="M32" s="49" t="s">
        <v>76</v>
      </c>
      <c r="N32" s="49" t="s">
        <v>78</v>
      </c>
      <c r="O32" s="49" t="s">
        <v>92</v>
      </c>
      <c r="P32" s="48" t="s">
        <v>89</v>
      </c>
      <c r="Q32" s="49" t="s">
        <v>67</v>
      </c>
      <c r="R32" s="11" t="s">
        <v>80</v>
      </c>
      <c r="S32" s="11" t="s">
        <v>90</v>
      </c>
      <c r="T32" s="11" t="s">
        <v>82</v>
      </c>
      <c r="U32" s="11" t="s">
        <v>2713</v>
      </c>
      <c r="V32" s="116" t="s">
        <v>10</v>
      </c>
      <c r="W32" s="88"/>
      <c r="X32" s="51">
        <v>46048</v>
      </c>
      <c r="Y32" s="102" t="s">
        <v>1568</v>
      </c>
      <c r="Z32" s="135" t="s">
        <v>3023</v>
      </c>
      <c r="AA32" s="135">
        <v>0</v>
      </c>
    </row>
    <row r="33" spans="1:27" ht="13" customHeight="1">
      <c r="A33" s="11">
        <v>27</v>
      </c>
      <c r="B33" s="47">
        <v>206875143</v>
      </c>
      <c r="C33" s="89" t="s">
        <v>1714</v>
      </c>
      <c r="D33" s="11" t="s">
        <v>1715</v>
      </c>
      <c r="E33" s="48" t="s">
        <v>31</v>
      </c>
      <c r="F33" s="48" t="s">
        <v>74</v>
      </c>
      <c r="G33" s="48" t="s">
        <v>64</v>
      </c>
      <c r="H33" s="48" t="str">
        <f>VLOOKUP(Table1[[#This Row],[Psoft No]],[1]Roster!$C$2:$H$1402,6,)</f>
        <v>AUH1</v>
      </c>
      <c r="I33" s="48" t="b">
        <f>Table1[[#This Row],[Building]]=Table1[[#This Row],[Column1]]</f>
        <v>1</v>
      </c>
      <c r="J33" s="48" t="s">
        <v>75</v>
      </c>
      <c r="K33" s="11">
        <v>1299</v>
      </c>
      <c r="L33" s="49" t="s">
        <v>32</v>
      </c>
      <c r="M33" s="49" t="s">
        <v>76</v>
      </c>
      <c r="N33" s="49" t="s">
        <v>78</v>
      </c>
      <c r="O33" s="49" t="s">
        <v>92</v>
      </c>
      <c r="P33" s="49" t="s">
        <v>89</v>
      </c>
      <c r="Q33" s="48" t="s">
        <v>67</v>
      </c>
      <c r="R33" s="48" t="s">
        <v>80</v>
      </c>
      <c r="S33" s="11" t="s">
        <v>90</v>
      </c>
      <c r="T33" s="11" t="s">
        <v>82</v>
      </c>
      <c r="U33" s="11" t="s">
        <v>2713</v>
      </c>
      <c r="V33" s="116" t="s">
        <v>10</v>
      </c>
      <c r="W33" s="88"/>
      <c r="X33" s="51">
        <v>46020</v>
      </c>
      <c r="Y33" s="102" t="s">
        <v>1568</v>
      </c>
      <c r="Z33" s="135" t="s">
        <v>3023</v>
      </c>
      <c r="AA33" s="135">
        <v>0</v>
      </c>
    </row>
    <row r="34" spans="1:27" ht="13" customHeight="1">
      <c r="A34" s="11">
        <v>28</v>
      </c>
      <c r="B34" s="47">
        <v>205647826</v>
      </c>
      <c r="C34" s="89" t="s">
        <v>2227</v>
      </c>
      <c r="D34" s="11" t="s">
        <v>2689</v>
      </c>
      <c r="E34" s="48" t="s">
        <v>31</v>
      </c>
      <c r="F34" s="48" t="s">
        <v>74</v>
      </c>
      <c r="G34" s="11" t="s">
        <v>64</v>
      </c>
      <c r="H34" s="48" t="str">
        <f>VLOOKUP(Table1[[#This Row],[Psoft No]],[1]Roster!$C$2:$H$1402,6,)</f>
        <v>AUH1</v>
      </c>
      <c r="I34" s="48" t="b">
        <f>Table1[[#This Row],[Building]]=Table1[[#This Row],[Column1]]</f>
        <v>1</v>
      </c>
      <c r="J34" s="11" t="s">
        <v>75</v>
      </c>
      <c r="K34" s="11">
        <v>1299</v>
      </c>
      <c r="L34" s="49" t="s">
        <v>39</v>
      </c>
      <c r="M34" s="49" t="s">
        <v>76</v>
      </c>
      <c r="N34" s="49" t="s">
        <v>95</v>
      </c>
      <c r="O34" s="49" t="s">
        <v>77</v>
      </c>
      <c r="P34" s="49" t="s">
        <v>89</v>
      </c>
      <c r="Q34" s="49" t="s">
        <v>67</v>
      </c>
      <c r="R34" s="11" t="s">
        <v>80</v>
      </c>
      <c r="S34" s="11" t="s">
        <v>96</v>
      </c>
      <c r="T34" s="11" t="s">
        <v>82</v>
      </c>
      <c r="U34" s="11" t="s">
        <v>2713</v>
      </c>
      <c r="V34" s="116" t="s">
        <v>1</v>
      </c>
      <c r="W34" s="88"/>
      <c r="X34" s="51">
        <v>45852</v>
      </c>
      <c r="Y34" s="102" t="s">
        <v>1568</v>
      </c>
      <c r="Z34" s="135" t="s">
        <v>2</v>
      </c>
      <c r="AA34" s="135">
        <v>0</v>
      </c>
    </row>
    <row r="35" spans="1:27" ht="13" customHeight="1">
      <c r="A35" s="11">
        <v>29</v>
      </c>
      <c r="B35" s="47">
        <v>206875148</v>
      </c>
      <c r="C35" s="89" t="s">
        <v>1728</v>
      </c>
      <c r="D35" s="11" t="s">
        <v>1729</v>
      </c>
      <c r="E35" s="48" t="s">
        <v>31</v>
      </c>
      <c r="F35" s="48" t="s">
        <v>74</v>
      </c>
      <c r="G35" s="48" t="s">
        <v>64</v>
      </c>
      <c r="H35" s="48" t="str">
        <f>VLOOKUP(Table1[[#This Row],[Psoft No]],[1]Roster!$C$2:$H$1402,6,)</f>
        <v>AUH1</v>
      </c>
      <c r="I35" s="48" t="b">
        <f>Table1[[#This Row],[Building]]=Table1[[#This Row],[Column1]]</f>
        <v>1</v>
      </c>
      <c r="J35" s="48" t="s">
        <v>75</v>
      </c>
      <c r="K35" s="11">
        <v>1299</v>
      </c>
      <c r="L35" s="49" t="s">
        <v>39</v>
      </c>
      <c r="M35" s="49" t="s">
        <v>76</v>
      </c>
      <c r="N35" s="49" t="s">
        <v>88</v>
      </c>
      <c r="O35" s="49" t="s">
        <v>95</v>
      </c>
      <c r="P35" s="49" t="s">
        <v>89</v>
      </c>
      <c r="Q35" s="48" t="s">
        <v>67</v>
      </c>
      <c r="R35" s="48" t="s">
        <v>80</v>
      </c>
      <c r="S35" s="11" t="s">
        <v>90</v>
      </c>
      <c r="T35" s="11" t="s">
        <v>82</v>
      </c>
      <c r="U35" s="11" t="s">
        <v>2713</v>
      </c>
      <c r="V35" s="116" t="s">
        <v>1</v>
      </c>
      <c r="W35" s="88"/>
      <c r="X35" s="51">
        <v>46020</v>
      </c>
      <c r="Y35" s="102" t="s">
        <v>1568</v>
      </c>
      <c r="Z35" s="135" t="s">
        <v>2</v>
      </c>
      <c r="AA35" s="135">
        <v>0</v>
      </c>
    </row>
    <row r="36" spans="1:27" ht="13" customHeight="1">
      <c r="A36" s="11">
        <v>30</v>
      </c>
      <c r="B36" s="47">
        <v>205609430</v>
      </c>
      <c r="C36" s="89" t="s">
        <v>266</v>
      </c>
      <c r="D36" s="11" t="s">
        <v>1998</v>
      </c>
      <c r="E36" s="48" t="s">
        <v>31</v>
      </c>
      <c r="F36" s="48" t="s">
        <v>74</v>
      </c>
      <c r="G36" s="11" t="s">
        <v>64</v>
      </c>
      <c r="H36" s="48" t="str">
        <f>VLOOKUP(Table1[[#This Row],[Psoft No]],[1]Roster!$C$2:$H$1402,6,)</f>
        <v>AUH1</v>
      </c>
      <c r="I36" s="48" t="b">
        <f>Table1[[#This Row],[Building]]=Table1[[#This Row],[Column1]]</f>
        <v>1</v>
      </c>
      <c r="J36" s="11" t="s">
        <v>75</v>
      </c>
      <c r="K36" s="11">
        <v>1299</v>
      </c>
      <c r="L36" s="49" t="s">
        <v>39</v>
      </c>
      <c r="M36" s="49" t="s">
        <v>76</v>
      </c>
      <c r="N36" s="49" t="s">
        <v>92</v>
      </c>
      <c r="O36" s="49" t="s">
        <v>84</v>
      </c>
      <c r="P36" s="49" t="s">
        <v>89</v>
      </c>
      <c r="Q36" s="49" t="s">
        <v>67</v>
      </c>
      <c r="R36" s="11" t="s">
        <v>80</v>
      </c>
      <c r="S36" s="11" t="s">
        <v>90</v>
      </c>
      <c r="T36" s="11" t="s">
        <v>82</v>
      </c>
      <c r="U36" s="11" t="s">
        <v>2713</v>
      </c>
      <c r="V36" s="116" t="s">
        <v>10</v>
      </c>
      <c r="W36" s="88"/>
      <c r="X36" s="51">
        <v>45845</v>
      </c>
      <c r="Y36" s="102" t="s">
        <v>1568</v>
      </c>
      <c r="Z36" s="135" t="s">
        <v>3023</v>
      </c>
      <c r="AA36" s="135">
        <v>0</v>
      </c>
    </row>
    <row r="37" spans="1:27" ht="13" customHeight="1">
      <c r="A37" s="11">
        <v>31</v>
      </c>
      <c r="B37" s="47">
        <v>203555399</v>
      </c>
      <c r="C37" s="89" t="s">
        <v>101</v>
      </c>
      <c r="D37" s="11" t="s">
        <v>1999</v>
      </c>
      <c r="E37" s="48" t="s">
        <v>31</v>
      </c>
      <c r="F37" s="48" t="s">
        <v>74</v>
      </c>
      <c r="G37" s="11" t="s">
        <v>64</v>
      </c>
      <c r="H37" s="48" t="str">
        <f>VLOOKUP(Table1[[#This Row],[Psoft No]],[1]Roster!$C$2:$H$1402,6,)</f>
        <v>AUH1</v>
      </c>
      <c r="I37" s="48" t="b">
        <f>Table1[[#This Row],[Building]]=Table1[[#This Row],[Column1]]</f>
        <v>1</v>
      </c>
      <c r="J37" s="11" t="s">
        <v>75</v>
      </c>
      <c r="K37" s="11">
        <v>1299</v>
      </c>
      <c r="L37" s="49" t="s">
        <v>32</v>
      </c>
      <c r="M37" s="49" t="s">
        <v>76</v>
      </c>
      <c r="N37" s="49" t="s">
        <v>88</v>
      </c>
      <c r="O37" s="49" t="s">
        <v>95</v>
      </c>
      <c r="P37" s="48" t="s">
        <v>79</v>
      </c>
      <c r="Q37" s="49" t="s">
        <v>67</v>
      </c>
      <c r="R37" s="11" t="s">
        <v>80</v>
      </c>
      <c r="S37" s="11" t="s">
        <v>81</v>
      </c>
      <c r="T37" s="11" t="s">
        <v>82</v>
      </c>
      <c r="U37" s="11" t="s">
        <v>2713</v>
      </c>
      <c r="V37" s="116" t="str">
        <f>VLOOKUP(Table1[[#This Row],[Psoft No]],[2]Sheet1!$A$2:$G$386,7,0)</f>
        <v>P</v>
      </c>
      <c r="W37" s="88"/>
      <c r="X37" s="51">
        <v>45470</v>
      </c>
      <c r="Y37" s="102" t="s">
        <v>1568</v>
      </c>
      <c r="Z37" s="135" t="s">
        <v>2</v>
      </c>
      <c r="AA37" s="135">
        <v>0</v>
      </c>
    </row>
    <row r="38" spans="1:27" ht="13" customHeight="1">
      <c r="A38" s="11">
        <v>32</v>
      </c>
      <c r="B38" s="47">
        <v>205997628</v>
      </c>
      <c r="C38" s="89" t="s">
        <v>2228</v>
      </c>
      <c r="D38" s="11" t="s">
        <v>2229</v>
      </c>
      <c r="E38" s="48" t="s">
        <v>31</v>
      </c>
      <c r="F38" s="48" t="s">
        <v>74</v>
      </c>
      <c r="G38" s="11" t="s">
        <v>64</v>
      </c>
      <c r="H38" s="48" t="str">
        <f>VLOOKUP(Table1[[#This Row],[Psoft No]],[1]Roster!$C$2:$H$1402,6,)</f>
        <v>AUH1</v>
      </c>
      <c r="I38" s="48" t="b">
        <f>Table1[[#This Row],[Building]]=Table1[[#This Row],[Column1]]</f>
        <v>1</v>
      </c>
      <c r="J38" s="11" t="s">
        <v>75</v>
      </c>
      <c r="K38" s="11">
        <v>1299</v>
      </c>
      <c r="L38" s="49" t="s">
        <v>32</v>
      </c>
      <c r="M38" s="49" t="s">
        <v>76</v>
      </c>
      <c r="N38" s="49" t="s">
        <v>88</v>
      </c>
      <c r="O38" s="49" t="s">
        <v>95</v>
      </c>
      <c r="P38" s="49" t="s">
        <v>89</v>
      </c>
      <c r="Q38" s="49" t="s">
        <v>67</v>
      </c>
      <c r="R38" s="11" t="s">
        <v>80</v>
      </c>
      <c r="S38" s="11" t="s">
        <v>81</v>
      </c>
      <c r="T38" s="11" t="s">
        <v>82</v>
      </c>
      <c r="U38" s="11" t="s">
        <v>2713</v>
      </c>
      <c r="V38" s="116" t="str">
        <f>VLOOKUP(Table1[[#This Row],[Psoft No]],[2]Sheet1!$A$2:$G$386,7,0)</f>
        <v>P</v>
      </c>
      <c r="W38" s="88"/>
      <c r="X38" s="51">
        <v>45915</v>
      </c>
      <c r="Y38" s="102" t="s">
        <v>1568</v>
      </c>
      <c r="Z38" s="135" t="s">
        <v>2</v>
      </c>
      <c r="AA38" s="135">
        <v>0</v>
      </c>
    </row>
    <row r="39" spans="1:27" ht="13" customHeight="1">
      <c r="A39" s="11">
        <v>33</v>
      </c>
      <c r="B39" s="47">
        <v>203555402</v>
      </c>
      <c r="C39" s="89" t="s">
        <v>102</v>
      </c>
      <c r="D39" s="11" t="s">
        <v>2690</v>
      </c>
      <c r="E39" s="48" t="s">
        <v>31</v>
      </c>
      <c r="F39" s="48" t="s">
        <v>74</v>
      </c>
      <c r="G39" s="11" t="s">
        <v>64</v>
      </c>
      <c r="H39" s="48" t="str">
        <f>VLOOKUP(Table1[[#This Row],[Psoft No]],[1]Roster!$C$2:$H$1402,6,)</f>
        <v>AUH1</v>
      </c>
      <c r="I39" s="48" t="b">
        <f>Table1[[#This Row],[Building]]=Table1[[#This Row],[Column1]]</f>
        <v>1</v>
      </c>
      <c r="J39" s="11" t="s">
        <v>75</v>
      </c>
      <c r="K39" s="11">
        <v>1299</v>
      </c>
      <c r="L39" s="49" t="s">
        <v>39</v>
      </c>
      <c r="M39" s="49" t="s">
        <v>76</v>
      </c>
      <c r="N39" s="49" t="s">
        <v>88</v>
      </c>
      <c r="O39" s="49" t="s">
        <v>95</v>
      </c>
      <c r="P39" s="48" t="s">
        <v>79</v>
      </c>
      <c r="Q39" s="49" t="s">
        <v>67</v>
      </c>
      <c r="R39" s="11" t="s">
        <v>80</v>
      </c>
      <c r="S39" s="11" t="s">
        <v>81</v>
      </c>
      <c r="T39" s="11" t="s">
        <v>82</v>
      </c>
      <c r="U39" s="11" t="s">
        <v>2713</v>
      </c>
      <c r="V39" s="116" t="s">
        <v>1</v>
      </c>
      <c r="W39" s="88"/>
      <c r="X39" s="51">
        <v>45470</v>
      </c>
      <c r="Y39" s="102" t="s">
        <v>1568</v>
      </c>
      <c r="Z39" s="135" t="s">
        <v>2</v>
      </c>
      <c r="AA39" s="135">
        <v>0</v>
      </c>
    </row>
    <row r="40" spans="1:27" ht="13" customHeight="1">
      <c r="A40" s="11">
        <v>34</v>
      </c>
      <c r="B40" s="47">
        <v>206953810</v>
      </c>
      <c r="C40" s="89" t="s">
        <v>2045</v>
      </c>
      <c r="D40" s="11" t="s">
        <v>2046</v>
      </c>
      <c r="E40" s="48" t="s">
        <v>31</v>
      </c>
      <c r="F40" s="48" t="s">
        <v>74</v>
      </c>
      <c r="G40" s="11" t="s">
        <v>64</v>
      </c>
      <c r="H40" s="48" t="str">
        <f>VLOOKUP(Table1[[#This Row],[Psoft No]],[1]Roster!$C$2:$H$1402,6,)</f>
        <v>AUH1</v>
      </c>
      <c r="I40" s="48" t="b">
        <f>Table1[[#This Row],[Building]]=Table1[[#This Row],[Column1]]</f>
        <v>1</v>
      </c>
      <c r="J40" s="11" t="s">
        <v>75</v>
      </c>
      <c r="K40" s="11">
        <v>1299</v>
      </c>
      <c r="L40" s="49" t="s">
        <v>32</v>
      </c>
      <c r="M40" s="49" t="s">
        <v>76</v>
      </c>
      <c r="N40" s="49" t="s">
        <v>84</v>
      </c>
      <c r="O40" s="49" t="s">
        <v>85</v>
      </c>
      <c r="P40" s="48" t="s">
        <v>86</v>
      </c>
      <c r="Q40" s="49" t="s">
        <v>67</v>
      </c>
      <c r="R40" s="11" t="s">
        <v>80</v>
      </c>
      <c r="S40" s="11" t="s">
        <v>90</v>
      </c>
      <c r="T40" s="11" t="s">
        <v>82</v>
      </c>
      <c r="U40" s="11" t="s">
        <v>2713</v>
      </c>
      <c r="V40" s="116" t="str">
        <f>VLOOKUP(Table1[[#This Row],[Psoft No]],[2]Sheet1!$A$2:$G$386,7,0)</f>
        <v>P</v>
      </c>
      <c r="W40" s="88"/>
      <c r="X40" s="51">
        <v>46048</v>
      </c>
      <c r="Y40" s="102" t="s">
        <v>1568</v>
      </c>
      <c r="Z40" s="135" t="s">
        <v>2</v>
      </c>
      <c r="AA40" s="135">
        <v>0</v>
      </c>
    </row>
    <row r="41" spans="1:27" ht="13" customHeight="1">
      <c r="A41" s="11">
        <v>35</v>
      </c>
      <c r="B41" s="47">
        <v>204299899</v>
      </c>
      <c r="C41" s="89" t="s">
        <v>103</v>
      </c>
      <c r="D41" s="11" t="s">
        <v>1923</v>
      </c>
      <c r="E41" s="48" t="s">
        <v>31</v>
      </c>
      <c r="F41" s="48" t="s">
        <v>74</v>
      </c>
      <c r="G41" s="11" t="s">
        <v>64</v>
      </c>
      <c r="H41" s="48" t="str">
        <f>VLOOKUP(Table1[[#This Row],[Psoft No]],[1]Roster!$C$2:$H$1402,6,)</f>
        <v>AUH1</v>
      </c>
      <c r="I41" s="48" t="b">
        <f>Table1[[#This Row],[Building]]=Table1[[#This Row],[Column1]]</f>
        <v>1</v>
      </c>
      <c r="J41" s="11" t="s">
        <v>75</v>
      </c>
      <c r="K41" s="11">
        <v>1299</v>
      </c>
      <c r="L41" s="49" t="s">
        <v>39</v>
      </c>
      <c r="M41" s="49" t="s">
        <v>76</v>
      </c>
      <c r="N41" s="49" t="s">
        <v>77</v>
      </c>
      <c r="O41" s="49" t="s">
        <v>78</v>
      </c>
      <c r="P41" s="48" t="s">
        <v>86</v>
      </c>
      <c r="Q41" s="49" t="s">
        <v>67</v>
      </c>
      <c r="R41" s="11" t="s">
        <v>80</v>
      </c>
      <c r="S41" s="11" t="s">
        <v>87</v>
      </c>
      <c r="T41" s="11" t="s">
        <v>82</v>
      </c>
      <c r="U41" s="11" t="s">
        <v>2713</v>
      </c>
      <c r="V41" s="116" t="s">
        <v>1</v>
      </c>
      <c r="W41" s="88"/>
      <c r="X41" s="51">
        <v>45589</v>
      </c>
      <c r="Y41" s="102" t="s">
        <v>1568</v>
      </c>
      <c r="Z41" s="135" t="s">
        <v>2</v>
      </c>
      <c r="AA41" s="135">
        <v>0</v>
      </c>
    </row>
    <row r="42" spans="1:27" ht="13" customHeight="1">
      <c r="A42" s="11">
        <v>36</v>
      </c>
      <c r="B42" s="47">
        <v>206953815</v>
      </c>
      <c r="C42" s="90" t="s">
        <v>2168</v>
      </c>
      <c r="D42" s="103" t="s">
        <v>2169</v>
      </c>
      <c r="E42" s="48" t="s">
        <v>31</v>
      </c>
      <c r="F42" s="48" t="s">
        <v>74</v>
      </c>
      <c r="G42" s="11" t="s">
        <v>64</v>
      </c>
      <c r="H42" s="48" t="str">
        <f>VLOOKUP(Table1[[#This Row],[Psoft No]],[1]Roster!$C$2:$H$1402,6,)</f>
        <v>AUH1</v>
      </c>
      <c r="I42" s="48" t="b">
        <f>Table1[[#This Row],[Building]]=Table1[[#This Row],[Column1]]</f>
        <v>1</v>
      </c>
      <c r="J42" s="11" t="s">
        <v>75</v>
      </c>
      <c r="K42" s="11">
        <v>1299</v>
      </c>
      <c r="L42" s="49" t="s">
        <v>32</v>
      </c>
      <c r="M42" s="49" t="s">
        <v>76</v>
      </c>
      <c r="N42" s="49" t="s">
        <v>84</v>
      </c>
      <c r="O42" s="49" t="s">
        <v>85</v>
      </c>
      <c r="P42" s="48" t="s">
        <v>86</v>
      </c>
      <c r="Q42" s="49" t="s">
        <v>67</v>
      </c>
      <c r="R42" s="49" t="s">
        <v>80</v>
      </c>
      <c r="S42" s="49" t="s">
        <v>90</v>
      </c>
      <c r="T42" s="11" t="s">
        <v>82</v>
      </c>
      <c r="U42" s="11" t="s">
        <v>2713</v>
      </c>
      <c r="V42" s="116" t="str">
        <f>VLOOKUP(Table1[[#This Row],[Psoft No]],[2]Sheet1!$A$2:$G$386,7,0)</f>
        <v>P</v>
      </c>
      <c r="W42" s="88"/>
      <c r="X42" s="51">
        <v>46048</v>
      </c>
      <c r="Y42" s="102" t="s">
        <v>1568</v>
      </c>
      <c r="Z42" s="135" t="s">
        <v>2</v>
      </c>
      <c r="AA42" s="135">
        <v>0</v>
      </c>
    </row>
    <row r="43" spans="1:27" ht="13" customHeight="1">
      <c r="A43" s="11">
        <v>37</v>
      </c>
      <c r="B43" s="47">
        <v>206016551</v>
      </c>
      <c r="C43" s="89" t="s">
        <v>295</v>
      </c>
      <c r="D43" s="11" t="s">
        <v>1924</v>
      </c>
      <c r="E43" s="48" t="s">
        <v>31</v>
      </c>
      <c r="F43" s="48" t="s">
        <v>74</v>
      </c>
      <c r="G43" s="11" t="s">
        <v>64</v>
      </c>
      <c r="H43" s="48" t="str">
        <f>VLOOKUP(Table1[[#This Row],[Psoft No]],[1]Roster!$C$2:$H$1402,6,)</f>
        <v>AUH1</v>
      </c>
      <c r="I43" s="48" t="b">
        <f>Table1[[#This Row],[Building]]=Table1[[#This Row],[Column1]]</f>
        <v>1</v>
      </c>
      <c r="J43" s="11" t="s">
        <v>75</v>
      </c>
      <c r="K43" s="11">
        <v>1299</v>
      </c>
      <c r="L43" s="49" t="s">
        <v>32</v>
      </c>
      <c r="M43" s="49" t="s">
        <v>76</v>
      </c>
      <c r="N43" s="49" t="s">
        <v>77</v>
      </c>
      <c r="O43" s="49" t="s">
        <v>78</v>
      </c>
      <c r="P43" s="49" t="s">
        <v>89</v>
      </c>
      <c r="Q43" s="49" t="s">
        <v>67</v>
      </c>
      <c r="R43" s="11" t="s">
        <v>80</v>
      </c>
      <c r="S43" s="11" t="s">
        <v>81</v>
      </c>
      <c r="T43" s="11" t="s">
        <v>82</v>
      </c>
      <c r="U43" s="11" t="s">
        <v>2713</v>
      </c>
      <c r="V43" s="116" t="str">
        <f>VLOOKUP(Table1[[#This Row],[Psoft No]],[2]Sheet1!$A$2:$G$386,7,0)</f>
        <v>P</v>
      </c>
      <c r="W43" s="88"/>
      <c r="X43" s="51">
        <v>45915</v>
      </c>
      <c r="Y43" s="102" t="s">
        <v>1568</v>
      </c>
      <c r="Z43" s="135" t="s">
        <v>2</v>
      </c>
      <c r="AA43" s="135">
        <v>0</v>
      </c>
    </row>
    <row r="44" spans="1:27" ht="13" customHeight="1">
      <c r="A44" s="11">
        <v>38</v>
      </c>
      <c r="B44" s="47">
        <v>203741547</v>
      </c>
      <c r="C44" s="89" t="s">
        <v>2230</v>
      </c>
      <c r="D44" s="11" t="s">
        <v>2231</v>
      </c>
      <c r="E44" s="48" t="s">
        <v>31</v>
      </c>
      <c r="F44" s="48" t="s">
        <v>74</v>
      </c>
      <c r="G44" s="11" t="s">
        <v>64</v>
      </c>
      <c r="H44" s="48" t="str">
        <f>VLOOKUP(Table1[[#This Row],[Psoft No]],[1]Roster!$C$2:$H$1402,6,)</f>
        <v>AUH1</v>
      </c>
      <c r="I44" s="48" t="b">
        <f>Table1[[#This Row],[Building]]=Table1[[#This Row],[Column1]]</f>
        <v>1</v>
      </c>
      <c r="J44" s="11" t="s">
        <v>75</v>
      </c>
      <c r="K44" s="11">
        <v>1299</v>
      </c>
      <c r="L44" s="49" t="s">
        <v>32</v>
      </c>
      <c r="M44" s="49" t="s">
        <v>76</v>
      </c>
      <c r="N44" s="49" t="s">
        <v>95</v>
      </c>
      <c r="O44" s="49" t="s">
        <v>77</v>
      </c>
      <c r="P44" s="48" t="s">
        <v>79</v>
      </c>
      <c r="Q44" s="49" t="s">
        <v>67</v>
      </c>
      <c r="R44" s="11" t="s">
        <v>80</v>
      </c>
      <c r="S44" s="11" t="s">
        <v>81</v>
      </c>
      <c r="T44" s="11" t="s">
        <v>82</v>
      </c>
      <c r="U44" s="11" t="s">
        <v>2713</v>
      </c>
      <c r="V44" s="116" t="str">
        <f>VLOOKUP(Table1[[#This Row],[Psoft No]],[2]Sheet1!$A$2:$G$386,7,0)</f>
        <v>P</v>
      </c>
      <c r="W44" s="88"/>
      <c r="X44" s="51">
        <v>45517</v>
      </c>
      <c r="Y44" s="102" t="s">
        <v>1568</v>
      </c>
      <c r="Z44" s="135" t="s">
        <v>2</v>
      </c>
      <c r="AA44" s="135">
        <v>0</v>
      </c>
    </row>
    <row r="45" spans="1:27" ht="13" customHeight="1">
      <c r="A45" s="11">
        <v>39</v>
      </c>
      <c r="B45" s="47">
        <v>205608617</v>
      </c>
      <c r="C45" s="89" t="s">
        <v>301</v>
      </c>
      <c r="D45" s="11" t="s">
        <v>1925</v>
      </c>
      <c r="E45" s="48" t="s">
        <v>31</v>
      </c>
      <c r="F45" s="48" t="s">
        <v>74</v>
      </c>
      <c r="G45" s="11" t="s">
        <v>64</v>
      </c>
      <c r="H45" s="48" t="str">
        <f>VLOOKUP(Table1[[#This Row],[Psoft No]],[1]Roster!$C$2:$H$1402,6,)</f>
        <v>AUH1</v>
      </c>
      <c r="I45" s="48" t="b">
        <f>Table1[[#This Row],[Building]]=Table1[[#This Row],[Column1]]</f>
        <v>1</v>
      </c>
      <c r="J45" s="11" t="s">
        <v>75</v>
      </c>
      <c r="K45" s="11">
        <v>1299</v>
      </c>
      <c r="L45" s="49" t="s">
        <v>32</v>
      </c>
      <c r="M45" s="49" t="s">
        <v>76</v>
      </c>
      <c r="N45" s="49" t="s">
        <v>92</v>
      </c>
      <c r="O45" s="49" t="s">
        <v>84</v>
      </c>
      <c r="P45" s="49" t="s">
        <v>89</v>
      </c>
      <c r="Q45" s="49" t="s">
        <v>67</v>
      </c>
      <c r="R45" s="11" t="s">
        <v>80</v>
      </c>
      <c r="S45" s="11" t="s">
        <v>90</v>
      </c>
      <c r="T45" s="11" t="s">
        <v>82</v>
      </c>
      <c r="U45" s="11" t="s">
        <v>2713</v>
      </c>
      <c r="V45" s="116" t="s">
        <v>10</v>
      </c>
      <c r="W45" s="88"/>
      <c r="X45" s="51">
        <v>45845</v>
      </c>
      <c r="Y45" s="102" t="s">
        <v>1568</v>
      </c>
      <c r="Z45" s="135" t="s">
        <v>3023</v>
      </c>
      <c r="AA45" s="135">
        <v>0</v>
      </c>
    </row>
    <row r="46" spans="1:27" ht="13" customHeight="1">
      <c r="A46" s="11">
        <v>40</v>
      </c>
      <c r="B46" s="47">
        <v>206953974</v>
      </c>
      <c r="C46" s="89" t="s">
        <v>2123</v>
      </c>
      <c r="D46" s="11" t="s">
        <v>2048</v>
      </c>
      <c r="E46" s="48" t="s">
        <v>31</v>
      </c>
      <c r="F46" s="48" t="s">
        <v>74</v>
      </c>
      <c r="G46" s="11" t="s">
        <v>64</v>
      </c>
      <c r="H46" s="48" t="str">
        <f>VLOOKUP(Table1[[#This Row],[Psoft No]],[1]Roster!$C$2:$H$1402,6,)</f>
        <v>AUH1</v>
      </c>
      <c r="I46" s="48" t="b">
        <f>Table1[[#This Row],[Building]]=Table1[[#This Row],[Column1]]</f>
        <v>1</v>
      </c>
      <c r="J46" s="11" t="s">
        <v>75</v>
      </c>
      <c r="K46" s="11">
        <v>1299</v>
      </c>
      <c r="L46" s="49" t="s">
        <v>32</v>
      </c>
      <c r="M46" s="49" t="s">
        <v>76</v>
      </c>
      <c r="N46" s="49" t="s">
        <v>84</v>
      </c>
      <c r="O46" s="49" t="s">
        <v>85</v>
      </c>
      <c r="P46" s="48" t="s">
        <v>86</v>
      </c>
      <c r="Q46" s="49" t="s">
        <v>67</v>
      </c>
      <c r="R46" s="11" t="s">
        <v>80</v>
      </c>
      <c r="S46" s="11" t="s">
        <v>90</v>
      </c>
      <c r="T46" s="11" t="s">
        <v>82</v>
      </c>
      <c r="U46" s="11" t="s">
        <v>2713</v>
      </c>
      <c r="V46" s="116" t="str">
        <f>VLOOKUP(Table1[[#This Row],[Psoft No]],[2]Sheet1!$A$2:$G$386,7,0)</f>
        <v>P</v>
      </c>
      <c r="W46" s="88"/>
      <c r="X46" s="51">
        <v>46048</v>
      </c>
      <c r="Y46" s="102" t="s">
        <v>1568</v>
      </c>
      <c r="Z46" s="135" t="s">
        <v>2</v>
      </c>
      <c r="AA46" s="135">
        <v>0</v>
      </c>
    </row>
    <row r="47" spans="1:27" ht="13" customHeight="1">
      <c r="A47" s="11">
        <v>41</v>
      </c>
      <c r="B47" s="47">
        <v>203555403</v>
      </c>
      <c r="C47" s="89" t="s">
        <v>2232</v>
      </c>
      <c r="D47" s="11" t="s">
        <v>2233</v>
      </c>
      <c r="E47" s="48" t="s">
        <v>31</v>
      </c>
      <c r="F47" s="48" t="s">
        <v>74</v>
      </c>
      <c r="G47" s="11" t="s">
        <v>64</v>
      </c>
      <c r="H47" s="48" t="str">
        <f>VLOOKUP(Table1[[#This Row],[Psoft No]],[1]Roster!$C$2:$H$1402,6,)</f>
        <v>AUH1</v>
      </c>
      <c r="I47" s="48" t="b">
        <f>Table1[[#This Row],[Building]]=Table1[[#This Row],[Column1]]</f>
        <v>1</v>
      </c>
      <c r="J47" s="11" t="s">
        <v>75</v>
      </c>
      <c r="K47" s="11">
        <v>1299</v>
      </c>
      <c r="L47" s="49" t="s">
        <v>32</v>
      </c>
      <c r="M47" s="49" t="s">
        <v>76</v>
      </c>
      <c r="N47" s="49" t="s">
        <v>77</v>
      </c>
      <c r="O47" s="49" t="s">
        <v>78</v>
      </c>
      <c r="P47" s="48" t="s">
        <v>79</v>
      </c>
      <c r="Q47" s="49" t="s">
        <v>67</v>
      </c>
      <c r="R47" s="11" t="s">
        <v>80</v>
      </c>
      <c r="S47" s="11" t="s">
        <v>81</v>
      </c>
      <c r="T47" s="11" t="s">
        <v>82</v>
      </c>
      <c r="U47" s="11" t="s">
        <v>2713</v>
      </c>
      <c r="V47" s="116" t="str">
        <f>VLOOKUP(Table1[[#This Row],[Psoft No]],[2]Sheet1!$A$2:$G$386,7,0)</f>
        <v>P</v>
      </c>
      <c r="W47" s="88"/>
      <c r="X47" s="51">
        <v>45470</v>
      </c>
      <c r="Y47" s="102" t="s">
        <v>1568</v>
      </c>
      <c r="Z47" s="135" t="s">
        <v>2</v>
      </c>
      <c r="AA47" s="135">
        <v>0</v>
      </c>
    </row>
    <row r="48" spans="1:27" ht="13" customHeight="1">
      <c r="A48" s="11">
        <v>42</v>
      </c>
      <c r="B48" s="47">
        <v>203736754</v>
      </c>
      <c r="C48" s="89" t="s">
        <v>269</v>
      </c>
      <c r="D48" s="11" t="s">
        <v>270</v>
      </c>
      <c r="E48" s="48" t="s">
        <v>31</v>
      </c>
      <c r="F48" s="48" t="s">
        <v>74</v>
      </c>
      <c r="G48" s="11" t="s">
        <v>64</v>
      </c>
      <c r="H48" s="48" t="str">
        <f>VLOOKUP(Table1[[#This Row],[Psoft No]],[1]Roster!$C$2:$H$1402,6,)</f>
        <v>AUH1</v>
      </c>
      <c r="I48" s="48" t="b">
        <f>Table1[[#This Row],[Building]]=Table1[[#This Row],[Column1]]</f>
        <v>1</v>
      </c>
      <c r="J48" s="11" t="s">
        <v>75</v>
      </c>
      <c r="K48" s="11">
        <v>1299</v>
      </c>
      <c r="L48" s="49" t="s">
        <v>32</v>
      </c>
      <c r="M48" s="49" t="s">
        <v>76</v>
      </c>
      <c r="N48" s="49" t="s">
        <v>84</v>
      </c>
      <c r="O48" s="49" t="s">
        <v>85</v>
      </c>
      <c r="P48" s="48" t="s">
        <v>86</v>
      </c>
      <c r="Q48" s="49" t="s">
        <v>35</v>
      </c>
      <c r="R48" s="11" t="s">
        <v>80</v>
      </c>
      <c r="S48" s="11" t="s">
        <v>99</v>
      </c>
      <c r="T48" s="11" t="s">
        <v>224</v>
      </c>
      <c r="U48" s="11" t="s">
        <v>2715</v>
      </c>
      <c r="V48" s="116" t="str">
        <f>VLOOKUP(Table1[[#This Row],[Psoft No]],[2]Sheet1!$A$2:$G$386,7,0)</f>
        <v>P</v>
      </c>
      <c r="W48" s="88"/>
      <c r="X48" s="51">
        <v>45502</v>
      </c>
      <c r="Y48" s="97" t="s">
        <v>1573</v>
      </c>
      <c r="Z48" s="135" t="s">
        <v>2</v>
      </c>
      <c r="AA48" s="135">
        <v>0</v>
      </c>
    </row>
    <row r="49" spans="1:27" ht="13" customHeight="1">
      <c r="A49" s="11">
        <v>43</v>
      </c>
      <c r="B49" s="47">
        <v>206072867</v>
      </c>
      <c r="C49" s="89" t="s">
        <v>2472</v>
      </c>
      <c r="D49" s="11" t="s">
        <v>2473</v>
      </c>
      <c r="E49" s="48" t="s">
        <v>31</v>
      </c>
      <c r="F49" s="48" t="s">
        <v>74</v>
      </c>
      <c r="G49" s="11" t="s">
        <v>64</v>
      </c>
      <c r="H49" s="48" t="str">
        <f>VLOOKUP(Table1[[#This Row],[Psoft No]],[1]Roster!$C$2:$H$1402,6,)</f>
        <v>AUH1</v>
      </c>
      <c r="I49" s="48" t="b">
        <f>Table1[[#This Row],[Building]]=Table1[[#This Row],[Column1]]</f>
        <v>1</v>
      </c>
      <c r="J49" s="11" t="s">
        <v>75</v>
      </c>
      <c r="K49" s="11">
        <v>1299</v>
      </c>
      <c r="L49" s="49" t="s">
        <v>32</v>
      </c>
      <c r="M49" s="49" t="s">
        <v>76</v>
      </c>
      <c r="N49" s="49" t="s">
        <v>78</v>
      </c>
      <c r="O49" s="49" t="s">
        <v>92</v>
      </c>
      <c r="P49" s="49" t="s">
        <v>89</v>
      </c>
      <c r="Q49" s="49" t="s">
        <v>67</v>
      </c>
      <c r="R49" s="11" t="s">
        <v>80</v>
      </c>
      <c r="S49" s="11" t="s">
        <v>81</v>
      </c>
      <c r="T49" s="11" t="s">
        <v>82</v>
      </c>
      <c r="U49" s="11" t="s">
        <v>2713</v>
      </c>
      <c r="V49" s="116" t="s">
        <v>10</v>
      </c>
      <c r="W49" s="88"/>
      <c r="X49" s="51">
        <v>45922</v>
      </c>
      <c r="Y49" s="102" t="s">
        <v>1568</v>
      </c>
      <c r="Z49" s="135" t="s">
        <v>3023</v>
      </c>
      <c r="AA49" s="135">
        <v>0</v>
      </c>
    </row>
    <row r="50" spans="1:27" ht="13" customHeight="1">
      <c r="A50" s="11">
        <v>44</v>
      </c>
      <c r="B50" s="47">
        <v>206953984</v>
      </c>
      <c r="C50" s="89" t="s">
        <v>2128</v>
      </c>
      <c r="D50" s="11" t="s">
        <v>2054</v>
      </c>
      <c r="E50" s="48" t="s">
        <v>31</v>
      </c>
      <c r="F50" s="48" t="s">
        <v>74</v>
      </c>
      <c r="G50" s="11" t="s">
        <v>64</v>
      </c>
      <c r="H50" s="48" t="str">
        <f>VLOOKUP(Table1[[#This Row],[Psoft No]],[1]Roster!$C$2:$H$1402,6,)</f>
        <v>AUH1</v>
      </c>
      <c r="I50" s="48" t="b">
        <f>Table1[[#This Row],[Building]]=Table1[[#This Row],[Column1]]</f>
        <v>1</v>
      </c>
      <c r="J50" s="11" t="s">
        <v>75</v>
      </c>
      <c r="K50" s="11">
        <v>1299</v>
      </c>
      <c r="L50" s="49" t="s">
        <v>32</v>
      </c>
      <c r="M50" s="49" t="s">
        <v>76</v>
      </c>
      <c r="N50" s="49" t="s">
        <v>95</v>
      </c>
      <c r="O50" s="49" t="s">
        <v>77</v>
      </c>
      <c r="P50" s="48" t="s">
        <v>86</v>
      </c>
      <c r="Q50" s="49" t="s">
        <v>67</v>
      </c>
      <c r="R50" s="11" t="s">
        <v>80</v>
      </c>
      <c r="S50" s="11" t="s">
        <v>90</v>
      </c>
      <c r="T50" s="11" t="s">
        <v>82</v>
      </c>
      <c r="U50" s="11" t="s">
        <v>2713</v>
      </c>
      <c r="V50" s="116" t="str">
        <f>VLOOKUP(Table1[[#This Row],[Psoft No]],[2]Sheet1!$A$2:$G$386,7,0)</f>
        <v>P</v>
      </c>
      <c r="W50" s="88"/>
      <c r="X50" s="51">
        <v>46048</v>
      </c>
      <c r="Y50" s="102" t="s">
        <v>1568</v>
      </c>
      <c r="Z50" s="135" t="s">
        <v>2</v>
      </c>
      <c r="AA50" s="135">
        <v>0</v>
      </c>
    </row>
    <row r="51" spans="1:27" ht="13" customHeight="1">
      <c r="A51" s="11">
        <v>45</v>
      </c>
      <c r="B51" s="47">
        <v>203469449</v>
      </c>
      <c r="C51" s="89" t="s">
        <v>105</v>
      </c>
      <c r="D51" s="11" t="s">
        <v>1927</v>
      </c>
      <c r="E51" s="48" t="s">
        <v>31</v>
      </c>
      <c r="F51" s="48" t="s">
        <v>74</v>
      </c>
      <c r="G51" s="11" t="s">
        <v>64</v>
      </c>
      <c r="H51" s="48" t="str">
        <f>VLOOKUP(Table1[[#This Row],[Psoft No]],[1]Roster!$C$2:$H$1402,6,)</f>
        <v>AUH1</v>
      </c>
      <c r="I51" s="48" t="b">
        <f>Table1[[#This Row],[Building]]=Table1[[#This Row],[Column1]]</f>
        <v>1</v>
      </c>
      <c r="J51" s="11" t="s">
        <v>75</v>
      </c>
      <c r="K51" s="11">
        <v>1299</v>
      </c>
      <c r="L51" s="49" t="s">
        <v>32</v>
      </c>
      <c r="M51" s="49" t="s">
        <v>76</v>
      </c>
      <c r="N51" s="49" t="s">
        <v>95</v>
      </c>
      <c r="O51" s="49" t="s">
        <v>77</v>
      </c>
      <c r="P51" s="48" t="s">
        <v>86</v>
      </c>
      <c r="Q51" s="49" t="s">
        <v>67</v>
      </c>
      <c r="R51" s="11" t="s">
        <v>80</v>
      </c>
      <c r="S51" s="11" t="s">
        <v>99</v>
      </c>
      <c r="T51" s="11" t="s">
        <v>82</v>
      </c>
      <c r="U51" s="11" t="s">
        <v>2713</v>
      </c>
      <c r="V51" s="116" t="str">
        <f>VLOOKUP(Table1[[#This Row],[Psoft No]],[2]Sheet1!$A$2:$G$386,7,0)</f>
        <v>P</v>
      </c>
      <c r="W51" s="88"/>
      <c r="X51" s="51">
        <v>45456</v>
      </c>
      <c r="Y51" s="102" t="s">
        <v>1568</v>
      </c>
      <c r="Z51" s="135" t="s">
        <v>2</v>
      </c>
      <c r="AA51" s="135">
        <v>0</v>
      </c>
    </row>
    <row r="52" spans="1:27" ht="13" customHeight="1">
      <c r="A52" s="11">
        <v>46</v>
      </c>
      <c r="B52" s="47">
        <v>204299548</v>
      </c>
      <c r="C52" s="89" t="s">
        <v>2234</v>
      </c>
      <c r="D52" s="11" t="s">
        <v>2235</v>
      </c>
      <c r="E52" s="48" t="s">
        <v>31</v>
      </c>
      <c r="F52" s="48" t="s">
        <v>74</v>
      </c>
      <c r="G52" s="11" t="s">
        <v>64</v>
      </c>
      <c r="H52" s="48" t="str">
        <f>VLOOKUP(Table1[[#This Row],[Psoft No]],[1]Roster!$C$2:$H$1402,6,)</f>
        <v>AUH1</v>
      </c>
      <c r="I52" s="48" t="b">
        <f>Table1[[#This Row],[Building]]=Table1[[#This Row],[Column1]]</f>
        <v>1</v>
      </c>
      <c r="J52" s="11" t="s">
        <v>75</v>
      </c>
      <c r="K52" s="11">
        <v>1299</v>
      </c>
      <c r="L52" s="49" t="s">
        <v>32</v>
      </c>
      <c r="M52" s="49" t="s">
        <v>76</v>
      </c>
      <c r="N52" s="49" t="s">
        <v>77</v>
      </c>
      <c r="O52" s="49" t="s">
        <v>78</v>
      </c>
      <c r="P52" s="49" t="s">
        <v>89</v>
      </c>
      <c r="Q52" s="49" t="s">
        <v>67</v>
      </c>
      <c r="R52" s="11" t="s">
        <v>80</v>
      </c>
      <c r="S52" s="11" t="s">
        <v>87</v>
      </c>
      <c r="T52" s="11" t="s">
        <v>82</v>
      </c>
      <c r="U52" s="11" t="s">
        <v>2713</v>
      </c>
      <c r="V52" s="116" t="str">
        <f>VLOOKUP(Table1[[#This Row],[Psoft No]],[2]Sheet1!$A$2:$G$386,7,0)</f>
        <v>P</v>
      </c>
      <c r="W52" s="88"/>
      <c r="X52" s="51">
        <v>45586</v>
      </c>
      <c r="Y52" s="102" t="s">
        <v>1568</v>
      </c>
      <c r="Z52" s="135" t="s">
        <v>2</v>
      </c>
      <c r="AA52" s="135">
        <v>0</v>
      </c>
    </row>
    <row r="53" spans="1:27" ht="13" customHeight="1">
      <c r="A53" s="11">
        <v>47</v>
      </c>
      <c r="B53" s="47">
        <v>203469051</v>
      </c>
      <c r="C53" s="89" t="s">
        <v>2236</v>
      </c>
      <c r="D53" s="11" t="s">
        <v>2237</v>
      </c>
      <c r="E53" s="48" t="s">
        <v>31</v>
      </c>
      <c r="F53" s="48" t="s">
        <v>74</v>
      </c>
      <c r="G53" s="11" t="s">
        <v>64</v>
      </c>
      <c r="H53" s="48" t="str">
        <f>VLOOKUP(Table1[[#This Row],[Psoft No]],[1]Roster!$C$2:$H$1402,6,)</f>
        <v>AUH1</v>
      </c>
      <c r="I53" s="48" t="b">
        <f>Table1[[#This Row],[Building]]=Table1[[#This Row],[Column1]]</f>
        <v>1</v>
      </c>
      <c r="J53" s="11" t="s">
        <v>75</v>
      </c>
      <c r="K53" s="11">
        <v>1299</v>
      </c>
      <c r="L53" s="49" t="s">
        <v>32</v>
      </c>
      <c r="M53" s="49" t="s">
        <v>76</v>
      </c>
      <c r="N53" s="49" t="s">
        <v>84</v>
      </c>
      <c r="O53" s="49" t="s">
        <v>85</v>
      </c>
      <c r="P53" s="48" t="s">
        <v>79</v>
      </c>
      <c r="Q53" s="49" t="s">
        <v>67</v>
      </c>
      <c r="R53" s="11" t="s">
        <v>80</v>
      </c>
      <c r="S53" s="11" t="s">
        <v>81</v>
      </c>
      <c r="T53" s="11" t="s">
        <v>82</v>
      </c>
      <c r="U53" s="11" t="s">
        <v>2713</v>
      </c>
      <c r="V53" s="116" t="str">
        <f>VLOOKUP(Table1[[#This Row],[Psoft No]],[2]Sheet1!$A$2:$G$386,7,0)</f>
        <v>P</v>
      </c>
      <c r="W53" s="88"/>
      <c r="X53" s="51">
        <v>45456</v>
      </c>
      <c r="Y53" s="102" t="s">
        <v>1568</v>
      </c>
      <c r="Z53" s="135" t="s">
        <v>2</v>
      </c>
      <c r="AA53" s="135">
        <v>0</v>
      </c>
    </row>
    <row r="54" spans="1:27" ht="13" customHeight="1">
      <c r="A54" s="11">
        <v>48</v>
      </c>
      <c r="B54" s="47">
        <v>204299544</v>
      </c>
      <c r="C54" s="89" t="s">
        <v>106</v>
      </c>
      <c r="D54" s="11" t="s">
        <v>1928</v>
      </c>
      <c r="E54" s="48" t="s">
        <v>31</v>
      </c>
      <c r="F54" s="48" t="s">
        <v>74</v>
      </c>
      <c r="G54" s="11" t="s">
        <v>64</v>
      </c>
      <c r="H54" s="48" t="str">
        <f>VLOOKUP(Table1[[#This Row],[Psoft No]],[1]Roster!$C$2:$H$1402,6,)</f>
        <v>AUH1</v>
      </c>
      <c r="I54" s="48" t="b">
        <f>Table1[[#This Row],[Building]]=Table1[[#This Row],[Column1]]</f>
        <v>1</v>
      </c>
      <c r="J54" s="11" t="s">
        <v>75</v>
      </c>
      <c r="K54" s="11">
        <v>1299</v>
      </c>
      <c r="L54" s="49" t="s">
        <v>39</v>
      </c>
      <c r="M54" s="49" t="s">
        <v>76</v>
      </c>
      <c r="N54" s="49" t="s">
        <v>85</v>
      </c>
      <c r="O54" s="49" t="s">
        <v>88</v>
      </c>
      <c r="P54" s="48" t="s">
        <v>86</v>
      </c>
      <c r="Q54" s="49" t="s">
        <v>67</v>
      </c>
      <c r="R54" s="11" t="s">
        <v>80</v>
      </c>
      <c r="S54" s="11" t="s">
        <v>87</v>
      </c>
      <c r="T54" s="11" t="s">
        <v>82</v>
      </c>
      <c r="U54" s="11" t="s">
        <v>2713</v>
      </c>
      <c r="V54" s="116" t="s">
        <v>1</v>
      </c>
      <c r="W54" s="88"/>
      <c r="X54" s="51">
        <v>45586</v>
      </c>
      <c r="Y54" s="102" t="s">
        <v>1568</v>
      </c>
      <c r="Z54" s="135" t="s">
        <v>2</v>
      </c>
      <c r="AA54" s="135">
        <v>0</v>
      </c>
    </row>
    <row r="55" spans="1:27" ht="13" customHeight="1">
      <c r="A55" s="11">
        <v>49</v>
      </c>
      <c r="B55" s="47">
        <v>206949308</v>
      </c>
      <c r="C55" s="90" t="s">
        <v>2162</v>
      </c>
      <c r="D55" s="103" t="s">
        <v>2163</v>
      </c>
      <c r="E55" s="48" t="s">
        <v>31</v>
      </c>
      <c r="F55" s="48" t="s">
        <v>74</v>
      </c>
      <c r="G55" s="11" t="s">
        <v>64</v>
      </c>
      <c r="H55" s="48" t="str">
        <f>VLOOKUP(Table1[[#This Row],[Psoft No]],[1]Roster!$C$2:$H$1402,6,)</f>
        <v>AUH1</v>
      </c>
      <c r="I55" s="48" t="b">
        <f>Table1[[#This Row],[Building]]=Table1[[#This Row],[Column1]]</f>
        <v>1</v>
      </c>
      <c r="J55" s="11" t="s">
        <v>75</v>
      </c>
      <c r="K55" s="11">
        <v>1299</v>
      </c>
      <c r="L55" s="49" t="s">
        <v>32</v>
      </c>
      <c r="M55" s="49" t="s">
        <v>76</v>
      </c>
      <c r="N55" s="49" t="s">
        <v>84</v>
      </c>
      <c r="O55" s="49" t="s">
        <v>85</v>
      </c>
      <c r="P55" s="48" t="s">
        <v>86</v>
      </c>
      <c r="Q55" s="49" t="s">
        <v>67</v>
      </c>
      <c r="R55" s="49" t="s">
        <v>80</v>
      </c>
      <c r="S55" s="49" t="s">
        <v>90</v>
      </c>
      <c r="T55" s="11" t="s">
        <v>82</v>
      </c>
      <c r="U55" s="11" t="s">
        <v>2713</v>
      </c>
      <c r="V55" s="116" t="str">
        <f>VLOOKUP(Table1[[#This Row],[Psoft No]],[2]Sheet1!$A$2:$G$386,7,0)</f>
        <v>P</v>
      </c>
      <c r="W55" s="88"/>
      <c r="X55" s="51">
        <v>46048</v>
      </c>
      <c r="Y55" s="102" t="s">
        <v>1568</v>
      </c>
      <c r="Z55" s="135" t="s">
        <v>2</v>
      </c>
      <c r="AA55" s="135">
        <v>0</v>
      </c>
    </row>
    <row r="56" spans="1:27" ht="13" customHeight="1">
      <c r="A56" s="11">
        <v>50</v>
      </c>
      <c r="B56" s="47">
        <v>206949309</v>
      </c>
      <c r="C56" s="89" t="s">
        <v>2166</v>
      </c>
      <c r="D56" s="11" t="s">
        <v>2167</v>
      </c>
      <c r="E56" s="48" t="s">
        <v>31</v>
      </c>
      <c r="F56" s="48" t="s">
        <v>74</v>
      </c>
      <c r="G56" s="11" t="s">
        <v>64</v>
      </c>
      <c r="H56" s="48" t="str">
        <f>VLOOKUP(Table1[[#This Row],[Psoft No]],[1]Roster!$C$2:$H$1402,6,)</f>
        <v>AUH1</v>
      </c>
      <c r="I56" s="48" t="b">
        <f>Table1[[#This Row],[Building]]=Table1[[#This Row],[Column1]]</f>
        <v>1</v>
      </c>
      <c r="J56" s="11" t="s">
        <v>75</v>
      </c>
      <c r="K56" s="11">
        <v>1299</v>
      </c>
      <c r="L56" s="49" t="s">
        <v>39</v>
      </c>
      <c r="M56" s="49" t="s">
        <v>76</v>
      </c>
      <c r="N56" s="49" t="s">
        <v>84</v>
      </c>
      <c r="O56" s="49" t="s">
        <v>85</v>
      </c>
      <c r="P56" s="48" t="s">
        <v>86</v>
      </c>
      <c r="Q56" s="49" t="s">
        <v>67</v>
      </c>
      <c r="R56" s="11" t="s">
        <v>80</v>
      </c>
      <c r="S56" s="11" t="s">
        <v>90</v>
      </c>
      <c r="T56" s="11" t="s">
        <v>82</v>
      </c>
      <c r="U56" s="11" t="s">
        <v>2713</v>
      </c>
      <c r="V56" s="116" t="s">
        <v>1</v>
      </c>
      <c r="W56" s="88"/>
      <c r="X56" s="51">
        <v>46048</v>
      </c>
      <c r="Y56" s="97" t="s">
        <v>1568</v>
      </c>
      <c r="Z56" s="135" t="s">
        <v>2</v>
      </c>
      <c r="AA56" s="135">
        <v>0</v>
      </c>
    </row>
    <row r="57" spans="1:27" ht="13" customHeight="1">
      <c r="A57" s="11">
        <v>51</v>
      </c>
      <c r="B57" s="47">
        <v>102207650</v>
      </c>
      <c r="C57" s="90" t="s">
        <v>2691</v>
      </c>
      <c r="D57" s="103" t="s">
        <v>2692</v>
      </c>
      <c r="E57" s="48" t="s">
        <v>34</v>
      </c>
      <c r="F57" s="48" t="s">
        <v>74</v>
      </c>
      <c r="G57" s="11" t="s">
        <v>64</v>
      </c>
      <c r="H57" s="48" t="str">
        <f>VLOOKUP(Table1[[#This Row],[Psoft No]],[1]Roster!$C$2:$H$1402,6,)</f>
        <v>AUH1</v>
      </c>
      <c r="I57" s="48" t="b">
        <f>Table1[[#This Row],[Building]]=Table1[[#This Row],[Column1]]</f>
        <v>1</v>
      </c>
      <c r="J57" s="11" t="s">
        <v>75</v>
      </c>
      <c r="K57" s="11">
        <v>1299</v>
      </c>
      <c r="L57" s="49" t="s">
        <v>32</v>
      </c>
      <c r="M57" s="49" t="s">
        <v>76</v>
      </c>
      <c r="N57" s="49" t="s">
        <v>85</v>
      </c>
      <c r="O57" s="49" t="s">
        <v>88</v>
      </c>
      <c r="P57" s="48" t="s">
        <v>108</v>
      </c>
      <c r="Q57" s="49" t="s">
        <v>67</v>
      </c>
      <c r="R57" s="49" t="s">
        <v>80</v>
      </c>
      <c r="S57" s="49" t="s">
        <v>98</v>
      </c>
      <c r="T57" s="11" t="s">
        <v>82</v>
      </c>
      <c r="U57" s="11" t="s">
        <v>2713</v>
      </c>
      <c r="V57" s="116" t="s">
        <v>3</v>
      </c>
      <c r="W57" s="88"/>
      <c r="X57" s="51">
        <v>42868</v>
      </c>
      <c r="Y57" s="102" t="s">
        <v>1568</v>
      </c>
      <c r="Z57" s="135" t="s">
        <v>3023</v>
      </c>
      <c r="AA57" s="135">
        <v>0</v>
      </c>
    </row>
    <row r="58" spans="1:27" ht="13" customHeight="1">
      <c r="A58" s="11">
        <v>52</v>
      </c>
      <c r="B58" s="47">
        <v>204095444</v>
      </c>
      <c r="C58" s="89" t="s">
        <v>1359</v>
      </c>
      <c r="D58" s="11" t="s">
        <v>1988</v>
      </c>
      <c r="E58" s="48" t="s">
        <v>31</v>
      </c>
      <c r="F58" s="48" t="s">
        <v>74</v>
      </c>
      <c r="G58" s="11" t="s">
        <v>64</v>
      </c>
      <c r="H58" s="48" t="str">
        <f>VLOOKUP(Table1[[#This Row],[Psoft No]],[1]Roster!$C$2:$H$1402,6,)</f>
        <v>AUH1</v>
      </c>
      <c r="I58" s="48" t="b">
        <f>Table1[[#This Row],[Building]]=Table1[[#This Row],[Column1]]</f>
        <v>1</v>
      </c>
      <c r="J58" s="11" t="s">
        <v>75</v>
      </c>
      <c r="K58" s="11">
        <v>1299</v>
      </c>
      <c r="L58" s="49" t="s">
        <v>39</v>
      </c>
      <c r="M58" s="49" t="s">
        <v>76</v>
      </c>
      <c r="N58" s="49" t="s">
        <v>88</v>
      </c>
      <c r="O58" s="49" t="s">
        <v>95</v>
      </c>
      <c r="P58" s="48" t="s">
        <v>86</v>
      </c>
      <c r="Q58" s="49" t="s">
        <v>67</v>
      </c>
      <c r="R58" s="11" t="s">
        <v>80</v>
      </c>
      <c r="S58" s="11" t="s">
        <v>87</v>
      </c>
      <c r="T58" s="11" t="s">
        <v>82</v>
      </c>
      <c r="U58" s="11" t="s">
        <v>2713</v>
      </c>
      <c r="V58" s="116" t="s">
        <v>1</v>
      </c>
      <c r="W58" s="88"/>
      <c r="X58" s="51">
        <v>45561</v>
      </c>
      <c r="Y58" s="102" t="s">
        <v>1568</v>
      </c>
      <c r="Z58" s="135" t="s">
        <v>2</v>
      </c>
      <c r="AA58" s="135">
        <v>0</v>
      </c>
    </row>
    <row r="59" spans="1:27" ht="13" customHeight="1">
      <c r="A59" s="11">
        <v>53</v>
      </c>
      <c r="B59" s="47">
        <v>206348021</v>
      </c>
      <c r="C59" s="89" t="s">
        <v>1707</v>
      </c>
      <c r="D59" s="11" t="s">
        <v>1989</v>
      </c>
      <c r="E59" s="48" t="s">
        <v>31</v>
      </c>
      <c r="F59" s="48" t="s">
        <v>74</v>
      </c>
      <c r="G59" s="11" t="s">
        <v>64</v>
      </c>
      <c r="H59" s="48" t="str">
        <f>VLOOKUP(Table1[[#This Row],[Psoft No]],[1]Roster!$C$2:$H$1402,6,)</f>
        <v>AUH1</v>
      </c>
      <c r="I59" s="48" t="b">
        <f>Table1[[#This Row],[Building]]=Table1[[#This Row],[Column1]]</f>
        <v>1</v>
      </c>
      <c r="J59" s="11" t="s">
        <v>75</v>
      </c>
      <c r="K59" s="11">
        <v>1299</v>
      </c>
      <c r="L59" s="49" t="s">
        <v>39</v>
      </c>
      <c r="M59" s="49" t="s">
        <v>76</v>
      </c>
      <c r="N59" s="49" t="s">
        <v>78</v>
      </c>
      <c r="O59" s="49" t="s">
        <v>92</v>
      </c>
      <c r="P59" s="48" t="s">
        <v>89</v>
      </c>
      <c r="Q59" s="49" t="s">
        <v>67</v>
      </c>
      <c r="R59" s="11" t="s">
        <v>80</v>
      </c>
      <c r="S59" s="11" t="s">
        <v>81</v>
      </c>
      <c r="T59" s="11" t="s">
        <v>82</v>
      </c>
      <c r="U59" s="11" t="s">
        <v>2713</v>
      </c>
      <c r="V59" s="116" t="s">
        <v>10</v>
      </c>
      <c r="W59" s="88"/>
      <c r="X59" s="51">
        <v>45957</v>
      </c>
      <c r="Y59" s="102" t="s">
        <v>1568</v>
      </c>
      <c r="Z59" s="135" t="s">
        <v>3023</v>
      </c>
      <c r="AA59" s="135">
        <v>0</v>
      </c>
    </row>
    <row r="60" spans="1:27" ht="13" customHeight="1">
      <c r="A60" s="11">
        <v>54</v>
      </c>
      <c r="B60" s="47">
        <v>206957735</v>
      </c>
      <c r="C60" s="89" t="s">
        <v>2115</v>
      </c>
      <c r="D60" s="11" t="s">
        <v>2038</v>
      </c>
      <c r="E60" s="48" t="s">
        <v>31</v>
      </c>
      <c r="F60" s="48" t="s">
        <v>74</v>
      </c>
      <c r="G60" s="11" t="s">
        <v>64</v>
      </c>
      <c r="H60" s="48" t="str">
        <f>VLOOKUP(Table1[[#This Row],[Psoft No]],[1]Roster!$C$2:$H$1402,6,)</f>
        <v>AUH1</v>
      </c>
      <c r="I60" s="48" t="b">
        <f>Table1[[#This Row],[Building]]=Table1[[#This Row],[Column1]]</f>
        <v>1</v>
      </c>
      <c r="J60" s="11" t="s">
        <v>75</v>
      </c>
      <c r="K60" s="11">
        <v>1299</v>
      </c>
      <c r="L60" s="49" t="s">
        <v>32</v>
      </c>
      <c r="M60" s="49" t="s">
        <v>76</v>
      </c>
      <c r="N60" s="49" t="s">
        <v>92</v>
      </c>
      <c r="O60" s="49" t="s">
        <v>84</v>
      </c>
      <c r="P60" s="49" t="s">
        <v>89</v>
      </c>
      <c r="Q60" s="49" t="s">
        <v>67</v>
      </c>
      <c r="R60" s="11" t="s">
        <v>80</v>
      </c>
      <c r="S60" s="11" t="s">
        <v>96</v>
      </c>
      <c r="T60" s="11" t="s">
        <v>82</v>
      </c>
      <c r="U60" s="11" t="s">
        <v>2713</v>
      </c>
      <c r="V60" s="116" t="s">
        <v>10</v>
      </c>
      <c r="W60" s="88"/>
      <c r="X60" s="51">
        <v>46048</v>
      </c>
      <c r="Y60" s="102" t="s">
        <v>1568</v>
      </c>
      <c r="Z60" s="135" t="s">
        <v>3023</v>
      </c>
      <c r="AA60" s="135">
        <v>0</v>
      </c>
    </row>
    <row r="61" spans="1:27" ht="13" customHeight="1">
      <c r="A61" s="11">
        <v>55</v>
      </c>
      <c r="B61" s="47">
        <v>203469401</v>
      </c>
      <c r="C61" s="90" t="s">
        <v>121</v>
      </c>
      <c r="D61" s="103" t="s">
        <v>1941</v>
      </c>
      <c r="E61" s="103" t="s">
        <v>31</v>
      </c>
      <c r="F61" s="48" t="s">
        <v>74</v>
      </c>
      <c r="G61" s="11" t="s">
        <v>64</v>
      </c>
      <c r="H61" s="48" t="str">
        <f>VLOOKUP(Table1[[#This Row],[Psoft No]],[1]Roster!$C$2:$H$1402,6,)</f>
        <v>AUH1</v>
      </c>
      <c r="I61" s="48" t="b">
        <f>Table1[[#This Row],[Building]]=Table1[[#This Row],[Column1]]</f>
        <v>1</v>
      </c>
      <c r="J61" s="11" t="s">
        <v>75</v>
      </c>
      <c r="K61" s="11">
        <v>1299</v>
      </c>
      <c r="L61" s="49" t="s">
        <v>32</v>
      </c>
      <c r="M61" s="49" t="s">
        <v>76</v>
      </c>
      <c r="N61" s="49" t="s">
        <v>88</v>
      </c>
      <c r="O61" s="49" t="s">
        <v>95</v>
      </c>
      <c r="P61" s="48" t="s">
        <v>86</v>
      </c>
      <c r="Q61" s="49" t="s">
        <v>67</v>
      </c>
      <c r="R61" s="49" t="s">
        <v>80</v>
      </c>
      <c r="S61" s="49" t="s">
        <v>99</v>
      </c>
      <c r="T61" s="11" t="s">
        <v>82</v>
      </c>
      <c r="U61" s="11" t="s">
        <v>2713</v>
      </c>
      <c r="V61" s="116" t="s">
        <v>7</v>
      </c>
      <c r="W61" s="88" t="s">
        <v>3015</v>
      </c>
      <c r="X61" s="51">
        <v>45456</v>
      </c>
      <c r="Y61" s="102" t="s">
        <v>1568</v>
      </c>
      <c r="Z61" s="135" t="s">
        <v>3023</v>
      </c>
      <c r="AA61" s="135" t="s">
        <v>3024</v>
      </c>
    </row>
    <row r="62" spans="1:27" ht="13" customHeight="1">
      <c r="A62" s="11">
        <v>56</v>
      </c>
      <c r="B62" s="47">
        <v>206957724</v>
      </c>
      <c r="C62" s="89" t="s">
        <v>2116</v>
      </c>
      <c r="D62" s="11" t="s">
        <v>2039</v>
      </c>
      <c r="E62" s="48" t="s">
        <v>31</v>
      </c>
      <c r="F62" s="48" t="s">
        <v>74</v>
      </c>
      <c r="G62" s="11" t="s">
        <v>64</v>
      </c>
      <c r="H62" s="48" t="str">
        <f>VLOOKUP(Table1[[#This Row],[Psoft No]],[1]Roster!$C$2:$H$1402,6,)</f>
        <v>AUH1</v>
      </c>
      <c r="I62" s="48" t="b">
        <f>Table1[[#This Row],[Building]]=Table1[[#This Row],[Column1]]</f>
        <v>1</v>
      </c>
      <c r="J62" s="11" t="s">
        <v>75</v>
      </c>
      <c r="K62" s="11">
        <v>1299</v>
      </c>
      <c r="L62" s="49" t="s">
        <v>32</v>
      </c>
      <c r="M62" s="49" t="s">
        <v>76</v>
      </c>
      <c r="N62" s="49" t="s">
        <v>84</v>
      </c>
      <c r="O62" s="49" t="s">
        <v>85</v>
      </c>
      <c r="P62" s="48" t="s">
        <v>89</v>
      </c>
      <c r="Q62" s="49" t="s">
        <v>67</v>
      </c>
      <c r="R62" s="11" t="s">
        <v>80</v>
      </c>
      <c r="S62" s="11" t="s">
        <v>96</v>
      </c>
      <c r="T62" s="11" t="s">
        <v>82</v>
      </c>
      <c r="U62" s="11" t="s">
        <v>2713</v>
      </c>
      <c r="V62" s="116" t="str">
        <f>VLOOKUP(Table1[[#This Row],[Psoft No]],[2]Sheet1!$A$2:$G$386,7,0)</f>
        <v>P</v>
      </c>
      <c r="W62" s="88"/>
      <c r="X62" s="51">
        <v>46048</v>
      </c>
      <c r="Y62" s="102" t="s">
        <v>1568</v>
      </c>
      <c r="Z62" s="135" t="s">
        <v>2</v>
      </c>
      <c r="AA62" s="135">
        <v>0</v>
      </c>
    </row>
    <row r="63" spans="1:27" ht="13" customHeight="1">
      <c r="A63" s="11">
        <v>57</v>
      </c>
      <c r="B63" s="47">
        <v>206954239</v>
      </c>
      <c r="C63" s="89" t="s">
        <v>2152</v>
      </c>
      <c r="D63" s="11" t="s">
        <v>2153</v>
      </c>
      <c r="E63" s="48" t="s">
        <v>31</v>
      </c>
      <c r="F63" s="48" t="s">
        <v>74</v>
      </c>
      <c r="G63" s="11" t="s">
        <v>64</v>
      </c>
      <c r="H63" s="48" t="str">
        <f>VLOOKUP(Table1[[#This Row],[Psoft No]],[1]Roster!$C$2:$H$1402,6,)</f>
        <v>AUH1</v>
      </c>
      <c r="I63" s="48" t="b">
        <f>Table1[[#This Row],[Building]]=Table1[[#This Row],[Column1]]</f>
        <v>1</v>
      </c>
      <c r="J63" s="11" t="s">
        <v>75</v>
      </c>
      <c r="K63" s="11">
        <v>1299</v>
      </c>
      <c r="L63" s="49" t="s">
        <v>39</v>
      </c>
      <c r="M63" s="49" t="s">
        <v>76</v>
      </c>
      <c r="N63" s="49" t="s">
        <v>88</v>
      </c>
      <c r="O63" s="49" t="s">
        <v>95</v>
      </c>
      <c r="P63" s="49" t="s">
        <v>86</v>
      </c>
      <c r="Q63" s="49" t="s">
        <v>67</v>
      </c>
      <c r="R63" s="11" t="s">
        <v>80</v>
      </c>
      <c r="S63" s="11" t="s">
        <v>90</v>
      </c>
      <c r="T63" s="11" t="s">
        <v>82</v>
      </c>
      <c r="U63" s="11" t="s">
        <v>2713</v>
      </c>
      <c r="V63" s="116" t="s">
        <v>1</v>
      </c>
      <c r="W63" s="88"/>
      <c r="X63" s="51">
        <v>46048</v>
      </c>
      <c r="Y63" s="102" t="s">
        <v>1568</v>
      </c>
      <c r="Z63" s="135" t="s">
        <v>2</v>
      </c>
      <c r="AA63" s="135">
        <v>0</v>
      </c>
    </row>
    <row r="64" spans="1:27" ht="13" customHeight="1">
      <c r="A64" s="11">
        <v>58</v>
      </c>
      <c r="B64" s="47">
        <v>206875150</v>
      </c>
      <c r="C64" s="90" t="s">
        <v>1718</v>
      </c>
      <c r="D64" s="103" t="s">
        <v>1719</v>
      </c>
      <c r="E64" s="48" t="s">
        <v>31</v>
      </c>
      <c r="F64" s="48" t="s">
        <v>74</v>
      </c>
      <c r="G64" s="11" t="s">
        <v>64</v>
      </c>
      <c r="H64" s="48" t="str">
        <f>VLOOKUP(Table1[[#This Row],[Psoft No]],[1]Roster!$C$2:$H$1402,6,)</f>
        <v>AUH1</v>
      </c>
      <c r="I64" s="48" t="b">
        <f>Table1[[#This Row],[Building]]=Table1[[#This Row],[Column1]]</f>
        <v>1</v>
      </c>
      <c r="J64" s="11" t="s">
        <v>75</v>
      </c>
      <c r="K64" s="11">
        <v>1299</v>
      </c>
      <c r="L64" s="49" t="s">
        <v>32</v>
      </c>
      <c r="M64" s="49" t="s">
        <v>76</v>
      </c>
      <c r="N64" s="49" t="s">
        <v>78</v>
      </c>
      <c r="O64" s="49" t="s">
        <v>92</v>
      </c>
      <c r="P64" s="48" t="s">
        <v>89</v>
      </c>
      <c r="Q64" s="49" t="s">
        <v>67</v>
      </c>
      <c r="R64" s="49" t="s">
        <v>80</v>
      </c>
      <c r="S64" s="49" t="s">
        <v>90</v>
      </c>
      <c r="T64" s="11" t="s">
        <v>82</v>
      </c>
      <c r="U64" s="11" t="s">
        <v>2713</v>
      </c>
      <c r="V64" s="116" t="s">
        <v>10</v>
      </c>
      <c r="W64" s="88"/>
      <c r="X64" s="51">
        <v>46020</v>
      </c>
      <c r="Y64" s="102" t="s">
        <v>1568</v>
      </c>
      <c r="Z64" s="135" t="s">
        <v>3023</v>
      </c>
      <c r="AA64" s="135">
        <v>0</v>
      </c>
    </row>
    <row r="65" spans="1:27" ht="13" customHeight="1">
      <c r="A65" s="11">
        <v>59</v>
      </c>
      <c r="B65" s="47">
        <v>203469452</v>
      </c>
      <c r="C65" s="89" t="s">
        <v>2238</v>
      </c>
      <c r="D65" s="11" t="s">
        <v>2693</v>
      </c>
      <c r="E65" s="48" t="s">
        <v>31</v>
      </c>
      <c r="F65" s="48" t="s">
        <v>74</v>
      </c>
      <c r="G65" s="48" t="s">
        <v>64</v>
      </c>
      <c r="H65" s="48" t="str">
        <f>VLOOKUP(Table1[[#This Row],[Psoft No]],[1]Roster!$C$2:$H$1402,6,)</f>
        <v>AUH1</v>
      </c>
      <c r="I65" s="48" t="b">
        <f>Table1[[#This Row],[Building]]=Table1[[#This Row],[Column1]]</f>
        <v>1</v>
      </c>
      <c r="J65" s="48" t="s">
        <v>75</v>
      </c>
      <c r="K65" s="11">
        <v>1299</v>
      </c>
      <c r="L65" s="49" t="s">
        <v>39</v>
      </c>
      <c r="M65" s="49" t="s">
        <v>76</v>
      </c>
      <c r="N65" s="49" t="s">
        <v>92</v>
      </c>
      <c r="O65" s="49" t="s">
        <v>84</v>
      </c>
      <c r="P65" s="49" t="s">
        <v>86</v>
      </c>
      <c r="Q65" s="48" t="s">
        <v>67</v>
      </c>
      <c r="R65" s="48" t="s">
        <v>80</v>
      </c>
      <c r="S65" s="11" t="s">
        <v>99</v>
      </c>
      <c r="T65" s="11" t="s">
        <v>82</v>
      </c>
      <c r="U65" s="11" t="s">
        <v>2713</v>
      </c>
      <c r="V65" s="116" t="s">
        <v>10</v>
      </c>
      <c r="W65" s="88"/>
      <c r="X65" s="51">
        <v>45456</v>
      </c>
      <c r="Y65" s="102" t="s">
        <v>1568</v>
      </c>
      <c r="Z65" s="135" t="s">
        <v>3023</v>
      </c>
      <c r="AA65" s="135">
        <v>0</v>
      </c>
    </row>
    <row r="66" spans="1:27" ht="13" customHeight="1">
      <c r="A66" s="11">
        <v>60</v>
      </c>
      <c r="B66" s="47">
        <v>204299903</v>
      </c>
      <c r="C66" s="89" t="s">
        <v>2452</v>
      </c>
      <c r="D66" s="11" t="s">
        <v>2694</v>
      </c>
      <c r="E66" s="48" t="s">
        <v>31</v>
      </c>
      <c r="F66" s="48" t="s">
        <v>74</v>
      </c>
      <c r="G66" s="11" t="s">
        <v>64</v>
      </c>
      <c r="H66" s="48" t="str">
        <f>VLOOKUP(Table1[[#This Row],[Psoft No]],[1]Roster!$C$2:$H$1402,6,)</f>
        <v>AUH1</v>
      </c>
      <c r="I66" s="48" t="b">
        <f>Table1[[#This Row],[Building]]=Table1[[#This Row],[Column1]]</f>
        <v>1</v>
      </c>
      <c r="J66" s="11" t="s">
        <v>75</v>
      </c>
      <c r="K66" s="11">
        <v>1299</v>
      </c>
      <c r="L66" s="49" t="s">
        <v>39</v>
      </c>
      <c r="M66" s="49" t="s">
        <v>76</v>
      </c>
      <c r="N66" s="49" t="s">
        <v>92</v>
      </c>
      <c r="O66" s="49" t="s">
        <v>84</v>
      </c>
      <c r="P66" s="48" t="s">
        <v>86</v>
      </c>
      <c r="Q66" s="49" t="s">
        <v>67</v>
      </c>
      <c r="R66" s="11" t="s">
        <v>80</v>
      </c>
      <c r="S66" s="11" t="s">
        <v>87</v>
      </c>
      <c r="T66" s="11" t="s">
        <v>82</v>
      </c>
      <c r="U66" s="11" t="s">
        <v>2713</v>
      </c>
      <c r="V66" s="116" t="s">
        <v>10</v>
      </c>
      <c r="W66" s="88"/>
      <c r="X66" s="51">
        <v>45586</v>
      </c>
      <c r="Y66" s="97" t="s">
        <v>1568</v>
      </c>
      <c r="Z66" s="135" t="s">
        <v>3023</v>
      </c>
      <c r="AA66" s="135">
        <v>0</v>
      </c>
    </row>
    <row r="67" spans="1:27" ht="13" customHeight="1">
      <c r="A67" s="11">
        <v>61</v>
      </c>
      <c r="B67" s="47">
        <v>204299902</v>
      </c>
      <c r="C67" s="89" t="s">
        <v>2239</v>
      </c>
      <c r="D67" s="11" t="s">
        <v>2695</v>
      </c>
      <c r="E67" s="48" t="s">
        <v>31</v>
      </c>
      <c r="F67" s="48" t="s">
        <v>74</v>
      </c>
      <c r="G67" s="11" t="s">
        <v>64</v>
      </c>
      <c r="H67" s="48" t="str">
        <f>VLOOKUP(Table1[[#This Row],[Psoft No]],[1]Roster!$C$2:$H$1402,6,)</f>
        <v>AUH1</v>
      </c>
      <c r="I67" s="48" t="b">
        <f>Table1[[#This Row],[Building]]=Table1[[#This Row],[Column1]]</f>
        <v>1</v>
      </c>
      <c r="J67" s="11" t="s">
        <v>75</v>
      </c>
      <c r="K67" s="11">
        <v>1299</v>
      </c>
      <c r="L67" s="49" t="s">
        <v>32</v>
      </c>
      <c r="M67" s="49" t="s">
        <v>76</v>
      </c>
      <c r="N67" s="49" t="s">
        <v>85</v>
      </c>
      <c r="O67" s="49" t="s">
        <v>88</v>
      </c>
      <c r="P67" s="48" t="s">
        <v>89</v>
      </c>
      <c r="Q67" s="49" t="s">
        <v>67</v>
      </c>
      <c r="R67" s="11" t="s">
        <v>80</v>
      </c>
      <c r="S67" s="11" t="s">
        <v>87</v>
      </c>
      <c r="T67" s="11" t="s">
        <v>82</v>
      </c>
      <c r="U67" s="11" t="s">
        <v>2713</v>
      </c>
      <c r="V67" s="116" t="str">
        <f>VLOOKUP(Table1[[#This Row],[Psoft No]],[2]Sheet1!$A$2:$G$386,7,0)</f>
        <v>P</v>
      </c>
      <c r="W67" s="88"/>
      <c r="X67" s="51">
        <v>45586</v>
      </c>
      <c r="Y67" s="102" t="s">
        <v>1568</v>
      </c>
      <c r="Z67" s="135" t="s">
        <v>2</v>
      </c>
      <c r="AA67" s="135">
        <v>0</v>
      </c>
    </row>
    <row r="68" spans="1:27" ht="13" customHeight="1">
      <c r="A68" s="11">
        <v>62</v>
      </c>
      <c r="B68" s="47">
        <v>204319462</v>
      </c>
      <c r="C68" s="89" t="s">
        <v>110</v>
      </c>
      <c r="D68" s="11" t="s">
        <v>1931</v>
      </c>
      <c r="E68" s="48" t="s">
        <v>31</v>
      </c>
      <c r="F68" s="48" t="s">
        <v>74</v>
      </c>
      <c r="G68" s="11" t="s">
        <v>64</v>
      </c>
      <c r="H68" s="48" t="str">
        <f>VLOOKUP(Table1[[#This Row],[Psoft No]],[1]Roster!$C$2:$H$1402,6,)</f>
        <v>AUH1</v>
      </c>
      <c r="I68" s="48" t="b">
        <f>Table1[[#This Row],[Building]]=Table1[[#This Row],[Column1]]</f>
        <v>1</v>
      </c>
      <c r="J68" s="11" t="s">
        <v>75</v>
      </c>
      <c r="K68" s="11">
        <v>1299</v>
      </c>
      <c r="L68" s="49" t="s">
        <v>39</v>
      </c>
      <c r="M68" s="49" t="s">
        <v>76</v>
      </c>
      <c r="N68" s="49" t="s">
        <v>92</v>
      </c>
      <c r="O68" s="49" t="s">
        <v>84</v>
      </c>
      <c r="P68" s="49" t="s">
        <v>89</v>
      </c>
      <c r="Q68" s="49" t="s">
        <v>67</v>
      </c>
      <c r="R68" s="11" t="s">
        <v>80</v>
      </c>
      <c r="S68" s="11" t="s">
        <v>87</v>
      </c>
      <c r="T68" s="11" t="s">
        <v>82</v>
      </c>
      <c r="U68" s="11" t="s">
        <v>2713</v>
      </c>
      <c r="V68" s="116" t="s">
        <v>10</v>
      </c>
      <c r="W68" s="88"/>
      <c r="X68" s="51">
        <v>45589</v>
      </c>
      <c r="Y68" s="102" t="s">
        <v>1568</v>
      </c>
      <c r="Z68" s="135" t="s">
        <v>3023</v>
      </c>
      <c r="AA68" s="135">
        <v>0</v>
      </c>
    </row>
    <row r="69" spans="1:27" ht="13" customHeight="1">
      <c r="A69" s="11">
        <v>63</v>
      </c>
      <c r="B69" s="47">
        <v>204299911</v>
      </c>
      <c r="C69" s="89" t="s">
        <v>2474</v>
      </c>
      <c r="D69" s="11" t="s">
        <v>2475</v>
      </c>
      <c r="E69" s="48" t="s">
        <v>31</v>
      </c>
      <c r="F69" s="48" t="s">
        <v>74</v>
      </c>
      <c r="G69" s="11" t="s">
        <v>64</v>
      </c>
      <c r="H69" s="48" t="str">
        <f>VLOOKUP(Table1[[#This Row],[Psoft No]],[1]Roster!$C$2:$H$1402,6,)</f>
        <v>AUH1</v>
      </c>
      <c r="I69" s="48" t="b">
        <f>Table1[[#This Row],[Building]]=Table1[[#This Row],[Column1]]</f>
        <v>1</v>
      </c>
      <c r="J69" s="11" t="s">
        <v>75</v>
      </c>
      <c r="K69" s="11">
        <v>1299</v>
      </c>
      <c r="L69" s="49" t="s">
        <v>39</v>
      </c>
      <c r="M69" s="49" t="s">
        <v>76</v>
      </c>
      <c r="N69" s="49" t="s">
        <v>95</v>
      </c>
      <c r="O69" s="49" t="s">
        <v>77</v>
      </c>
      <c r="P69" s="49" t="s">
        <v>86</v>
      </c>
      <c r="Q69" s="49" t="s">
        <v>67</v>
      </c>
      <c r="R69" s="11" t="s">
        <v>80</v>
      </c>
      <c r="S69" s="11" t="s">
        <v>87</v>
      </c>
      <c r="T69" s="11" t="s">
        <v>82</v>
      </c>
      <c r="U69" s="11" t="s">
        <v>2713</v>
      </c>
      <c r="V69" s="116" t="s">
        <v>1</v>
      </c>
      <c r="W69" s="88"/>
      <c r="X69" s="51">
        <v>45586</v>
      </c>
      <c r="Y69" s="102" t="s">
        <v>1568</v>
      </c>
      <c r="Z69" s="135" t="s">
        <v>2</v>
      </c>
      <c r="AA69" s="135">
        <v>0</v>
      </c>
    </row>
    <row r="70" spans="1:27" ht="13" customHeight="1">
      <c r="A70" s="11">
        <v>64</v>
      </c>
      <c r="B70" s="47">
        <v>203679308</v>
      </c>
      <c r="C70" s="89" t="s">
        <v>2240</v>
      </c>
      <c r="D70" s="11" t="s">
        <v>2241</v>
      </c>
      <c r="E70" s="48" t="s">
        <v>31</v>
      </c>
      <c r="F70" s="48" t="s">
        <v>74</v>
      </c>
      <c r="G70" s="11" t="s">
        <v>64</v>
      </c>
      <c r="H70" s="48" t="str">
        <f>VLOOKUP(Table1[[#This Row],[Psoft No]],[1]Roster!$C$2:$H$1402,6,)</f>
        <v>AUH1</v>
      </c>
      <c r="I70" s="48" t="b">
        <f>Table1[[#This Row],[Building]]=Table1[[#This Row],[Column1]]</f>
        <v>1</v>
      </c>
      <c r="J70" s="11" t="s">
        <v>75</v>
      </c>
      <c r="K70" s="11">
        <v>1299</v>
      </c>
      <c r="L70" s="49" t="s">
        <v>32</v>
      </c>
      <c r="M70" s="49" t="s">
        <v>76</v>
      </c>
      <c r="N70" s="49" t="s">
        <v>88</v>
      </c>
      <c r="O70" s="49" t="s">
        <v>95</v>
      </c>
      <c r="P70" s="48" t="s">
        <v>79</v>
      </c>
      <c r="Q70" s="49" t="s">
        <v>67</v>
      </c>
      <c r="R70" s="11" t="s">
        <v>80</v>
      </c>
      <c r="S70" s="11" t="s">
        <v>81</v>
      </c>
      <c r="T70" s="11" t="s">
        <v>82</v>
      </c>
      <c r="U70" s="11" t="s">
        <v>2713</v>
      </c>
      <c r="V70" s="116" t="str">
        <f>VLOOKUP(Table1[[#This Row],[Psoft No]],[2]Sheet1!$A$2:$G$386,7,0)</f>
        <v>P</v>
      </c>
      <c r="W70" s="88"/>
      <c r="X70" s="51">
        <v>45488</v>
      </c>
      <c r="Y70" s="102" t="s">
        <v>1568</v>
      </c>
      <c r="Z70" s="135" t="s">
        <v>2</v>
      </c>
      <c r="AA70" s="135">
        <v>0</v>
      </c>
    </row>
    <row r="71" spans="1:27" ht="13" customHeight="1">
      <c r="A71" s="11">
        <v>65</v>
      </c>
      <c r="B71" s="47">
        <v>206072869</v>
      </c>
      <c r="C71" s="89" t="s">
        <v>2476</v>
      </c>
      <c r="D71" s="11" t="s">
        <v>2696</v>
      </c>
      <c r="E71" s="48" t="s">
        <v>31</v>
      </c>
      <c r="F71" s="48" t="s">
        <v>74</v>
      </c>
      <c r="G71" s="11" t="s">
        <v>64</v>
      </c>
      <c r="H71" s="48" t="str">
        <f>VLOOKUP(Table1[[#This Row],[Psoft No]],[1]Roster!$C$2:$H$1402,6,)</f>
        <v>AUH1</v>
      </c>
      <c r="I71" s="48" t="b">
        <f>Table1[[#This Row],[Building]]=Table1[[#This Row],[Column1]]</f>
        <v>1</v>
      </c>
      <c r="J71" s="11" t="s">
        <v>75</v>
      </c>
      <c r="K71" s="11">
        <v>1299</v>
      </c>
      <c r="L71" s="49" t="s">
        <v>32</v>
      </c>
      <c r="M71" s="49" t="s">
        <v>76</v>
      </c>
      <c r="N71" s="49" t="s">
        <v>95</v>
      </c>
      <c r="O71" s="49" t="s">
        <v>77</v>
      </c>
      <c r="P71" s="48" t="s">
        <v>89</v>
      </c>
      <c r="Q71" s="49" t="s">
        <v>67</v>
      </c>
      <c r="R71" s="11" t="s">
        <v>80</v>
      </c>
      <c r="S71" s="11" t="s">
        <v>81</v>
      </c>
      <c r="T71" s="11" t="s">
        <v>82</v>
      </c>
      <c r="U71" s="11" t="s">
        <v>2713</v>
      </c>
      <c r="V71" s="116" t="str">
        <f>VLOOKUP(Table1[[#This Row],[Psoft No]],[2]Sheet1!$A$2:$G$386,7,0)</f>
        <v>P</v>
      </c>
      <c r="W71" s="88"/>
      <c r="X71" s="51">
        <v>45922</v>
      </c>
      <c r="Y71" s="102" t="s">
        <v>1568</v>
      </c>
      <c r="Z71" s="135" t="s">
        <v>2</v>
      </c>
      <c r="AA71" s="135">
        <v>0</v>
      </c>
    </row>
    <row r="72" spans="1:27" ht="13" customHeight="1">
      <c r="A72" s="11">
        <v>66</v>
      </c>
      <c r="B72" s="47">
        <v>204299913</v>
      </c>
      <c r="C72" s="89" t="s">
        <v>2242</v>
      </c>
      <c r="D72" s="11" t="s">
        <v>2243</v>
      </c>
      <c r="E72" s="48" t="s">
        <v>31</v>
      </c>
      <c r="F72" s="48" t="s">
        <v>74</v>
      </c>
      <c r="G72" s="11" t="s">
        <v>64</v>
      </c>
      <c r="H72" s="48" t="str">
        <f>VLOOKUP(Table1[[#This Row],[Psoft No]],[1]Roster!$C$2:$H$1402,6,)</f>
        <v>AUH1</v>
      </c>
      <c r="I72" s="48" t="b">
        <f>Table1[[#This Row],[Building]]=Table1[[#This Row],[Column1]]</f>
        <v>1</v>
      </c>
      <c r="J72" s="11" t="s">
        <v>75</v>
      </c>
      <c r="K72" s="11">
        <v>1299</v>
      </c>
      <c r="L72" s="49" t="s">
        <v>39</v>
      </c>
      <c r="M72" s="49" t="s">
        <v>76</v>
      </c>
      <c r="N72" s="49" t="s">
        <v>88</v>
      </c>
      <c r="O72" s="49" t="s">
        <v>95</v>
      </c>
      <c r="P72" s="49" t="s">
        <v>86</v>
      </c>
      <c r="Q72" s="49" t="s">
        <v>67</v>
      </c>
      <c r="R72" s="11" t="s">
        <v>80</v>
      </c>
      <c r="S72" s="11" t="s">
        <v>87</v>
      </c>
      <c r="T72" s="11" t="s">
        <v>82</v>
      </c>
      <c r="U72" s="11" t="s">
        <v>2713</v>
      </c>
      <c r="V72" s="116" t="s">
        <v>1</v>
      </c>
      <c r="W72" s="88"/>
      <c r="X72" s="51">
        <v>45586</v>
      </c>
      <c r="Y72" s="102" t="s">
        <v>1568</v>
      </c>
      <c r="Z72" s="135" t="s">
        <v>2</v>
      </c>
      <c r="AA72" s="135">
        <v>0</v>
      </c>
    </row>
    <row r="73" spans="1:27" ht="13" customHeight="1">
      <c r="A73" s="11">
        <v>67</v>
      </c>
      <c r="B73" s="47">
        <v>203736774</v>
      </c>
      <c r="C73" s="89" t="s">
        <v>529</v>
      </c>
      <c r="D73" s="11" t="s">
        <v>530</v>
      </c>
      <c r="E73" s="48" t="s">
        <v>31</v>
      </c>
      <c r="F73" s="48" t="s">
        <v>74</v>
      </c>
      <c r="G73" s="11" t="s">
        <v>64</v>
      </c>
      <c r="H73" s="48" t="str">
        <f>VLOOKUP(Table1[[#This Row],[Psoft No]],[1]Roster!$C$2:$H$1402,6,)</f>
        <v>AUH1</v>
      </c>
      <c r="I73" s="48" t="b">
        <f>Table1[[#This Row],[Building]]=Table1[[#This Row],[Column1]]</f>
        <v>1</v>
      </c>
      <c r="J73" s="11" t="s">
        <v>75</v>
      </c>
      <c r="K73" s="11">
        <v>1299</v>
      </c>
      <c r="L73" s="49" t="s">
        <v>32</v>
      </c>
      <c r="M73" s="49" t="s">
        <v>76</v>
      </c>
      <c r="N73" s="49" t="s">
        <v>78</v>
      </c>
      <c r="O73" s="49" t="s">
        <v>92</v>
      </c>
      <c r="P73" s="48" t="s">
        <v>86</v>
      </c>
      <c r="Q73" s="49" t="s">
        <v>35</v>
      </c>
      <c r="R73" s="11" t="s">
        <v>80</v>
      </c>
      <c r="S73" s="11" t="s">
        <v>99</v>
      </c>
      <c r="T73" s="11" t="s">
        <v>231</v>
      </c>
      <c r="U73" s="11" t="s">
        <v>1753</v>
      </c>
      <c r="V73" s="116" t="s">
        <v>10</v>
      </c>
      <c r="W73" s="88"/>
      <c r="X73" s="51">
        <v>45502</v>
      </c>
      <c r="Y73" s="97" t="s">
        <v>1573</v>
      </c>
      <c r="Z73" s="135" t="s">
        <v>3023</v>
      </c>
      <c r="AA73" s="135">
        <v>0</v>
      </c>
    </row>
    <row r="74" spans="1:27" ht="13" customHeight="1">
      <c r="A74" s="11">
        <v>68</v>
      </c>
      <c r="B74" s="47">
        <v>206953385</v>
      </c>
      <c r="C74" s="89" t="s">
        <v>2111</v>
      </c>
      <c r="D74" s="11" t="s">
        <v>2034</v>
      </c>
      <c r="E74" s="48" t="s">
        <v>31</v>
      </c>
      <c r="F74" s="48" t="s">
        <v>74</v>
      </c>
      <c r="G74" s="11" t="s">
        <v>64</v>
      </c>
      <c r="H74" s="48" t="str">
        <f>VLOOKUP(Table1[[#This Row],[Psoft No]],[1]Roster!$C$2:$H$1402,6,)</f>
        <v>AUH1</v>
      </c>
      <c r="I74" s="48" t="b">
        <f>Table1[[#This Row],[Building]]=Table1[[#This Row],[Column1]]</f>
        <v>1</v>
      </c>
      <c r="J74" s="11" t="s">
        <v>75</v>
      </c>
      <c r="K74" s="11">
        <v>1299</v>
      </c>
      <c r="L74" s="49" t="s">
        <v>32</v>
      </c>
      <c r="M74" s="49" t="s">
        <v>76</v>
      </c>
      <c r="N74" s="49" t="s">
        <v>88</v>
      </c>
      <c r="O74" s="49" t="s">
        <v>95</v>
      </c>
      <c r="P74" s="48" t="s">
        <v>79</v>
      </c>
      <c r="Q74" s="49" t="s">
        <v>67</v>
      </c>
      <c r="R74" s="11" t="s">
        <v>80</v>
      </c>
      <c r="S74" s="11" t="s">
        <v>96</v>
      </c>
      <c r="T74" s="11" t="s">
        <v>82</v>
      </c>
      <c r="U74" s="11" t="s">
        <v>2713</v>
      </c>
      <c r="V74" s="116" t="str">
        <f>VLOOKUP(Table1[[#This Row],[Psoft No]],[2]Sheet1!$A$2:$G$386,7,0)</f>
        <v>P</v>
      </c>
      <c r="W74" s="88"/>
      <c r="X74" s="51">
        <v>46048</v>
      </c>
      <c r="Y74" s="102" t="s">
        <v>1568</v>
      </c>
      <c r="Z74" s="135" t="s">
        <v>2</v>
      </c>
      <c r="AA74" s="135">
        <v>0</v>
      </c>
    </row>
    <row r="75" spans="1:27" ht="13" customHeight="1">
      <c r="A75" s="11">
        <v>69</v>
      </c>
      <c r="B75" s="47">
        <v>206015572</v>
      </c>
      <c r="C75" s="89" t="s">
        <v>2244</v>
      </c>
      <c r="D75" s="11" t="s">
        <v>2698</v>
      </c>
      <c r="E75" s="48" t="s">
        <v>31</v>
      </c>
      <c r="F75" s="48" t="s">
        <v>74</v>
      </c>
      <c r="G75" s="11" t="s">
        <v>64</v>
      </c>
      <c r="H75" s="48" t="str">
        <f>VLOOKUP(Table1[[#This Row],[Psoft No]],[1]Roster!$C$2:$H$1402,6,)</f>
        <v>AUH1</v>
      </c>
      <c r="I75" s="48" t="b">
        <f>Table1[[#This Row],[Building]]=Table1[[#This Row],[Column1]]</f>
        <v>1</v>
      </c>
      <c r="J75" s="11" t="s">
        <v>75</v>
      </c>
      <c r="K75" s="11">
        <v>1299</v>
      </c>
      <c r="L75" s="49" t="s">
        <v>39</v>
      </c>
      <c r="M75" s="49" t="s">
        <v>76</v>
      </c>
      <c r="N75" s="49" t="s">
        <v>77</v>
      </c>
      <c r="O75" s="49" t="s">
        <v>78</v>
      </c>
      <c r="P75" s="49" t="s">
        <v>89</v>
      </c>
      <c r="Q75" s="49" t="s">
        <v>67</v>
      </c>
      <c r="R75" s="11" t="s">
        <v>80</v>
      </c>
      <c r="S75" s="11" t="s">
        <v>81</v>
      </c>
      <c r="T75" s="11" t="s">
        <v>82</v>
      </c>
      <c r="U75" s="11" t="s">
        <v>2713</v>
      </c>
      <c r="V75" s="116" t="s">
        <v>1</v>
      </c>
      <c r="W75" s="88"/>
      <c r="X75" s="51">
        <v>45915</v>
      </c>
      <c r="Y75" s="102" t="s">
        <v>1568</v>
      </c>
      <c r="Z75" s="135" t="s">
        <v>2</v>
      </c>
      <c r="AA75" s="135">
        <v>0</v>
      </c>
    </row>
    <row r="76" spans="1:27" ht="13" customHeight="1">
      <c r="A76" s="11">
        <v>70</v>
      </c>
      <c r="B76" s="47">
        <v>203469399</v>
      </c>
      <c r="C76" s="89" t="s">
        <v>111</v>
      </c>
      <c r="D76" s="11" t="s">
        <v>2699</v>
      </c>
      <c r="E76" s="48" t="s">
        <v>31</v>
      </c>
      <c r="F76" s="48" t="s">
        <v>74</v>
      </c>
      <c r="G76" s="11" t="s">
        <v>64</v>
      </c>
      <c r="H76" s="48" t="str">
        <f>VLOOKUP(Table1[[#This Row],[Psoft No]],[1]Roster!$C$2:$H$1402,6,)</f>
        <v>AUH1</v>
      </c>
      <c r="I76" s="48" t="b">
        <f>Table1[[#This Row],[Building]]=Table1[[#This Row],[Column1]]</f>
        <v>1</v>
      </c>
      <c r="J76" s="11" t="s">
        <v>75</v>
      </c>
      <c r="K76" s="11">
        <v>1299</v>
      </c>
      <c r="L76" s="49" t="s">
        <v>32</v>
      </c>
      <c r="M76" s="49" t="s">
        <v>76</v>
      </c>
      <c r="N76" s="49" t="s">
        <v>85</v>
      </c>
      <c r="O76" s="49" t="s">
        <v>88</v>
      </c>
      <c r="P76" s="49" t="s">
        <v>86</v>
      </c>
      <c r="Q76" s="49" t="s">
        <v>67</v>
      </c>
      <c r="R76" s="11" t="s">
        <v>80</v>
      </c>
      <c r="S76" s="11" t="s">
        <v>99</v>
      </c>
      <c r="T76" s="11" t="s">
        <v>82</v>
      </c>
      <c r="U76" s="11" t="s">
        <v>2713</v>
      </c>
      <c r="V76" s="116" t="str">
        <f>VLOOKUP(Table1[[#This Row],[Psoft No]],[2]Sheet1!$A$2:$G$386,7,0)</f>
        <v>P</v>
      </c>
      <c r="W76" s="88"/>
      <c r="X76" s="51">
        <v>45456</v>
      </c>
      <c r="Y76" s="102" t="s">
        <v>1568</v>
      </c>
      <c r="Z76" s="135" t="s">
        <v>2</v>
      </c>
      <c r="AA76" s="135">
        <v>0</v>
      </c>
    </row>
    <row r="77" spans="1:27" ht="13" customHeight="1">
      <c r="A77" s="11">
        <v>71</v>
      </c>
      <c r="B77" s="47">
        <v>206953383</v>
      </c>
      <c r="C77" s="89" t="s">
        <v>2112</v>
      </c>
      <c r="D77" s="11" t="s">
        <v>2035</v>
      </c>
      <c r="E77" s="48" t="s">
        <v>31</v>
      </c>
      <c r="F77" s="48" t="s">
        <v>74</v>
      </c>
      <c r="G77" s="11" t="s">
        <v>64</v>
      </c>
      <c r="H77" s="48" t="str">
        <f>VLOOKUP(Table1[[#This Row],[Psoft No]],[1]Roster!$C$2:$H$1402,6,)</f>
        <v>AUH1</v>
      </c>
      <c r="I77" s="48" t="b">
        <f>Table1[[#This Row],[Building]]=Table1[[#This Row],[Column1]]</f>
        <v>1</v>
      </c>
      <c r="J77" s="11" t="s">
        <v>75</v>
      </c>
      <c r="K77" s="11">
        <v>1299</v>
      </c>
      <c r="L77" s="49" t="s">
        <v>32</v>
      </c>
      <c r="M77" s="49" t="s">
        <v>76</v>
      </c>
      <c r="N77" s="49" t="s">
        <v>88</v>
      </c>
      <c r="O77" s="49" t="s">
        <v>95</v>
      </c>
      <c r="P77" s="48" t="s">
        <v>79</v>
      </c>
      <c r="Q77" s="49" t="s">
        <v>67</v>
      </c>
      <c r="R77" s="11" t="s">
        <v>80</v>
      </c>
      <c r="S77" s="11" t="s">
        <v>96</v>
      </c>
      <c r="T77" s="11" t="s">
        <v>82</v>
      </c>
      <c r="U77" s="11" t="s">
        <v>2713</v>
      </c>
      <c r="V77" s="116" t="str">
        <f>VLOOKUP(Table1[[#This Row],[Psoft No]],[2]Sheet1!$A$2:$G$386,7,0)</f>
        <v>P</v>
      </c>
      <c r="W77" s="88"/>
      <c r="X77" s="51">
        <v>46048</v>
      </c>
      <c r="Y77" s="102" t="s">
        <v>1568</v>
      </c>
      <c r="Z77" s="135" t="s">
        <v>2</v>
      </c>
      <c r="AA77" s="135">
        <v>0</v>
      </c>
    </row>
    <row r="78" spans="1:27" ht="13" customHeight="1">
      <c r="A78" s="11">
        <v>72</v>
      </c>
      <c r="B78" s="47">
        <v>205647827</v>
      </c>
      <c r="C78" s="89" t="s">
        <v>2245</v>
      </c>
      <c r="D78" s="11" t="s">
        <v>2700</v>
      </c>
      <c r="E78" s="48" t="s">
        <v>31</v>
      </c>
      <c r="F78" s="48" t="s">
        <v>74</v>
      </c>
      <c r="G78" s="11" t="s">
        <v>64</v>
      </c>
      <c r="H78" s="48" t="str">
        <f>VLOOKUP(Table1[[#This Row],[Psoft No]],[1]Roster!$C$2:$H$1402,6,)</f>
        <v>AUH1</v>
      </c>
      <c r="I78" s="48" t="b">
        <f>Table1[[#This Row],[Building]]=Table1[[#This Row],[Column1]]</f>
        <v>1</v>
      </c>
      <c r="J78" s="11" t="s">
        <v>75</v>
      </c>
      <c r="K78" s="11">
        <v>1299</v>
      </c>
      <c r="L78" s="49" t="s">
        <v>39</v>
      </c>
      <c r="M78" s="49" t="s">
        <v>76</v>
      </c>
      <c r="N78" s="49" t="s">
        <v>84</v>
      </c>
      <c r="O78" s="49" t="s">
        <v>85</v>
      </c>
      <c r="P78" s="49" t="s">
        <v>89</v>
      </c>
      <c r="Q78" s="49" t="s">
        <v>67</v>
      </c>
      <c r="R78" s="11" t="s">
        <v>80</v>
      </c>
      <c r="S78" s="11" t="s">
        <v>96</v>
      </c>
      <c r="T78" s="11" t="s">
        <v>82</v>
      </c>
      <c r="U78" s="11" t="s">
        <v>2713</v>
      </c>
      <c r="V78" s="116" t="s">
        <v>1</v>
      </c>
      <c r="W78" s="88"/>
      <c r="X78" s="51">
        <v>45852</v>
      </c>
      <c r="Y78" s="102" t="s">
        <v>1568</v>
      </c>
      <c r="Z78" s="135" t="s">
        <v>2</v>
      </c>
      <c r="AA78" s="135">
        <v>0</v>
      </c>
    </row>
    <row r="79" spans="1:27" ht="13" customHeight="1">
      <c r="A79" s="11">
        <v>73</v>
      </c>
      <c r="B79" s="47">
        <v>206873779</v>
      </c>
      <c r="C79" s="89" t="s">
        <v>1744</v>
      </c>
      <c r="D79" s="11" t="s">
        <v>1745</v>
      </c>
      <c r="E79" s="48" t="s">
        <v>31</v>
      </c>
      <c r="F79" s="48" t="s">
        <v>74</v>
      </c>
      <c r="G79" s="11" t="s">
        <v>64</v>
      </c>
      <c r="H79" s="48" t="str">
        <f>VLOOKUP(Table1[[#This Row],[Psoft No]],[1]Roster!$C$2:$H$1402,6,)</f>
        <v>AUH1</v>
      </c>
      <c r="I79" s="48" t="b">
        <f>Table1[[#This Row],[Building]]=Table1[[#This Row],[Column1]]</f>
        <v>1</v>
      </c>
      <c r="J79" s="11" t="s">
        <v>75</v>
      </c>
      <c r="K79" s="11">
        <v>1299</v>
      </c>
      <c r="L79" s="49" t="s">
        <v>39</v>
      </c>
      <c r="M79" s="49" t="s">
        <v>76</v>
      </c>
      <c r="N79" s="49" t="s">
        <v>78</v>
      </c>
      <c r="O79" s="49" t="s">
        <v>92</v>
      </c>
      <c r="P79" s="49" t="s">
        <v>89</v>
      </c>
      <c r="Q79" s="49" t="s">
        <v>67</v>
      </c>
      <c r="R79" s="11" t="s">
        <v>80</v>
      </c>
      <c r="S79" s="11" t="s">
        <v>90</v>
      </c>
      <c r="T79" s="11" t="s">
        <v>82</v>
      </c>
      <c r="U79" s="11" t="s">
        <v>2713</v>
      </c>
      <c r="V79" s="116" t="s">
        <v>10</v>
      </c>
      <c r="W79" s="88"/>
      <c r="X79" s="51">
        <v>46020</v>
      </c>
      <c r="Y79" s="102" t="s">
        <v>1568</v>
      </c>
      <c r="Z79" s="135" t="s">
        <v>3023</v>
      </c>
      <c r="AA79" s="135">
        <v>0</v>
      </c>
    </row>
    <row r="80" spans="1:27" ht="13" customHeight="1">
      <c r="A80" s="11">
        <v>74</v>
      </c>
      <c r="B80" s="11">
        <v>203635497</v>
      </c>
      <c r="C80" s="89" t="s">
        <v>1373</v>
      </c>
      <c r="D80" s="11" t="s">
        <v>1990</v>
      </c>
      <c r="E80" s="48" t="s">
        <v>31</v>
      </c>
      <c r="F80" s="48" t="s">
        <v>74</v>
      </c>
      <c r="G80" s="48" t="s">
        <v>64</v>
      </c>
      <c r="H80" s="48" t="str">
        <f>VLOOKUP(Table1[[#This Row],[Psoft No]],[1]Roster!$C$2:$H$1402,6,)</f>
        <v>AUH1</v>
      </c>
      <c r="I80" s="48" t="b">
        <f>Table1[[#This Row],[Building]]=Table1[[#This Row],[Column1]]</f>
        <v>1</v>
      </c>
      <c r="J80" s="48" t="s">
        <v>75</v>
      </c>
      <c r="K80" s="11">
        <v>1299</v>
      </c>
      <c r="L80" s="49" t="s">
        <v>39</v>
      </c>
      <c r="M80" s="49" t="s">
        <v>76</v>
      </c>
      <c r="N80" s="49" t="s">
        <v>85</v>
      </c>
      <c r="O80" s="49" t="s">
        <v>88</v>
      </c>
      <c r="P80" s="49" t="s">
        <v>79</v>
      </c>
      <c r="Q80" s="11" t="s">
        <v>67</v>
      </c>
      <c r="R80" s="48" t="s">
        <v>80</v>
      </c>
      <c r="S80" s="11" t="s">
        <v>81</v>
      </c>
      <c r="T80" s="11" t="s">
        <v>82</v>
      </c>
      <c r="U80" s="11" t="s">
        <v>2713</v>
      </c>
      <c r="V80" s="116" t="s">
        <v>1</v>
      </c>
      <c r="W80" s="88"/>
      <c r="X80" s="51">
        <v>45481</v>
      </c>
      <c r="Y80" s="102" t="s">
        <v>1568</v>
      </c>
      <c r="Z80" s="135" t="s">
        <v>2</v>
      </c>
      <c r="AA80" s="135">
        <v>0</v>
      </c>
    </row>
    <row r="81" spans="1:27" ht="13" customHeight="1">
      <c r="A81" s="11">
        <v>75</v>
      </c>
      <c r="B81" s="47">
        <v>204246172</v>
      </c>
      <c r="C81" s="89" t="s">
        <v>1741</v>
      </c>
      <c r="D81" s="11" t="s">
        <v>1742</v>
      </c>
      <c r="E81" s="48" t="s">
        <v>31</v>
      </c>
      <c r="F81" s="48" t="s">
        <v>74</v>
      </c>
      <c r="G81" s="11" t="s">
        <v>64</v>
      </c>
      <c r="H81" s="48" t="str">
        <f>VLOOKUP(Table1[[#This Row],[Psoft No]],[1]Roster!$C$2:$H$1402,6,)</f>
        <v>AUH1</v>
      </c>
      <c r="I81" s="48" t="b">
        <f>Table1[[#This Row],[Building]]=Table1[[#This Row],[Column1]]</f>
        <v>1</v>
      </c>
      <c r="J81" s="11" t="s">
        <v>75</v>
      </c>
      <c r="K81" s="11">
        <v>1299</v>
      </c>
      <c r="L81" s="49" t="s">
        <v>39</v>
      </c>
      <c r="M81" s="49" t="s">
        <v>76</v>
      </c>
      <c r="N81" s="49" t="s">
        <v>88</v>
      </c>
      <c r="O81" s="49" t="s">
        <v>95</v>
      </c>
      <c r="P81" s="48" t="s">
        <v>89</v>
      </c>
      <c r="Q81" s="49" t="s">
        <v>67</v>
      </c>
      <c r="R81" s="11" t="s">
        <v>80</v>
      </c>
      <c r="S81" s="11" t="s">
        <v>1743</v>
      </c>
      <c r="T81" s="11" t="s">
        <v>82</v>
      </c>
      <c r="U81" s="11" t="s">
        <v>2713</v>
      </c>
      <c r="V81" s="116" t="s">
        <v>1</v>
      </c>
      <c r="W81" s="88"/>
      <c r="X81" s="51">
        <v>46020</v>
      </c>
      <c r="Y81" s="102" t="s">
        <v>1568</v>
      </c>
      <c r="Z81" s="135" t="s">
        <v>2</v>
      </c>
      <c r="AA81" s="135">
        <v>0</v>
      </c>
    </row>
    <row r="82" spans="1:27" ht="13" customHeight="1">
      <c r="A82" s="11">
        <v>76</v>
      </c>
      <c r="B82" s="47">
        <v>206296189</v>
      </c>
      <c r="C82" s="89" t="s">
        <v>2246</v>
      </c>
      <c r="D82" s="11" t="s">
        <v>2701</v>
      </c>
      <c r="E82" s="48" t="s">
        <v>31</v>
      </c>
      <c r="F82" s="48" t="s">
        <v>74</v>
      </c>
      <c r="G82" s="48" t="s">
        <v>64</v>
      </c>
      <c r="H82" s="48" t="str">
        <f>VLOOKUP(Table1[[#This Row],[Psoft No]],[1]Roster!$C$2:$H$1402,6,)</f>
        <v>AUH1</v>
      </c>
      <c r="I82" s="48" t="b">
        <f>Table1[[#This Row],[Building]]=Table1[[#This Row],[Column1]]</f>
        <v>1</v>
      </c>
      <c r="J82" s="48" t="s">
        <v>75</v>
      </c>
      <c r="K82" s="11">
        <v>1299</v>
      </c>
      <c r="L82" s="49" t="s">
        <v>32</v>
      </c>
      <c r="M82" s="49" t="s">
        <v>76</v>
      </c>
      <c r="N82" s="49" t="s">
        <v>84</v>
      </c>
      <c r="O82" s="49" t="s">
        <v>85</v>
      </c>
      <c r="P82" s="49" t="s">
        <v>89</v>
      </c>
      <c r="Q82" s="48" t="s">
        <v>67</v>
      </c>
      <c r="R82" s="48" t="s">
        <v>80</v>
      </c>
      <c r="S82" s="11" t="s">
        <v>96</v>
      </c>
      <c r="T82" s="11" t="s">
        <v>82</v>
      </c>
      <c r="U82" s="11" t="s">
        <v>2713</v>
      </c>
      <c r="V82" s="116" t="str">
        <f>VLOOKUP(Table1[[#This Row],[Psoft No]],[2]Sheet1!$A$2:$G$386,7,0)</f>
        <v>P</v>
      </c>
      <c r="W82" s="88"/>
      <c r="X82" s="51">
        <v>45950</v>
      </c>
      <c r="Y82" s="102" t="s">
        <v>1568</v>
      </c>
      <c r="Z82" s="135" t="s">
        <v>2</v>
      </c>
      <c r="AA82" s="135">
        <v>0</v>
      </c>
    </row>
    <row r="83" spans="1:27" ht="13" customHeight="1">
      <c r="A83" s="11">
        <v>77</v>
      </c>
      <c r="B83" s="47">
        <v>203682331</v>
      </c>
      <c r="C83" s="89" t="s">
        <v>2247</v>
      </c>
      <c r="D83" s="11" t="s">
        <v>2702</v>
      </c>
      <c r="E83" s="48" t="s">
        <v>31</v>
      </c>
      <c r="F83" s="48" t="s">
        <v>74</v>
      </c>
      <c r="G83" s="11" t="s">
        <v>64</v>
      </c>
      <c r="H83" s="48" t="str">
        <f>VLOOKUP(Table1[[#This Row],[Psoft No]],[1]Roster!$C$2:$H$1402,6,)</f>
        <v>AUH1</v>
      </c>
      <c r="I83" s="48" t="b">
        <f>Table1[[#This Row],[Building]]=Table1[[#This Row],[Column1]]</f>
        <v>1</v>
      </c>
      <c r="J83" s="11" t="s">
        <v>75</v>
      </c>
      <c r="K83" s="11">
        <v>1299</v>
      </c>
      <c r="L83" s="49" t="s">
        <v>39</v>
      </c>
      <c r="M83" s="49" t="s">
        <v>76</v>
      </c>
      <c r="N83" s="49" t="s">
        <v>78</v>
      </c>
      <c r="O83" s="49" t="s">
        <v>92</v>
      </c>
      <c r="P83" s="49" t="s">
        <v>86</v>
      </c>
      <c r="Q83" s="49" t="s">
        <v>67</v>
      </c>
      <c r="R83" s="11" t="s">
        <v>80</v>
      </c>
      <c r="S83" s="11" t="s">
        <v>99</v>
      </c>
      <c r="T83" s="11" t="s">
        <v>82</v>
      </c>
      <c r="U83" s="11" t="s">
        <v>2713</v>
      </c>
      <c r="V83" s="116" t="s">
        <v>10</v>
      </c>
      <c r="W83" s="88"/>
      <c r="X83" s="51">
        <v>45488</v>
      </c>
      <c r="Y83" s="102" t="s">
        <v>1568</v>
      </c>
      <c r="Z83" s="135" t="s">
        <v>3023</v>
      </c>
      <c r="AA83" s="135">
        <v>0</v>
      </c>
    </row>
    <row r="84" spans="1:27" ht="13" customHeight="1">
      <c r="A84" s="11">
        <v>78</v>
      </c>
      <c r="B84" s="47">
        <v>206846113</v>
      </c>
      <c r="C84" s="89" t="s">
        <v>1730</v>
      </c>
      <c r="D84" s="11" t="s">
        <v>1731</v>
      </c>
      <c r="E84" s="48" t="s">
        <v>31</v>
      </c>
      <c r="F84" s="48" t="s">
        <v>74</v>
      </c>
      <c r="G84" s="11" t="s">
        <v>64</v>
      </c>
      <c r="H84" s="48" t="str">
        <f>VLOOKUP(Table1[[#This Row],[Psoft No]],[1]Roster!$C$2:$H$1402,6,)</f>
        <v>AUH1</v>
      </c>
      <c r="I84" s="48" t="b">
        <f>Table1[[#This Row],[Building]]=Table1[[#This Row],[Column1]]</f>
        <v>1</v>
      </c>
      <c r="J84" s="11" t="s">
        <v>75</v>
      </c>
      <c r="K84" s="11">
        <v>1299</v>
      </c>
      <c r="L84" s="49" t="s">
        <v>32</v>
      </c>
      <c r="M84" s="49" t="s">
        <v>76</v>
      </c>
      <c r="N84" s="49" t="s">
        <v>85</v>
      </c>
      <c r="O84" s="49" t="s">
        <v>88</v>
      </c>
      <c r="P84" s="48" t="s">
        <v>89</v>
      </c>
      <c r="Q84" s="49" t="s">
        <v>67</v>
      </c>
      <c r="R84" s="11" t="s">
        <v>80</v>
      </c>
      <c r="S84" s="11" t="s">
        <v>90</v>
      </c>
      <c r="T84" s="11" t="s">
        <v>82</v>
      </c>
      <c r="U84" s="11" t="s">
        <v>2713</v>
      </c>
      <c r="V84" s="116" t="str">
        <f>VLOOKUP(Table1[[#This Row],[Psoft No]],[2]Sheet1!$A$2:$G$386,7,0)</f>
        <v>P</v>
      </c>
      <c r="W84" s="88"/>
      <c r="X84" s="51">
        <v>46020</v>
      </c>
      <c r="Y84" s="102" t="s">
        <v>1568</v>
      </c>
      <c r="Z84" s="135" t="s">
        <v>2</v>
      </c>
      <c r="AA84" s="135">
        <v>0</v>
      </c>
    </row>
    <row r="85" spans="1:27" ht="13" customHeight="1">
      <c r="A85" s="11">
        <v>79</v>
      </c>
      <c r="B85" s="47">
        <v>206953981</v>
      </c>
      <c r="C85" s="89" t="s">
        <v>2055</v>
      </c>
      <c r="D85" s="11" t="s">
        <v>2056</v>
      </c>
      <c r="E85" s="48" t="s">
        <v>31</v>
      </c>
      <c r="F85" s="48" t="s">
        <v>74</v>
      </c>
      <c r="G85" s="48" t="s">
        <v>64</v>
      </c>
      <c r="H85" s="48" t="str">
        <f>VLOOKUP(Table1[[#This Row],[Psoft No]],[1]Roster!$C$2:$H$1402,6,)</f>
        <v>AUH1</v>
      </c>
      <c r="I85" s="48" t="b">
        <f>Table1[[#This Row],[Building]]=Table1[[#This Row],[Column1]]</f>
        <v>1</v>
      </c>
      <c r="J85" s="48" t="s">
        <v>75</v>
      </c>
      <c r="K85" s="11">
        <v>1299</v>
      </c>
      <c r="L85" s="49" t="s">
        <v>32</v>
      </c>
      <c r="M85" s="49" t="s">
        <v>76</v>
      </c>
      <c r="N85" s="49" t="s">
        <v>92</v>
      </c>
      <c r="O85" s="49" t="s">
        <v>84</v>
      </c>
      <c r="P85" s="49" t="s">
        <v>86</v>
      </c>
      <c r="Q85" s="48" t="s">
        <v>67</v>
      </c>
      <c r="R85" s="48" t="s">
        <v>80</v>
      </c>
      <c r="S85" s="11" t="s">
        <v>90</v>
      </c>
      <c r="T85" s="11" t="s">
        <v>82</v>
      </c>
      <c r="U85" s="11" t="s">
        <v>2713</v>
      </c>
      <c r="V85" s="116" t="s">
        <v>10</v>
      </c>
      <c r="W85" s="88"/>
      <c r="X85" s="51">
        <v>46048</v>
      </c>
      <c r="Y85" s="102" t="s">
        <v>1568</v>
      </c>
      <c r="Z85" s="135" t="s">
        <v>3023</v>
      </c>
      <c r="AA85" s="135">
        <v>0</v>
      </c>
    </row>
    <row r="86" spans="1:27" ht="13" customHeight="1">
      <c r="A86" s="11">
        <v>80</v>
      </c>
      <c r="B86" s="47">
        <v>203555400</v>
      </c>
      <c r="C86" s="89" t="s">
        <v>112</v>
      </c>
      <c r="D86" s="11" t="s">
        <v>2703</v>
      </c>
      <c r="E86" s="48" t="s">
        <v>31</v>
      </c>
      <c r="F86" s="48" t="s">
        <v>74</v>
      </c>
      <c r="G86" s="11" t="s">
        <v>64</v>
      </c>
      <c r="H86" s="48" t="str">
        <f>VLOOKUP(Table1[[#This Row],[Psoft No]],[1]Roster!$C$2:$H$1402,6,)</f>
        <v>AUH1</v>
      </c>
      <c r="I86" s="48" t="b">
        <f>Table1[[#This Row],[Building]]=Table1[[#This Row],[Column1]]</f>
        <v>1</v>
      </c>
      <c r="J86" s="11" t="s">
        <v>75</v>
      </c>
      <c r="K86" s="11">
        <v>1299</v>
      </c>
      <c r="L86" s="49" t="s">
        <v>39</v>
      </c>
      <c r="M86" s="49" t="s">
        <v>76</v>
      </c>
      <c r="N86" s="49" t="s">
        <v>78</v>
      </c>
      <c r="O86" s="49" t="s">
        <v>92</v>
      </c>
      <c r="P86" s="48" t="s">
        <v>79</v>
      </c>
      <c r="Q86" s="49" t="s">
        <v>67</v>
      </c>
      <c r="R86" s="11" t="s">
        <v>80</v>
      </c>
      <c r="S86" s="11" t="s">
        <v>81</v>
      </c>
      <c r="T86" s="11" t="s">
        <v>82</v>
      </c>
      <c r="U86" s="11" t="s">
        <v>2713</v>
      </c>
      <c r="V86" s="116" t="s">
        <v>10</v>
      </c>
      <c r="W86" s="88"/>
      <c r="X86" s="51">
        <v>45470</v>
      </c>
      <c r="Y86" s="102" t="s">
        <v>1568</v>
      </c>
      <c r="Z86" s="135" t="s">
        <v>3023</v>
      </c>
      <c r="AA86" s="135">
        <v>0</v>
      </c>
    </row>
    <row r="87" spans="1:27" ht="13" customHeight="1">
      <c r="A87" s="11">
        <v>81</v>
      </c>
      <c r="B87" s="47">
        <v>203800483</v>
      </c>
      <c r="C87" s="89" t="s">
        <v>2248</v>
      </c>
      <c r="D87" s="11" t="s">
        <v>2704</v>
      </c>
      <c r="E87" s="48" t="s">
        <v>31</v>
      </c>
      <c r="F87" s="48" t="s">
        <v>74</v>
      </c>
      <c r="G87" s="11" t="s">
        <v>64</v>
      </c>
      <c r="H87" s="48" t="str">
        <f>VLOOKUP(Table1[[#This Row],[Psoft No]],[1]Roster!$C$2:$H$1402,6,)</f>
        <v>AUH1</v>
      </c>
      <c r="I87" s="48" t="b">
        <f>Table1[[#This Row],[Building]]=Table1[[#This Row],[Column1]]</f>
        <v>1</v>
      </c>
      <c r="J87" s="11" t="s">
        <v>75</v>
      </c>
      <c r="K87" s="11">
        <v>1299</v>
      </c>
      <c r="L87" s="49" t="s">
        <v>39</v>
      </c>
      <c r="M87" s="49" t="s">
        <v>76</v>
      </c>
      <c r="N87" s="49" t="s">
        <v>88</v>
      </c>
      <c r="O87" s="49" t="s">
        <v>95</v>
      </c>
      <c r="P87" s="48" t="s">
        <v>89</v>
      </c>
      <c r="Q87" s="49" t="s">
        <v>67</v>
      </c>
      <c r="R87" s="11" t="s">
        <v>80</v>
      </c>
      <c r="S87" s="11" t="s">
        <v>90</v>
      </c>
      <c r="T87" s="11" t="s">
        <v>82</v>
      </c>
      <c r="U87" s="11" t="s">
        <v>2713</v>
      </c>
      <c r="V87" s="116" t="s">
        <v>1</v>
      </c>
      <c r="W87" s="88"/>
      <c r="X87" s="51">
        <v>45516</v>
      </c>
      <c r="Y87" s="102" t="s">
        <v>1568</v>
      </c>
      <c r="Z87" s="135" t="s">
        <v>2</v>
      </c>
      <c r="AA87" s="135">
        <v>0</v>
      </c>
    </row>
    <row r="88" spans="1:27" ht="13" customHeight="1">
      <c r="A88" s="11">
        <v>82</v>
      </c>
      <c r="B88" s="47">
        <v>103476446</v>
      </c>
      <c r="C88" s="89" t="s">
        <v>2249</v>
      </c>
      <c r="D88" s="11" t="s">
        <v>2250</v>
      </c>
      <c r="E88" s="48" t="s">
        <v>34</v>
      </c>
      <c r="F88" s="48" t="s">
        <v>74</v>
      </c>
      <c r="G88" s="11" t="s">
        <v>64</v>
      </c>
      <c r="H88" s="48" t="str">
        <f>VLOOKUP(Table1[[#This Row],[Psoft No]],[1]Roster!$C$2:$H$1402,6,)</f>
        <v>AUH1</v>
      </c>
      <c r="I88" s="48" t="b">
        <f>Table1[[#This Row],[Building]]=Table1[[#This Row],[Column1]]</f>
        <v>1</v>
      </c>
      <c r="J88" s="11" t="s">
        <v>75</v>
      </c>
      <c r="K88" s="11">
        <v>1299</v>
      </c>
      <c r="L88" s="49" t="s">
        <v>32</v>
      </c>
      <c r="M88" s="49" t="s">
        <v>76</v>
      </c>
      <c r="N88" s="49" t="s">
        <v>78</v>
      </c>
      <c r="O88" s="49" t="s">
        <v>92</v>
      </c>
      <c r="P88" s="49" t="s">
        <v>108</v>
      </c>
      <c r="Q88" s="49" t="s">
        <v>67</v>
      </c>
      <c r="R88" s="11" t="s">
        <v>80</v>
      </c>
      <c r="S88" s="11" t="s">
        <v>98</v>
      </c>
      <c r="T88" s="11" t="s">
        <v>82</v>
      </c>
      <c r="U88" s="11" t="s">
        <v>2713</v>
      </c>
      <c r="V88" s="116" t="s">
        <v>10</v>
      </c>
      <c r="W88" s="88"/>
      <c r="X88" s="51">
        <v>43306</v>
      </c>
      <c r="Y88" s="102" t="s">
        <v>1568</v>
      </c>
      <c r="Z88" s="135" t="s">
        <v>3023</v>
      </c>
      <c r="AA88" s="135">
        <v>0</v>
      </c>
    </row>
    <row r="89" spans="1:27" ht="13" customHeight="1">
      <c r="A89" s="11">
        <v>83</v>
      </c>
      <c r="B89" s="47">
        <v>206065204</v>
      </c>
      <c r="C89" s="89" t="s">
        <v>380</v>
      </c>
      <c r="D89" s="11" t="s">
        <v>2705</v>
      </c>
      <c r="E89" s="48" t="s">
        <v>31</v>
      </c>
      <c r="F89" s="48" t="s">
        <v>74</v>
      </c>
      <c r="G89" s="11" t="s">
        <v>64</v>
      </c>
      <c r="H89" s="48" t="str">
        <f>VLOOKUP(Table1[[#This Row],[Psoft No]],[1]Roster!$C$2:$H$1402,6,)</f>
        <v>AUH1</v>
      </c>
      <c r="I89" s="48" t="b">
        <f>Table1[[#This Row],[Building]]=Table1[[#This Row],[Column1]]</f>
        <v>1</v>
      </c>
      <c r="J89" s="11" t="s">
        <v>75</v>
      </c>
      <c r="K89" s="11">
        <v>1299</v>
      </c>
      <c r="L89" s="49" t="s">
        <v>32</v>
      </c>
      <c r="M89" s="49" t="s">
        <v>76</v>
      </c>
      <c r="N89" s="49" t="s">
        <v>78</v>
      </c>
      <c r="O89" s="49" t="s">
        <v>92</v>
      </c>
      <c r="P89" s="48" t="s">
        <v>89</v>
      </c>
      <c r="Q89" s="49" t="s">
        <v>67</v>
      </c>
      <c r="R89" s="11" t="s">
        <v>80</v>
      </c>
      <c r="S89" s="11" t="s">
        <v>81</v>
      </c>
      <c r="T89" s="11" t="s">
        <v>82</v>
      </c>
      <c r="U89" s="11" t="s">
        <v>2713</v>
      </c>
      <c r="V89" s="116" t="s">
        <v>10</v>
      </c>
      <c r="W89" s="88"/>
      <c r="X89" s="51">
        <v>45922</v>
      </c>
      <c r="Y89" s="102" t="s">
        <v>1568</v>
      </c>
      <c r="Z89" s="135" t="s">
        <v>3023</v>
      </c>
      <c r="AA89" s="135">
        <v>0</v>
      </c>
    </row>
    <row r="90" spans="1:27" ht="13" customHeight="1">
      <c r="A90" s="11">
        <v>84</v>
      </c>
      <c r="B90" s="47">
        <v>203469400</v>
      </c>
      <c r="C90" s="89" t="s">
        <v>113</v>
      </c>
      <c r="D90" s="11" t="s">
        <v>2706</v>
      </c>
      <c r="E90" s="48" t="s">
        <v>31</v>
      </c>
      <c r="F90" s="48" t="s">
        <v>74</v>
      </c>
      <c r="G90" s="11" t="s">
        <v>64</v>
      </c>
      <c r="H90" s="48" t="str">
        <f>VLOOKUP(Table1[[#This Row],[Psoft No]],[1]Roster!$C$2:$H$1402,6,)</f>
        <v>AUH1</v>
      </c>
      <c r="I90" s="48" t="b">
        <f>Table1[[#This Row],[Building]]=Table1[[#This Row],[Column1]]</f>
        <v>1</v>
      </c>
      <c r="J90" s="11" t="s">
        <v>75</v>
      </c>
      <c r="K90" s="11">
        <v>1299</v>
      </c>
      <c r="L90" s="49" t="s">
        <v>39</v>
      </c>
      <c r="M90" s="49" t="s">
        <v>76</v>
      </c>
      <c r="N90" s="49" t="s">
        <v>95</v>
      </c>
      <c r="O90" s="49" t="s">
        <v>77</v>
      </c>
      <c r="P90" s="49" t="s">
        <v>86</v>
      </c>
      <c r="Q90" s="49" t="s">
        <v>67</v>
      </c>
      <c r="R90" s="11" t="s">
        <v>80</v>
      </c>
      <c r="S90" s="11" t="s">
        <v>99</v>
      </c>
      <c r="T90" s="11" t="s">
        <v>82</v>
      </c>
      <c r="U90" s="11" t="s">
        <v>2713</v>
      </c>
      <c r="V90" s="116" t="s">
        <v>7</v>
      </c>
      <c r="W90" s="88"/>
      <c r="X90" s="51">
        <v>45456</v>
      </c>
      <c r="Y90" s="102" t="s">
        <v>1568</v>
      </c>
      <c r="Z90" s="135" t="s">
        <v>3023</v>
      </c>
      <c r="AA90" s="135" t="s">
        <v>3024</v>
      </c>
    </row>
    <row r="91" spans="1:27" ht="13" customHeight="1">
      <c r="A91" s="11">
        <v>85</v>
      </c>
      <c r="B91" s="47">
        <v>206926477</v>
      </c>
      <c r="C91" s="89" t="s">
        <v>2125</v>
      </c>
      <c r="D91" s="11" t="s">
        <v>2051</v>
      </c>
      <c r="E91" s="48" t="s">
        <v>31</v>
      </c>
      <c r="F91" s="48" t="s">
        <v>74</v>
      </c>
      <c r="G91" s="11" t="s">
        <v>64</v>
      </c>
      <c r="H91" s="48" t="str">
        <f>VLOOKUP(Table1[[#This Row],[Psoft No]],[1]Roster!$C$2:$H$1402,6,)</f>
        <v>AUH1</v>
      </c>
      <c r="I91" s="48" t="b">
        <f>Table1[[#This Row],[Building]]=Table1[[#This Row],[Column1]]</f>
        <v>1</v>
      </c>
      <c r="J91" s="11" t="s">
        <v>75</v>
      </c>
      <c r="K91" s="11">
        <v>1299</v>
      </c>
      <c r="L91" s="49" t="s">
        <v>32</v>
      </c>
      <c r="M91" s="49" t="s">
        <v>76</v>
      </c>
      <c r="N91" s="49" t="s">
        <v>77</v>
      </c>
      <c r="O91" s="49" t="s">
        <v>78</v>
      </c>
      <c r="P91" s="48" t="s">
        <v>86</v>
      </c>
      <c r="Q91" s="49" t="s">
        <v>67</v>
      </c>
      <c r="R91" s="11" t="s">
        <v>80</v>
      </c>
      <c r="S91" s="11" t="s">
        <v>90</v>
      </c>
      <c r="T91" s="11" t="s">
        <v>82</v>
      </c>
      <c r="U91" s="11" t="s">
        <v>2713</v>
      </c>
      <c r="V91" s="116" t="str">
        <f>VLOOKUP(Table1[[#This Row],[Psoft No]],[2]Sheet1!$A$2:$G$386,7,0)</f>
        <v>P</v>
      </c>
      <c r="W91" s="88"/>
      <c r="X91" s="51">
        <v>46048</v>
      </c>
      <c r="Y91" s="102" t="s">
        <v>1568</v>
      </c>
      <c r="Z91" s="135" t="s">
        <v>2</v>
      </c>
      <c r="AA91" s="135">
        <v>0</v>
      </c>
    </row>
    <row r="92" spans="1:27" ht="13" customHeight="1">
      <c r="A92" s="11">
        <v>86</v>
      </c>
      <c r="B92" s="47">
        <v>203679317</v>
      </c>
      <c r="C92" s="89" t="s">
        <v>114</v>
      </c>
      <c r="D92" s="11" t="s">
        <v>1932</v>
      </c>
      <c r="E92" s="48" t="s">
        <v>31</v>
      </c>
      <c r="F92" s="48" t="s">
        <v>74</v>
      </c>
      <c r="G92" s="11" t="s">
        <v>64</v>
      </c>
      <c r="H92" s="48" t="str">
        <f>VLOOKUP(Table1[[#This Row],[Psoft No]],[1]Roster!$C$2:$H$1402,6,)</f>
        <v>AUH1</v>
      </c>
      <c r="I92" s="48" t="b">
        <f>Table1[[#This Row],[Building]]=Table1[[#This Row],[Column1]]</f>
        <v>1</v>
      </c>
      <c r="J92" s="11" t="s">
        <v>75</v>
      </c>
      <c r="K92" s="11">
        <v>1299</v>
      </c>
      <c r="L92" s="49" t="s">
        <v>32</v>
      </c>
      <c r="M92" s="49" t="s">
        <v>76</v>
      </c>
      <c r="N92" s="49" t="s">
        <v>95</v>
      </c>
      <c r="O92" s="49" t="s">
        <v>77</v>
      </c>
      <c r="P92" s="48" t="s">
        <v>79</v>
      </c>
      <c r="Q92" s="49" t="s">
        <v>67</v>
      </c>
      <c r="R92" s="11" t="s">
        <v>80</v>
      </c>
      <c r="S92" s="11" t="s">
        <v>81</v>
      </c>
      <c r="T92" s="11" t="s">
        <v>82</v>
      </c>
      <c r="U92" s="11" t="s">
        <v>2713</v>
      </c>
      <c r="V92" s="116" t="str">
        <f>VLOOKUP(Table1[[#This Row],[AMZ ID]],[2]Sheet3!$A$2:$E$50,5,0)</f>
        <v>PL</v>
      </c>
      <c r="W92" s="88" t="s">
        <v>3015</v>
      </c>
      <c r="X92" s="51">
        <v>45488</v>
      </c>
      <c r="Y92" s="102" t="s">
        <v>1568</v>
      </c>
      <c r="Z92" s="135" t="s">
        <v>3023</v>
      </c>
      <c r="AA92" s="135" t="s">
        <v>3024</v>
      </c>
    </row>
    <row r="93" spans="1:27" ht="13" customHeight="1">
      <c r="A93" s="11">
        <v>87</v>
      </c>
      <c r="B93" s="47">
        <v>203469060</v>
      </c>
      <c r="C93" s="89" t="s">
        <v>2251</v>
      </c>
      <c r="D93" s="11" t="s">
        <v>2252</v>
      </c>
      <c r="E93" s="48" t="s">
        <v>31</v>
      </c>
      <c r="F93" s="48" t="s">
        <v>74</v>
      </c>
      <c r="G93" s="11" t="s">
        <v>64</v>
      </c>
      <c r="H93" s="48" t="str">
        <f>VLOOKUP(Table1[[#This Row],[Psoft No]],[1]Roster!$C$2:$H$1402,6,)</f>
        <v>AUH1</v>
      </c>
      <c r="I93" s="48" t="b">
        <f>Table1[[#This Row],[Building]]=Table1[[#This Row],[Column1]]</f>
        <v>1</v>
      </c>
      <c r="J93" s="11" t="s">
        <v>75</v>
      </c>
      <c r="K93" s="11">
        <v>1299</v>
      </c>
      <c r="L93" s="49" t="s">
        <v>32</v>
      </c>
      <c r="M93" s="49" t="s">
        <v>76</v>
      </c>
      <c r="N93" s="49" t="s">
        <v>84</v>
      </c>
      <c r="O93" s="49" t="s">
        <v>85</v>
      </c>
      <c r="P93" s="48" t="s">
        <v>79</v>
      </c>
      <c r="Q93" s="49" t="s">
        <v>67</v>
      </c>
      <c r="R93" s="11" t="s">
        <v>80</v>
      </c>
      <c r="S93" s="11" t="s">
        <v>81</v>
      </c>
      <c r="T93" s="11" t="s">
        <v>82</v>
      </c>
      <c r="U93" s="11" t="s">
        <v>2713</v>
      </c>
      <c r="V93" s="116" t="str">
        <f>VLOOKUP(Table1[[#This Row],[Psoft No]],[2]Sheet1!$A$2:$G$386,7,0)</f>
        <v>P</v>
      </c>
      <c r="W93" s="88"/>
      <c r="X93" s="51">
        <v>45456</v>
      </c>
      <c r="Y93" s="102" t="s">
        <v>1568</v>
      </c>
      <c r="Z93" s="135" t="s">
        <v>2</v>
      </c>
      <c r="AA93" s="135">
        <v>0</v>
      </c>
    </row>
    <row r="94" spans="1:27" ht="13" customHeight="1">
      <c r="A94" s="11">
        <v>88</v>
      </c>
      <c r="B94" s="47">
        <v>206875152</v>
      </c>
      <c r="C94" s="89" t="s">
        <v>1720</v>
      </c>
      <c r="D94" s="11" t="s">
        <v>1721</v>
      </c>
      <c r="E94" s="48" t="s">
        <v>31</v>
      </c>
      <c r="F94" s="48" t="s">
        <v>74</v>
      </c>
      <c r="G94" s="11" t="s">
        <v>64</v>
      </c>
      <c r="H94" s="48" t="str">
        <f>VLOOKUP(Table1[[#This Row],[Psoft No]],[1]Roster!$C$2:$H$1402,6,)</f>
        <v>AUH1</v>
      </c>
      <c r="I94" s="48" t="b">
        <f>Table1[[#This Row],[Building]]=Table1[[#This Row],[Column1]]</f>
        <v>1</v>
      </c>
      <c r="J94" s="11" t="s">
        <v>75</v>
      </c>
      <c r="K94" s="11">
        <v>1299</v>
      </c>
      <c r="L94" s="49" t="s">
        <v>39</v>
      </c>
      <c r="M94" s="49" t="s">
        <v>76</v>
      </c>
      <c r="N94" s="49" t="s">
        <v>78</v>
      </c>
      <c r="O94" s="49" t="s">
        <v>92</v>
      </c>
      <c r="P94" s="48" t="s">
        <v>89</v>
      </c>
      <c r="Q94" s="49" t="s">
        <v>67</v>
      </c>
      <c r="R94" s="11" t="s">
        <v>80</v>
      </c>
      <c r="S94" s="11" t="s">
        <v>90</v>
      </c>
      <c r="T94" s="11" t="s">
        <v>82</v>
      </c>
      <c r="U94" s="11" t="s">
        <v>2713</v>
      </c>
      <c r="V94" s="116" t="s">
        <v>10</v>
      </c>
      <c r="W94" s="88"/>
      <c r="X94" s="51">
        <v>46020</v>
      </c>
      <c r="Y94" s="102" t="s">
        <v>1568</v>
      </c>
      <c r="Z94" s="135" t="s">
        <v>3023</v>
      </c>
      <c r="AA94" s="135">
        <v>0</v>
      </c>
    </row>
    <row r="95" spans="1:27" ht="13" customHeight="1">
      <c r="A95" s="11">
        <v>89</v>
      </c>
      <c r="B95" s="47">
        <v>203709743</v>
      </c>
      <c r="C95" s="89" t="s">
        <v>582</v>
      </c>
      <c r="D95" s="11" t="s">
        <v>583</v>
      </c>
      <c r="E95" s="48" t="s">
        <v>31</v>
      </c>
      <c r="F95" s="48" t="s">
        <v>74</v>
      </c>
      <c r="G95" s="11" t="s">
        <v>64</v>
      </c>
      <c r="H95" s="48" t="str">
        <f>VLOOKUP(Table1[[#This Row],[Psoft No]],[1]Roster!$C$2:$H$1402,6,)</f>
        <v>AUH1</v>
      </c>
      <c r="I95" s="48" t="b">
        <f>Table1[[#This Row],[Building]]=Table1[[#This Row],[Column1]]</f>
        <v>1</v>
      </c>
      <c r="J95" s="11" t="s">
        <v>75</v>
      </c>
      <c r="K95" s="11">
        <v>1299</v>
      </c>
      <c r="L95" s="49" t="s">
        <v>32</v>
      </c>
      <c r="M95" s="49" t="s">
        <v>76</v>
      </c>
      <c r="N95" s="49" t="s">
        <v>78</v>
      </c>
      <c r="O95" s="49" t="s">
        <v>92</v>
      </c>
      <c r="P95" s="49" t="s">
        <v>86</v>
      </c>
      <c r="Q95" s="49" t="s">
        <v>35</v>
      </c>
      <c r="R95" s="11" t="s">
        <v>80</v>
      </c>
      <c r="S95" s="11" t="s">
        <v>99</v>
      </c>
      <c r="T95" s="11" t="s">
        <v>231</v>
      </c>
      <c r="U95" s="11" t="s">
        <v>1753</v>
      </c>
      <c r="V95" s="116" t="s">
        <v>10</v>
      </c>
      <c r="W95" s="88"/>
      <c r="X95" s="51">
        <v>45495</v>
      </c>
      <c r="Y95" s="97" t="s">
        <v>1573</v>
      </c>
      <c r="Z95" s="135" t="s">
        <v>3023</v>
      </c>
      <c r="AA95" s="135">
        <v>0</v>
      </c>
    </row>
    <row r="96" spans="1:27" ht="13" customHeight="1">
      <c r="A96" s="11">
        <v>90</v>
      </c>
      <c r="B96" s="47">
        <v>206296194</v>
      </c>
      <c r="C96" s="89" t="s">
        <v>1656</v>
      </c>
      <c r="D96" s="11" t="s">
        <v>2198</v>
      </c>
      <c r="E96" s="48" t="s">
        <v>31</v>
      </c>
      <c r="F96" s="48" t="s">
        <v>74</v>
      </c>
      <c r="G96" s="11" t="s">
        <v>64</v>
      </c>
      <c r="H96" s="48" t="str">
        <f>VLOOKUP(Table1[[#This Row],[Psoft No]],[1]Roster!$C$2:$H$1402,6,)</f>
        <v>AUH1</v>
      </c>
      <c r="I96" s="48" t="b">
        <f>Table1[[#This Row],[Building]]=Table1[[#This Row],[Column1]]</f>
        <v>1</v>
      </c>
      <c r="J96" s="11" t="s">
        <v>75</v>
      </c>
      <c r="K96" s="11">
        <v>1299</v>
      </c>
      <c r="L96" s="49" t="s">
        <v>32</v>
      </c>
      <c r="M96" s="49" t="s">
        <v>76</v>
      </c>
      <c r="N96" s="49" t="s">
        <v>84</v>
      </c>
      <c r="O96" s="49" t="s">
        <v>85</v>
      </c>
      <c r="P96" s="49" t="s">
        <v>89</v>
      </c>
      <c r="Q96" s="49" t="s">
        <v>67</v>
      </c>
      <c r="R96" s="11" t="s">
        <v>80</v>
      </c>
      <c r="S96" s="11" t="s">
        <v>96</v>
      </c>
      <c r="T96" s="11" t="s">
        <v>82</v>
      </c>
      <c r="U96" s="11" t="s">
        <v>2713</v>
      </c>
      <c r="V96" s="116" t="str">
        <f>VLOOKUP(Table1[[#This Row],[Psoft No]],[2]Sheet1!$A$2:$G$386,7,0)</f>
        <v>P</v>
      </c>
      <c r="W96" s="88"/>
      <c r="X96" s="51">
        <v>45950</v>
      </c>
      <c r="Y96" s="102" t="s">
        <v>1568</v>
      </c>
      <c r="Z96" s="135" t="s">
        <v>2</v>
      </c>
      <c r="AA96" s="135">
        <v>0</v>
      </c>
    </row>
    <row r="97" spans="1:27" ht="13" customHeight="1">
      <c r="A97" s="11">
        <v>91</v>
      </c>
      <c r="B97" s="47">
        <v>206937730</v>
      </c>
      <c r="C97" s="89" t="s">
        <v>2124</v>
      </c>
      <c r="D97" s="11" t="s">
        <v>2049</v>
      </c>
      <c r="E97" s="48" t="s">
        <v>31</v>
      </c>
      <c r="F97" s="48" t="s">
        <v>74</v>
      </c>
      <c r="G97" s="11" t="s">
        <v>64</v>
      </c>
      <c r="H97" s="48" t="str">
        <f>VLOOKUP(Table1[[#This Row],[Psoft No]],[1]Roster!$C$2:$H$1402,6,)</f>
        <v>AUH1</v>
      </c>
      <c r="I97" s="48" t="b">
        <f>Table1[[#This Row],[Building]]=Table1[[#This Row],[Column1]]</f>
        <v>1</v>
      </c>
      <c r="J97" s="11" t="s">
        <v>75</v>
      </c>
      <c r="K97" s="11">
        <v>1299</v>
      </c>
      <c r="L97" s="49" t="s">
        <v>32</v>
      </c>
      <c r="M97" s="49" t="s">
        <v>76</v>
      </c>
      <c r="N97" s="49" t="s">
        <v>84</v>
      </c>
      <c r="O97" s="49" t="s">
        <v>85</v>
      </c>
      <c r="P97" s="49" t="s">
        <v>86</v>
      </c>
      <c r="Q97" s="49" t="s">
        <v>67</v>
      </c>
      <c r="R97" s="11" t="s">
        <v>80</v>
      </c>
      <c r="S97" s="11" t="s">
        <v>90</v>
      </c>
      <c r="T97" s="11" t="s">
        <v>82</v>
      </c>
      <c r="U97" s="11" t="s">
        <v>2713</v>
      </c>
      <c r="V97" s="116" t="str">
        <f>VLOOKUP(Table1[[#This Row],[Psoft No]],[2]Sheet1!$A$2:$G$386,7,0)</f>
        <v>P</v>
      </c>
      <c r="W97" s="88"/>
      <c r="X97" s="51">
        <v>46048</v>
      </c>
      <c r="Y97" s="102" t="s">
        <v>1568</v>
      </c>
      <c r="Z97" s="135" t="s">
        <v>2</v>
      </c>
      <c r="AA97" s="135">
        <v>0</v>
      </c>
    </row>
    <row r="98" spans="1:27" ht="13" customHeight="1">
      <c r="A98" s="11">
        <v>92</v>
      </c>
      <c r="B98" s="47">
        <v>206192253</v>
      </c>
      <c r="C98" s="89" t="s">
        <v>2477</v>
      </c>
      <c r="D98" s="11" t="s">
        <v>2478</v>
      </c>
      <c r="E98" s="48" t="s">
        <v>31</v>
      </c>
      <c r="F98" s="48" t="s">
        <v>74</v>
      </c>
      <c r="G98" s="11" t="s">
        <v>64</v>
      </c>
      <c r="H98" s="48" t="str">
        <f>VLOOKUP(Table1[[#This Row],[Psoft No]],[1]Roster!$C$2:$H$1402,6,)</f>
        <v>AUH1</v>
      </c>
      <c r="I98" s="48" t="b">
        <f>Table1[[#This Row],[Building]]=Table1[[#This Row],[Column1]]</f>
        <v>1</v>
      </c>
      <c r="J98" s="11" t="s">
        <v>75</v>
      </c>
      <c r="K98" s="11">
        <v>1299</v>
      </c>
      <c r="L98" s="49" t="s">
        <v>39</v>
      </c>
      <c r="M98" s="49" t="s">
        <v>76</v>
      </c>
      <c r="N98" s="49" t="s">
        <v>84</v>
      </c>
      <c r="O98" s="49" t="s">
        <v>85</v>
      </c>
      <c r="P98" s="48" t="s">
        <v>79</v>
      </c>
      <c r="Q98" s="49" t="s">
        <v>67</v>
      </c>
      <c r="R98" s="11" t="s">
        <v>80</v>
      </c>
      <c r="S98" s="11" t="s">
        <v>96</v>
      </c>
      <c r="T98" s="11" t="s">
        <v>82</v>
      </c>
      <c r="U98" s="11" t="s">
        <v>2713</v>
      </c>
      <c r="V98" s="116" t="s">
        <v>1</v>
      </c>
      <c r="W98" s="88"/>
      <c r="X98" s="51">
        <v>45936</v>
      </c>
      <c r="Y98" s="102" t="s">
        <v>1568</v>
      </c>
      <c r="Z98" s="135" t="s">
        <v>2</v>
      </c>
      <c r="AA98" s="135">
        <v>0</v>
      </c>
    </row>
    <row r="99" spans="1:27" ht="13" customHeight="1">
      <c r="A99" s="11">
        <v>93</v>
      </c>
      <c r="B99" s="47">
        <v>204373675</v>
      </c>
      <c r="C99" s="89" t="s">
        <v>115</v>
      </c>
      <c r="D99" s="11" t="s">
        <v>1933</v>
      </c>
      <c r="E99" s="48" t="s">
        <v>31</v>
      </c>
      <c r="F99" s="48" t="s">
        <v>74</v>
      </c>
      <c r="G99" s="11" t="s">
        <v>64</v>
      </c>
      <c r="H99" s="48" t="str">
        <f>VLOOKUP(Table1[[#This Row],[Psoft No]],[1]Roster!$C$2:$H$1402,6,)</f>
        <v>AUH1</v>
      </c>
      <c r="I99" s="48" t="b">
        <f>Table1[[#This Row],[Building]]=Table1[[#This Row],[Column1]]</f>
        <v>1</v>
      </c>
      <c r="J99" s="11" t="s">
        <v>75</v>
      </c>
      <c r="K99" s="11">
        <v>1299</v>
      </c>
      <c r="L99" s="49" t="s">
        <v>32</v>
      </c>
      <c r="M99" s="49" t="s">
        <v>76</v>
      </c>
      <c r="N99" s="49" t="s">
        <v>95</v>
      </c>
      <c r="O99" s="49" t="s">
        <v>77</v>
      </c>
      <c r="P99" s="49" t="s">
        <v>86</v>
      </c>
      <c r="Q99" s="49" t="s">
        <v>67</v>
      </c>
      <c r="R99" s="11" t="s">
        <v>80</v>
      </c>
      <c r="S99" s="11" t="s">
        <v>99</v>
      </c>
      <c r="T99" s="11" t="s">
        <v>82</v>
      </c>
      <c r="U99" s="11" t="s">
        <v>2713</v>
      </c>
      <c r="V99" s="116" t="str">
        <f>VLOOKUP(Table1[[#This Row],[Psoft No]],[2]Sheet1!$A$2:$G$386,7,0)</f>
        <v>P</v>
      </c>
      <c r="W99" s="88"/>
      <c r="X99" s="51">
        <v>45593</v>
      </c>
      <c r="Y99" s="102" t="s">
        <v>1568</v>
      </c>
      <c r="Z99" s="135" t="s">
        <v>2</v>
      </c>
      <c r="AA99" s="135">
        <v>0</v>
      </c>
    </row>
    <row r="100" spans="1:27" ht="13" customHeight="1">
      <c r="A100" s="11">
        <v>94</v>
      </c>
      <c r="B100" s="47">
        <v>204319464</v>
      </c>
      <c r="C100" s="89" t="s">
        <v>116</v>
      </c>
      <c r="D100" s="11" t="s">
        <v>1934</v>
      </c>
      <c r="E100" s="48" t="s">
        <v>31</v>
      </c>
      <c r="F100" s="48" t="s">
        <v>74</v>
      </c>
      <c r="G100" s="11" t="s">
        <v>64</v>
      </c>
      <c r="H100" s="48" t="str">
        <f>VLOOKUP(Table1[[#This Row],[Psoft No]],[1]Roster!$C$2:$H$1402,6,)</f>
        <v>AUH1</v>
      </c>
      <c r="I100" s="48" t="b">
        <f>Table1[[#This Row],[Building]]=Table1[[#This Row],[Column1]]</f>
        <v>1</v>
      </c>
      <c r="J100" s="11" t="s">
        <v>75</v>
      </c>
      <c r="K100" s="11">
        <v>1299</v>
      </c>
      <c r="L100" s="49" t="s">
        <v>32</v>
      </c>
      <c r="M100" s="49" t="s">
        <v>76</v>
      </c>
      <c r="N100" s="49" t="s">
        <v>84</v>
      </c>
      <c r="O100" s="49" t="s">
        <v>85</v>
      </c>
      <c r="P100" s="48" t="s">
        <v>89</v>
      </c>
      <c r="Q100" s="49" t="s">
        <v>67</v>
      </c>
      <c r="R100" s="11" t="s">
        <v>80</v>
      </c>
      <c r="S100" s="11" t="s">
        <v>87</v>
      </c>
      <c r="T100" s="11" t="s">
        <v>82</v>
      </c>
      <c r="U100" s="11" t="s">
        <v>2713</v>
      </c>
      <c r="V100" s="116" t="str">
        <f>VLOOKUP(Table1[[#This Row],[Psoft No]],[2]Sheet1!$A$2:$G$386,7,0)</f>
        <v>P</v>
      </c>
      <c r="W100" s="88"/>
      <c r="X100" s="51">
        <v>45589</v>
      </c>
      <c r="Y100" s="102" t="s">
        <v>1568</v>
      </c>
      <c r="Z100" s="135" t="s">
        <v>2</v>
      </c>
      <c r="AA100" s="135">
        <v>0</v>
      </c>
    </row>
    <row r="101" spans="1:27" ht="13" customHeight="1">
      <c r="A101" s="11">
        <v>95</v>
      </c>
      <c r="B101" s="47">
        <v>206015673</v>
      </c>
      <c r="C101" s="89" t="s">
        <v>2255</v>
      </c>
      <c r="D101" s="11" t="s">
        <v>2256</v>
      </c>
      <c r="E101" s="48" t="s">
        <v>31</v>
      </c>
      <c r="F101" s="48" t="s">
        <v>74</v>
      </c>
      <c r="G101" s="11" t="s">
        <v>64</v>
      </c>
      <c r="H101" s="48" t="str">
        <f>VLOOKUP(Table1[[#This Row],[Psoft No]],[1]Roster!$C$2:$H$1402,6,)</f>
        <v>AUH1</v>
      </c>
      <c r="I101" s="48" t="b">
        <f>Table1[[#This Row],[Building]]=Table1[[#This Row],[Column1]]</f>
        <v>1</v>
      </c>
      <c r="J101" s="11" t="s">
        <v>75</v>
      </c>
      <c r="K101" s="11">
        <v>1299</v>
      </c>
      <c r="L101" s="49" t="s">
        <v>32</v>
      </c>
      <c r="M101" s="49" t="s">
        <v>76</v>
      </c>
      <c r="N101" s="49" t="s">
        <v>77</v>
      </c>
      <c r="O101" s="49" t="s">
        <v>78</v>
      </c>
      <c r="P101" s="49" t="s">
        <v>89</v>
      </c>
      <c r="Q101" s="49" t="s">
        <v>67</v>
      </c>
      <c r="R101" s="11" t="s">
        <v>80</v>
      </c>
      <c r="S101" s="11" t="s">
        <v>81</v>
      </c>
      <c r="T101" s="11" t="s">
        <v>82</v>
      </c>
      <c r="U101" s="11" t="s">
        <v>2713</v>
      </c>
      <c r="V101" s="116" t="str">
        <f>VLOOKUP(Table1[[#This Row],[Psoft No]],[2]Sheet1!$A$2:$G$386,7,0)</f>
        <v>P</v>
      </c>
      <c r="W101" s="88"/>
      <c r="X101" s="51">
        <v>45915</v>
      </c>
      <c r="Y101" s="102" t="s">
        <v>1568</v>
      </c>
      <c r="Z101" s="135" t="s">
        <v>2</v>
      </c>
      <c r="AA101" s="135">
        <v>0</v>
      </c>
    </row>
    <row r="102" spans="1:27" ht="13" customHeight="1">
      <c r="A102" s="11">
        <v>96</v>
      </c>
      <c r="B102" s="47">
        <v>206006079</v>
      </c>
      <c r="C102" s="89" t="s">
        <v>401</v>
      </c>
      <c r="D102" s="11" t="s">
        <v>1935</v>
      </c>
      <c r="E102" s="48" t="s">
        <v>31</v>
      </c>
      <c r="F102" s="48" t="s">
        <v>74</v>
      </c>
      <c r="G102" s="11" t="s">
        <v>64</v>
      </c>
      <c r="H102" s="48" t="str">
        <f>VLOOKUP(Table1[[#This Row],[Psoft No]],[1]Roster!$C$2:$H$1402,6,)</f>
        <v>AUH1</v>
      </c>
      <c r="I102" s="48" t="b">
        <f>Table1[[#This Row],[Building]]=Table1[[#This Row],[Column1]]</f>
        <v>1</v>
      </c>
      <c r="J102" s="11" t="s">
        <v>75</v>
      </c>
      <c r="K102" s="11">
        <v>1299</v>
      </c>
      <c r="L102" s="49" t="s">
        <v>39</v>
      </c>
      <c r="M102" s="49" t="s">
        <v>76</v>
      </c>
      <c r="N102" s="49" t="s">
        <v>92</v>
      </c>
      <c r="O102" s="49" t="s">
        <v>84</v>
      </c>
      <c r="P102" s="49" t="s">
        <v>89</v>
      </c>
      <c r="Q102" s="49" t="s">
        <v>67</v>
      </c>
      <c r="R102" s="11" t="s">
        <v>80</v>
      </c>
      <c r="S102" s="11" t="s">
        <v>81</v>
      </c>
      <c r="T102" s="11" t="s">
        <v>82</v>
      </c>
      <c r="U102" s="11" t="s">
        <v>2713</v>
      </c>
      <c r="V102" s="116" t="s">
        <v>10</v>
      </c>
      <c r="W102" s="88"/>
      <c r="X102" s="51">
        <v>45915</v>
      </c>
      <c r="Y102" s="102" t="s">
        <v>1568</v>
      </c>
      <c r="Z102" s="135" t="s">
        <v>3023</v>
      </c>
      <c r="AA102" s="135">
        <v>0</v>
      </c>
    </row>
    <row r="103" spans="1:27" ht="13" customHeight="1">
      <c r="A103" s="11">
        <v>97</v>
      </c>
      <c r="B103" s="47">
        <v>204373628</v>
      </c>
      <c r="C103" s="89" t="s">
        <v>117</v>
      </c>
      <c r="D103" s="11" t="s">
        <v>1936</v>
      </c>
      <c r="E103" s="48" t="s">
        <v>31</v>
      </c>
      <c r="F103" s="48" t="s">
        <v>74</v>
      </c>
      <c r="G103" s="11" t="s">
        <v>64</v>
      </c>
      <c r="H103" s="48" t="str">
        <f>VLOOKUP(Table1[[#This Row],[Psoft No]],[1]Roster!$C$2:$H$1402,6,)</f>
        <v>AUH1</v>
      </c>
      <c r="I103" s="48" t="b">
        <f>Table1[[#This Row],[Building]]=Table1[[#This Row],[Column1]]</f>
        <v>1</v>
      </c>
      <c r="J103" s="11" t="s">
        <v>75</v>
      </c>
      <c r="K103" s="11">
        <v>1299</v>
      </c>
      <c r="L103" s="49" t="s">
        <v>32</v>
      </c>
      <c r="M103" s="49" t="s">
        <v>76</v>
      </c>
      <c r="N103" s="49" t="s">
        <v>78</v>
      </c>
      <c r="O103" s="49" t="s">
        <v>92</v>
      </c>
      <c r="P103" s="49" t="s">
        <v>86</v>
      </c>
      <c r="Q103" s="49" t="s">
        <v>67</v>
      </c>
      <c r="R103" s="11" t="s">
        <v>80</v>
      </c>
      <c r="S103" s="11" t="s">
        <v>87</v>
      </c>
      <c r="T103" s="11" t="s">
        <v>82</v>
      </c>
      <c r="U103" s="11" t="s">
        <v>2713</v>
      </c>
      <c r="V103" s="116" t="s">
        <v>10</v>
      </c>
      <c r="W103" s="88"/>
      <c r="X103" s="51">
        <v>45593</v>
      </c>
      <c r="Y103" s="102" t="s">
        <v>1568</v>
      </c>
      <c r="Z103" s="135" t="s">
        <v>3023</v>
      </c>
      <c r="AA103" s="135">
        <v>0</v>
      </c>
    </row>
    <row r="104" spans="1:27" ht="13" customHeight="1">
      <c r="A104" s="11">
        <v>98</v>
      </c>
      <c r="B104" s="47">
        <v>206957730</v>
      </c>
      <c r="C104" s="89" t="s">
        <v>2117</v>
      </c>
      <c r="D104" s="11" t="s">
        <v>2040</v>
      </c>
      <c r="E104" s="48" t="s">
        <v>31</v>
      </c>
      <c r="F104" s="48" t="s">
        <v>74</v>
      </c>
      <c r="G104" s="11" t="s">
        <v>64</v>
      </c>
      <c r="H104" s="48" t="str">
        <f>VLOOKUP(Table1[[#This Row],[Psoft No]],[1]Roster!$C$2:$H$1402,6,)</f>
        <v>AUH1</v>
      </c>
      <c r="I104" s="48" t="b">
        <f>Table1[[#This Row],[Building]]=Table1[[#This Row],[Column1]]</f>
        <v>1</v>
      </c>
      <c r="J104" s="11" t="s">
        <v>75</v>
      </c>
      <c r="K104" s="11">
        <v>1299</v>
      </c>
      <c r="L104" s="49" t="s">
        <v>32</v>
      </c>
      <c r="M104" s="49" t="s">
        <v>76</v>
      </c>
      <c r="N104" s="49" t="s">
        <v>95</v>
      </c>
      <c r="O104" s="49" t="s">
        <v>77</v>
      </c>
      <c r="P104" s="48" t="s">
        <v>89</v>
      </c>
      <c r="Q104" s="49" t="s">
        <v>67</v>
      </c>
      <c r="R104" s="11" t="s">
        <v>80</v>
      </c>
      <c r="S104" s="11" t="s">
        <v>96</v>
      </c>
      <c r="T104" s="11" t="s">
        <v>82</v>
      </c>
      <c r="U104" s="11" t="s">
        <v>2713</v>
      </c>
      <c r="V104" s="116" t="str">
        <f>VLOOKUP(Table1[[#This Row],[Psoft No]],[2]Sheet1!$A$2:$G$386,7,0)</f>
        <v>P</v>
      </c>
      <c r="W104" s="88"/>
      <c r="X104" s="51">
        <v>46048</v>
      </c>
      <c r="Y104" s="102" t="s">
        <v>1568</v>
      </c>
      <c r="Z104" s="135" t="s">
        <v>2</v>
      </c>
      <c r="AA104" s="135">
        <v>0</v>
      </c>
    </row>
    <row r="105" spans="1:27" ht="13" customHeight="1">
      <c r="A105" s="11">
        <v>99</v>
      </c>
      <c r="B105" s="47">
        <v>201456034</v>
      </c>
      <c r="C105" s="89" t="s">
        <v>118</v>
      </c>
      <c r="D105" s="11" t="s">
        <v>1937</v>
      </c>
      <c r="E105" s="48" t="s">
        <v>31</v>
      </c>
      <c r="F105" s="48" t="s">
        <v>74</v>
      </c>
      <c r="G105" s="11" t="s">
        <v>64</v>
      </c>
      <c r="H105" s="48" t="str">
        <f>VLOOKUP(Table1[[#This Row],[Psoft No]],[1]Roster!$C$2:$H$1402,6,)</f>
        <v>AUH1</v>
      </c>
      <c r="I105" s="48" t="b">
        <f>Table1[[#This Row],[Building]]=Table1[[#This Row],[Column1]]</f>
        <v>1</v>
      </c>
      <c r="J105" s="11" t="s">
        <v>75</v>
      </c>
      <c r="K105" s="11">
        <v>1299</v>
      </c>
      <c r="L105" s="49" t="s">
        <v>32</v>
      </c>
      <c r="M105" s="49" t="s">
        <v>76</v>
      </c>
      <c r="N105" s="49" t="s">
        <v>95</v>
      </c>
      <c r="O105" s="49" t="s">
        <v>77</v>
      </c>
      <c r="P105" s="49" t="s">
        <v>79</v>
      </c>
      <c r="Q105" s="49" t="s">
        <v>67</v>
      </c>
      <c r="R105" s="11" t="s">
        <v>80</v>
      </c>
      <c r="S105" s="11" t="s">
        <v>81</v>
      </c>
      <c r="T105" s="11" t="s">
        <v>82</v>
      </c>
      <c r="U105" s="11" t="s">
        <v>2713</v>
      </c>
      <c r="V105" s="116" t="str">
        <f>VLOOKUP(Table1[[#This Row],[AMZ ID]],[2]Sheet3!$A$2:$E$50,5,0)</f>
        <v>PL</v>
      </c>
      <c r="W105" s="88" t="s">
        <v>3015</v>
      </c>
      <c r="X105" s="51">
        <v>45603</v>
      </c>
      <c r="Y105" s="102" t="s">
        <v>1568</v>
      </c>
      <c r="Z105" s="135" t="s">
        <v>3023</v>
      </c>
      <c r="AA105" s="135" t="s">
        <v>3015</v>
      </c>
    </row>
    <row r="106" spans="1:27" ht="13" customHeight="1">
      <c r="A106" s="11">
        <v>100</v>
      </c>
      <c r="B106" s="47">
        <v>206953803</v>
      </c>
      <c r="C106" s="89" t="s">
        <v>2113</v>
      </c>
      <c r="D106" s="11" t="s">
        <v>2036</v>
      </c>
      <c r="E106" s="48" t="s">
        <v>31</v>
      </c>
      <c r="F106" s="48" t="s">
        <v>74</v>
      </c>
      <c r="G106" s="11" t="s">
        <v>64</v>
      </c>
      <c r="H106" s="48" t="str">
        <f>VLOOKUP(Table1[[#This Row],[Psoft No]],[1]Roster!$C$2:$H$1402,6,)</f>
        <v>AUH1</v>
      </c>
      <c r="I106" s="48" t="b">
        <f>Table1[[#This Row],[Building]]=Table1[[#This Row],[Column1]]</f>
        <v>1</v>
      </c>
      <c r="J106" s="11" t="s">
        <v>75</v>
      </c>
      <c r="K106" s="11">
        <v>1299</v>
      </c>
      <c r="L106" s="49" t="s">
        <v>32</v>
      </c>
      <c r="M106" s="49" t="s">
        <v>76</v>
      </c>
      <c r="N106" s="49" t="s">
        <v>88</v>
      </c>
      <c r="O106" s="49" t="s">
        <v>95</v>
      </c>
      <c r="P106" s="48" t="s">
        <v>79</v>
      </c>
      <c r="Q106" s="49" t="s">
        <v>67</v>
      </c>
      <c r="R106" s="11" t="s">
        <v>80</v>
      </c>
      <c r="S106" s="11" t="s">
        <v>96</v>
      </c>
      <c r="T106" s="11" t="s">
        <v>82</v>
      </c>
      <c r="U106" s="11" t="s">
        <v>2713</v>
      </c>
      <c r="V106" s="116" t="str">
        <f>VLOOKUP(Table1[[#This Row],[Psoft No]],[2]Sheet1!$A$2:$G$386,7,0)</f>
        <v>P</v>
      </c>
      <c r="W106" s="88"/>
      <c r="X106" s="51">
        <v>46048</v>
      </c>
      <c r="Y106" s="102" t="s">
        <v>1568</v>
      </c>
      <c r="Z106" s="135" t="s">
        <v>2</v>
      </c>
      <c r="AA106" s="135">
        <v>0</v>
      </c>
    </row>
    <row r="107" spans="1:27" ht="13" customHeight="1">
      <c r="A107" s="11">
        <v>101</v>
      </c>
      <c r="B107" s="47">
        <v>206192268</v>
      </c>
      <c r="C107" s="89" t="s">
        <v>1598</v>
      </c>
      <c r="D107" s="11" t="s">
        <v>1938</v>
      </c>
      <c r="E107" s="48" t="s">
        <v>31</v>
      </c>
      <c r="F107" s="48" t="s">
        <v>74</v>
      </c>
      <c r="G107" s="11" t="s">
        <v>64</v>
      </c>
      <c r="H107" s="48" t="str">
        <f>VLOOKUP(Table1[[#This Row],[Psoft No]],[1]Roster!$C$2:$H$1402,6,)</f>
        <v>AUH1</v>
      </c>
      <c r="I107" s="48" t="b">
        <f>Table1[[#This Row],[Building]]=Table1[[#This Row],[Column1]]</f>
        <v>1</v>
      </c>
      <c r="J107" s="11" t="s">
        <v>75</v>
      </c>
      <c r="K107" s="11">
        <v>1299</v>
      </c>
      <c r="L107" s="49" t="s">
        <v>32</v>
      </c>
      <c r="M107" s="49" t="s">
        <v>76</v>
      </c>
      <c r="N107" s="49" t="s">
        <v>95</v>
      </c>
      <c r="O107" s="49" t="s">
        <v>77</v>
      </c>
      <c r="P107" s="49" t="s">
        <v>79</v>
      </c>
      <c r="Q107" s="49" t="s">
        <v>67</v>
      </c>
      <c r="R107" s="11" t="s">
        <v>80</v>
      </c>
      <c r="S107" s="11" t="s">
        <v>96</v>
      </c>
      <c r="T107" s="11" t="s">
        <v>82</v>
      </c>
      <c r="U107" s="11" t="s">
        <v>2713</v>
      </c>
      <c r="V107" s="116" t="str">
        <f>VLOOKUP(Table1[[#This Row],[Psoft No]],[2]Sheet1!$A$2:$G$386,7,0)</f>
        <v>P</v>
      </c>
      <c r="W107" s="88"/>
      <c r="X107" s="51">
        <v>45936</v>
      </c>
      <c r="Y107" s="102" t="s">
        <v>1568</v>
      </c>
      <c r="Z107" s="135" t="s">
        <v>2</v>
      </c>
      <c r="AA107" s="135">
        <v>0</v>
      </c>
    </row>
    <row r="108" spans="1:27" ht="13" customHeight="1">
      <c r="A108" s="11">
        <v>102</v>
      </c>
      <c r="B108" s="47">
        <v>203469395</v>
      </c>
      <c r="C108" s="89" t="s">
        <v>119</v>
      </c>
      <c r="D108" s="11" t="s">
        <v>1939</v>
      </c>
      <c r="E108" s="48" t="s">
        <v>31</v>
      </c>
      <c r="F108" s="48" t="s">
        <v>74</v>
      </c>
      <c r="G108" s="11" t="s">
        <v>64</v>
      </c>
      <c r="H108" s="48" t="str">
        <f>VLOOKUP(Table1[[#This Row],[Psoft No]],[1]Roster!$C$2:$H$1402,6,)</f>
        <v>AUH1</v>
      </c>
      <c r="I108" s="48" t="b">
        <f>Table1[[#This Row],[Building]]=Table1[[#This Row],[Column1]]</f>
        <v>1</v>
      </c>
      <c r="J108" s="11" t="s">
        <v>75</v>
      </c>
      <c r="K108" s="11">
        <v>1299</v>
      </c>
      <c r="L108" s="49" t="s">
        <v>32</v>
      </c>
      <c r="M108" s="49" t="s">
        <v>76</v>
      </c>
      <c r="N108" s="49" t="s">
        <v>78</v>
      </c>
      <c r="O108" s="49" t="s">
        <v>92</v>
      </c>
      <c r="P108" s="49" t="s">
        <v>86</v>
      </c>
      <c r="Q108" s="49" t="s">
        <v>67</v>
      </c>
      <c r="R108" s="11" t="s">
        <v>80</v>
      </c>
      <c r="S108" s="11" t="s">
        <v>99</v>
      </c>
      <c r="T108" s="11" t="s">
        <v>82</v>
      </c>
      <c r="U108" s="11" t="s">
        <v>2713</v>
      </c>
      <c r="V108" s="116" t="s">
        <v>10</v>
      </c>
      <c r="W108" s="88"/>
      <c r="X108" s="51">
        <v>45456</v>
      </c>
      <c r="Y108" s="102" t="s">
        <v>1568</v>
      </c>
      <c r="Z108" s="135" t="s">
        <v>3023</v>
      </c>
      <c r="AA108" s="135">
        <v>0</v>
      </c>
    </row>
    <row r="109" spans="1:27" ht="13" customHeight="1">
      <c r="A109" s="11">
        <v>103</v>
      </c>
      <c r="B109" s="47">
        <v>102582334</v>
      </c>
      <c r="C109" s="89" t="s">
        <v>2707</v>
      </c>
      <c r="D109" s="11" t="s">
        <v>2708</v>
      </c>
      <c r="E109" s="48" t="s">
        <v>34</v>
      </c>
      <c r="F109" s="48" t="s">
        <v>74</v>
      </c>
      <c r="G109" s="11" t="s">
        <v>64</v>
      </c>
      <c r="H109" s="48" t="str">
        <f>VLOOKUP(Table1[[#This Row],[Psoft No]],[1]Roster!$C$2:$H$1402,6,)</f>
        <v>AUH1</v>
      </c>
      <c r="I109" s="48" t="b">
        <f>Table1[[#This Row],[Building]]=Table1[[#This Row],[Column1]]</f>
        <v>1</v>
      </c>
      <c r="J109" s="11" t="s">
        <v>75</v>
      </c>
      <c r="K109" s="11">
        <v>1299</v>
      </c>
      <c r="L109" s="49" t="s">
        <v>32</v>
      </c>
      <c r="M109" s="49" t="s">
        <v>76</v>
      </c>
      <c r="N109" s="49" t="s">
        <v>95</v>
      </c>
      <c r="O109" s="49" t="s">
        <v>77</v>
      </c>
      <c r="P109" s="48" t="s">
        <v>108</v>
      </c>
      <c r="Q109" s="49" t="s">
        <v>67</v>
      </c>
      <c r="R109" s="11" t="s">
        <v>80</v>
      </c>
      <c r="S109" s="11" t="s">
        <v>98</v>
      </c>
      <c r="T109" s="11" t="s">
        <v>2711</v>
      </c>
      <c r="U109" s="11" t="s">
        <v>2712</v>
      </c>
      <c r="V109" s="116" t="s">
        <v>4</v>
      </c>
      <c r="W109" s="88"/>
      <c r="X109" s="51">
        <v>42960</v>
      </c>
      <c r="Y109" s="102" t="s">
        <v>1568</v>
      </c>
      <c r="Z109" s="135" t="s">
        <v>3023</v>
      </c>
      <c r="AA109" s="135">
        <v>0</v>
      </c>
    </row>
    <row r="110" spans="1:27" ht="13" customHeight="1">
      <c r="A110" s="11">
        <v>104</v>
      </c>
      <c r="B110" s="47">
        <v>203687851</v>
      </c>
      <c r="C110" s="89" t="s">
        <v>2257</v>
      </c>
      <c r="D110" s="11" t="s">
        <v>2258</v>
      </c>
      <c r="E110" s="48" t="s">
        <v>31</v>
      </c>
      <c r="F110" s="48" t="s">
        <v>74</v>
      </c>
      <c r="G110" s="11" t="s">
        <v>64</v>
      </c>
      <c r="H110" s="48" t="str">
        <f>VLOOKUP(Table1[[#This Row],[Psoft No]],[1]Roster!$C$2:$H$1402,6,)</f>
        <v>AUH1</v>
      </c>
      <c r="I110" s="48" t="b">
        <f>Table1[[#This Row],[Building]]=Table1[[#This Row],[Column1]]</f>
        <v>1</v>
      </c>
      <c r="J110" s="11" t="s">
        <v>75</v>
      </c>
      <c r="K110" s="11">
        <v>1299</v>
      </c>
      <c r="L110" s="49" t="s">
        <v>39</v>
      </c>
      <c r="M110" s="49" t="s">
        <v>76</v>
      </c>
      <c r="N110" s="49" t="s">
        <v>77</v>
      </c>
      <c r="O110" s="49" t="s">
        <v>78</v>
      </c>
      <c r="P110" s="48" t="s">
        <v>86</v>
      </c>
      <c r="Q110" s="49" t="s">
        <v>67</v>
      </c>
      <c r="R110" s="11" t="s">
        <v>80</v>
      </c>
      <c r="S110" s="11" t="s">
        <v>99</v>
      </c>
      <c r="T110" s="11" t="s">
        <v>82</v>
      </c>
      <c r="U110" s="11" t="s">
        <v>2713</v>
      </c>
      <c r="V110" s="116" t="s">
        <v>4</v>
      </c>
      <c r="W110" s="88"/>
      <c r="X110" s="51">
        <v>45488</v>
      </c>
      <c r="Y110" s="102" t="s">
        <v>1568</v>
      </c>
      <c r="Z110" s="135" t="s">
        <v>3023</v>
      </c>
      <c r="AA110" s="135">
        <v>0</v>
      </c>
    </row>
    <row r="111" spans="1:27" ht="13" customHeight="1">
      <c r="A111" s="11">
        <v>105</v>
      </c>
      <c r="B111" s="47">
        <v>206953570</v>
      </c>
      <c r="C111" s="89" t="s">
        <v>2114</v>
      </c>
      <c r="D111" s="11" t="s">
        <v>2037</v>
      </c>
      <c r="E111" s="48" t="s">
        <v>31</v>
      </c>
      <c r="F111" s="48" t="s">
        <v>74</v>
      </c>
      <c r="G111" s="11" t="s">
        <v>64</v>
      </c>
      <c r="H111" s="48" t="str">
        <f>VLOOKUP(Table1[[#This Row],[Psoft No]],[1]Roster!$C$2:$H$1402,6,)</f>
        <v>AUH1</v>
      </c>
      <c r="I111" s="48" t="b">
        <f>Table1[[#This Row],[Building]]=Table1[[#This Row],[Column1]]</f>
        <v>1</v>
      </c>
      <c r="J111" s="11" t="s">
        <v>75</v>
      </c>
      <c r="K111" s="11">
        <v>1299</v>
      </c>
      <c r="L111" s="49" t="s">
        <v>32</v>
      </c>
      <c r="M111" s="49" t="s">
        <v>76</v>
      </c>
      <c r="N111" s="49" t="s">
        <v>88</v>
      </c>
      <c r="O111" s="49" t="s">
        <v>95</v>
      </c>
      <c r="P111" s="48" t="s">
        <v>79</v>
      </c>
      <c r="Q111" s="49" t="s">
        <v>67</v>
      </c>
      <c r="R111" s="11" t="s">
        <v>80</v>
      </c>
      <c r="S111" s="11" t="s">
        <v>96</v>
      </c>
      <c r="T111" s="11" t="s">
        <v>82</v>
      </c>
      <c r="U111" s="11" t="s">
        <v>2713</v>
      </c>
      <c r="V111" s="116" t="str">
        <f>VLOOKUP(Table1[[#This Row],[Psoft No]],[2]Sheet1!$A$2:$G$386,7,0)</f>
        <v>P</v>
      </c>
      <c r="W111" s="88"/>
      <c r="X111" s="51">
        <v>46048</v>
      </c>
      <c r="Y111" s="102" t="s">
        <v>1568</v>
      </c>
      <c r="Z111" s="135" t="s">
        <v>2</v>
      </c>
      <c r="AA111" s="135">
        <v>0</v>
      </c>
    </row>
    <row r="112" spans="1:27" ht="13" customHeight="1">
      <c r="A112" s="11">
        <v>106</v>
      </c>
      <c r="B112" s="47">
        <v>203469053</v>
      </c>
      <c r="C112" s="89" t="s">
        <v>120</v>
      </c>
      <c r="D112" s="11" t="s">
        <v>1940</v>
      </c>
      <c r="E112" s="48" t="s">
        <v>31</v>
      </c>
      <c r="F112" s="48" t="s">
        <v>74</v>
      </c>
      <c r="G112" s="11" t="s">
        <v>64</v>
      </c>
      <c r="H112" s="48" t="str">
        <f>VLOOKUP(Table1[[#This Row],[Psoft No]],[1]Roster!$C$2:$H$1402,6,)</f>
        <v>AUH1</v>
      </c>
      <c r="I112" s="48" t="b">
        <f>Table1[[#This Row],[Building]]=Table1[[#This Row],[Column1]]</f>
        <v>1</v>
      </c>
      <c r="J112" s="11" t="s">
        <v>75</v>
      </c>
      <c r="K112" s="11">
        <v>1299</v>
      </c>
      <c r="L112" s="49" t="s">
        <v>39</v>
      </c>
      <c r="M112" s="49" t="s">
        <v>76</v>
      </c>
      <c r="N112" s="49" t="s">
        <v>85</v>
      </c>
      <c r="O112" s="49" t="s">
        <v>88</v>
      </c>
      <c r="P112" s="49" t="s">
        <v>79</v>
      </c>
      <c r="Q112" s="49" t="s">
        <v>67</v>
      </c>
      <c r="R112" s="11" t="s">
        <v>80</v>
      </c>
      <c r="S112" s="11" t="s">
        <v>81</v>
      </c>
      <c r="T112" s="11" t="s">
        <v>82</v>
      </c>
      <c r="U112" s="11" t="s">
        <v>2713</v>
      </c>
      <c r="V112" s="116" t="s">
        <v>1</v>
      </c>
      <c r="W112" s="88"/>
      <c r="X112" s="51">
        <v>45456</v>
      </c>
      <c r="Y112" s="102" t="s">
        <v>1568</v>
      </c>
      <c r="Z112" s="135" t="s">
        <v>2</v>
      </c>
      <c r="AA112" s="135">
        <v>0</v>
      </c>
    </row>
    <row r="113" spans="1:27" ht="13" customHeight="1">
      <c r="A113" s="11">
        <v>107</v>
      </c>
      <c r="B113" s="47">
        <v>206949312</v>
      </c>
      <c r="C113" s="89" t="s">
        <v>2156</v>
      </c>
      <c r="D113" s="11" t="s">
        <v>2157</v>
      </c>
      <c r="E113" s="48" t="s">
        <v>31</v>
      </c>
      <c r="F113" s="48" t="s">
        <v>74</v>
      </c>
      <c r="G113" s="11" t="s">
        <v>64</v>
      </c>
      <c r="H113" s="48" t="str">
        <f>VLOOKUP(Table1[[#This Row],[Psoft No]],[1]Roster!$C$2:$H$1402,6,)</f>
        <v>AUH1</v>
      </c>
      <c r="I113" s="48" t="b">
        <f>Table1[[#This Row],[Building]]=Table1[[#This Row],[Column1]]</f>
        <v>1</v>
      </c>
      <c r="J113" s="11" t="s">
        <v>75</v>
      </c>
      <c r="K113" s="11">
        <v>1299</v>
      </c>
      <c r="L113" s="49" t="s">
        <v>32</v>
      </c>
      <c r="M113" s="49" t="s">
        <v>76</v>
      </c>
      <c r="N113" s="49" t="s">
        <v>88</v>
      </c>
      <c r="O113" s="49" t="s">
        <v>95</v>
      </c>
      <c r="P113" s="48" t="s">
        <v>86</v>
      </c>
      <c r="Q113" s="49" t="s">
        <v>67</v>
      </c>
      <c r="R113" s="11" t="s">
        <v>80</v>
      </c>
      <c r="S113" s="11" t="s">
        <v>90</v>
      </c>
      <c r="T113" s="11" t="s">
        <v>82</v>
      </c>
      <c r="U113" s="11" t="s">
        <v>2713</v>
      </c>
      <c r="V113" s="116" t="str">
        <f>VLOOKUP(Table1[[#This Row],[Psoft No]],[2]Sheet1!$A$2:$G$386,7,0)</f>
        <v>P</v>
      </c>
      <c r="W113" s="88"/>
      <c r="X113" s="51">
        <v>46048</v>
      </c>
      <c r="Y113" s="102" t="s">
        <v>1568</v>
      </c>
      <c r="Z113" s="135" t="s">
        <v>2</v>
      </c>
      <c r="AA113" s="135">
        <v>0</v>
      </c>
    </row>
    <row r="114" spans="1:27" ht="13" customHeight="1">
      <c r="A114" s="11">
        <v>108</v>
      </c>
      <c r="B114" s="47">
        <v>203940975</v>
      </c>
      <c r="C114" s="89" t="s">
        <v>1472</v>
      </c>
      <c r="D114" s="11" t="s">
        <v>1473</v>
      </c>
      <c r="E114" s="48" t="s">
        <v>31</v>
      </c>
      <c r="F114" s="48" t="s">
        <v>74</v>
      </c>
      <c r="G114" s="11" t="s">
        <v>64</v>
      </c>
      <c r="H114" s="48" t="str">
        <f>VLOOKUP(Table1[[#This Row],[Psoft No]],[1]Roster!$C$2:$H$1402,6,)</f>
        <v>AUH1</v>
      </c>
      <c r="I114" s="48" t="b">
        <f>Table1[[#This Row],[Building]]=Table1[[#This Row],[Column1]]</f>
        <v>1</v>
      </c>
      <c r="J114" s="11" t="s">
        <v>75</v>
      </c>
      <c r="K114" s="11">
        <v>1299</v>
      </c>
      <c r="L114" s="49" t="s">
        <v>32</v>
      </c>
      <c r="M114" s="49" t="s">
        <v>76</v>
      </c>
      <c r="N114" s="49" t="s">
        <v>77</v>
      </c>
      <c r="O114" s="49" t="s">
        <v>78</v>
      </c>
      <c r="P114" s="48" t="s">
        <v>2732</v>
      </c>
      <c r="Q114" s="49" t="s">
        <v>1475</v>
      </c>
      <c r="R114" s="11" t="s">
        <v>1443</v>
      </c>
      <c r="S114" s="11" t="s">
        <v>99</v>
      </c>
      <c r="T114" s="11" t="s">
        <v>2724</v>
      </c>
      <c r="U114" s="11" t="s">
        <v>2725</v>
      </c>
      <c r="V114" s="116" t="s">
        <v>4</v>
      </c>
      <c r="W114" s="88"/>
      <c r="X114" s="51">
        <v>45540</v>
      </c>
      <c r="Y114" s="97" t="s">
        <v>1583</v>
      </c>
      <c r="Z114" s="135" t="s">
        <v>3023</v>
      </c>
      <c r="AA114" s="135">
        <v>0</v>
      </c>
    </row>
    <row r="115" spans="1:27" ht="13" customHeight="1">
      <c r="A115" s="11">
        <v>109</v>
      </c>
      <c r="B115" s="47">
        <v>206192274</v>
      </c>
      <c r="C115" s="89" t="s">
        <v>2259</v>
      </c>
      <c r="D115" s="11" t="s">
        <v>2260</v>
      </c>
      <c r="E115" s="48" t="s">
        <v>31</v>
      </c>
      <c r="F115" s="48" t="s">
        <v>74</v>
      </c>
      <c r="G115" s="11" t="s">
        <v>64</v>
      </c>
      <c r="H115" s="48" t="str">
        <f>VLOOKUP(Table1[[#This Row],[Psoft No]],[1]Roster!$C$2:$H$1402,6,)</f>
        <v>AUH1</v>
      </c>
      <c r="I115" s="48" t="b">
        <f>Table1[[#This Row],[Building]]=Table1[[#This Row],[Column1]]</f>
        <v>1</v>
      </c>
      <c r="J115" s="11" t="s">
        <v>75</v>
      </c>
      <c r="K115" s="11">
        <v>1299</v>
      </c>
      <c r="L115" s="49" t="s">
        <v>39</v>
      </c>
      <c r="M115" s="49" t="s">
        <v>76</v>
      </c>
      <c r="N115" s="49" t="s">
        <v>85</v>
      </c>
      <c r="O115" s="49" t="s">
        <v>88</v>
      </c>
      <c r="P115" s="48" t="s">
        <v>89</v>
      </c>
      <c r="Q115" s="49" t="s">
        <v>67</v>
      </c>
      <c r="R115" s="11" t="s">
        <v>80</v>
      </c>
      <c r="S115" s="11" t="s">
        <v>96</v>
      </c>
      <c r="T115" s="11" t="s">
        <v>82</v>
      </c>
      <c r="U115" s="11" t="s">
        <v>2713</v>
      </c>
      <c r="V115" s="116" t="s">
        <v>1</v>
      </c>
      <c r="W115" s="88"/>
      <c r="X115" s="51">
        <v>45936</v>
      </c>
      <c r="Y115" s="102" t="s">
        <v>1568</v>
      </c>
      <c r="Z115" s="135" t="s">
        <v>2</v>
      </c>
      <c r="AA115" s="135">
        <v>0</v>
      </c>
    </row>
    <row r="116" spans="1:27" ht="13" customHeight="1">
      <c r="A116" s="11">
        <v>110</v>
      </c>
      <c r="B116" s="47">
        <v>203469078</v>
      </c>
      <c r="C116" s="89" t="s">
        <v>122</v>
      </c>
      <c r="D116" s="11" t="s">
        <v>1942</v>
      </c>
      <c r="E116" s="48" t="s">
        <v>31</v>
      </c>
      <c r="F116" s="48" t="s">
        <v>74</v>
      </c>
      <c r="G116" s="11" t="s">
        <v>64</v>
      </c>
      <c r="H116" s="48" t="str">
        <f>VLOOKUP(Table1[[#This Row],[Psoft No]],[1]Roster!$C$2:$H$1402,6,)</f>
        <v>AUH1</v>
      </c>
      <c r="I116" s="48" t="b">
        <f>Table1[[#This Row],[Building]]=Table1[[#This Row],[Column1]]</f>
        <v>1</v>
      </c>
      <c r="J116" s="11" t="s">
        <v>75</v>
      </c>
      <c r="K116" s="11">
        <v>1299</v>
      </c>
      <c r="L116" s="49" t="s">
        <v>32</v>
      </c>
      <c r="M116" s="49" t="s">
        <v>76</v>
      </c>
      <c r="N116" s="49" t="s">
        <v>85</v>
      </c>
      <c r="O116" s="49" t="s">
        <v>88</v>
      </c>
      <c r="P116" s="49" t="s">
        <v>79</v>
      </c>
      <c r="Q116" s="49" t="s">
        <v>67</v>
      </c>
      <c r="R116" s="11" t="s">
        <v>80</v>
      </c>
      <c r="S116" s="11" t="s">
        <v>81</v>
      </c>
      <c r="T116" s="11" t="s">
        <v>82</v>
      </c>
      <c r="U116" s="11" t="s">
        <v>2713</v>
      </c>
      <c r="V116" s="116" t="str">
        <f>VLOOKUP(Table1[[#This Row],[Psoft No]],[2]Sheet1!$A$2:$G$386,7,0)</f>
        <v>P</v>
      </c>
      <c r="W116" s="88"/>
      <c r="X116" s="51">
        <v>45456</v>
      </c>
      <c r="Y116" s="102" t="s">
        <v>1568</v>
      </c>
      <c r="Z116" s="135" t="s">
        <v>2</v>
      </c>
      <c r="AA116" s="135">
        <v>0</v>
      </c>
    </row>
    <row r="117" spans="1:27" ht="13" customHeight="1">
      <c r="A117" s="11">
        <v>111</v>
      </c>
      <c r="B117" s="47">
        <v>206953972</v>
      </c>
      <c r="C117" s="89" t="s">
        <v>2130</v>
      </c>
      <c r="D117" s="11" t="s">
        <v>2058</v>
      </c>
      <c r="E117" s="48" t="s">
        <v>31</v>
      </c>
      <c r="F117" s="48" t="s">
        <v>74</v>
      </c>
      <c r="G117" s="11" t="s">
        <v>64</v>
      </c>
      <c r="H117" s="48" t="str">
        <f>VLOOKUP(Table1[[#This Row],[Psoft No]],[1]Roster!$C$2:$H$1402,6,)</f>
        <v>AUH1</v>
      </c>
      <c r="I117" s="48" t="b">
        <f>Table1[[#This Row],[Building]]=Table1[[#This Row],[Column1]]</f>
        <v>1</v>
      </c>
      <c r="J117" s="11" t="s">
        <v>75</v>
      </c>
      <c r="K117" s="11">
        <v>1299</v>
      </c>
      <c r="L117" s="49" t="s">
        <v>32</v>
      </c>
      <c r="M117" s="49" t="s">
        <v>76</v>
      </c>
      <c r="N117" s="49" t="s">
        <v>88</v>
      </c>
      <c r="O117" s="49" t="s">
        <v>95</v>
      </c>
      <c r="P117" s="48" t="s">
        <v>89</v>
      </c>
      <c r="Q117" s="49" t="s">
        <v>67</v>
      </c>
      <c r="R117" s="11" t="s">
        <v>80</v>
      </c>
      <c r="S117" s="11" t="s">
        <v>90</v>
      </c>
      <c r="T117" s="11" t="s">
        <v>82</v>
      </c>
      <c r="U117" s="11" t="s">
        <v>2713</v>
      </c>
      <c r="V117" s="116" t="str">
        <f>VLOOKUP(Table1[[#This Row],[Psoft No]],[2]Sheet1!$A$2:$G$386,7,0)</f>
        <v>P</v>
      </c>
      <c r="W117" s="88"/>
      <c r="X117" s="51">
        <v>46048</v>
      </c>
      <c r="Y117" s="102" t="s">
        <v>1568</v>
      </c>
      <c r="Z117" s="135" t="s">
        <v>2</v>
      </c>
      <c r="AA117" s="135">
        <v>0</v>
      </c>
    </row>
    <row r="118" spans="1:27" ht="13" customHeight="1">
      <c r="A118" s="11">
        <v>112</v>
      </c>
      <c r="B118" s="47">
        <v>203469052</v>
      </c>
      <c r="C118" s="89" t="s">
        <v>123</v>
      </c>
      <c r="D118" s="11" t="s">
        <v>1943</v>
      </c>
      <c r="E118" s="48" t="s">
        <v>31</v>
      </c>
      <c r="F118" s="48" t="s">
        <v>74</v>
      </c>
      <c r="G118" s="11" t="s">
        <v>64</v>
      </c>
      <c r="H118" s="48" t="str">
        <f>VLOOKUP(Table1[[#This Row],[Psoft No]],[1]Roster!$C$2:$H$1402,6,)</f>
        <v>AUH1</v>
      </c>
      <c r="I118" s="48" t="b">
        <f>Table1[[#This Row],[Building]]=Table1[[#This Row],[Column1]]</f>
        <v>1</v>
      </c>
      <c r="J118" s="11" t="s">
        <v>75</v>
      </c>
      <c r="K118" s="11">
        <v>1299</v>
      </c>
      <c r="L118" s="49" t="s">
        <v>32</v>
      </c>
      <c r="M118" s="49" t="s">
        <v>76</v>
      </c>
      <c r="N118" s="49" t="s">
        <v>85</v>
      </c>
      <c r="O118" s="49" t="s">
        <v>88</v>
      </c>
      <c r="P118" s="48" t="s">
        <v>79</v>
      </c>
      <c r="Q118" s="49" t="s">
        <v>67</v>
      </c>
      <c r="R118" s="11" t="s">
        <v>80</v>
      </c>
      <c r="S118" s="11" t="s">
        <v>81</v>
      </c>
      <c r="T118" s="11" t="s">
        <v>82</v>
      </c>
      <c r="U118" s="11" t="s">
        <v>2713</v>
      </c>
      <c r="V118" s="116" t="str">
        <f>VLOOKUP(Table1[[#This Row],[Psoft No]],[2]Sheet1!$A$2:$G$386,7,0)</f>
        <v>P</v>
      </c>
      <c r="W118" s="88"/>
      <c r="X118" s="51">
        <v>45456</v>
      </c>
      <c r="Y118" s="102" t="s">
        <v>1568</v>
      </c>
      <c r="Z118" s="135" t="s">
        <v>2</v>
      </c>
      <c r="AA118" s="135">
        <v>0</v>
      </c>
    </row>
    <row r="119" spans="1:27" ht="13" customHeight="1">
      <c r="A119" s="11">
        <v>113</v>
      </c>
      <c r="B119" s="47">
        <v>206875598</v>
      </c>
      <c r="C119" s="89" t="s">
        <v>1739</v>
      </c>
      <c r="D119" s="11" t="s">
        <v>1740</v>
      </c>
      <c r="E119" s="48" t="s">
        <v>31</v>
      </c>
      <c r="F119" s="48" t="s">
        <v>74</v>
      </c>
      <c r="G119" s="11" t="s">
        <v>64</v>
      </c>
      <c r="H119" s="48" t="str">
        <f>VLOOKUP(Table1[[#This Row],[Psoft No]],[1]Roster!$C$2:$H$1402,6,)</f>
        <v>AUH1</v>
      </c>
      <c r="I119" s="48" t="b">
        <f>Table1[[#This Row],[Building]]=Table1[[#This Row],[Column1]]</f>
        <v>1</v>
      </c>
      <c r="J119" s="11" t="s">
        <v>75</v>
      </c>
      <c r="K119" s="11">
        <v>1299</v>
      </c>
      <c r="L119" s="49" t="s">
        <v>32</v>
      </c>
      <c r="M119" s="49" t="s">
        <v>76</v>
      </c>
      <c r="N119" s="49" t="s">
        <v>77</v>
      </c>
      <c r="O119" s="49" t="s">
        <v>78</v>
      </c>
      <c r="P119" s="48" t="s">
        <v>89</v>
      </c>
      <c r="Q119" s="49" t="s">
        <v>67</v>
      </c>
      <c r="R119" s="11" t="s">
        <v>80</v>
      </c>
      <c r="S119" s="11" t="s">
        <v>90</v>
      </c>
      <c r="T119" s="11" t="s">
        <v>82</v>
      </c>
      <c r="U119" s="11" t="s">
        <v>2713</v>
      </c>
      <c r="V119" s="116" t="str">
        <f>VLOOKUP(Table1[[#This Row],[Psoft No]],[2]Sheet1!$A$2:$G$386,7,0)</f>
        <v>P</v>
      </c>
      <c r="W119" s="88"/>
      <c r="X119" s="51">
        <v>46020</v>
      </c>
      <c r="Y119" s="102" t="s">
        <v>1568</v>
      </c>
      <c r="Z119" s="135" t="s">
        <v>2</v>
      </c>
      <c r="AA119" s="135">
        <v>0</v>
      </c>
    </row>
    <row r="120" spans="1:27" ht="13" customHeight="1">
      <c r="A120" s="11">
        <v>114</v>
      </c>
      <c r="B120" s="47">
        <v>206957734</v>
      </c>
      <c r="C120" s="89" t="s">
        <v>2118</v>
      </c>
      <c r="D120" s="11" t="s">
        <v>2041</v>
      </c>
      <c r="E120" s="48" t="s">
        <v>31</v>
      </c>
      <c r="F120" s="48" t="s">
        <v>74</v>
      </c>
      <c r="G120" s="48" t="s">
        <v>64</v>
      </c>
      <c r="H120" s="48" t="str">
        <f>VLOOKUP(Table1[[#This Row],[Psoft No]],[1]Roster!$C$2:$H$1402,6,)</f>
        <v>AUH1</v>
      </c>
      <c r="I120" s="48" t="b">
        <f>Table1[[#This Row],[Building]]=Table1[[#This Row],[Column1]]</f>
        <v>1</v>
      </c>
      <c r="J120" s="48" t="s">
        <v>75</v>
      </c>
      <c r="K120" s="11">
        <v>1299</v>
      </c>
      <c r="L120" s="49" t="s">
        <v>32</v>
      </c>
      <c r="M120" s="49" t="s">
        <v>76</v>
      </c>
      <c r="N120" s="49" t="s">
        <v>78</v>
      </c>
      <c r="O120" s="49" t="s">
        <v>92</v>
      </c>
      <c r="P120" s="49" t="s">
        <v>89</v>
      </c>
      <c r="Q120" s="48" t="s">
        <v>67</v>
      </c>
      <c r="R120" s="48" t="s">
        <v>80</v>
      </c>
      <c r="S120" s="11" t="s">
        <v>96</v>
      </c>
      <c r="T120" s="11" t="s">
        <v>82</v>
      </c>
      <c r="U120" s="11" t="s">
        <v>2713</v>
      </c>
      <c r="V120" s="116" t="s">
        <v>10</v>
      </c>
      <c r="W120" s="88"/>
      <c r="X120" s="51">
        <v>46048</v>
      </c>
      <c r="Y120" s="102" t="s">
        <v>1568</v>
      </c>
      <c r="Z120" s="135" t="s">
        <v>3023</v>
      </c>
      <c r="AA120" s="135">
        <v>0</v>
      </c>
    </row>
    <row r="121" spans="1:27" ht="13" customHeight="1">
      <c r="A121" s="11">
        <v>115</v>
      </c>
      <c r="B121" s="47">
        <v>202199024</v>
      </c>
      <c r="C121" s="89" t="s">
        <v>124</v>
      </c>
      <c r="D121" s="11" t="s">
        <v>1944</v>
      </c>
      <c r="E121" s="48" t="s">
        <v>31</v>
      </c>
      <c r="F121" s="48" t="s">
        <v>74</v>
      </c>
      <c r="G121" s="11" t="s">
        <v>64</v>
      </c>
      <c r="H121" s="48" t="str">
        <f>VLOOKUP(Table1[[#This Row],[Psoft No]],[1]Roster!$C$2:$H$1402,6,)</f>
        <v>AUH1</v>
      </c>
      <c r="I121" s="48" t="b">
        <f>Table1[[#This Row],[Building]]=Table1[[#This Row],[Column1]]</f>
        <v>1</v>
      </c>
      <c r="J121" s="11" t="s">
        <v>75</v>
      </c>
      <c r="K121" s="11">
        <v>1299</v>
      </c>
      <c r="L121" s="49" t="s">
        <v>39</v>
      </c>
      <c r="M121" s="49" t="s">
        <v>76</v>
      </c>
      <c r="N121" s="49" t="s">
        <v>77</v>
      </c>
      <c r="O121" s="49" t="s">
        <v>78</v>
      </c>
      <c r="P121" s="49" t="s">
        <v>86</v>
      </c>
      <c r="Q121" s="49" t="s">
        <v>67</v>
      </c>
      <c r="R121" s="11" t="s">
        <v>80</v>
      </c>
      <c r="S121" s="11" t="s">
        <v>87</v>
      </c>
      <c r="T121" s="11" t="s">
        <v>82</v>
      </c>
      <c r="U121" s="11" t="s">
        <v>2713</v>
      </c>
      <c r="V121" s="116" t="s">
        <v>1</v>
      </c>
      <c r="W121" s="88"/>
      <c r="X121" s="51">
        <v>45589</v>
      </c>
      <c r="Y121" s="102" t="s">
        <v>1568</v>
      </c>
      <c r="Z121" s="135" t="s">
        <v>2</v>
      </c>
      <c r="AA121" s="135">
        <v>0</v>
      </c>
    </row>
    <row r="122" spans="1:27" ht="13" customHeight="1">
      <c r="A122" s="11">
        <v>116</v>
      </c>
      <c r="B122" s="47">
        <v>203817155</v>
      </c>
      <c r="C122" s="89" t="s">
        <v>125</v>
      </c>
      <c r="D122" s="11" t="s">
        <v>1945</v>
      </c>
      <c r="E122" s="48" t="s">
        <v>31</v>
      </c>
      <c r="F122" s="48" t="s">
        <v>74</v>
      </c>
      <c r="G122" s="11" t="s">
        <v>64</v>
      </c>
      <c r="H122" s="48" t="str">
        <f>VLOOKUP(Table1[[#This Row],[Psoft No]],[1]Roster!$C$2:$H$1402,6,)</f>
        <v>AUH1</v>
      </c>
      <c r="I122" s="48" t="b">
        <f>Table1[[#This Row],[Building]]=Table1[[#This Row],[Column1]]</f>
        <v>1</v>
      </c>
      <c r="J122" s="11" t="s">
        <v>75</v>
      </c>
      <c r="K122" s="11">
        <v>1299</v>
      </c>
      <c r="L122" s="49" t="s">
        <v>32</v>
      </c>
      <c r="M122" s="49" t="s">
        <v>76</v>
      </c>
      <c r="N122" s="49" t="s">
        <v>92</v>
      </c>
      <c r="O122" s="49" t="s">
        <v>84</v>
      </c>
      <c r="P122" s="48" t="s">
        <v>79</v>
      </c>
      <c r="Q122" s="49" t="s">
        <v>67</v>
      </c>
      <c r="R122" s="11" t="s">
        <v>80</v>
      </c>
      <c r="S122" s="11" t="s">
        <v>81</v>
      </c>
      <c r="T122" s="11" t="s">
        <v>2711</v>
      </c>
      <c r="U122" s="11" t="s">
        <v>2712</v>
      </c>
      <c r="V122" s="116" t="s">
        <v>10</v>
      </c>
      <c r="W122" s="88"/>
      <c r="X122" s="51">
        <v>45517</v>
      </c>
      <c r="Y122" s="102" t="s">
        <v>1568</v>
      </c>
      <c r="Z122" s="135" t="s">
        <v>3023</v>
      </c>
      <c r="AA122" s="135">
        <v>0</v>
      </c>
    </row>
    <row r="123" spans="1:27" ht="13" customHeight="1">
      <c r="A123" s="11">
        <v>117</v>
      </c>
      <c r="B123" s="47">
        <v>203679319</v>
      </c>
      <c r="C123" s="89" t="s">
        <v>2453</v>
      </c>
      <c r="D123" s="11" t="s">
        <v>2454</v>
      </c>
      <c r="E123" s="48" t="s">
        <v>31</v>
      </c>
      <c r="F123" s="48" t="s">
        <v>74</v>
      </c>
      <c r="G123" s="11" t="s">
        <v>64</v>
      </c>
      <c r="H123" s="48" t="str">
        <f>VLOOKUP(Table1[[#This Row],[Psoft No]],[1]Roster!$C$2:$H$1402,6,)</f>
        <v>AUH1</v>
      </c>
      <c r="I123" s="48" t="b">
        <f>Table1[[#This Row],[Building]]=Table1[[#This Row],[Column1]]</f>
        <v>1</v>
      </c>
      <c r="J123" s="11" t="s">
        <v>75</v>
      </c>
      <c r="K123" s="11">
        <v>1299</v>
      </c>
      <c r="L123" s="49" t="s">
        <v>32</v>
      </c>
      <c r="M123" s="49" t="s">
        <v>76</v>
      </c>
      <c r="N123" s="49" t="s">
        <v>95</v>
      </c>
      <c r="O123" s="49" t="s">
        <v>77</v>
      </c>
      <c r="P123" s="48" t="s">
        <v>79</v>
      </c>
      <c r="Q123" s="49" t="s">
        <v>67</v>
      </c>
      <c r="R123" s="11" t="s">
        <v>80</v>
      </c>
      <c r="S123" s="11" t="s">
        <v>81</v>
      </c>
      <c r="T123" s="11" t="s">
        <v>2711</v>
      </c>
      <c r="U123" s="11" t="s">
        <v>2712</v>
      </c>
      <c r="V123" s="116" t="str">
        <f>VLOOKUP(Table1[[#This Row],[Psoft No]],[2]Sheet1!$A$2:$G$386,7,0)</f>
        <v>P</v>
      </c>
      <c r="W123" s="88"/>
      <c r="X123" s="51">
        <v>45488</v>
      </c>
      <c r="Y123" s="102" t="s">
        <v>1568</v>
      </c>
      <c r="Z123" s="135" t="s">
        <v>2</v>
      </c>
      <c r="AA123" s="135">
        <v>0</v>
      </c>
    </row>
    <row r="124" spans="1:27" ht="13" customHeight="1">
      <c r="A124" s="11">
        <v>118</v>
      </c>
      <c r="B124" s="47">
        <v>206953967</v>
      </c>
      <c r="C124" s="89" t="s">
        <v>2129</v>
      </c>
      <c r="D124" s="11" t="s">
        <v>2057</v>
      </c>
      <c r="E124" s="48" t="s">
        <v>31</v>
      </c>
      <c r="F124" s="48" t="s">
        <v>74</v>
      </c>
      <c r="G124" s="11" t="s">
        <v>64</v>
      </c>
      <c r="H124" s="48" t="str">
        <f>VLOOKUP(Table1[[#This Row],[Psoft No]],[1]Roster!$C$2:$H$1402,6,)</f>
        <v>AUH1</v>
      </c>
      <c r="I124" s="48" t="b">
        <f>Table1[[#This Row],[Building]]=Table1[[#This Row],[Column1]]</f>
        <v>1</v>
      </c>
      <c r="J124" s="11" t="s">
        <v>75</v>
      </c>
      <c r="K124" s="11">
        <v>1299</v>
      </c>
      <c r="L124" s="49" t="s">
        <v>32</v>
      </c>
      <c r="M124" s="49" t="s">
        <v>76</v>
      </c>
      <c r="N124" s="49" t="s">
        <v>88</v>
      </c>
      <c r="O124" s="49" t="s">
        <v>95</v>
      </c>
      <c r="P124" s="48" t="s">
        <v>86</v>
      </c>
      <c r="Q124" s="49" t="s">
        <v>67</v>
      </c>
      <c r="R124" s="11" t="s">
        <v>80</v>
      </c>
      <c r="S124" s="11" t="s">
        <v>90</v>
      </c>
      <c r="T124" s="11" t="s">
        <v>2711</v>
      </c>
      <c r="U124" s="11" t="s">
        <v>2712</v>
      </c>
      <c r="V124" s="116" t="str">
        <f>VLOOKUP(Table1[[#This Row],[Psoft No]],[2]Sheet1!$A$2:$G$386,7,0)</f>
        <v>P</v>
      </c>
      <c r="W124" s="88"/>
      <c r="X124" s="51">
        <v>46048</v>
      </c>
      <c r="Y124" s="102" t="s">
        <v>1568</v>
      </c>
      <c r="Z124" s="135" t="s">
        <v>2</v>
      </c>
      <c r="AA124" s="135">
        <v>0</v>
      </c>
    </row>
    <row r="125" spans="1:27" ht="13" customHeight="1">
      <c r="A125" s="11">
        <v>119</v>
      </c>
      <c r="B125" s="47">
        <v>206174652</v>
      </c>
      <c r="C125" s="89" t="s">
        <v>2261</v>
      </c>
      <c r="D125" s="11" t="s">
        <v>2262</v>
      </c>
      <c r="E125" s="48" t="s">
        <v>31</v>
      </c>
      <c r="F125" s="48" t="s">
        <v>74</v>
      </c>
      <c r="G125" s="11" t="s">
        <v>64</v>
      </c>
      <c r="H125" s="48" t="str">
        <f>VLOOKUP(Table1[[#This Row],[Psoft No]],[1]Roster!$C$2:$H$1402,6,)</f>
        <v>AUH1</v>
      </c>
      <c r="I125" s="48" t="b">
        <f>Table1[[#This Row],[Building]]=Table1[[#This Row],[Column1]]</f>
        <v>1</v>
      </c>
      <c r="J125" s="11" t="s">
        <v>75</v>
      </c>
      <c r="K125" s="11">
        <v>1299</v>
      </c>
      <c r="L125" s="49" t="s">
        <v>39</v>
      </c>
      <c r="M125" s="49" t="s">
        <v>76</v>
      </c>
      <c r="N125" s="49" t="s">
        <v>78</v>
      </c>
      <c r="O125" s="49" t="s">
        <v>92</v>
      </c>
      <c r="P125" s="48" t="s">
        <v>89</v>
      </c>
      <c r="Q125" s="49" t="s">
        <v>67</v>
      </c>
      <c r="R125" s="11" t="s">
        <v>80</v>
      </c>
      <c r="S125" s="11" t="s">
        <v>81</v>
      </c>
      <c r="T125" s="11" t="s">
        <v>2711</v>
      </c>
      <c r="U125" s="11" t="s">
        <v>2712</v>
      </c>
      <c r="V125" s="116" t="s">
        <v>10</v>
      </c>
      <c r="W125" s="88"/>
      <c r="X125" s="51">
        <v>45932</v>
      </c>
      <c r="Y125" s="102" t="s">
        <v>1568</v>
      </c>
      <c r="Z125" s="135" t="s">
        <v>3023</v>
      </c>
      <c r="AA125" s="135">
        <v>0</v>
      </c>
    </row>
    <row r="126" spans="1:27" ht="13" customHeight="1">
      <c r="A126" s="11">
        <v>120</v>
      </c>
      <c r="B126" s="47">
        <v>203679318</v>
      </c>
      <c r="C126" s="89" t="s">
        <v>126</v>
      </c>
      <c r="D126" s="11" t="s">
        <v>1946</v>
      </c>
      <c r="E126" s="48" t="s">
        <v>31</v>
      </c>
      <c r="F126" s="48" t="s">
        <v>74</v>
      </c>
      <c r="G126" s="11" t="s">
        <v>64</v>
      </c>
      <c r="H126" s="48" t="str">
        <f>VLOOKUP(Table1[[#This Row],[Psoft No]],[1]Roster!$C$2:$H$1402,6,)</f>
        <v>AUH1</v>
      </c>
      <c r="I126" s="48" t="b">
        <f>Table1[[#This Row],[Building]]=Table1[[#This Row],[Column1]]</f>
        <v>1</v>
      </c>
      <c r="J126" s="11" t="s">
        <v>75</v>
      </c>
      <c r="K126" s="11">
        <v>1299</v>
      </c>
      <c r="L126" s="49" t="s">
        <v>39</v>
      </c>
      <c r="M126" s="49" t="s">
        <v>76</v>
      </c>
      <c r="N126" s="49" t="s">
        <v>77</v>
      </c>
      <c r="O126" s="49" t="s">
        <v>78</v>
      </c>
      <c r="P126" s="49" t="s">
        <v>79</v>
      </c>
      <c r="Q126" s="49" t="s">
        <v>67</v>
      </c>
      <c r="R126" s="11" t="s">
        <v>80</v>
      </c>
      <c r="S126" s="11" t="s">
        <v>81</v>
      </c>
      <c r="T126" s="11" t="s">
        <v>2711</v>
      </c>
      <c r="U126" s="11" t="s">
        <v>2712</v>
      </c>
      <c r="V126" s="116" t="s">
        <v>1</v>
      </c>
      <c r="W126" s="88"/>
      <c r="X126" s="51">
        <v>45488</v>
      </c>
      <c r="Y126" s="102" t="s">
        <v>1568</v>
      </c>
      <c r="Z126" s="135" t="s">
        <v>2</v>
      </c>
      <c r="AA126" s="135">
        <v>0</v>
      </c>
    </row>
    <row r="127" spans="1:27" ht="13" customHeight="1">
      <c r="A127" s="11">
        <v>121</v>
      </c>
      <c r="B127" s="47">
        <v>206853664</v>
      </c>
      <c r="C127" s="89" t="s">
        <v>1733</v>
      </c>
      <c r="D127" s="11" t="s">
        <v>1734</v>
      </c>
      <c r="E127" s="48" t="s">
        <v>31</v>
      </c>
      <c r="F127" s="48" t="s">
        <v>74</v>
      </c>
      <c r="G127" s="11" t="s">
        <v>64</v>
      </c>
      <c r="H127" s="48" t="str">
        <f>VLOOKUP(Table1[[#This Row],[Psoft No]],[1]Roster!$C$2:$H$1402,6,)</f>
        <v>AUH1</v>
      </c>
      <c r="I127" s="48" t="b">
        <f>Table1[[#This Row],[Building]]=Table1[[#This Row],[Column1]]</f>
        <v>1</v>
      </c>
      <c r="J127" s="11" t="s">
        <v>75</v>
      </c>
      <c r="K127" s="11">
        <v>1299</v>
      </c>
      <c r="L127" s="49" t="s">
        <v>32</v>
      </c>
      <c r="M127" s="49" t="s">
        <v>76</v>
      </c>
      <c r="N127" s="49" t="s">
        <v>85</v>
      </c>
      <c r="O127" s="49" t="s">
        <v>88</v>
      </c>
      <c r="P127" s="48" t="s">
        <v>89</v>
      </c>
      <c r="Q127" s="49" t="s">
        <v>67</v>
      </c>
      <c r="R127" s="11" t="s">
        <v>80</v>
      </c>
      <c r="S127" s="11" t="s">
        <v>90</v>
      </c>
      <c r="T127" s="11" t="s">
        <v>2711</v>
      </c>
      <c r="U127" s="11" t="s">
        <v>2712</v>
      </c>
      <c r="V127" s="116" t="str">
        <f>VLOOKUP(Table1[[#This Row],[Psoft No]],[2]Sheet1!$A$2:$G$386,7,0)</f>
        <v>P</v>
      </c>
      <c r="W127" s="88"/>
      <c r="X127" s="51">
        <v>46020</v>
      </c>
      <c r="Y127" s="102" t="s">
        <v>1568</v>
      </c>
      <c r="Z127" s="135" t="s">
        <v>2</v>
      </c>
      <c r="AA127" s="135">
        <v>0</v>
      </c>
    </row>
    <row r="128" spans="1:27" ht="13" customHeight="1">
      <c r="A128" s="11">
        <v>122</v>
      </c>
      <c r="B128" s="47">
        <v>206875332</v>
      </c>
      <c r="C128" s="89" t="s">
        <v>1994</v>
      </c>
      <c r="D128" s="11" t="s">
        <v>1732</v>
      </c>
      <c r="E128" s="48" t="s">
        <v>31</v>
      </c>
      <c r="F128" s="48" t="s">
        <v>74</v>
      </c>
      <c r="G128" s="48" t="s">
        <v>64</v>
      </c>
      <c r="H128" s="48" t="str">
        <f>VLOOKUP(Table1[[#This Row],[Psoft No]],[1]Roster!$C$2:$H$1402,6,)</f>
        <v>AUH1</v>
      </c>
      <c r="I128" s="48" t="b">
        <f>Table1[[#This Row],[Building]]=Table1[[#This Row],[Column1]]</f>
        <v>1</v>
      </c>
      <c r="J128" s="48" t="s">
        <v>75</v>
      </c>
      <c r="K128" s="11">
        <v>1299</v>
      </c>
      <c r="L128" s="49" t="s">
        <v>32</v>
      </c>
      <c r="M128" s="49" t="s">
        <v>76</v>
      </c>
      <c r="N128" s="49" t="s">
        <v>85</v>
      </c>
      <c r="O128" s="49" t="s">
        <v>88</v>
      </c>
      <c r="P128" s="49" t="s">
        <v>89</v>
      </c>
      <c r="Q128" s="48" t="s">
        <v>67</v>
      </c>
      <c r="R128" s="48" t="s">
        <v>80</v>
      </c>
      <c r="S128" s="11" t="s">
        <v>90</v>
      </c>
      <c r="T128" s="11" t="s">
        <v>2711</v>
      </c>
      <c r="U128" s="11" t="s">
        <v>2712</v>
      </c>
      <c r="V128" s="116" t="str">
        <f>VLOOKUP(Table1[[#This Row],[Psoft No]],[2]Sheet1!$A$2:$G$386,7,0)</f>
        <v>P</v>
      </c>
      <c r="W128" s="88"/>
      <c r="X128" s="51">
        <v>46020</v>
      </c>
      <c r="Y128" s="102" t="s">
        <v>1568</v>
      </c>
      <c r="Z128" s="135" t="s">
        <v>2</v>
      </c>
      <c r="AA128" s="135">
        <v>0</v>
      </c>
    </row>
    <row r="129" spans="1:27" ht="13" customHeight="1">
      <c r="A129" s="11">
        <v>123</v>
      </c>
      <c r="B129" s="47">
        <v>206873877</v>
      </c>
      <c r="C129" s="89" t="s">
        <v>1746</v>
      </c>
      <c r="D129" s="11" t="s">
        <v>1747</v>
      </c>
      <c r="E129" s="48" t="s">
        <v>31</v>
      </c>
      <c r="F129" s="48" t="s">
        <v>74</v>
      </c>
      <c r="G129" s="11" t="s">
        <v>64</v>
      </c>
      <c r="H129" s="48" t="str">
        <f>VLOOKUP(Table1[[#This Row],[Psoft No]],[1]Roster!$C$2:$H$1402,6,)</f>
        <v>AUH1</v>
      </c>
      <c r="I129" s="48" t="b">
        <f>Table1[[#This Row],[Building]]=Table1[[#This Row],[Column1]]</f>
        <v>1</v>
      </c>
      <c r="J129" s="11" t="s">
        <v>75</v>
      </c>
      <c r="K129" s="11">
        <v>1299</v>
      </c>
      <c r="L129" s="49" t="s">
        <v>39</v>
      </c>
      <c r="M129" s="49" t="s">
        <v>76</v>
      </c>
      <c r="N129" s="49" t="s">
        <v>78</v>
      </c>
      <c r="O129" s="49" t="s">
        <v>92</v>
      </c>
      <c r="P129" s="48" t="s">
        <v>89</v>
      </c>
      <c r="Q129" s="49" t="s">
        <v>67</v>
      </c>
      <c r="R129" s="11" t="s">
        <v>80</v>
      </c>
      <c r="S129" s="11" t="s">
        <v>90</v>
      </c>
      <c r="T129" s="11" t="s">
        <v>2711</v>
      </c>
      <c r="U129" s="11" t="s">
        <v>2712</v>
      </c>
      <c r="V129" s="116" t="s">
        <v>10</v>
      </c>
      <c r="W129" s="88"/>
      <c r="X129" s="51">
        <v>46020</v>
      </c>
      <c r="Y129" s="97" t="s">
        <v>1568</v>
      </c>
      <c r="Z129" s="135" t="s">
        <v>3023</v>
      </c>
      <c r="AA129" s="135">
        <v>0</v>
      </c>
    </row>
    <row r="130" spans="1:27" ht="13" customHeight="1">
      <c r="A130" s="11">
        <v>124</v>
      </c>
      <c r="B130" s="11">
        <v>204883244</v>
      </c>
      <c r="C130" s="89" t="s">
        <v>434</v>
      </c>
      <c r="D130" s="11" t="s">
        <v>1947</v>
      </c>
      <c r="E130" s="48" t="s">
        <v>31</v>
      </c>
      <c r="F130" s="48" t="s">
        <v>74</v>
      </c>
      <c r="G130" s="48" t="s">
        <v>64</v>
      </c>
      <c r="H130" s="48" t="str">
        <f>VLOOKUP(Table1[[#This Row],[Psoft No]],[1]Roster!$C$2:$H$1402,6,)</f>
        <v>AUH1</v>
      </c>
      <c r="I130" s="48" t="b">
        <f>Table1[[#This Row],[Building]]=Table1[[#This Row],[Column1]]</f>
        <v>1</v>
      </c>
      <c r="J130" s="48" t="s">
        <v>75</v>
      </c>
      <c r="K130" s="11">
        <v>1299</v>
      </c>
      <c r="L130" s="49" t="s">
        <v>32</v>
      </c>
      <c r="M130" s="49" t="s">
        <v>76</v>
      </c>
      <c r="N130" s="49" t="s">
        <v>88</v>
      </c>
      <c r="O130" s="49" t="s">
        <v>95</v>
      </c>
      <c r="P130" s="49" t="s">
        <v>89</v>
      </c>
      <c r="Q130" s="11" t="s">
        <v>67</v>
      </c>
      <c r="R130" s="48" t="s">
        <v>80</v>
      </c>
      <c r="S130" s="11" t="s">
        <v>87</v>
      </c>
      <c r="T130" s="11" t="s">
        <v>2711</v>
      </c>
      <c r="U130" s="11" t="s">
        <v>2712</v>
      </c>
      <c r="V130" s="116" t="str">
        <f>VLOOKUP(Table1[[#This Row],[Psoft No]],[2]Sheet1!$A$2:$G$386,7,0)</f>
        <v>P</v>
      </c>
      <c r="W130" s="88"/>
      <c r="X130" s="51">
        <v>45691</v>
      </c>
      <c r="Y130" s="102" t="s">
        <v>1568</v>
      </c>
      <c r="Z130" s="135" t="s">
        <v>2</v>
      </c>
      <c r="AA130" s="135">
        <v>0</v>
      </c>
    </row>
    <row r="131" spans="1:27" ht="13" customHeight="1">
      <c r="A131" s="11">
        <v>125</v>
      </c>
      <c r="B131" s="47">
        <v>203090005</v>
      </c>
      <c r="C131" s="89" t="s">
        <v>1480</v>
      </c>
      <c r="D131" s="11" t="s">
        <v>1481</v>
      </c>
      <c r="E131" s="48" t="s">
        <v>34</v>
      </c>
      <c r="F131" s="48" t="s">
        <v>74</v>
      </c>
      <c r="G131" s="11" t="s">
        <v>64</v>
      </c>
      <c r="H131" s="48" t="str">
        <f>VLOOKUP(Table1[[#This Row],[Psoft No]],[1]Roster!$C$2:$H$1402,6,)</f>
        <v>AUH1</v>
      </c>
      <c r="I131" s="48" t="b">
        <f>Table1[[#This Row],[Building]]=Table1[[#This Row],[Column1]]</f>
        <v>1</v>
      </c>
      <c r="J131" s="11" t="s">
        <v>75</v>
      </c>
      <c r="K131" s="11">
        <v>1299</v>
      </c>
      <c r="L131" s="49" t="s">
        <v>32</v>
      </c>
      <c r="M131" s="49" t="s">
        <v>76</v>
      </c>
      <c r="N131" s="49" t="s">
        <v>77</v>
      </c>
      <c r="O131" s="49" t="s">
        <v>78</v>
      </c>
      <c r="P131" s="48" t="s">
        <v>2733</v>
      </c>
      <c r="Q131" s="49" t="s">
        <v>1475</v>
      </c>
      <c r="R131" s="11" t="s">
        <v>1443</v>
      </c>
      <c r="S131" s="11" t="s">
        <v>98</v>
      </c>
      <c r="T131" s="11" t="s">
        <v>2727</v>
      </c>
      <c r="U131" s="11" t="s">
        <v>2883</v>
      </c>
      <c r="V131" s="116" t="s">
        <v>1</v>
      </c>
      <c r="W131" s="88"/>
      <c r="X131" s="51">
        <v>45377</v>
      </c>
      <c r="Y131" s="97" t="s">
        <v>1583</v>
      </c>
      <c r="Z131" s="135" t="e">
        <v>#N/A</v>
      </c>
      <c r="AA131" s="135" t="e">
        <v>#N/A</v>
      </c>
    </row>
    <row r="132" spans="1:27" ht="13" customHeight="1">
      <c r="A132" s="11">
        <v>126</v>
      </c>
      <c r="B132" s="47">
        <v>206962042</v>
      </c>
      <c r="C132" s="89" t="s">
        <v>2170</v>
      </c>
      <c r="D132" s="11" t="s">
        <v>2171</v>
      </c>
      <c r="E132" s="48" t="s">
        <v>31</v>
      </c>
      <c r="F132" s="48" t="s">
        <v>74</v>
      </c>
      <c r="G132" s="11" t="s">
        <v>64</v>
      </c>
      <c r="H132" s="48" t="str">
        <f>VLOOKUP(Table1[[#This Row],[Psoft No]],[1]Roster!$C$2:$H$1402,6,)</f>
        <v>AUH1</v>
      </c>
      <c r="I132" s="48" t="b">
        <f>Table1[[#This Row],[Building]]=Table1[[#This Row],[Column1]]</f>
        <v>1</v>
      </c>
      <c r="J132" s="11" t="s">
        <v>75</v>
      </c>
      <c r="K132" s="11">
        <v>1299</v>
      </c>
      <c r="L132" s="49" t="s">
        <v>39</v>
      </c>
      <c r="M132" s="49" t="s">
        <v>76</v>
      </c>
      <c r="N132" s="49" t="s">
        <v>92</v>
      </c>
      <c r="O132" s="49" t="s">
        <v>84</v>
      </c>
      <c r="P132" s="49" t="s">
        <v>79</v>
      </c>
      <c r="Q132" s="49" t="s">
        <v>67</v>
      </c>
      <c r="R132" s="11" t="s">
        <v>80</v>
      </c>
      <c r="S132" s="11" t="s">
        <v>96</v>
      </c>
      <c r="T132" s="11" t="s">
        <v>2711</v>
      </c>
      <c r="U132" s="11" t="s">
        <v>2712</v>
      </c>
      <c r="V132" s="116" t="s">
        <v>10</v>
      </c>
      <c r="W132" s="88"/>
      <c r="X132" s="51">
        <v>46048</v>
      </c>
      <c r="Y132" s="102" t="s">
        <v>1568</v>
      </c>
      <c r="Z132" s="135" t="s">
        <v>3023</v>
      </c>
      <c r="AA132" s="135">
        <v>0</v>
      </c>
    </row>
    <row r="133" spans="1:27" ht="13" customHeight="1">
      <c r="A133" s="11">
        <v>127</v>
      </c>
      <c r="B133" s="47">
        <v>205608624</v>
      </c>
      <c r="C133" s="90" t="s">
        <v>450</v>
      </c>
      <c r="D133" s="103" t="s">
        <v>1949</v>
      </c>
      <c r="E133" s="103" t="s">
        <v>31</v>
      </c>
      <c r="F133" s="48" t="s">
        <v>74</v>
      </c>
      <c r="G133" s="11" t="s">
        <v>64</v>
      </c>
      <c r="H133" s="48" t="str">
        <f>VLOOKUP(Table1[[#This Row],[Psoft No]],[1]Roster!$C$2:$H$1402,6,)</f>
        <v>AUH1</v>
      </c>
      <c r="I133" s="48" t="b">
        <f>Table1[[#This Row],[Building]]=Table1[[#This Row],[Column1]]</f>
        <v>1</v>
      </c>
      <c r="J133" s="11" t="s">
        <v>75</v>
      </c>
      <c r="K133" s="11">
        <v>1299</v>
      </c>
      <c r="L133" s="49" t="s">
        <v>39</v>
      </c>
      <c r="M133" s="49" t="s">
        <v>76</v>
      </c>
      <c r="N133" s="49" t="s">
        <v>85</v>
      </c>
      <c r="O133" s="49" t="s">
        <v>88</v>
      </c>
      <c r="P133" s="49" t="s">
        <v>89</v>
      </c>
      <c r="Q133" s="49" t="s">
        <v>67</v>
      </c>
      <c r="R133" s="49" t="s">
        <v>80</v>
      </c>
      <c r="S133" s="49" t="s">
        <v>90</v>
      </c>
      <c r="T133" s="11" t="s">
        <v>2711</v>
      </c>
      <c r="U133" s="11" t="s">
        <v>2712</v>
      </c>
      <c r="V133" s="116" t="s">
        <v>1</v>
      </c>
      <c r="W133" s="88"/>
      <c r="X133" s="51">
        <v>45845</v>
      </c>
      <c r="Y133" s="102" t="s">
        <v>1568</v>
      </c>
      <c r="Z133" s="135" t="s">
        <v>2</v>
      </c>
      <c r="AA133" s="135">
        <v>0</v>
      </c>
    </row>
    <row r="134" spans="1:27" ht="13" customHeight="1">
      <c r="A134" s="11">
        <v>128</v>
      </c>
      <c r="B134" s="47">
        <v>204869091</v>
      </c>
      <c r="C134" s="89" t="s">
        <v>127</v>
      </c>
      <c r="D134" s="11" t="s">
        <v>128</v>
      </c>
      <c r="E134" s="48" t="s">
        <v>31</v>
      </c>
      <c r="F134" s="48" t="s">
        <v>74</v>
      </c>
      <c r="G134" s="11" t="s">
        <v>64</v>
      </c>
      <c r="H134" s="48" t="str">
        <f>VLOOKUP(Table1[[#This Row],[Psoft No]],[1]Roster!$C$2:$H$1402,6,)</f>
        <v>AUH1</v>
      </c>
      <c r="I134" s="48" t="b">
        <f>Table1[[#This Row],[Building]]=Table1[[#This Row],[Column1]]</f>
        <v>1</v>
      </c>
      <c r="J134" s="11" t="s">
        <v>75</v>
      </c>
      <c r="K134" s="11">
        <v>1299</v>
      </c>
      <c r="L134" s="49" t="s">
        <v>39</v>
      </c>
      <c r="M134" s="49" t="s">
        <v>76</v>
      </c>
      <c r="N134" s="49" t="s">
        <v>84</v>
      </c>
      <c r="O134" s="49" t="s">
        <v>85</v>
      </c>
      <c r="P134" s="49" t="s">
        <v>89</v>
      </c>
      <c r="Q134" s="49" t="s">
        <v>67</v>
      </c>
      <c r="R134" s="11" t="s">
        <v>80</v>
      </c>
      <c r="S134" s="11" t="s">
        <v>87</v>
      </c>
      <c r="T134" s="11" t="s">
        <v>2711</v>
      </c>
      <c r="U134" s="11" t="s">
        <v>2712</v>
      </c>
      <c r="V134" s="116" t="s">
        <v>1</v>
      </c>
      <c r="W134" s="88"/>
      <c r="X134" s="51">
        <v>45691</v>
      </c>
      <c r="Y134" s="102" t="s">
        <v>1568</v>
      </c>
      <c r="Z134" s="135" t="s">
        <v>2</v>
      </c>
      <c r="AA134" s="135">
        <v>0</v>
      </c>
    </row>
    <row r="135" spans="1:27" ht="13" customHeight="1">
      <c r="A135" s="11">
        <v>129</v>
      </c>
      <c r="B135" s="47">
        <v>203850779</v>
      </c>
      <c r="C135" s="89" t="s">
        <v>129</v>
      </c>
      <c r="D135" s="11" t="s">
        <v>1950</v>
      </c>
      <c r="E135" s="48" t="s">
        <v>31</v>
      </c>
      <c r="F135" s="48" t="s">
        <v>74</v>
      </c>
      <c r="G135" s="11" t="s">
        <v>64</v>
      </c>
      <c r="H135" s="48" t="str">
        <f>VLOOKUP(Table1[[#This Row],[Psoft No]],[1]Roster!$C$2:$H$1402,6,)</f>
        <v>AUH1</v>
      </c>
      <c r="I135" s="48" t="b">
        <f>Table1[[#This Row],[Building]]=Table1[[#This Row],[Column1]]</f>
        <v>1</v>
      </c>
      <c r="J135" s="11" t="s">
        <v>75</v>
      </c>
      <c r="K135" s="11">
        <v>1299</v>
      </c>
      <c r="L135" s="49" t="s">
        <v>39</v>
      </c>
      <c r="M135" s="49" t="s">
        <v>76</v>
      </c>
      <c r="N135" s="49" t="s">
        <v>85</v>
      </c>
      <c r="O135" s="49" t="s">
        <v>88</v>
      </c>
      <c r="P135" s="49" t="s">
        <v>79</v>
      </c>
      <c r="Q135" s="49" t="s">
        <v>67</v>
      </c>
      <c r="R135" s="11" t="s">
        <v>80</v>
      </c>
      <c r="S135" s="11" t="s">
        <v>81</v>
      </c>
      <c r="T135" s="11" t="s">
        <v>2711</v>
      </c>
      <c r="U135" s="11" t="s">
        <v>2712</v>
      </c>
      <c r="V135" s="116" t="s">
        <v>1</v>
      </c>
      <c r="W135" s="88"/>
      <c r="X135" s="51">
        <v>45524</v>
      </c>
      <c r="Y135" s="102" t="s">
        <v>1568</v>
      </c>
      <c r="Z135" s="135" t="s">
        <v>2</v>
      </c>
      <c r="AA135" s="135">
        <v>0</v>
      </c>
    </row>
    <row r="136" spans="1:27" ht="13" customHeight="1">
      <c r="A136" s="11">
        <v>130</v>
      </c>
      <c r="B136" s="47">
        <v>206958279</v>
      </c>
      <c r="C136" s="89" t="s">
        <v>2119</v>
      </c>
      <c r="D136" s="11" t="s">
        <v>2042</v>
      </c>
      <c r="E136" s="48" t="s">
        <v>31</v>
      </c>
      <c r="F136" s="48" t="s">
        <v>74</v>
      </c>
      <c r="G136" s="11" t="s">
        <v>64</v>
      </c>
      <c r="H136" s="48" t="str">
        <f>VLOOKUP(Table1[[#This Row],[Psoft No]],[1]Roster!$C$2:$H$1402,6,)</f>
        <v>AUH1</v>
      </c>
      <c r="I136" s="48" t="b">
        <f>Table1[[#This Row],[Building]]=Table1[[#This Row],[Column1]]</f>
        <v>1</v>
      </c>
      <c r="J136" s="11" t="s">
        <v>75</v>
      </c>
      <c r="K136" s="11">
        <v>1299</v>
      </c>
      <c r="L136" s="49" t="s">
        <v>32</v>
      </c>
      <c r="M136" s="49" t="s">
        <v>76</v>
      </c>
      <c r="N136" s="49" t="s">
        <v>92</v>
      </c>
      <c r="O136" s="49" t="s">
        <v>84</v>
      </c>
      <c r="P136" s="48" t="s">
        <v>89</v>
      </c>
      <c r="Q136" s="49" t="s">
        <v>67</v>
      </c>
      <c r="R136" s="11" t="s">
        <v>80</v>
      </c>
      <c r="S136" s="11" t="s">
        <v>96</v>
      </c>
      <c r="T136" s="11" t="s">
        <v>2711</v>
      </c>
      <c r="U136" s="11" t="s">
        <v>2712</v>
      </c>
      <c r="V136" s="116" t="s">
        <v>10</v>
      </c>
      <c r="W136" s="88"/>
      <c r="X136" s="51">
        <v>46048</v>
      </c>
      <c r="Y136" s="102" t="s">
        <v>1568</v>
      </c>
      <c r="Z136" s="135" t="s">
        <v>3023</v>
      </c>
      <c r="AA136" s="135">
        <v>0</v>
      </c>
    </row>
    <row r="137" spans="1:27" ht="13" customHeight="1">
      <c r="A137" s="11">
        <v>131</v>
      </c>
      <c r="B137" s="47">
        <v>203555407</v>
      </c>
      <c r="C137" s="89" t="s">
        <v>2263</v>
      </c>
      <c r="D137" s="11" t="s">
        <v>2264</v>
      </c>
      <c r="E137" s="48" t="s">
        <v>31</v>
      </c>
      <c r="F137" s="48" t="s">
        <v>74</v>
      </c>
      <c r="G137" s="11" t="s">
        <v>64</v>
      </c>
      <c r="H137" s="48" t="str">
        <f>VLOOKUP(Table1[[#This Row],[Psoft No]],[1]Roster!$C$2:$H$1402,6,)</f>
        <v>AUH1</v>
      </c>
      <c r="I137" s="48" t="b">
        <f>Table1[[#This Row],[Building]]=Table1[[#This Row],[Column1]]</f>
        <v>1</v>
      </c>
      <c r="J137" s="11" t="s">
        <v>75</v>
      </c>
      <c r="K137" s="11">
        <v>1299</v>
      </c>
      <c r="L137" s="49" t="s">
        <v>32</v>
      </c>
      <c r="M137" s="49" t="s">
        <v>76</v>
      </c>
      <c r="N137" s="49" t="s">
        <v>78</v>
      </c>
      <c r="O137" s="49" t="s">
        <v>92</v>
      </c>
      <c r="P137" s="49" t="s">
        <v>79</v>
      </c>
      <c r="Q137" s="49" t="s">
        <v>67</v>
      </c>
      <c r="R137" s="11" t="s">
        <v>80</v>
      </c>
      <c r="S137" s="11" t="s">
        <v>81</v>
      </c>
      <c r="T137" s="11" t="s">
        <v>2711</v>
      </c>
      <c r="U137" s="11" t="s">
        <v>2712</v>
      </c>
      <c r="V137" s="116" t="s">
        <v>10</v>
      </c>
      <c r="W137" s="88"/>
      <c r="X137" s="51">
        <v>45470</v>
      </c>
      <c r="Y137" s="102" t="s">
        <v>1568</v>
      </c>
      <c r="Z137" s="135" t="s">
        <v>3023</v>
      </c>
      <c r="AA137" s="135">
        <v>0</v>
      </c>
    </row>
    <row r="138" spans="1:27" ht="13" customHeight="1">
      <c r="A138" s="11">
        <v>132</v>
      </c>
      <c r="B138" s="47">
        <v>206175159</v>
      </c>
      <c r="C138" s="89" t="s">
        <v>2479</v>
      </c>
      <c r="D138" s="11" t="s">
        <v>2480</v>
      </c>
      <c r="E138" s="48" t="s">
        <v>31</v>
      </c>
      <c r="F138" s="48" t="s">
        <v>74</v>
      </c>
      <c r="G138" s="11" t="s">
        <v>64</v>
      </c>
      <c r="H138" s="48" t="str">
        <f>VLOOKUP(Table1[[#This Row],[Psoft No]],[1]Roster!$C$2:$H$1402,6,)</f>
        <v>AUH1</v>
      </c>
      <c r="I138" s="48" t="b">
        <f>Table1[[#This Row],[Building]]=Table1[[#This Row],[Column1]]</f>
        <v>1</v>
      </c>
      <c r="J138" s="11" t="s">
        <v>75</v>
      </c>
      <c r="K138" s="11">
        <v>1299</v>
      </c>
      <c r="L138" s="49" t="s">
        <v>39</v>
      </c>
      <c r="M138" s="49" t="s">
        <v>76</v>
      </c>
      <c r="N138" s="49" t="s">
        <v>95</v>
      </c>
      <c r="O138" s="49" t="s">
        <v>77</v>
      </c>
      <c r="P138" s="48" t="s">
        <v>89</v>
      </c>
      <c r="Q138" s="49" t="s">
        <v>67</v>
      </c>
      <c r="R138" s="11" t="s">
        <v>80</v>
      </c>
      <c r="S138" s="11" t="s">
        <v>81</v>
      </c>
      <c r="T138" s="11" t="s">
        <v>2711</v>
      </c>
      <c r="U138" s="11" t="s">
        <v>2712</v>
      </c>
      <c r="V138" s="116" t="s">
        <v>1</v>
      </c>
      <c r="W138" s="88"/>
      <c r="X138" s="51">
        <v>45932</v>
      </c>
      <c r="Y138" s="102" t="s">
        <v>1568</v>
      </c>
      <c r="Z138" s="135" t="s">
        <v>2</v>
      </c>
      <c r="AA138" s="135">
        <v>0</v>
      </c>
    </row>
    <row r="139" spans="1:27" ht="13" customHeight="1">
      <c r="A139" s="11">
        <v>133</v>
      </c>
      <c r="B139" s="47">
        <v>203850775</v>
      </c>
      <c r="C139" s="89" t="s">
        <v>2265</v>
      </c>
      <c r="D139" s="11" t="s">
        <v>2266</v>
      </c>
      <c r="E139" s="48" t="s">
        <v>31</v>
      </c>
      <c r="F139" s="48" t="s">
        <v>74</v>
      </c>
      <c r="G139" s="11" t="s">
        <v>64</v>
      </c>
      <c r="H139" s="48" t="str">
        <f>VLOOKUP(Table1[[#This Row],[Psoft No]],[1]Roster!$C$2:$H$1402,6,)</f>
        <v>AUH1</v>
      </c>
      <c r="I139" s="48" t="b">
        <f>Table1[[#This Row],[Building]]=Table1[[#This Row],[Column1]]</f>
        <v>1</v>
      </c>
      <c r="J139" s="11" t="s">
        <v>75</v>
      </c>
      <c r="K139" s="11">
        <v>1299</v>
      </c>
      <c r="L139" s="49" t="s">
        <v>32</v>
      </c>
      <c r="M139" s="49" t="s">
        <v>76</v>
      </c>
      <c r="N139" s="49" t="s">
        <v>88</v>
      </c>
      <c r="O139" s="49" t="s">
        <v>95</v>
      </c>
      <c r="P139" s="49" t="s">
        <v>79</v>
      </c>
      <c r="Q139" s="49" t="s">
        <v>67</v>
      </c>
      <c r="R139" s="11" t="s">
        <v>80</v>
      </c>
      <c r="S139" s="11" t="s">
        <v>81</v>
      </c>
      <c r="T139" s="11" t="s">
        <v>2711</v>
      </c>
      <c r="U139" s="11" t="s">
        <v>2712</v>
      </c>
      <c r="V139" s="116" t="str">
        <f>VLOOKUP(Table1[[#This Row],[Psoft No]],[2]Sheet1!$A$2:$G$386,7,0)</f>
        <v>P</v>
      </c>
      <c r="W139" s="88"/>
      <c r="X139" s="51">
        <v>45524</v>
      </c>
      <c r="Y139" s="102" t="s">
        <v>1568</v>
      </c>
      <c r="Z139" s="135" t="s">
        <v>2</v>
      </c>
      <c r="AA139" s="135">
        <v>0</v>
      </c>
    </row>
    <row r="140" spans="1:27" ht="13" customHeight="1">
      <c r="A140" s="11">
        <v>134</v>
      </c>
      <c r="B140" s="47">
        <v>203469169</v>
      </c>
      <c r="C140" s="89" t="s">
        <v>2267</v>
      </c>
      <c r="D140" s="11" t="s">
        <v>2268</v>
      </c>
      <c r="E140" s="48" t="s">
        <v>31</v>
      </c>
      <c r="F140" s="48" t="s">
        <v>74</v>
      </c>
      <c r="G140" s="11" t="s">
        <v>64</v>
      </c>
      <c r="H140" s="48" t="str">
        <f>VLOOKUP(Table1[[#This Row],[Psoft No]],[1]Roster!$C$2:$H$1402,6,)</f>
        <v>AUH1</v>
      </c>
      <c r="I140" s="48" t="b">
        <f>Table1[[#This Row],[Building]]=Table1[[#This Row],[Column1]]</f>
        <v>1</v>
      </c>
      <c r="J140" s="11" t="s">
        <v>75</v>
      </c>
      <c r="K140" s="11">
        <v>1299</v>
      </c>
      <c r="L140" s="49" t="s">
        <v>32</v>
      </c>
      <c r="M140" s="49" t="s">
        <v>76</v>
      </c>
      <c r="N140" s="49" t="s">
        <v>84</v>
      </c>
      <c r="O140" s="49" t="s">
        <v>85</v>
      </c>
      <c r="P140" s="48" t="s">
        <v>79</v>
      </c>
      <c r="Q140" s="49" t="s">
        <v>67</v>
      </c>
      <c r="R140" s="11" t="s">
        <v>80</v>
      </c>
      <c r="S140" s="11" t="s">
        <v>81</v>
      </c>
      <c r="T140" s="11" t="s">
        <v>2711</v>
      </c>
      <c r="U140" s="11" t="s">
        <v>2712</v>
      </c>
      <c r="V140" s="116" t="str">
        <f>VLOOKUP(Table1[[#This Row],[Psoft No]],[2]Sheet1!$A$2:$G$386,7,0)</f>
        <v>P</v>
      </c>
      <c r="W140" s="88"/>
      <c r="X140" s="51">
        <v>45456</v>
      </c>
      <c r="Y140" s="97" t="s">
        <v>1568</v>
      </c>
      <c r="Z140" s="135" t="s">
        <v>2</v>
      </c>
      <c r="AA140" s="135">
        <v>0</v>
      </c>
    </row>
    <row r="141" spans="1:27" ht="13" customHeight="1">
      <c r="A141" s="11">
        <v>135</v>
      </c>
      <c r="B141" s="47">
        <v>205502952</v>
      </c>
      <c r="C141" s="89" t="s">
        <v>455</v>
      </c>
      <c r="D141" s="11" t="s">
        <v>1951</v>
      </c>
      <c r="E141" s="48" t="s">
        <v>31</v>
      </c>
      <c r="F141" s="48" t="s">
        <v>74</v>
      </c>
      <c r="G141" s="11" t="s">
        <v>64</v>
      </c>
      <c r="H141" s="48" t="str">
        <f>VLOOKUP(Table1[[#This Row],[Psoft No]],[1]Roster!$C$2:$H$1402,6,)</f>
        <v>AUH1</v>
      </c>
      <c r="I141" s="48" t="b">
        <f>Table1[[#This Row],[Building]]=Table1[[#This Row],[Column1]]</f>
        <v>1</v>
      </c>
      <c r="J141" s="11" t="s">
        <v>75</v>
      </c>
      <c r="K141" s="11">
        <v>1299</v>
      </c>
      <c r="L141" s="49" t="s">
        <v>32</v>
      </c>
      <c r="M141" s="49" t="s">
        <v>76</v>
      </c>
      <c r="N141" s="49" t="s">
        <v>85</v>
      </c>
      <c r="O141" s="49" t="s">
        <v>88</v>
      </c>
      <c r="P141" s="48" t="s">
        <v>89</v>
      </c>
      <c r="Q141" s="49" t="s">
        <v>67</v>
      </c>
      <c r="R141" s="11" t="s">
        <v>80</v>
      </c>
      <c r="S141" s="11" t="s">
        <v>96</v>
      </c>
      <c r="T141" s="11" t="s">
        <v>2711</v>
      </c>
      <c r="U141" s="11" t="s">
        <v>2712</v>
      </c>
      <c r="V141" s="116" t="str">
        <f>VLOOKUP(Table1[[#This Row],[Psoft No]],[2]Sheet1!$A$2:$G$386,7,0)</f>
        <v>P</v>
      </c>
      <c r="W141" s="88"/>
      <c r="X141" s="51">
        <v>45831</v>
      </c>
      <c r="Y141" s="102" t="s">
        <v>1568</v>
      </c>
      <c r="Z141" s="135" t="s">
        <v>2</v>
      </c>
      <c r="AA141" s="135">
        <v>0</v>
      </c>
    </row>
    <row r="142" spans="1:27" ht="13" customHeight="1">
      <c r="A142" s="11">
        <v>136</v>
      </c>
      <c r="B142" s="47">
        <v>205608619</v>
      </c>
      <c r="C142" s="89" t="s">
        <v>462</v>
      </c>
      <c r="D142" s="11" t="s">
        <v>1952</v>
      </c>
      <c r="E142" s="48" t="s">
        <v>31</v>
      </c>
      <c r="F142" s="48" t="s">
        <v>74</v>
      </c>
      <c r="G142" s="11" t="s">
        <v>64</v>
      </c>
      <c r="H142" s="48" t="str">
        <f>VLOOKUP(Table1[[#This Row],[Psoft No]],[1]Roster!$C$2:$H$1402,6,)</f>
        <v>AUH1</v>
      </c>
      <c r="I142" s="48" t="b">
        <f>Table1[[#This Row],[Building]]=Table1[[#This Row],[Column1]]</f>
        <v>1</v>
      </c>
      <c r="J142" s="11" t="s">
        <v>75</v>
      </c>
      <c r="K142" s="11">
        <v>1299</v>
      </c>
      <c r="L142" s="49" t="s">
        <v>32</v>
      </c>
      <c r="M142" s="49" t="s">
        <v>76</v>
      </c>
      <c r="N142" s="49" t="s">
        <v>88</v>
      </c>
      <c r="O142" s="49" t="s">
        <v>95</v>
      </c>
      <c r="P142" s="49" t="s">
        <v>89</v>
      </c>
      <c r="Q142" s="49" t="s">
        <v>67</v>
      </c>
      <c r="R142" s="11" t="s">
        <v>80</v>
      </c>
      <c r="S142" s="11" t="s">
        <v>90</v>
      </c>
      <c r="T142" s="11" t="s">
        <v>2711</v>
      </c>
      <c r="U142" s="11" t="s">
        <v>2712</v>
      </c>
      <c r="V142" s="116" t="str">
        <f>VLOOKUP(Table1[[#This Row],[Psoft No]],[2]Sheet1!$A$2:$G$386,7,0)</f>
        <v>P</v>
      </c>
      <c r="W142" s="88"/>
      <c r="X142" s="51">
        <v>45845</v>
      </c>
      <c r="Y142" s="102" t="s">
        <v>1568</v>
      </c>
      <c r="Z142" s="135" t="s">
        <v>2</v>
      </c>
      <c r="AA142" s="135">
        <v>0</v>
      </c>
    </row>
    <row r="143" spans="1:27" ht="13" customHeight="1">
      <c r="A143" s="11">
        <v>137</v>
      </c>
      <c r="B143" s="47">
        <v>202219229</v>
      </c>
      <c r="C143" s="89" t="s">
        <v>2481</v>
      </c>
      <c r="D143" s="11" t="s">
        <v>2482</v>
      </c>
      <c r="E143" s="48" t="s">
        <v>31</v>
      </c>
      <c r="F143" s="48" t="s">
        <v>74</v>
      </c>
      <c r="G143" s="11" t="s">
        <v>64</v>
      </c>
      <c r="H143" s="48" t="str">
        <f>VLOOKUP(Table1[[#This Row],[Psoft No]],[1]Roster!$C$2:$H$1402,6,)</f>
        <v>AUH1</v>
      </c>
      <c r="I143" s="48" t="b">
        <f>Table1[[#This Row],[Building]]=Table1[[#This Row],[Column1]]</f>
        <v>1</v>
      </c>
      <c r="J143" s="11" t="s">
        <v>75</v>
      </c>
      <c r="K143" s="11">
        <v>1299</v>
      </c>
      <c r="L143" s="49" t="s">
        <v>32</v>
      </c>
      <c r="M143" s="49" t="s">
        <v>76</v>
      </c>
      <c r="N143" s="49" t="s">
        <v>84</v>
      </c>
      <c r="O143" s="49" t="s">
        <v>85</v>
      </c>
      <c r="P143" s="49" t="s">
        <v>79</v>
      </c>
      <c r="Q143" s="49" t="s">
        <v>67</v>
      </c>
      <c r="R143" s="11" t="s">
        <v>80</v>
      </c>
      <c r="S143" s="11" t="s">
        <v>81</v>
      </c>
      <c r="T143" s="11" t="s">
        <v>2711</v>
      </c>
      <c r="U143" s="11" t="s">
        <v>2712</v>
      </c>
      <c r="V143" s="116" t="str">
        <f>VLOOKUP(Table1[[#This Row],[Psoft No]],[2]Sheet1!$A$2:$G$386,7,0)</f>
        <v>P</v>
      </c>
      <c r="W143" s="88"/>
      <c r="X143" s="51">
        <v>45596</v>
      </c>
      <c r="Y143" s="102" t="s">
        <v>1568</v>
      </c>
      <c r="Z143" s="135" t="s">
        <v>2</v>
      </c>
      <c r="AA143" s="135">
        <v>0</v>
      </c>
    </row>
    <row r="144" spans="1:27" ht="13" customHeight="1">
      <c r="A144" s="11">
        <v>138</v>
      </c>
      <c r="B144" s="47">
        <v>206953971</v>
      </c>
      <c r="C144" s="89" t="s">
        <v>2131</v>
      </c>
      <c r="D144" s="11" t="s">
        <v>2059</v>
      </c>
      <c r="E144" s="48" t="s">
        <v>31</v>
      </c>
      <c r="F144" s="48" t="s">
        <v>74</v>
      </c>
      <c r="G144" s="11" t="s">
        <v>64</v>
      </c>
      <c r="H144" s="48" t="str">
        <f>VLOOKUP(Table1[[#This Row],[Psoft No]],[1]Roster!$C$2:$H$1402,6,)</f>
        <v>AUH1</v>
      </c>
      <c r="I144" s="48" t="b">
        <f>Table1[[#This Row],[Building]]=Table1[[#This Row],[Column1]]</f>
        <v>1</v>
      </c>
      <c r="J144" s="11" t="s">
        <v>75</v>
      </c>
      <c r="K144" s="11">
        <v>1299</v>
      </c>
      <c r="L144" s="49" t="s">
        <v>32</v>
      </c>
      <c r="M144" s="49" t="s">
        <v>76</v>
      </c>
      <c r="N144" s="49" t="s">
        <v>88</v>
      </c>
      <c r="O144" s="49" t="s">
        <v>95</v>
      </c>
      <c r="P144" s="48" t="s">
        <v>89</v>
      </c>
      <c r="Q144" s="49" t="s">
        <v>67</v>
      </c>
      <c r="R144" s="11" t="s">
        <v>80</v>
      </c>
      <c r="S144" s="11" t="s">
        <v>90</v>
      </c>
      <c r="T144" s="11" t="s">
        <v>2711</v>
      </c>
      <c r="U144" s="11" t="s">
        <v>2712</v>
      </c>
      <c r="V144" s="116" t="str">
        <f>VLOOKUP(Table1[[#This Row],[Psoft No]],[2]Sheet1!$A$2:$G$386,7,0)</f>
        <v>P</v>
      </c>
      <c r="W144" s="88"/>
      <c r="X144" s="51">
        <v>46048</v>
      </c>
      <c r="Y144" s="102" t="s">
        <v>1568</v>
      </c>
      <c r="Z144" s="135" t="s">
        <v>2</v>
      </c>
      <c r="AA144" s="135">
        <v>0</v>
      </c>
    </row>
    <row r="145" spans="1:27" ht="13" customHeight="1">
      <c r="A145" s="11">
        <v>139</v>
      </c>
      <c r="B145" s="47">
        <v>203800602</v>
      </c>
      <c r="C145" s="89" t="s">
        <v>2269</v>
      </c>
      <c r="D145" s="11" t="s">
        <v>2270</v>
      </c>
      <c r="E145" s="48" t="s">
        <v>31</v>
      </c>
      <c r="F145" s="48" t="s">
        <v>74</v>
      </c>
      <c r="G145" s="11" t="s">
        <v>64</v>
      </c>
      <c r="H145" s="48" t="str">
        <f>VLOOKUP(Table1[[#This Row],[Psoft No]],[1]Roster!$C$2:$H$1402,6,)</f>
        <v>AUH1</v>
      </c>
      <c r="I145" s="48" t="b">
        <f>Table1[[#This Row],[Building]]=Table1[[#This Row],[Column1]]</f>
        <v>1</v>
      </c>
      <c r="J145" s="11" t="s">
        <v>75</v>
      </c>
      <c r="K145" s="11">
        <v>1299</v>
      </c>
      <c r="L145" s="49" t="s">
        <v>39</v>
      </c>
      <c r="M145" s="49" t="s">
        <v>76</v>
      </c>
      <c r="N145" s="49" t="s">
        <v>92</v>
      </c>
      <c r="O145" s="49" t="s">
        <v>84</v>
      </c>
      <c r="P145" s="48" t="s">
        <v>89</v>
      </c>
      <c r="Q145" s="49" t="s">
        <v>67</v>
      </c>
      <c r="R145" s="11" t="s">
        <v>80</v>
      </c>
      <c r="S145" s="11" t="s">
        <v>90</v>
      </c>
      <c r="T145" s="11" t="s">
        <v>2711</v>
      </c>
      <c r="U145" s="11" t="s">
        <v>2712</v>
      </c>
      <c r="V145" s="116" t="s">
        <v>10</v>
      </c>
      <c r="W145" s="88"/>
      <c r="X145" s="51">
        <v>45516</v>
      </c>
      <c r="Y145" s="102" t="s">
        <v>1568</v>
      </c>
      <c r="Z145" s="135" t="s">
        <v>3023</v>
      </c>
      <c r="AA145" s="135">
        <v>0</v>
      </c>
    </row>
    <row r="146" spans="1:27" ht="13" customHeight="1">
      <c r="A146" s="11">
        <v>140</v>
      </c>
      <c r="B146" s="47">
        <v>203800375</v>
      </c>
      <c r="C146" s="89" t="s">
        <v>131</v>
      </c>
      <c r="D146" s="11" t="s">
        <v>1953</v>
      </c>
      <c r="E146" s="48" t="s">
        <v>31</v>
      </c>
      <c r="F146" s="48" t="s">
        <v>74</v>
      </c>
      <c r="G146" s="11" t="s">
        <v>64</v>
      </c>
      <c r="H146" s="48" t="str">
        <f>VLOOKUP(Table1[[#This Row],[Psoft No]],[1]Roster!$C$2:$H$1402,6,)</f>
        <v>AUH1</v>
      </c>
      <c r="I146" s="48" t="b">
        <f>Table1[[#This Row],[Building]]=Table1[[#This Row],[Column1]]</f>
        <v>1</v>
      </c>
      <c r="J146" s="11" t="s">
        <v>75</v>
      </c>
      <c r="K146" s="11">
        <v>1299</v>
      </c>
      <c r="L146" s="49" t="s">
        <v>32</v>
      </c>
      <c r="M146" s="49" t="s">
        <v>76</v>
      </c>
      <c r="N146" s="49" t="s">
        <v>92</v>
      </c>
      <c r="O146" s="49" t="s">
        <v>84</v>
      </c>
      <c r="P146" s="49" t="s">
        <v>89</v>
      </c>
      <c r="Q146" s="49" t="s">
        <v>67</v>
      </c>
      <c r="R146" s="11" t="s">
        <v>80</v>
      </c>
      <c r="S146" s="11" t="s">
        <v>90</v>
      </c>
      <c r="T146" s="11" t="s">
        <v>2711</v>
      </c>
      <c r="U146" s="11" t="s">
        <v>2712</v>
      </c>
      <c r="V146" s="116" t="s">
        <v>10</v>
      </c>
      <c r="W146" s="88"/>
      <c r="X146" s="51">
        <v>45516</v>
      </c>
      <c r="Y146" s="102" t="s">
        <v>1568</v>
      </c>
      <c r="Z146" s="135" t="s">
        <v>3023</v>
      </c>
      <c r="AA146" s="135">
        <v>0</v>
      </c>
    </row>
    <row r="147" spans="1:27" ht="13" customHeight="1">
      <c r="A147" s="11">
        <v>141</v>
      </c>
      <c r="B147" s="47">
        <v>203555405</v>
      </c>
      <c r="C147" s="89" t="s">
        <v>2271</v>
      </c>
      <c r="D147" s="11" t="s">
        <v>2272</v>
      </c>
      <c r="E147" s="48" t="s">
        <v>31</v>
      </c>
      <c r="F147" s="48" t="s">
        <v>74</v>
      </c>
      <c r="G147" s="11" t="s">
        <v>64</v>
      </c>
      <c r="H147" s="48" t="str">
        <f>VLOOKUP(Table1[[#This Row],[Psoft No]],[1]Roster!$C$2:$H$1402,6,)</f>
        <v>AUH1</v>
      </c>
      <c r="I147" s="48" t="b">
        <f>Table1[[#This Row],[Building]]=Table1[[#This Row],[Column1]]</f>
        <v>1</v>
      </c>
      <c r="J147" s="11" t="s">
        <v>75</v>
      </c>
      <c r="K147" s="11">
        <v>1299</v>
      </c>
      <c r="L147" s="49" t="s">
        <v>32</v>
      </c>
      <c r="M147" s="49" t="s">
        <v>76</v>
      </c>
      <c r="N147" s="49" t="s">
        <v>88</v>
      </c>
      <c r="O147" s="49" t="s">
        <v>95</v>
      </c>
      <c r="P147" s="49" t="s">
        <v>79</v>
      </c>
      <c r="Q147" s="49" t="s">
        <v>67</v>
      </c>
      <c r="R147" s="11" t="s">
        <v>80</v>
      </c>
      <c r="S147" s="11" t="s">
        <v>81</v>
      </c>
      <c r="T147" s="11" t="s">
        <v>2711</v>
      </c>
      <c r="U147" s="11" t="s">
        <v>2712</v>
      </c>
      <c r="V147" s="116" t="str">
        <f>VLOOKUP(Table1[[#This Row],[Psoft No]],[2]Sheet1!$A$2:$G$386,7,0)</f>
        <v>P</v>
      </c>
      <c r="W147" s="88"/>
      <c r="X147" s="51">
        <v>45470</v>
      </c>
      <c r="Y147" s="102" t="s">
        <v>1568</v>
      </c>
      <c r="Z147" s="135" t="s">
        <v>2</v>
      </c>
      <c r="AA147" s="135">
        <v>0</v>
      </c>
    </row>
    <row r="148" spans="1:27" ht="13" customHeight="1">
      <c r="A148" s="11">
        <v>142</v>
      </c>
      <c r="B148" s="47">
        <v>203469396</v>
      </c>
      <c r="C148" s="89" t="s">
        <v>132</v>
      </c>
      <c r="D148" s="11" t="s">
        <v>1954</v>
      </c>
      <c r="E148" s="48" t="s">
        <v>31</v>
      </c>
      <c r="F148" s="48" t="s">
        <v>74</v>
      </c>
      <c r="G148" s="11" t="s">
        <v>64</v>
      </c>
      <c r="H148" s="48" t="str">
        <f>VLOOKUP(Table1[[#This Row],[Psoft No]],[1]Roster!$C$2:$H$1402,6,)</f>
        <v>AUH1</v>
      </c>
      <c r="I148" s="48" t="b">
        <f>Table1[[#This Row],[Building]]=Table1[[#This Row],[Column1]]</f>
        <v>1</v>
      </c>
      <c r="J148" s="11" t="s">
        <v>75</v>
      </c>
      <c r="K148" s="11">
        <v>1299</v>
      </c>
      <c r="L148" s="49" t="s">
        <v>39</v>
      </c>
      <c r="M148" s="49" t="s">
        <v>76</v>
      </c>
      <c r="N148" s="49" t="s">
        <v>95</v>
      </c>
      <c r="O148" s="49" t="s">
        <v>77</v>
      </c>
      <c r="P148" s="48" t="s">
        <v>86</v>
      </c>
      <c r="Q148" s="49" t="s">
        <v>67</v>
      </c>
      <c r="R148" s="11" t="s">
        <v>80</v>
      </c>
      <c r="S148" s="11" t="s">
        <v>99</v>
      </c>
      <c r="T148" s="11" t="s">
        <v>2711</v>
      </c>
      <c r="U148" s="11" t="s">
        <v>2712</v>
      </c>
      <c r="V148" s="116" t="s">
        <v>1</v>
      </c>
      <c r="W148" s="88"/>
      <c r="X148" s="51">
        <v>45456</v>
      </c>
      <c r="Y148" s="102" t="s">
        <v>1568</v>
      </c>
      <c r="Z148" s="135" t="s">
        <v>2</v>
      </c>
      <c r="AA148" s="135">
        <v>0</v>
      </c>
    </row>
    <row r="149" spans="1:27" ht="13" customHeight="1">
      <c r="A149" s="11">
        <v>143</v>
      </c>
      <c r="B149" s="47">
        <v>206514852</v>
      </c>
      <c r="C149" s="89" t="s">
        <v>1700</v>
      </c>
      <c r="D149" s="11" t="s">
        <v>1955</v>
      </c>
      <c r="E149" s="48" t="s">
        <v>31</v>
      </c>
      <c r="F149" s="48" t="s">
        <v>74</v>
      </c>
      <c r="G149" s="11" t="s">
        <v>64</v>
      </c>
      <c r="H149" s="48" t="str">
        <f>VLOOKUP(Table1[[#This Row],[Psoft No]],[1]Roster!$C$2:$H$1402,6,)</f>
        <v>AUH1</v>
      </c>
      <c r="I149" s="48" t="b">
        <f>Table1[[#This Row],[Building]]=Table1[[#This Row],[Column1]]</f>
        <v>1</v>
      </c>
      <c r="J149" s="11" t="s">
        <v>75</v>
      </c>
      <c r="K149" s="11">
        <v>1299</v>
      </c>
      <c r="L149" s="49" t="s">
        <v>39</v>
      </c>
      <c r="M149" s="49" t="s">
        <v>76</v>
      </c>
      <c r="N149" s="49" t="s">
        <v>92</v>
      </c>
      <c r="O149" s="49" t="s">
        <v>84</v>
      </c>
      <c r="P149" s="48" t="s">
        <v>89</v>
      </c>
      <c r="Q149" s="49" t="s">
        <v>67</v>
      </c>
      <c r="R149" s="11" t="s">
        <v>80</v>
      </c>
      <c r="S149" s="11" t="s">
        <v>90</v>
      </c>
      <c r="T149" s="11" t="s">
        <v>2711</v>
      </c>
      <c r="U149" s="11" t="s">
        <v>2712</v>
      </c>
      <c r="V149" s="116" t="s">
        <v>10</v>
      </c>
      <c r="W149" s="88"/>
      <c r="X149" s="51">
        <v>45971</v>
      </c>
      <c r="Y149" s="102" t="s">
        <v>1568</v>
      </c>
      <c r="Z149" s="135" t="s">
        <v>3023</v>
      </c>
      <c r="AA149" s="135">
        <v>0</v>
      </c>
    </row>
    <row r="150" spans="1:27" ht="13" customHeight="1">
      <c r="A150" s="11">
        <v>144</v>
      </c>
      <c r="B150" s="47">
        <v>203555401</v>
      </c>
      <c r="C150" s="89" t="s">
        <v>2273</v>
      </c>
      <c r="D150" s="11" t="s">
        <v>2274</v>
      </c>
      <c r="E150" s="48" t="s">
        <v>31</v>
      </c>
      <c r="F150" s="48" t="s">
        <v>74</v>
      </c>
      <c r="G150" s="11" t="s">
        <v>64</v>
      </c>
      <c r="H150" s="48" t="str">
        <f>VLOOKUP(Table1[[#This Row],[Psoft No]],[1]Roster!$C$2:$H$1402,6,)</f>
        <v>AUH1</v>
      </c>
      <c r="I150" s="48" t="b">
        <f>Table1[[#This Row],[Building]]=Table1[[#This Row],[Column1]]</f>
        <v>1</v>
      </c>
      <c r="J150" s="11" t="s">
        <v>75</v>
      </c>
      <c r="K150" s="11">
        <v>1299</v>
      </c>
      <c r="L150" s="49" t="s">
        <v>32</v>
      </c>
      <c r="M150" s="49" t="s">
        <v>76</v>
      </c>
      <c r="N150" s="49" t="s">
        <v>77</v>
      </c>
      <c r="O150" s="49" t="s">
        <v>78</v>
      </c>
      <c r="P150" s="49" t="s">
        <v>79</v>
      </c>
      <c r="Q150" s="49" t="s">
        <v>67</v>
      </c>
      <c r="R150" s="11" t="s">
        <v>80</v>
      </c>
      <c r="S150" s="11" t="s">
        <v>81</v>
      </c>
      <c r="T150" s="11" t="s">
        <v>2711</v>
      </c>
      <c r="U150" s="11" t="s">
        <v>2712</v>
      </c>
      <c r="V150" s="116" t="str">
        <f>VLOOKUP(Table1[[#This Row],[Psoft No]],[2]Sheet1!$A$2:$G$386,7,0)</f>
        <v>P</v>
      </c>
      <c r="W150" s="88"/>
      <c r="X150" s="51">
        <v>45470</v>
      </c>
      <c r="Y150" s="102" t="s">
        <v>1568</v>
      </c>
      <c r="Z150" s="135" t="s">
        <v>2</v>
      </c>
      <c r="AA150" s="135">
        <v>0</v>
      </c>
    </row>
    <row r="151" spans="1:27" ht="13" customHeight="1">
      <c r="A151" s="11">
        <v>145</v>
      </c>
      <c r="B151" s="47">
        <v>205647583</v>
      </c>
      <c r="C151" s="89" t="s">
        <v>2275</v>
      </c>
      <c r="D151" s="11" t="s">
        <v>2276</v>
      </c>
      <c r="E151" s="48" t="s">
        <v>31</v>
      </c>
      <c r="F151" s="48" t="s">
        <v>74</v>
      </c>
      <c r="G151" s="11" t="s">
        <v>64</v>
      </c>
      <c r="H151" s="48" t="str">
        <f>VLOOKUP(Table1[[#This Row],[Psoft No]],[1]Roster!$C$2:$H$1402,6,)</f>
        <v>AUH1</v>
      </c>
      <c r="I151" s="48" t="b">
        <f>Table1[[#This Row],[Building]]=Table1[[#This Row],[Column1]]</f>
        <v>1</v>
      </c>
      <c r="J151" s="11" t="s">
        <v>75</v>
      </c>
      <c r="K151" s="11">
        <v>1299</v>
      </c>
      <c r="L151" s="49" t="s">
        <v>39</v>
      </c>
      <c r="M151" s="49" t="s">
        <v>76</v>
      </c>
      <c r="N151" s="49" t="s">
        <v>77</v>
      </c>
      <c r="O151" s="49" t="s">
        <v>78</v>
      </c>
      <c r="P151" s="48" t="s">
        <v>89</v>
      </c>
      <c r="Q151" s="49" t="s">
        <v>67</v>
      </c>
      <c r="R151" s="11" t="s">
        <v>80</v>
      </c>
      <c r="S151" s="11" t="s">
        <v>96</v>
      </c>
      <c r="T151" s="11" t="s">
        <v>2711</v>
      </c>
      <c r="U151" s="11" t="s">
        <v>2712</v>
      </c>
      <c r="V151" s="116" t="s">
        <v>1</v>
      </c>
      <c r="W151" s="88"/>
      <c r="X151" s="51">
        <v>45852</v>
      </c>
      <c r="Y151" s="102" t="s">
        <v>1568</v>
      </c>
      <c r="Z151" s="135" t="s">
        <v>2</v>
      </c>
      <c r="AA151" s="135">
        <v>0</v>
      </c>
    </row>
    <row r="152" spans="1:27" ht="13" customHeight="1">
      <c r="A152" s="11">
        <v>146</v>
      </c>
      <c r="B152" s="47">
        <v>206949318</v>
      </c>
      <c r="C152" s="89" t="s">
        <v>2160</v>
      </c>
      <c r="D152" s="11" t="s">
        <v>2161</v>
      </c>
      <c r="E152" s="48" t="s">
        <v>31</v>
      </c>
      <c r="F152" s="48" t="s">
        <v>74</v>
      </c>
      <c r="G152" s="11" t="s">
        <v>64</v>
      </c>
      <c r="H152" s="48" t="str">
        <f>VLOOKUP(Table1[[#This Row],[Psoft No]],[1]Roster!$C$2:$H$1402,6,)</f>
        <v>AUH1</v>
      </c>
      <c r="I152" s="48" t="b">
        <f>Table1[[#This Row],[Building]]=Table1[[#This Row],[Column1]]</f>
        <v>1</v>
      </c>
      <c r="J152" s="11" t="s">
        <v>75</v>
      </c>
      <c r="K152" s="11">
        <v>1299</v>
      </c>
      <c r="L152" s="49" t="s">
        <v>32</v>
      </c>
      <c r="M152" s="49" t="s">
        <v>76</v>
      </c>
      <c r="N152" s="49" t="s">
        <v>84</v>
      </c>
      <c r="O152" s="49" t="s">
        <v>85</v>
      </c>
      <c r="P152" s="49" t="s">
        <v>86</v>
      </c>
      <c r="Q152" s="49" t="s">
        <v>67</v>
      </c>
      <c r="R152" s="11" t="s">
        <v>80</v>
      </c>
      <c r="S152" s="11" t="s">
        <v>90</v>
      </c>
      <c r="T152" s="11" t="s">
        <v>2711</v>
      </c>
      <c r="U152" s="11" t="s">
        <v>2712</v>
      </c>
      <c r="V152" s="116" t="str">
        <f>VLOOKUP(Table1[[#This Row],[Psoft No]],[2]Sheet1!$A$2:$G$386,7,0)</f>
        <v>P</v>
      </c>
      <c r="W152" s="88"/>
      <c r="X152" s="51">
        <v>46048</v>
      </c>
      <c r="Y152" s="102" t="s">
        <v>1568</v>
      </c>
      <c r="Z152" s="135" t="s">
        <v>2</v>
      </c>
      <c r="AA152" s="135">
        <v>0</v>
      </c>
    </row>
    <row r="153" spans="1:27" ht="13" customHeight="1">
      <c r="A153" s="11">
        <v>147</v>
      </c>
      <c r="B153" s="47">
        <v>206934491</v>
      </c>
      <c r="C153" s="90" t="s">
        <v>2126</v>
      </c>
      <c r="D153" s="103" t="s">
        <v>2052</v>
      </c>
      <c r="E153" s="103" t="s">
        <v>31</v>
      </c>
      <c r="F153" s="48" t="s">
        <v>74</v>
      </c>
      <c r="G153" s="11" t="s">
        <v>64</v>
      </c>
      <c r="H153" s="48" t="str">
        <f>VLOOKUP(Table1[[#This Row],[Psoft No]],[1]Roster!$C$2:$H$1402,6,)</f>
        <v>AUH1</v>
      </c>
      <c r="I153" s="48" t="b">
        <f>Table1[[#This Row],[Building]]=Table1[[#This Row],[Column1]]</f>
        <v>1</v>
      </c>
      <c r="J153" s="11" t="s">
        <v>75</v>
      </c>
      <c r="K153" s="11">
        <v>1299</v>
      </c>
      <c r="L153" s="49" t="s">
        <v>32</v>
      </c>
      <c r="M153" s="49" t="s">
        <v>76</v>
      </c>
      <c r="N153" s="49" t="s">
        <v>77</v>
      </c>
      <c r="O153" s="49" t="s">
        <v>78</v>
      </c>
      <c r="P153" s="48" t="s">
        <v>86</v>
      </c>
      <c r="Q153" s="49" t="s">
        <v>67</v>
      </c>
      <c r="R153" s="49" t="s">
        <v>80</v>
      </c>
      <c r="S153" s="49" t="s">
        <v>90</v>
      </c>
      <c r="T153" s="11" t="s">
        <v>2711</v>
      </c>
      <c r="U153" s="11" t="s">
        <v>2712</v>
      </c>
      <c r="V153" s="116" t="str">
        <f>VLOOKUP(Table1[[#This Row],[Psoft No]],[2]Sheet1!$A$2:$G$386,7,0)</f>
        <v>P</v>
      </c>
      <c r="W153" s="88"/>
      <c r="X153" s="51">
        <v>46048</v>
      </c>
      <c r="Y153" s="102" t="s">
        <v>1568</v>
      </c>
      <c r="Z153" s="135" t="s">
        <v>2</v>
      </c>
      <c r="AA153" s="135">
        <v>0</v>
      </c>
    </row>
    <row r="154" spans="1:27" ht="13" customHeight="1">
      <c r="A154" s="11">
        <v>148</v>
      </c>
      <c r="B154" s="47">
        <v>103775146</v>
      </c>
      <c r="C154" s="89" t="s">
        <v>2321</v>
      </c>
      <c r="D154" s="11" t="s">
        <v>2322</v>
      </c>
      <c r="E154" s="48" t="s">
        <v>34</v>
      </c>
      <c r="F154" s="48" t="s">
        <v>74</v>
      </c>
      <c r="G154" s="11" t="s">
        <v>64</v>
      </c>
      <c r="H154" s="48" t="str">
        <f>VLOOKUP(Table1[[#This Row],[Psoft No]],[1]Roster!$C$2:$H$1402,6,)</f>
        <v>AUH1</v>
      </c>
      <c r="I154" s="48" t="b">
        <f>Table1[[#This Row],[Building]]=Table1[[#This Row],[Column1]]</f>
        <v>1</v>
      </c>
      <c r="J154" s="11" t="s">
        <v>75</v>
      </c>
      <c r="K154" s="11">
        <v>1299</v>
      </c>
      <c r="L154" s="49" t="s">
        <v>32</v>
      </c>
      <c r="M154" s="49" t="s">
        <v>76</v>
      </c>
      <c r="N154" s="49" t="s">
        <v>78</v>
      </c>
      <c r="O154" s="49" t="s">
        <v>92</v>
      </c>
      <c r="P154" s="48" t="s">
        <v>97</v>
      </c>
      <c r="Q154" s="49" t="s">
        <v>67</v>
      </c>
      <c r="R154" s="11" t="s">
        <v>80</v>
      </c>
      <c r="S154" s="11" t="s">
        <v>98</v>
      </c>
      <c r="T154" s="11" t="s">
        <v>2711</v>
      </c>
      <c r="U154" s="11" t="s">
        <v>2712</v>
      </c>
      <c r="V154" s="116" t="s">
        <v>10</v>
      </c>
      <c r="W154" s="88"/>
      <c r="X154" s="51">
        <v>44067</v>
      </c>
      <c r="Y154" s="102" t="s">
        <v>1568</v>
      </c>
      <c r="Z154" s="135" t="s">
        <v>3023</v>
      </c>
      <c r="AA154" s="135">
        <v>0</v>
      </c>
    </row>
    <row r="155" spans="1:27" ht="13" customHeight="1">
      <c r="A155" s="11">
        <v>149</v>
      </c>
      <c r="B155" s="47">
        <v>102206211</v>
      </c>
      <c r="C155" s="89" t="s">
        <v>2277</v>
      </c>
      <c r="D155" s="11" t="s">
        <v>2278</v>
      </c>
      <c r="E155" s="48" t="s">
        <v>34</v>
      </c>
      <c r="F155" s="48" t="s">
        <v>74</v>
      </c>
      <c r="G155" s="11" t="s">
        <v>64</v>
      </c>
      <c r="H155" s="48" t="str">
        <f>VLOOKUP(Table1[[#This Row],[Psoft No]],[1]Roster!$C$2:$H$1402,6,)</f>
        <v>AUH1</v>
      </c>
      <c r="I155" s="48" t="b">
        <f>Table1[[#This Row],[Building]]=Table1[[#This Row],[Column1]]</f>
        <v>1</v>
      </c>
      <c r="J155" s="11" t="s">
        <v>75</v>
      </c>
      <c r="K155" s="11">
        <v>1299</v>
      </c>
      <c r="L155" s="49" t="s">
        <v>32</v>
      </c>
      <c r="M155" s="49" t="s">
        <v>76</v>
      </c>
      <c r="N155" s="49" t="s">
        <v>77</v>
      </c>
      <c r="O155" s="49" t="s">
        <v>78</v>
      </c>
      <c r="P155" s="48" t="s">
        <v>108</v>
      </c>
      <c r="Q155" s="49" t="s">
        <v>67</v>
      </c>
      <c r="R155" s="11" t="s">
        <v>80</v>
      </c>
      <c r="S155" s="11" t="s">
        <v>98</v>
      </c>
      <c r="T155" s="11" t="s">
        <v>82</v>
      </c>
      <c r="U155" s="11" t="s">
        <v>2713</v>
      </c>
      <c r="V155" s="116" t="str">
        <f>VLOOKUP(Table1[[#This Row],[Psoft No]],[2]Sheet1!$A$2:$G$386,7,0)</f>
        <v>P</v>
      </c>
      <c r="W155" s="88"/>
      <c r="X155" s="51">
        <v>42868</v>
      </c>
      <c r="Y155" s="97" t="s">
        <v>1568</v>
      </c>
      <c r="Z155" s="135" t="s">
        <v>2</v>
      </c>
      <c r="AA155" s="135">
        <v>0</v>
      </c>
    </row>
    <row r="156" spans="1:27" ht="13" customHeight="1">
      <c r="A156" s="11">
        <v>150</v>
      </c>
      <c r="B156" s="47">
        <v>203816296</v>
      </c>
      <c r="C156" s="89" t="s">
        <v>1706</v>
      </c>
      <c r="D156" s="11" t="s">
        <v>1956</v>
      </c>
      <c r="E156" s="48" t="s">
        <v>31</v>
      </c>
      <c r="F156" s="48" t="s">
        <v>74</v>
      </c>
      <c r="G156" s="11" t="s">
        <v>64</v>
      </c>
      <c r="H156" s="48" t="str">
        <f>VLOOKUP(Table1[[#This Row],[Psoft No]],[1]Roster!$C$2:$H$1402,6,)</f>
        <v>AUH1</v>
      </c>
      <c r="I156" s="48" t="b">
        <f>Table1[[#This Row],[Building]]=Table1[[#This Row],[Column1]]</f>
        <v>1</v>
      </c>
      <c r="J156" s="11" t="s">
        <v>75</v>
      </c>
      <c r="K156" s="11">
        <v>1299</v>
      </c>
      <c r="L156" s="49" t="s">
        <v>32</v>
      </c>
      <c r="M156" s="49" t="s">
        <v>76</v>
      </c>
      <c r="N156" s="49" t="s">
        <v>85</v>
      </c>
      <c r="O156" s="49" t="s">
        <v>88</v>
      </c>
      <c r="P156" s="48" t="s">
        <v>89</v>
      </c>
      <c r="Q156" s="49" t="s">
        <v>67</v>
      </c>
      <c r="R156" s="11" t="s">
        <v>80</v>
      </c>
      <c r="S156" s="11" t="s">
        <v>90</v>
      </c>
      <c r="T156" s="11" t="s">
        <v>2711</v>
      </c>
      <c r="U156" s="11" t="s">
        <v>2712</v>
      </c>
      <c r="V156" s="116" t="str">
        <f>VLOOKUP(Table1[[#This Row],[Psoft No]],[2]Sheet1!$A$2:$G$386,7,0)</f>
        <v>P</v>
      </c>
      <c r="W156" s="88"/>
      <c r="X156" s="51">
        <v>45518</v>
      </c>
      <c r="Y156" s="102" t="s">
        <v>1568</v>
      </c>
      <c r="Z156" s="135" t="s">
        <v>2</v>
      </c>
      <c r="AA156" s="135">
        <v>0</v>
      </c>
    </row>
    <row r="157" spans="1:27" ht="13" customHeight="1">
      <c r="A157" s="11">
        <v>151</v>
      </c>
      <c r="B157" s="47">
        <v>102205456</v>
      </c>
      <c r="C157" s="89" t="s">
        <v>2685</v>
      </c>
      <c r="D157" s="11" t="s">
        <v>2710</v>
      </c>
      <c r="E157" s="48" t="s">
        <v>34</v>
      </c>
      <c r="F157" s="48" t="s">
        <v>74</v>
      </c>
      <c r="G157" s="11" t="s">
        <v>64</v>
      </c>
      <c r="H157" s="48" t="str">
        <f>VLOOKUP(Table1[[#This Row],[Psoft No]],[1]Roster!$C$2:$H$1402,6,)</f>
        <v>AUH1</v>
      </c>
      <c r="I157" s="48" t="b">
        <f>Table1[[#This Row],[Building]]=Table1[[#This Row],[Column1]]</f>
        <v>1</v>
      </c>
      <c r="J157" s="11" t="s">
        <v>75</v>
      </c>
      <c r="K157" s="11">
        <v>1299</v>
      </c>
      <c r="L157" s="49" t="s">
        <v>32</v>
      </c>
      <c r="M157" s="49" t="s">
        <v>76</v>
      </c>
      <c r="N157" s="49" t="s">
        <v>88</v>
      </c>
      <c r="O157" s="49" t="s">
        <v>95</v>
      </c>
      <c r="P157" s="49" t="s">
        <v>108</v>
      </c>
      <c r="Q157" s="49" t="s">
        <v>67</v>
      </c>
      <c r="R157" s="11" t="s">
        <v>80</v>
      </c>
      <c r="S157" s="11" t="s">
        <v>98</v>
      </c>
      <c r="T157" s="11" t="s">
        <v>82</v>
      </c>
      <c r="U157" s="11" t="s">
        <v>2713</v>
      </c>
      <c r="V157" s="116" t="str">
        <f>VLOOKUP(Table1[[#This Row],[Psoft No]],[2]Sheet1!$A$2:$G$386,7,0)</f>
        <v>P</v>
      </c>
      <c r="W157" s="88"/>
      <c r="X157" s="51">
        <v>42868</v>
      </c>
      <c r="Y157" s="102" t="s">
        <v>1568</v>
      </c>
      <c r="Z157" s="135" t="s">
        <v>2</v>
      </c>
      <c r="AA157" s="135">
        <v>0</v>
      </c>
    </row>
    <row r="158" spans="1:27" ht="13" customHeight="1">
      <c r="A158" s="11">
        <v>152</v>
      </c>
      <c r="B158" s="47">
        <v>203469404</v>
      </c>
      <c r="C158" s="89" t="s">
        <v>133</v>
      </c>
      <c r="D158" s="11" t="s">
        <v>1957</v>
      </c>
      <c r="E158" s="48" t="s">
        <v>31</v>
      </c>
      <c r="F158" s="48" t="s">
        <v>74</v>
      </c>
      <c r="G158" s="11" t="s">
        <v>64</v>
      </c>
      <c r="H158" s="48" t="str">
        <f>VLOOKUP(Table1[[#This Row],[Psoft No]],[1]Roster!$C$2:$H$1402,6,)</f>
        <v>AUH1</v>
      </c>
      <c r="I158" s="48" t="b">
        <f>Table1[[#This Row],[Building]]=Table1[[#This Row],[Column1]]</f>
        <v>1</v>
      </c>
      <c r="J158" s="11" t="s">
        <v>75</v>
      </c>
      <c r="K158" s="11">
        <v>1299</v>
      </c>
      <c r="L158" s="49" t="s">
        <v>32</v>
      </c>
      <c r="M158" s="49" t="s">
        <v>76</v>
      </c>
      <c r="N158" s="49" t="s">
        <v>77</v>
      </c>
      <c r="O158" s="49" t="s">
        <v>78</v>
      </c>
      <c r="P158" s="48" t="s">
        <v>86</v>
      </c>
      <c r="Q158" s="49" t="s">
        <v>67</v>
      </c>
      <c r="R158" s="11" t="s">
        <v>80</v>
      </c>
      <c r="S158" s="11" t="s">
        <v>99</v>
      </c>
      <c r="T158" s="11" t="s">
        <v>2711</v>
      </c>
      <c r="U158" s="11" t="s">
        <v>2712</v>
      </c>
      <c r="V158" s="116" t="str">
        <f>VLOOKUP(Table1[[#This Row],[Psoft No]],[2]Sheet1!$A$2:$G$386,7,0)</f>
        <v>P</v>
      </c>
      <c r="W158" s="88"/>
      <c r="X158" s="51">
        <v>45456</v>
      </c>
      <c r="Y158" s="102" t="s">
        <v>1568</v>
      </c>
      <c r="Z158" s="135" t="s">
        <v>2</v>
      </c>
      <c r="AA158" s="135">
        <v>0</v>
      </c>
    </row>
    <row r="159" spans="1:27" ht="13" customHeight="1">
      <c r="A159" s="11">
        <v>153</v>
      </c>
      <c r="B159" s="47">
        <v>206514788</v>
      </c>
      <c r="C159" s="89" t="s">
        <v>1701</v>
      </c>
      <c r="D159" s="11" t="s">
        <v>1958</v>
      </c>
      <c r="E159" s="48" t="s">
        <v>31</v>
      </c>
      <c r="F159" s="48" t="s">
        <v>74</v>
      </c>
      <c r="G159" s="11" t="s">
        <v>64</v>
      </c>
      <c r="H159" s="48" t="str">
        <f>VLOOKUP(Table1[[#This Row],[Psoft No]],[1]Roster!$C$2:$H$1402,6,)</f>
        <v>AUH1</v>
      </c>
      <c r="I159" s="48" t="b">
        <f>Table1[[#This Row],[Building]]=Table1[[#This Row],[Column1]]</f>
        <v>1</v>
      </c>
      <c r="J159" s="11" t="s">
        <v>75</v>
      </c>
      <c r="K159" s="11">
        <v>1299</v>
      </c>
      <c r="L159" s="49" t="s">
        <v>39</v>
      </c>
      <c r="M159" s="49" t="s">
        <v>76</v>
      </c>
      <c r="N159" s="49" t="s">
        <v>77</v>
      </c>
      <c r="O159" s="49" t="s">
        <v>78</v>
      </c>
      <c r="P159" s="48" t="s">
        <v>89</v>
      </c>
      <c r="Q159" s="49" t="s">
        <v>67</v>
      </c>
      <c r="R159" s="11" t="s">
        <v>80</v>
      </c>
      <c r="S159" s="11" t="s">
        <v>90</v>
      </c>
      <c r="T159" s="11" t="s">
        <v>2711</v>
      </c>
      <c r="U159" s="11" t="s">
        <v>2712</v>
      </c>
      <c r="V159" s="116" t="s">
        <v>1</v>
      </c>
      <c r="W159" s="88"/>
      <c r="X159" s="51">
        <v>45971</v>
      </c>
      <c r="Y159" s="102" t="s">
        <v>1568</v>
      </c>
      <c r="Z159" s="135" t="s">
        <v>2</v>
      </c>
      <c r="AA159" s="135">
        <v>0</v>
      </c>
    </row>
    <row r="160" spans="1:27" ht="13" customHeight="1">
      <c r="A160" s="11">
        <v>154</v>
      </c>
      <c r="B160" s="47">
        <v>205647581</v>
      </c>
      <c r="C160" s="89" t="s">
        <v>134</v>
      </c>
      <c r="D160" s="11" t="s">
        <v>1959</v>
      </c>
      <c r="E160" s="48" t="s">
        <v>31</v>
      </c>
      <c r="F160" s="48" t="s">
        <v>74</v>
      </c>
      <c r="G160" s="11" t="s">
        <v>64</v>
      </c>
      <c r="H160" s="48" t="str">
        <f>VLOOKUP(Table1[[#This Row],[Psoft No]],[1]Roster!$C$2:$H$1402,6,)</f>
        <v>AUH1</v>
      </c>
      <c r="I160" s="48" t="b">
        <f>Table1[[#This Row],[Building]]=Table1[[#This Row],[Column1]]</f>
        <v>1</v>
      </c>
      <c r="J160" s="11" t="s">
        <v>75</v>
      </c>
      <c r="K160" s="11">
        <v>1299</v>
      </c>
      <c r="L160" s="49" t="s">
        <v>39</v>
      </c>
      <c r="M160" s="49" t="s">
        <v>76</v>
      </c>
      <c r="N160" s="49" t="s">
        <v>95</v>
      </c>
      <c r="O160" s="49" t="s">
        <v>77</v>
      </c>
      <c r="P160" s="49" t="s">
        <v>89</v>
      </c>
      <c r="Q160" s="49" t="s">
        <v>67</v>
      </c>
      <c r="R160" s="11" t="s">
        <v>80</v>
      </c>
      <c r="S160" s="11" t="s">
        <v>96</v>
      </c>
      <c r="T160" s="11" t="s">
        <v>2711</v>
      </c>
      <c r="U160" s="11" t="s">
        <v>2712</v>
      </c>
      <c r="V160" s="116" t="s">
        <v>1</v>
      </c>
      <c r="W160" s="88"/>
      <c r="X160" s="51">
        <v>45852</v>
      </c>
      <c r="Y160" s="102" t="s">
        <v>1568</v>
      </c>
      <c r="Z160" s="135" t="s">
        <v>2</v>
      </c>
      <c r="AA160" s="135">
        <v>0</v>
      </c>
    </row>
    <row r="161" spans="1:27" ht="13" customHeight="1">
      <c r="A161" s="11">
        <v>155</v>
      </c>
      <c r="B161" s="47">
        <v>102981768</v>
      </c>
      <c r="C161" s="89" t="s">
        <v>2279</v>
      </c>
      <c r="D161" s="11" t="s">
        <v>2280</v>
      </c>
      <c r="E161" s="48" t="s">
        <v>34</v>
      </c>
      <c r="F161" s="48" t="s">
        <v>74</v>
      </c>
      <c r="G161" s="11" t="s">
        <v>64</v>
      </c>
      <c r="H161" s="48" t="str">
        <f>VLOOKUP(Table1[[#This Row],[Psoft No]],[1]Roster!$C$2:$H$1402,6,)</f>
        <v>AUH1</v>
      </c>
      <c r="I161" s="48" t="b">
        <f>Table1[[#This Row],[Building]]=Table1[[#This Row],[Column1]]</f>
        <v>1</v>
      </c>
      <c r="J161" s="11" t="s">
        <v>75</v>
      </c>
      <c r="K161" s="11">
        <v>1299</v>
      </c>
      <c r="L161" s="49" t="s">
        <v>39</v>
      </c>
      <c r="M161" s="49" t="s">
        <v>76</v>
      </c>
      <c r="N161" s="49" t="s">
        <v>84</v>
      </c>
      <c r="O161" s="49" t="s">
        <v>85</v>
      </c>
      <c r="P161" s="49" t="s">
        <v>97</v>
      </c>
      <c r="Q161" s="49" t="s">
        <v>67</v>
      </c>
      <c r="R161" s="11" t="s">
        <v>80</v>
      </c>
      <c r="S161" s="11" t="s">
        <v>98</v>
      </c>
      <c r="T161" s="11" t="s">
        <v>82</v>
      </c>
      <c r="U161" s="11" t="s">
        <v>2713</v>
      </c>
      <c r="V161" s="116" t="s">
        <v>1</v>
      </c>
      <c r="W161" s="88"/>
      <c r="X161" s="51">
        <v>43044</v>
      </c>
      <c r="Y161" s="102" t="s">
        <v>1568</v>
      </c>
      <c r="Z161" s="135" t="s">
        <v>2</v>
      </c>
      <c r="AA161" s="135">
        <v>0</v>
      </c>
    </row>
    <row r="162" spans="1:27" ht="13" customHeight="1">
      <c r="A162" s="11">
        <v>156</v>
      </c>
      <c r="B162" s="47">
        <v>203801393</v>
      </c>
      <c r="C162" s="89" t="s">
        <v>135</v>
      </c>
      <c r="D162" s="11" t="s">
        <v>1960</v>
      </c>
      <c r="E162" s="48" t="s">
        <v>31</v>
      </c>
      <c r="F162" s="48" t="s">
        <v>74</v>
      </c>
      <c r="G162" s="11" t="s">
        <v>64</v>
      </c>
      <c r="H162" s="48" t="str">
        <f>VLOOKUP(Table1[[#This Row],[Psoft No]],[1]Roster!$C$2:$H$1402,6,)</f>
        <v>AUH1</v>
      </c>
      <c r="I162" s="48" t="b">
        <f>Table1[[#This Row],[Building]]=Table1[[#This Row],[Column1]]</f>
        <v>1</v>
      </c>
      <c r="J162" s="11" t="s">
        <v>75</v>
      </c>
      <c r="K162" s="11">
        <v>1299</v>
      </c>
      <c r="L162" s="49" t="s">
        <v>32</v>
      </c>
      <c r="M162" s="49" t="s">
        <v>76</v>
      </c>
      <c r="N162" s="49" t="s">
        <v>92</v>
      </c>
      <c r="O162" s="49" t="s">
        <v>84</v>
      </c>
      <c r="P162" s="48" t="s">
        <v>79</v>
      </c>
      <c r="Q162" s="49" t="s">
        <v>67</v>
      </c>
      <c r="R162" s="11" t="s">
        <v>80</v>
      </c>
      <c r="S162" s="11" t="s">
        <v>81</v>
      </c>
      <c r="T162" s="11" t="s">
        <v>2711</v>
      </c>
      <c r="U162" s="11" t="s">
        <v>2712</v>
      </c>
      <c r="V162" s="116" t="s">
        <v>10</v>
      </c>
      <c r="W162" s="88"/>
      <c r="X162" s="51">
        <v>45517</v>
      </c>
      <c r="Y162" s="102" t="s">
        <v>1568</v>
      </c>
      <c r="Z162" s="135" t="s">
        <v>3023</v>
      </c>
      <c r="AA162" s="135">
        <v>0</v>
      </c>
    </row>
    <row r="163" spans="1:27" ht="13" customHeight="1">
      <c r="A163" s="11">
        <v>157</v>
      </c>
      <c r="B163" s="47">
        <v>204864416</v>
      </c>
      <c r="C163" s="89" t="s">
        <v>136</v>
      </c>
      <c r="D163" s="11" t="s">
        <v>1961</v>
      </c>
      <c r="E163" s="48" t="s">
        <v>31</v>
      </c>
      <c r="F163" s="48" t="s">
        <v>74</v>
      </c>
      <c r="G163" s="11" t="s">
        <v>64</v>
      </c>
      <c r="H163" s="48" t="str">
        <f>VLOOKUP(Table1[[#This Row],[Psoft No]],[1]Roster!$C$2:$H$1402,6,)</f>
        <v>AUH1</v>
      </c>
      <c r="I163" s="48" t="b">
        <f>Table1[[#This Row],[Building]]=Table1[[#This Row],[Column1]]</f>
        <v>1</v>
      </c>
      <c r="J163" s="11" t="s">
        <v>75</v>
      </c>
      <c r="K163" s="11">
        <v>1299</v>
      </c>
      <c r="L163" s="49" t="s">
        <v>32</v>
      </c>
      <c r="M163" s="49" t="s">
        <v>76</v>
      </c>
      <c r="N163" s="49" t="s">
        <v>85</v>
      </c>
      <c r="O163" s="49" t="s">
        <v>88</v>
      </c>
      <c r="P163" s="48" t="s">
        <v>89</v>
      </c>
      <c r="Q163" s="49" t="s">
        <v>67</v>
      </c>
      <c r="R163" s="11" t="s">
        <v>80</v>
      </c>
      <c r="S163" s="11" t="s">
        <v>90</v>
      </c>
      <c r="T163" s="11" t="s">
        <v>2711</v>
      </c>
      <c r="U163" s="11" t="s">
        <v>2712</v>
      </c>
      <c r="V163" s="116" t="str">
        <f>VLOOKUP(Table1[[#This Row],[Psoft No]],[2]Sheet1!$A$2:$G$386,7,0)</f>
        <v>P</v>
      </c>
      <c r="W163" s="88"/>
      <c r="X163" s="51">
        <v>45684</v>
      </c>
      <c r="Y163" s="102" t="s">
        <v>1568</v>
      </c>
      <c r="Z163" s="135" t="s">
        <v>2</v>
      </c>
      <c r="AA163" s="135">
        <v>0</v>
      </c>
    </row>
    <row r="164" spans="1:27" ht="13" customHeight="1">
      <c r="A164" s="11">
        <v>158</v>
      </c>
      <c r="B164" s="47">
        <v>206016552</v>
      </c>
      <c r="C164" s="89" t="s">
        <v>526</v>
      </c>
      <c r="D164" s="11" t="s">
        <v>1962</v>
      </c>
      <c r="E164" s="48" t="s">
        <v>31</v>
      </c>
      <c r="F164" s="48" t="s">
        <v>74</v>
      </c>
      <c r="G164" s="11" t="s">
        <v>64</v>
      </c>
      <c r="H164" s="48" t="str">
        <f>VLOOKUP(Table1[[#This Row],[Psoft No]],[1]Roster!$C$2:$H$1402,6,)</f>
        <v>AUH1</v>
      </c>
      <c r="I164" s="48" t="b">
        <f>Table1[[#This Row],[Building]]=Table1[[#This Row],[Column1]]</f>
        <v>1</v>
      </c>
      <c r="J164" s="11" t="s">
        <v>75</v>
      </c>
      <c r="K164" s="11">
        <v>1299</v>
      </c>
      <c r="L164" s="49" t="s">
        <v>32</v>
      </c>
      <c r="M164" s="49" t="s">
        <v>76</v>
      </c>
      <c r="N164" s="49" t="s">
        <v>77</v>
      </c>
      <c r="O164" s="49" t="s">
        <v>78</v>
      </c>
      <c r="P164" s="49" t="s">
        <v>89</v>
      </c>
      <c r="Q164" s="49" t="s">
        <v>67</v>
      </c>
      <c r="R164" s="11" t="s">
        <v>80</v>
      </c>
      <c r="S164" s="11" t="s">
        <v>81</v>
      </c>
      <c r="T164" s="11" t="s">
        <v>2711</v>
      </c>
      <c r="U164" s="11" t="s">
        <v>2712</v>
      </c>
      <c r="V164" s="116" t="str">
        <f>VLOOKUP(Table1[[#This Row],[Psoft No]],[2]Sheet1!$A$2:$G$386,7,0)</f>
        <v>P</v>
      </c>
      <c r="W164" s="88"/>
      <c r="X164" s="51">
        <v>45915</v>
      </c>
      <c r="Y164" s="102" t="s">
        <v>1568</v>
      </c>
      <c r="Z164" s="135" t="s">
        <v>2</v>
      </c>
      <c r="AA164" s="135">
        <v>0</v>
      </c>
    </row>
    <row r="165" spans="1:27" ht="13" customHeight="1">
      <c r="A165" s="11">
        <v>159</v>
      </c>
      <c r="B165" s="47">
        <v>204403811</v>
      </c>
      <c r="C165" s="89" t="s">
        <v>137</v>
      </c>
      <c r="D165" s="11" t="s">
        <v>1963</v>
      </c>
      <c r="E165" s="48" t="s">
        <v>31</v>
      </c>
      <c r="F165" s="48" t="s">
        <v>74</v>
      </c>
      <c r="G165" s="11" t="s">
        <v>64</v>
      </c>
      <c r="H165" s="48" t="str">
        <f>VLOOKUP(Table1[[#This Row],[Psoft No]],[1]Roster!$C$2:$H$1402,6,)</f>
        <v>AUH1</v>
      </c>
      <c r="I165" s="48" t="b">
        <f>Table1[[#This Row],[Building]]=Table1[[#This Row],[Column1]]</f>
        <v>1</v>
      </c>
      <c r="J165" s="11" t="s">
        <v>75</v>
      </c>
      <c r="K165" s="11">
        <v>1299</v>
      </c>
      <c r="L165" s="49" t="s">
        <v>32</v>
      </c>
      <c r="M165" s="49" t="s">
        <v>76</v>
      </c>
      <c r="N165" s="49" t="s">
        <v>92</v>
      </c>
      <c r="O165" s="49" t="s">
        <v>84</v>
      </c>
      <c r="P165" s="49" t="s">
        <v>79</v>
      </c>
      <c r="Q165" s="49" t="s">
        <v>67</v>
      </c>
      <c r="R165" s="11" t="s">
        <v>80</v>
      </c>
      <c r="S165" s="11" t="s">
        <v>81</v>
      </c>
      <c r="T165" s="11" t="s">
        <v>2711</v>
      </c>
      <c r="U165" s="11" t="s">
        <v>2712</v>
      </c>
      <c r="V165" s="116" t="s">
        <v>10</v>
      </c>
      <c r="W165" s="88"/>
      <c r="X165" s="51">
        <v>45596</v>
      </c>
      <c r="Y165" s="102" t="s">
        <v>1568</v>
      </c>
      <c r="Z165" s="135" t="s">
        <v>3023</v>
      </c>
      <c r="AA165" s="135">
        <v>0</v>
      </c>
    </row>
    <row r="166" spans="1:27" ht="13" customHeight="1">
      <c r="A166" s="11">
        <v>160</v>
      </c>
      <c r="B166" s="47">
        <v>206348053</v>
      </c>
      <c r="C166" s="89" t="s">
        <v>1695</v>
      </c>
      <c r="D166" s="11" t="s">
        <v>1991</v>
      </c>
      <c r="E166" s="48" t="s">
        <v>31</v>
      </c>
      <c r="F166" s="48" t="s">
        <v>74</v>
      </c>
      <c r="G166" s="11" t="s">
        <v>64</v>
      </c>
      <c r="H166" s="48" t="str">
        <f>VLOOKUP(Table1[[#This Row],[Psoft No]],[1]Roster!$C$2:$H$1402,6,)</f>
        <v>AUH1</v>
      </c>
      <c r="I166" s="48" t="b">
        <f>Table1[[#This Row],[Building]]=Table1[[#This Row],[Column1]]</f>
        <v>1</v>
      </c>
      <c r="J166" s="11" t="s">
        <v>75</v>
      </c>
      <c r="K166" s="11">
        <v>1299</v>
      </c>
      <c r="L166" s="49" t="s">
        <v>39</v>
      </c>
      <c r="M166" s="49" t="s">
        <v>76</v>
      </c>
      <c r="N166" s="49" t="s">
        <v>84</v>
      </c>
      <c r="O166" s="49" t="s">
        <v>85</v>
      </c>
      <c r="P166" s="48" t="s">
        <v>89</v>
      </c>
      <c r="Q166" s="49" t="s">
        <v>67</v>
      </c>
      <c r="R166" s="11" t="s">
        <v>80</v>
      </c>
      <c r="S166" s="11" t="s">
        <v>81</v>
      </c>
      <c r="T166" s="11" t="s">
        <v>2711</v>
      </c>
      <c r="U166" s="11" t="s">
        <v>2712</v>
      </c>
      <c r="V166" s="116" t="s">
        <v>1</v>
      </c>
      <c r="W166" s="88"/>
      <c r="X166" s="51">
        <v>45957</v>
      </c>
      <c r="Y166" s="102" t="s">
        <v>1568</v>
      </c>
      <c r="Z166" s="135" t="s">
        <v>2</v>
      </c>
      <c r="AA166" s="135">
        <v>0</v>
      </c>
    </row>
    <row r="167" spans="1:27" ht="13" customHeight="1">
      <c r="A167" s="11">
        <v>161</v>
      </c>
      <c r="B167" s="47">
        <v>206915011</v>
      </c>
      <c r="C167" s="89" t="s">
        <v>2122</v>
      </c>
      <c r="D167" s="11" t="s">
        <v>2047</v>
      </c>
      <c r="E167" s="48" t="s">
        <v>31</v>
      </c>
      <c r="F167" s="48" t="s">
        <v>74</v>
      </c>
      <c r="G167" s="11" t="s">
        <v>64</v>
      </c>
      <c r="H167" s="48" t="str">
        <f>VLOOKUP(Table1[[#This Row],[Psoft No]],[1]Roster!$C$2:$H$1402,6,)</f>
        <v>AUH1</v>
      </c>
      <c r="I167" s="48" t="b">
        <f>Table1[[#This Row],[Building]]=Table1[[#This Row],[Column1]]</f>
        <v>1</v>
      </c>
      <c r="J167" s="11" t="s">
        <v>75</v>
      </c>
      <c r="K167" s="11">
        <v>1299</v>
      </c>
      <c r="L167" s="49" t="s">
        <v>32</v>
      </c>
      <c r="M167" s="49" t="s">
        <v>76</v>
      </c>
      <c r="N167" s="49" t="s">
        <v>92</v>
      </c>
      <c r="O167" s="49" t="s">
        <v>84</v>
      </c>
      <c r="P167" s="49" t="s">
        <v>86</v>
      </c>
      <c r="Q167" s="49" t="s">
        <v>67</v>
      </c>
      <c r="R167" s="11" t="s">
        <v>80</v>
      </c>
      <c r="S167" s="11" t="s">
        <v>90</v>
      </c>
      <c r="T167" s="11" t="s">
        <v>2711</v>
      </c>
      <c r="U167" s="11" t="s">
        <v>2712</v>
      </c>
      <c r="V167" s="116" t="s">
        <v>10</v>
      </c>
      <c r="W167" s="88"/>
      <c r="X167" s="51">
        <v>46048</v>
      </c>
      <c r="Y167" s="102" t="s">
        <v>1568</v>
      </c>
      <c r="Z167" s="135" t="s">
        <v>3023</v>
      </c>
      <c r="AA167" s="135">
        <v>0</v>
      </c>
    </row>
    <row r="168" spans="1:27" ht="13" customHeight="1">
      <c r="A168" s="11">
        <v>162</v>
      </c>
      <c r="B168" s="47">
        <v>203850788</v>
      </c>
      <c r="C168" s="89" t="s">
        <v>2281</v>
      </c>
      <c r="D168" s="11" t="s">
        <v>2282</v>
      </c>
      <c r="E168" s="48" t="s">
        <v>31</v>
      </c>
      <c r="F168" s="48" t="s">
        <v>74</v>
      </c>
      <c r="G168" s="11" t="s">
        <v>64</v>
      </c>
      <c r="H168" s="48" t="str">
        <f>VLOOKUP(Table1[[#This Row],[Psoft No]],[1]Roster!$C$2:$H$1402,6,)</f>
        <v>AUH1</v>
      </c>
      <c r="I168" s="48" t="b">
        <f>Table1[[#This Row],[Building]]=Table1[[#This Row],[Column1]]</f>
        <v>1</v>
      </c>
      <c r="J168" s="11" t="s">
        <v>75</v>
      </c>
      <c r="K168" s="11">
        <v>1299</v>
      </c>
      <c r="L168" s="49" t="s">
        <v>39</v>
      </c>
      <c r="M168" s="49" t="s">
        <v>76</v>
      </c>
      <c r="N168" s="49" t="s">
        <v>84</v>
      </c>
      <c r="O168" s="49" t="s">
        <v>85</v>
      </c>
      <c r="P168" s="48" t="s">
        <v>79</v>
      </c>
      <c r="Q168" s="49" t="s">
        <v>67</v>
      </c>
      <c r="R168" s="11" t="s">
        <v>80</v>
      </c>
      <c r="S168" s="11" t="s">
        <v>81</v>
      </c>
      <c r="T168" s="11" t="s">
        <v>2711</v>
      </c>
      <c r="U168" s="11" t="s">
        <v>2712</v>
      </c>
      <c r="V168" s="116" t="s">
        <v>1</v>
      </c>
      <c r="W168" s="88"/>
      <c r="X168" s="51">
        <v>45524</v>
      </c>
      <c r="Y168" s="102" t="s">
        <v>1568</v>
      </c>
      <c r="Z168" s="135" t="s">
        <v>2</v>
      </c>
      <c r="AA168" s="135">
        <v>0</v>
      </c>
    </row>
    <row r="169" spans="1:27" ht="13" customHeight="1">
      <c r="A169" s="11">
        <v>163</v>
      </c>
      <c r="B169" s="47">
        <v>206873785</v>
      </c>
      <c r="C169" s="89" t="s">
        <v>1748</v>
      </c>
      <c r="D169" s="11" t="s">
        <v>1749</v>
      </c>
      <c r="E169" s="48" t="s">
        <v>31</v>
      </c>
      <c r="F169" s="48" t="s">
        <v>74</v>
      </c>
      <c r="G169" s="11" t="s">
        <v>64</v>
      </c>
      <c r="H169" s="48" t="str">
        <f>VLOOKUP(Table1[[#This Row],[Psoft No]],[1]Roster!$C$2:$H$1402,6,)</f>
        <v>AUH1</v>
      </c>
      <c r="I169" s="48" t="b">
        <f>Table1[[#This Row],[Building]]=Table1[[#This Row],[Column1]]</f>
        <v>1</v>
      </c>
      <c r="J169" s="11" t="s">
        <v>75</v>
      </c>
      <c r="K169" s="11">
        <v>1299</v>
      </c>
      <c r="L169" s="49" t="s">
        <v>39</v>
      </c>
      <c r="M169" s="49" t="s">
        <v>76</v>
      </c>
      <c r="N169" s="49" t="s">
        <v>84</v>
      </c>
      <c r="O169" s="49" t="s">
        <v>85</v>
      </c>
      <c r="P169" s="48" t="s">
        <v>89</v>
      </c>
      <c r="Q169" s="49" t="s">
        <v>67</v>
      </c>
      <c r="R169" s="11" t="s">
        <v>80</v>
      </c>
      <c r="S169" s="11" t="s">
        <v>90</v>
      </c>
      <c r="T169" s="11" t="s">
        <v>2711</v>
      </c>
      <c r="U169" s="11" t="s">
        <v>2712</v>
      </c>
      <c r="V169" s="116" t="s">
        <v>1</v>
      </c>
      <c r="W169" s="88"/>
      <c r="X169" s="51">
        <v>46020</v>
      </c>
      <c r="Y169" s="102" t="s">
        <v>1568</v>
      </c>
      <c r="Z169" s="135" t="s">
        <v>2</v>
      </c>
      <c r="AA169" s="135">
        <v>0</v>
      </c>
    </row>
    <row r="170" spans="1:27" ht="13" customHeight="1">
      <c r="A170" s="11">
        <v>164</v>
      </c>
      <c r="B170" s="11">
        <v>204319468</v>
      </c>
      <c r="C170" s="89" t="s">
        <v>138</v>
      </c>
      <c r="D170" s="11" t="s">
        <v>1964</v>
      </c>
      <c r="E170" s="48" t="s">
        <v>31</v>
      </c>
      <c r="F170" s="48" t="s">
        <v>74</v>
      </c>
      <c r="G170" s="48" t="s">
        <v>64</v>
      </c>
      <c r="H170" s="48" t="str">
        <f>VLOOKUP(Table1[[#This Row],[Psoft No]],[1]Roster!$C$2:$H$1402,6,)</f>
        <v>AUH1</v>
      </c>
      <c r="I170" s="48" t="b">
        <f>Table1[[#This Row],[Building]]=Table1[[#This Row],[Column1]]</f>
        <v>1</v>
      </c>
      <c r="J170" s="48" t="s">
        <v>75</v>
      </c>
      <c r="K170" s="11">
        <v>1299</v>
      </c>
      <c r="L170" s="49" t="s">
        <v>32</v>
      </c>
      <c r="M170" s="49" t="s">
        <v>76</v>
      </c>
      <c r="N170" s="49" t="s">
        <v>92</v>
      </c>
      <c r="O170" s="49" t="s">
        <v>84</v>
      </c>
      <c r="P170" s="49" t="s">
        <v>86</v>
      </c>
      <c r="Q170" s="11" t="s">
        <v>67</v>
      </c>
      <c r="R170" s="48" t="s">
        <v>80</v>
      </c>
      <c r="S170" s="11" t="s">
        <v>87</v>
      </c>
      <c r="T170" s="11" t="s">
        <v>2711</v>
      </c>
      <c r="U170" s="11" t="s">
        <v>2712</v>
      </c>
      <c r="V170" s="116" t="s">
        <v>10</v>
      </c>
      <c r="W170" s="88"/>
      <c r="X170" s="51">
        <v>45589</v>
      </c>
      <c r="Y170" s="102" t="s">
        <v>1568</v>
      </c>
      <c r="Z170" s="135" t="s">
        <v>3023</v>
      </c>
      <c r="AA170" s="135">
        <v>0</v>
      </c>
    </row>
    <row r="171" spans="1:27" ht="13" customHeight="1">
      <c r="A171" s="11">
        <v>165</v>
      </c>
      <c r="B171" s="47">
        <v>204868856</v>
      </c>
      <c r="C171" s="89" t="s">
        <v>139</v>
      </c>
      <c r="D171" s="11" t="s">
        <v>140</v>
      </c>
      <c r="E171" s="48" t="s">
        <v>31</v>
      </c>
      <c r="F171" s="48" t="s">
        <v>74</v>
      </c>
      <c r="G171" s="11" t="s">
        <v>64</v>
      </c>
      <c r="H171" s="48" t="str">
        <f>VLOOKUP(Table1[[#This Row],[Psoft No]],[1]Roster!$C$2:$H$1402,6,)</f>
        <v>AUH1</v>
      </c>
      <c r="I171" s="48" t="b">
        <f>Table1[[#This Row],[Building]]=Table1[[#This Row],[Column1]]</f>
        <v>1</v>
      </c>
      <c r="J171" s="11" t="s">
        <v>75</v>
      </c>
      <c r="K171" s="11">
        <v>1299</v>
      </c>
      <c r="L171" s="49" t="s">
        <v>39</v>
      </c>
      <c r="M171" s="49" t="s">
        <v>76</v>
      </c>
      <c r="N171" s="49" t="s">
        <v>88</v>
      </c>
      <c r="O171" s="49" t="s">
        <v>95</v>
      </c>
      <c r="P171" s="48" t="s">
        <v>89</v>
      </c>
      <c r="Q171" s="49" t="s">
        <v>67</v>
      </c>
      <c r="R171" s="11" t="s">
        <v>80</v>
      </c>
      <c r="S171" s="11" t="s">
        <v>87</v>
      </c>
      <c r="T171" s="11" t="s">
        <v>2711</v>
      </c>
      <c r="U171" s="11" t="s">
        <v>2712</v>
      </c>
      <c r="V171" s="116" t="s">
        <v>1</v>
      </c>
      <c r="W171" s="88"/>
      <c r="X171" s="51">
        <v>45691</v>
      </c>
      <c r="Y171" s="102" t="s">
        <v>1568</v>
      </c>
      <c r="Z171" s="135" t="s">
        <v>2</v>
      </c>
      <c r="AA171" s="135">
        <v>0</v>
      </c>
    </row>
    <row r="172" spans="1:27" ht="13" customHeight="1">
      <c r="A172" s="11">
        <v>166</v>
      </c>
      <c r="B172" s="47">
        <v>206953812</v>
      </c>
      <c r="C172" s="89" t="s">
        <v>2132</v>
      </c>
      <c r="D172" s="11" t="s">
        <v>2060</v>
      </c>
      <c r="E172" s="48" t="s">
        <v>31</v>
      </c>
      <c r="F172" s="48" t="s">
        <v>74</v>
      </c>
      <c r="G172" s="11" t="s">
        <v>64</v>
      </c>
      <c r="H172" s="48" t="str">
        <f>VLOOKUP(Table1[[#This Row],[Psoft No]],[1]Roster!$C$2:$H$1402,6,)</f>
        <v>AUH1</v>
      </c>
      <c r="I172" s="48" t="b">
        <f>Table1[[#This Row],[Building]]=Table1[[#This Row],[Column1]]</f>
        <v>1</v>
      </c>
      <c r="J172" s="11" t="s">
        <v>75</v>
      </c>
      <c r="K172" s="11">
        <v>1299</v>
      </c>
      <c r="L172" s="49" t="s">
        <v>32</v>
      </c>
      <c r="M172" s="49" t="s">
        <v>76</v>
      </c>
      <c r="N172" s="49" t="s">
        <v>88</v>
      </c>
      <c r="O172" s="49" t="s">
        <v>95</v>
      </c>
      <c r="P172" s="49" t="s">
        <v>89</v>
      </c>
      <c r="Q172" s="49" t="s">
        <v>67</v>
      </c>
      <c r="R172" s="11" t="s">
        <v>80</v>
      </c>
      <c r="S172" s="11" t="s">
        <v>90</v>
      </c>
      <c r="T172" s="11" t="s">
        <v>2711</v>
      </c>
      <c r="U172" s="11" t="s">
        <v>2712</v>
      </c>
      <c r="V172" s="116" t="str">
        <f>VLOOKUP(Table1[[#This Row],[Psoft No]],[2]Sheet1!$A$2:$G$386,7,0)</f>
        <v>P</v>
      </c>
      <c r="W172" s="88"/>
      <c r="X172" s="51">
        <v>46048</v>
      </c>
      <c r="Y172" s="102" t="s">
        <v>1568</v>
      </c>
      <c r="Z172" s="135" t="s">
        <v>2</v>
      </c>
      <c r="AA172" s="135">
        <v>0</v>
      </c>
    </row>
    <row r="173" spans="1:27" ht="13" customHeight="1">
      <c r="A173" s="11">
        <v>167</v>
      </c>
      <c r="B173" s="47">
        <v>205495602</v>
      </c>
      <c r="C173" s="89" t="s">
        <v>545</v>
      </c>
      <c r="D173" s="11" t="s">
        <v>1965</v>
      </c>
      <c r="E173" s="48" t="s">
        <v>31</v>
      </c>
      <c r="F173" s="48" t="s">
        <v>74</v>
      </c>
      <c r="G173" s="11" t="s">
        <v>64</v>
      </c>
      <c r="H173" s="48" t="str">
        <f>VLOOKUP(Table1[[#This Row],[Psoft No]],[1]Roster!$C$2:$H$1402,6,)</f>
        <v>AUH1</v>
      </c>
      <c r="I173" s="48" t="b">
        <f>Table1[[#This Row],[Building]]=Table1[[#This Row],[Column1]]</f>
        <v>1</v>
      </c>
      <c r="J173" s="11" t="s">
        <v>75</v>
      </c>
      <c r="K173" s="11">
        <v>1299</v>
      </c>
      <c r="L173" s="49" t="s">
        <v>39</v>
      </c>
      <c r="M173" s="49" t="s">
        <v>76</v>
      </c>
      <c r="N173" s="49" t="s">
        <v>95</v>
      </c>
      <c r="O173" s="49" t="s">
        <v>77</v>
      </c>
      <c r="P173" s="48" t="s">
        <v>89</v>
      </c>
      <c r="Q173" s="49" t="s">
        <v>67</v>
      </c>
      <c r="R173" s="11" t="s">
        <v>80</v>
      </c>
      <c r="S173" s="11" t="s">
        <v>96</v>
      </c>
      <c r="T173" s="11" t="s">
        <v>2711</v>
      </c>
      <c r="U173" s="11" t="s">
        <v>2712</v>
      </c>
      <c r="V173" s="116" t="s">
        <v>1</v>
      </c>
      <c r="W173" s="88"/>
      <c r="X173" s="51">
        <v>45831</v>
      </c>
      <c r="Y173" s="102" t="s">
        <v>1568</v>
      </c>
      <c r="Z173" s="135" t="s">
        <v>2</v>
      </c>
      <c r="AA173" s="135">
        <v>0</v>
      </c>
    </row>
    <row r="174" spans="1:27" ht="13" customHeight="1">
      <c r="A174" s="11">
        <v>168</v>
      </c>
      <c r="B174" s="47">
        <v>204299909</v>
      </c>
      <c r="C174" s="89" t="s">
        <v>2283</v>
      </c>
      <c r="D174" s="11" t="s">
        <v>2284</v>
      </c>
      <c r="E174" s="48" t="s">
        <v>31</v>
      </c>
      <c r="F174" s="48" t="s">
        <v>74</v>
      </c>
      <c r="G174" s="11" t="s">
        <v>64</v>
      </c>
      <c r="H174" s="48" t="str">
        <f>VLOOKUP(Table1[[#This Row],[Psoft No]],[1]Roster!$C$2:$H$1402,6,)</f>
        <v>AUH1</v>
      </c>
      <c r="I174" s="48" t="b">
        <f>Table1[[#This Row],[Building]]=Table1[[#This Row],[Column1]]</f>
        <v>1</v>
      </c>
      <c r="J174" s="11" t="s">
        <v>75</v>
      </c>
      <c r="K174" s="11">
        <v>1299</v>
      </c>
      <c r="L174" s="49" t="s">
        <v>32</v>
      </c>
      <c r="M174" s="49" t="s">
        <v>76</v>
      </c>
      <c r="N174" s="49" t="s">
        <v>77</v>
      </c>
      <c r="O174" s="49" t="s">
        <v>78</v>
      </c>
      <c r="P174" s="49" t="s">
        <v>86</v>
      </c>
      <c r="Q174" s="49" t="s">
        <v>67</v>
      </c>
      <c r="R174" s="11" t="s">
        <v>80</v>
      </c>
      <c r="S174" s="11" t="s">
        <v>87</v>
      </c>
      <c r="T174" s="11" t="s">
        <v>2711</v>
      </c>
      <c r="U174" s="11" t="s">
        <v>2712</v>
      </c>
      <c r="V174" s="116" t="str">
        <f>VLOOKUP(Table1[[#This Row],[Psoft No]],[2]Sheet1!$A$2:$G$386,7,0)</f>
        <v>P</v>
      </c>
      <c r="W174" s="88"/>
      <c r="X174" s="51">
        <v>45589</v>
      </c>
      <c r="Y174" s="102" t="s">
        <v>1568</v>
      </c>
      <c r="Z174" s="135" t="s">
        <v>2</v>
      </c>
      <c r="AA174" s="135">
        <v>0</v>
      </c>
    </row>
    <row r="175" spans="1:27" ht="13" customHeight="1">
      <c r="A175" s="11">
        <v>169</v>
      </c>
      <c r="B175" s="47">
        <v>203850935</v>
      </c>
      <c r="C175" s="89" t="s">
        <v>2285</v>
      </c>
      <c r="D175" s="11" t="s">
        <v>2286</v>
      </c>
      <c r="E175" s="48" t="s">
        <v>31</v>
      </c>
      <c r="F175" s="48" t="s">
        <v>74</v>
      </c>
      <c r="G175" s="11" t="s">
        <v>64</v>
      </c>
      <c r="H175" s="48" t="str">
        <f>VLOOKUP(Table1[[#This Row],[Psoft No]],[1]Roster!$C$2:$H$1402,6,)</f>
        <v>AUH1</v>
      </c>
      <c r="I175" s="48" t="b">
        <f>Table1[[#This Row],[Building]]=Table1[[#This Row],[Column1]]</f>
        <v>1</v>
      </c>
      <c r="J175" s="11" t="s">
        <v>75</v>
      </c>
      <c r="K175" s="11">
        <v>1299</v>
      </c>
      <c r="L175" s="49" t="s">
        <v>32</v>
      </c>
      <c r="M175" s="49" t="s">
        <v>76</v>
      </c>
      <c r="N175" s="49" t="s">
        <v>77</v>
      </c>
      <c r="O175" s="49" t="s">
        <v>78</v>
      </c>
      <c r="P175" s="48" t="s">
        <v>79</v>
      </c>
      <c r="Q175" s="49" t="s">
        <v>67</v>
      </c>
      <c r="R175" s="11" t="s">
        <v>80</v>
      </c>
      <c r="S175" s="11" t="s">
        <v>81</v>
      </c>
      <c r="T175" s="11" t="s">
        <v>2711</v>
      </c>
      <c r="U175" s="11" t="s">
        <v>2712</v>
      </c>
      <c r="V175" s="116" t="str">
        <f>VLOOKUP(Table1[[#This Row],[Psoft No]],[2]Sheet1!$A$2:$G$386,7,0)</f>
        <v>P</v>
      </c>
      <c r="W175" s="88"/>
      <c r="X175" s="51">
        <v>45524</v>
      </c>
      <c r="Y175" s="102" t="s">
        <v>1568</v>
      </c>
      <c r="Z175" s="135" t="s">
        <v>2</v>
      </c>
      <c r="AA175" s="135">
        <v>0</v>
      </c>
    </row>
    <row r="176" spans="1:27" ht="13" customHeight="1">
      <c r="A176" s="11">
        <v>170</v>
      </c>
      <c r="B176" s="47">
        <v>203813036</v>
      </c>
      <c r="C176" s="89" t="s">
        <v>260</v>
      </c>
      <c r="D176" s="11" t="s">
        <v>261</v>
      </c>
      <c r="E176" s="48" t="s">
        <v>31</v>
      </c>
      <c r="F176" s="48" t="s">
        <v>74</v>
      </c>
      <c r="G176" s="11" t="s">
        <v>64</v>
      </c>
      <c r="H176" s="48" t="str">
        <f>VLOOKUP(Table1[[#This Row],[Psoft No]],[1]Roster!$C$2:$H$1402,6,)</f>
        <v>AUH1</v>
      </c>
      <c r="I176" s="48" t="b">
        <f>Table1[[#This Row],[Building]]=Table1[[#This Row],[Column1]]</f>
        <v>1</v>
      </c>
      <c r="J176" s="11" t="s">
        <v>75</v>
      </c>
      <c r="K176" s="11">
        <v>1299</v>
      </c>
      <c r="L176" s="49" t="s">
        <v>32</v>
      </c>
      <c r="M176" s="49" t="s">
        <v>76</v>
      </c>
      <c r="N176" s="49" t="s">
        <v>84</v>
      </c>
      <c r="O176" s="49" t="s">
        <v>85</v>
      </c>
      <c r="P176" s="48" t="s">
        <v>86</v>
      </c>
      <c r="Q176" s="49" t="s">
        <v>35</v>
      </c>
      <c r="R176" s="11" t="s">
        <v>80</v>
      </c>
      <c r="S176" s="11" t="s">
        <v>99</v>
      </c>
      <c r="T176" s="11" t="s">
        <v>225</v>
      </c>
      <c r="U176" s="11" t="s">
        <v>226</v>
      </c>
      <c r="V176" s="116" t="str">
        <f>VLOOKUP(Table1[[#This Row],[Psoft No]],[2]Sheet1!$A$2:$G$386,7,0)</f>
        <v>P</v>
      </c>
      <c r="W176" s="88"/>
      <c r="X176" s="51">
        <v>45517</v>
      </c>
      <c r="Y176" s="97" t="s">
        <v>1574</v>
      </c>
      <c r="Z176" s="135" t="s">
        <v>2</v>
      </c>
      <c r="AA176" s="135">
        <v>0</v>
      </c>
    </row>
    <row r="177" spans="1:27" ht="13" customHeight="1">
      <c r="A177" s="11">
        <v>171</v>
      </c>
      <c r="B177" s="47">
        <v>202238249</v>
      </c>
      <c r="C177" s="89" t="s">
        <v>141</v>
      </c>
      <c r="D177" s="11" t="s">
        <v>1966</v>
      </c>
      <c r="E177" s="48" t="s">
        <v>31</v>
      </c>
      <c r="F177" s="48" t="s">
        <v>74</v>
      </c>
      <c r="G177" s="11" t="s">
        <v>64</v>
      </c>
      <c r="H177" s="48" t="str">
        <f>VLOOKUP(Table1[[#This Row],[Psoft No]],[1]Roster!$C$2:$H$1402,6,)</f>
        <v>AUH1</v>
      </c>
      <c r="I177" s="48" t="b">
        <f>Table1[[#This Row],[Building]]=Table1[[#This Row],[Column1]]</f>
        <v>1</v>
      </c>
      <c r="J177" s="11" t="s">
        <v>75</v>
      </c>
      <c r="K177" s="11">
        <v>1299</v>
      </c>
      <c r="L177" s="49" t="s">
        <v>32</v>
      </c>
      <c r="M177" s="49" t="s">
        <v>76</v>
      </c>
      <c r="N177" s="49" t="s">
        <v>78</v>
      </c>
      <c r="O177" s="49" t="s">
        <v>92</v>
      </c>
      <c r="P177" s="48" t="s">
        <v>86</v>
      </c>
      <c r="Q177" s="49" t="s">
        <v>67</v>
      </c>
      <c r="R177" s="11" t="s">
        <v>80</v>
      </c>
      <c r="S177" s="11" t="s">
        <v>87</v>
      </c>
      <c r="T177" s="11" t="s">
        <v>2711</v>
      </c>
      <c r="U177" s="11" t="s">
        <v>2712</v>
      </c>
      <c r="V177" s="116" t="s">
        <v>10</v>
      </c>
      <c r="W177" s="88"/>
      <c r="X177" s="51">
        <v>45586</v>
      </c>
      <c r="Y177" s="102" t="s">
        <v>1568</v>
      </c>
      <c r="Z177" s="135" t="s">
        <v>3023</v>
      </c>
      <c r="AA177" s="135">
        <v>0</v>
      </c>
    </row>
    <row r="178" spans="1:27" ht="13" customHeight="1">
      <c r="A178" s="11">
        <v>172</v>
      </c>
      <c r="B178" s="47">
        <v>102207652</v>
      </c>
      <c r="C178" s="89" t="s">
        <v>142</v>
      </c>
      <c r="D178" s="11" t="s">
        <v>1967</v>
      </c>
      <c r="E178" s="48" t="s">
        <v>34</v>
      </c>
      <c r="F178" s="48" t="s">
        <v>74</v>
      </c>
      <c r="G178" s="11" t="s">
        <v>64</v>
      </c>
      <c r="H178" s="48" t="str">
        <f>VLOOKUP(Table1[[#This Row],[Psoft No]],[1]Roster!$C$2:$H$1402,6,)</f>
        <v>AUH1</v>
      </c>
      <c r="I178" s="48" t="b">
        <f>Table1[[#This Row],[Building]]=Table1[[#This Row],[Column1]]</f>
        <v>1</v>
      </c>
      <c r="J178" s="11" t="s">
        <v>75</v>
      </c>
      <c r="K178" s="11">
        <v>1299</v>
      </c>
      <c r="L178" s="49" t="s">
        <v>39</v>
      </c>
      <c r="M178" s="49" t="s">
        <v>76</v>
      </c>
      <c r="N178" s="49" t="s">
        <v>88</v>
      </c>
      <c r="O178" s="49" t="s">
        <v>95</v>
      </c>
      <c r="P178" s="48" t="s">
        <v>108</v>
      </c>
      <c r="Q178" s="49" t="s">
        <v>67</v>
      </c>
      <c r="R178" s="11" t="s">
        <v>80</v>
      </c>
      <c r="S178" s="11" t="s">
        <v>98</v>
      </c>
      <c r="T178" s="11" t="s">
        <v>82</v>
      </c>
      <c r="U178" s="11" t="s">
        <v>2713</v>
      </c>
      <c r="V178" s="116" t="s">
        <v>1</v>
      </c>
      <c r="W178" s="88"/>
      <c r="X178" s="51">
        <v>42868</v>
      </c>
      <c r="Y178" s="102" t="s">
        <v>1568</v>
      </c>
      <c r="Z178" s="135" t="s">
        <v>2</v>
      </c>
      <c r="AA178" s="135">
        <v>0</v>
      </c>
    </row>
    <row r="179" spans="1:27" ht="13" customHeight="1">
      <c r="A179" s="11">
        <v>173</v>
      </c>
      <c r="B179" s="47">
        <v>203813085</v>
      </c>
      <c r="C179" s="89" t="s">
        <v>2287</v>
      </c>
      <c r="D179" s="11" t="s">
        <v>2288</v>
      </c>
      <c r="E179" s="48" t="s">
        <v>31</v>
      </c>
      <c r="F179" s="48" t="s">
        <v>74</v>
      </c>
      <c r="G179" s="11" t="s">
        <v>64</v>
      </c>
      <c r="H179" s="48" t="str">
        <f>VLOOKUP(Table1[[#This Row],[Psoft No]],[1]Roster!$C$2:$H$1402,6,)</f>
        <v>AUH1</v>
      </c>
      <c r="I179" s="48" t="b">
        <f>Table1[[#This Row],[Building]]=Table1[[#This Row],[Column1]]</f>
        <v>1</v>
      </c>
      <c r="J179" s="11" t="s">
        <v>75</v>
      </c>
      <c r="K179" s="11">
        <v>1299</v>
      </c>
      <c r="L179" s="49" t="s">
        <v>32</v>
      </c>
      <c r="M179" s="49" t="s">
        <v>76</v>
      </c>
      <c r="N179" s="49" t="s">
        <v>92</v>
      </c>
      <c r="O179" s="49" t="s">
        <v>84</v>
      </c>
      <c r="P179" s="48" t="s">
        <v>86</v>
      </c>
      <c r="Q179" s="49" t="s">
        <v>67</v>
      </c>
      <c r="R179" s="11" t="s">
        <v>80</v>
      </c>
      <c r="S179" s="11" t="s">
        <v>99</v>
      </c>
      <c r="T179" s="11" t="s">
        <v>2711</v>
      </c>
      <c r="U179" s="11" t="s">
        <v>2712</v>
      </c>
      <c r="V179" s="116" t="s">
        <v>10</v>
      </c>
      <c r="W179" s="88"/>
      <c r="X179" s="51">
        <v>45517</v>
      </c>
      <c r="Y179" s="102" t="s">
        <v>1568</v>
      </c>
      <c r="Z179" s="135" t="s">
        <v>3023</v>
      </c>
      <c r="AA179" s="135">
        <v>0</v>
      </c>
    </row>
    <row r="180" spans="1:27" ht="13" customHeight="1">
      <c r="A180" s="11">
        <v>174</v>
      </c>
      <c r="B180" s="47">
        <v>206875145</v>
      </c>
      <c r="C180" s="89" t="s">
        <v>1724</v>
      </c>
      <c r="D180" s="11" t="s">
        <v>1725</v>
      </c>
      <c r="E180" s="48" t="s">
        <v>31</v>
      </c>
      <c r="F180" s="48" t="s">
        <v>74</v>
      </c>
      <c r="G180" s="11" t="s">
        <v>64</v>
      </c>
      <c r="H180" s="48" t="str">
        <f>VLOOKUP(Table1[[#This Row],[Psoft No]],[1]Roster!$C$2:$H$1402,6,)</f>
        <v>AUH1</v>
      </c>
      <c r="I180" s="48" t="b">
        <f>Table1[[#This Row],[Building]]=Table1[[#This Row],[Column1]]</f>
        <v>1</v>
      </c>
      <c r="J180" s="11" t="s">
        <v>75</v>
      </c>
      <c r="K180" s="11">
        <v>1299</v>
      </c>
      <c r="L180" s="49" t="s">
        <v>32</v>
      </c>
      <c r="M180" s="49" t="s">
        <v>76</v>
      </c>
      <c r="N180" s="49" t="s">
        <v>92</v>
      </c>
      <c r="O180" s="49" t="s">
        <v>84</v>
      </c>
      <c r="P180" s="48" t="s">
        <v>89</v>
      </c>
      <c r="Q180" s="49" t="s">
        <v>67</v>
      </c>
      <c r="R180" s="11" t="s">
        <v>80</v>
      </c>
      <c r="S180" s="11" t="s">
        <v>90</v>
      </c>
      <c r="T180" s="11" t="s">
        <v>2711</v>
      </c>
      <c r="U180" s="11" t="s">
        <v>2712</v>
      </c>
      <c r="V180" s="116" t="s">
        <v>10</v>
      </c>
      <c r="W180" s="88"/>
      <c r="X180" s="51">
        <v>46020</v>
      </c>
      <c r="Y180" s="102" t="s">
        <v>1568</v>
      </c>
      <c r="Z180" s="135" t="s">
        <v>3023</v>
      </c>
      <c r="AA180" s="135">
        <v>0</v>
      </c>
    </row>
    <row r="181" spans="1:27" ht="13" customHeight="1">
      <c r="A181" s="11">
        <v>175</v>
      </c>
      <c r="B181" s="47">
        <v>206136724</v>
      </c>
      <c r="C181" s="89" t="s">
        <v>2485</v>
      </c>
      <c r="D181" s="11" t="s">
        <v>2486</v>
      </c>
      <c r="E181" s="48" t="s">
        <v>31</v>
      </c>
      <c r="F181" s="48" t="s">
        <v>74</v>
      </c>
      <c r="G181" s="48" t="s">
        <v>64</v>
      </c>
      <c r="H181" s="48" t="str">
        <f>VLOOKUP(Table1[[#This Row],[Psoft No]],[1]Roster!$C$2:$H$1402,6,)</f>
        <v>AUH1</v>
      </c>
      <c r="I181" s="48" t="b">
        <f>Table1[[#This Row],[Building]]=Table1[[#This Row],[Column1]]</f>
        <v>1</v>
      </c>
      <c r="J181" s="48" t="s">
        <v>75</v>
      </c>
      <c r="K181" s="11">
        <v>1299</v>
      </c>
      <c r="L181" s="49" t="s">
        <v>32</v>
      </c>
      <c r="M181" s="49" t="s">
        <v>76</v>
      </c>
      <c r="N181" s="49" t="s">
        <v>92</v>
      </c>
      <c r="O181" s="49" t="s">
        <v>84</v>
      </c>
      <c r="P181" s="49" t="s">
        <v>89</v>
      </c>
      <c r="Q181" s="48" t="s">
        <v>67</v>
      </c>
      <c r="R181" s="48" t="s">
        <v>80</v>
      </c>
      <c r="S181" s="11" t="s">
        <v>81</v>
      </c>
      <c r="T181" s="11" t="s">
        <v>2711</v>
      </c>
      <c r="U181" s="11" t="s">
        <v>2712</v>
      </c>
      <c r="V181" s="116" t="s">
        <v>10</v>
      </c>
      <c r="W181" s="88"/>
      <c r="X181" s="51">
        <v>45932</v>
      </c>
      <c r="Y181" s="102" t="s">
        <v>1568</v>
      </c>
      <c r="Z181" s="135" t="s">
        <v>3023</v>
      </c>
      <c r="AA181" s="135">
        <v>0</v>
      </c>
    </row>
    <row r="182" spans="1:27" ht="13" customHeight="1">
      <c r="A182" s="11">
        <v>176</v>
      </c>
      <c r="B182" s="47">
        <v>204329123</v>
      </c>
      <c r="C182" s="89" t="s">
        <v>2289</v>
      </c>
      <c r="D182" s="11" t="s">
        <v>2290</v>
      </c>
      <c r="E182" s="48" t="s">
        <v>31</v>
      </c>
      <c r="F182" s="48" t="s">
        <v>74</v>
      </c>
      <c r="G182" s="11" t="s">
        <v>64</v>
      </c>
      <c r="H182" s="48" t="str">
        <f>VLOOKUP(Table1[[#This Row],[Psoft No]],[1]Roster!$C$2:$H$1402,6,)</f>
        <v>AUH1</v>
      </c>
      <c r="I182" s="48" t="b">
        <f>Table1[[#This Row],[Building]]=Table1[[#This Row],[Column1]]</f>
        <v>1</v>
      </c>
      <c r="J182" s="11" t="s">
        <v>75</v>
      </c>
      <c r="K182" s="11">
        <v>1299</v>
      </c>
      <c r="L182" s="49" t="s">
        <v>39</v>
      </c>
      <c r="M182" s="49" t="s">
        <v>76</v>
      </c>
      <c r="N182" s="49" t="s">
        <v>77</v>
      </c>
      <c r="O182" s="49" t="s">
        <v>78</v>
      </c>
      <c r="P182" s="49" t="s">
        <v>86</v>
      </c>
      <c r="Q182" s="49" t="s">
        <v>67</v>
      </c>
      <c r="R182" s="11" t="s">
        <v>80</v>
      </c>
      <c r="S182" s="11" t="s">
        <v>87</v>
      </c>
      <c r="T182" s="11" t="s">
        <v>2711</v>
      </c>
      <c r="U182" s="11" t="s">
        <v>2712</v>
      </c>
      <c r="V182" s="116" t="s">
        <v>1</v>
      </c>
      <c r="W182" s="88"/>
      <c r="X182" s="51">
        <v>45589</v>
      </c>
      <c r="Y182" s="102" t="s">
        <v>1568</v>
      </c>
      <c r="Z182" s="135" t="s">
        <v>2</v>
      </c>
      <c r="AA182" s="135">
        <v>0</v>
      </c>
    </row>
    <row r="183" spans="1:27" ht="13" customHeight="1">
      <c r="A183" s="11">
        <v>177</v>
      </c>
      <c r="B183" s="47">
        <v>206851163</v>
      </c>
      <c r="C183" s="89" t="s">
        <v>1735</v>
      </c>
      <c r="D183" s="11" t="s">
        <v>1736</v>
      </c>
      <c r="E183" s="48" t="s">
        <v>31</v>
      </c>
      <c r="F183" s="48" t="s">
        <v>74</v>
      </c>
      <c r="G183" s="11" t="s">
        <v>64</v>
      </c>
      <c r="H183" s="48" t="str">
        <f>VLOOKUP(Table1[[#This Row],[Psoft No]],[1]Roster!$C$2:$H$1402,6,)</f>
        <v>AUH1</v>
      </c>
      <c r="I183" s="48" t="b">
        <f>Table1[[#This Row],[Building]]=Table1[[#This Row],[Column1]]</f>
        <v>1</v>
      </c>
      <c r="J183" s="11" t="s">
        <v>75</v>
      </c>
      <c r="K183" s="11">
        <v>1299</v>
      </c>
      <c r="L183" s="49" t="s">
        <v>32</v>
      </c>
      <c r="M183" s="49" t="s">
        <v>76</v>
      </c>
      <c r="N183" s="49" t="s">
        <v>85</v>
      </c>
      <c r="O183" s="49" t="s">
        <v>88</v>
      </c>
      <c r="P183" s="48" t="s">
        <v>89</v>
      </c>
      <c r="Q183" s="49" t="s">
        <v>67</v>
      </c>
      <c r="R183" s="11" t="s">
        <v>80</v>
      </c>
      <c r="S183" s="11" t="s">
        <v>90</v>
      </c>
      <c r="T183" s="11" t="s">
        <v>2711</v>
      </c>
      <c r="U183" s="11" t="s">
        <v>2712</v>
      </c>
      <c r="V183" s="116" t="str">
        <f>VLOOKUP(Table1[[#This Row],[Psoft No]],[2]Sheet1!$A$2:$G$386,7,0)</f>
        <v>P</v>
      </c>
      <c r="W183" s="88"/>
      <c r="X183" s="51">
        <v>46020</v>
      </c>
      <c r="Y183" s="102" t="s">
        <v>1568</v>
      </c>
      <c r="Z183" s="135" t="s">
        <v>2</v>
      </c>
      <c r="AA183" s="135">
        <v>0</v>
      </c>
    </row>
    <row r="184" spans="1:27" ht="13" customHeight="1">
      <c r="A184" s="11">
        <v>178</v>
      </c>
      <c r="B184" s="47">
        <v>203469083</v>
      </c>
      <c r="C184" s="89" t="s">
        <v>2291</v>
      </c>
      <c r="D184" s="11" t="s">
        <v>2292</v>
      </c>
      <c r="E184" s="48" t="s">
        <v>31</v>
      </c>
      <c r="F184" s="48" t="s">
        <v>74</v>
      </c>
      <c r="G184" s="48" t="s">
        <v>64</v>
      </c>
      <c r="H184" s="48" t="str">
        <f>VLOOKUP(Table1[[#This Row],[Psoft No]],[1]Roster!$C$2:$H$1402,6,)</f>
        <v>AUH1</v>
      </c>
      <c r="I184" s="48" t="b">
        <f>Table1[[#This Row],[Building]]=Table1[[#This Row],[Column1]]</f>
        <v>1</v>
      </c>
      <c r="J184" s="48" t="s">
        <v>75</v>
      </c>
      <c r="K184" s="11">
        <v>1299</v>
      </c>
      <c r="L184" s="49" t="s">
        <v>39</v>
      </c>
      <c r="M184" s="49" t="s">
        <v>76</v>
      </c>
      <c r="N184" s="49" t="s">
        <v>92</v>
      </c>
      <c r="O184" s="49" t="s">
        <v>84</v>
      </c>
      <c r="P184" s="49" t="s">
        <v>79</v>
      </c>
      <c r="Q184" s="48" t="s">
        <v>67</v>
      </c>
      <c r="R184" s="48" t="s">
        <v>80</v>
      </c>
      <c r="S184" s="11" t="s">
        <v>81</v>
      </c>
      <c r="T184" s="11" t="s">
        <v>2711</v>
      </c>
      <c r="U184" s="11" t="s">
        <v>2712</v>
      </c>
      <c r="V184" s="116" t="s">
        <v>10</v>
      </c>
      <c r="W184" s="88"/>
      <c r="X184" s="51">
        <v>45456</v>
      </c>
      <c r="Y184" s="102" t="s">
        <v>1568</v>
      </c>
      <c r="Z184" s="135" t="s">
        <v>3023</v>
      </c>
      <c r="AA184" s="135">
        <v>0</v>
      </c>
    </row>
    <row r="185" spans="1:27" ht="13" customHeight="1">
      <c r="A185" s="11">
        <v>179</v>
      </c>
      <c r="B185" s="47">
        <v>203679326</v>
      </c>
      <c r="C185" s="89" t="s">
        <v>2293</v>
      </c>
      <c r="D185" s="11" t="s">
        <v>2294</v>
      </c>
      <c r="E185" s="48" t="s">
        <v>31</v>
      </c>
      <c r="F185" s="48" t="s">
        <v>74</v>
      </c>
      <c r="G185" s="11" t="s">
        <v>64</v>
      </c>
      <c r="H185" s="48" t="str">
        <f>VLOOKUP(Table1[[#This Row],[Psoft No]],[1]Roster!$C$2:$H$1402,6,)</f>
        <v>AUH1</v>
      </c>
      <c r="I185" s="48" t="b">
        <f>Table1[[#This Row],[Building]]=Table1[[#This Row],[Column1]]</f>
        <v>1</v>
      </c>
      <c r="J185" s="11" t="s">
        <v>75</v>
      </c>
      <c r="K185" s="11">
        <v>1299</v>
      </c>
      <c r="L185" s="49" t="s">
        <v>32</v>
      </c>
      <c r="M185" s="49" t="s">
        <v>76</v>
      </c>
      <c r="N185" s="49" t="s">
        <v>77</v>
      </c>
      <c r="O185" s="49" t="s">
        <v>78</v>
      </c>
      <c r="P185" s="48" t="s">
        <v>79</v>
      </c>
      <c r="Q185" s="49" t="s">
        <v>67</v>
      </c>
      <c r="R185" s="11" t="s">
        <v>80</v>
      </c>
      <c r="S185" s="11" t="s">
        <v>81</v>
      </c>
      <c r="T185" s="11" t="s">
        <v>2711</v>
      </c>
      <c r="U185" s="11" t="s">
        <v>2712</v>
      </c>
      <c r="V185" s="116" t="str">
        <f>VLOOKUP(Table1[[#This Row],[Psoft No]],[2]Sheet1!$A$2:$G$386,7,0)</f>
        <v>P</v>
      </c>
      <c r="W185" s="88"/>
      <c r="X185" s="51">
        <v>45488</v>
      </c>
      <c r="Y185" s="102" t="s">
        <v>1568</v>
      </c>
      <c r="Z185" s="135" t="s">
        <v>2</v>
      </c>
      <c r="AA185" s="135">
        <v>0</v>
      </c>
    </row>
    <row r="186" spans="1:27" ht="13" customHeight="1">
      <c r="A186" s="11">
        <v>180</v>
      </c>
      <c r="B186" s="47">
        <v>107117478</v>
      </c>
      <c r="C186" s="89" t="s">
        <v>2687</v>
      </c>
      <c r="D186" s="11" t="s">
        <v>2688</v>
      </c>
      <c r="E186" s="48" t="s">
        <v>34</v>
      </c>
      <c r="F186" s="48" t="s">
        <v>74</v>
      </c>
      <c r="G186" s="11" t="s">
        <v>64</v>
      </c>
      <c r="H186" s="48" t="str">
        <f>VLOOKUP(Table1[[#This Row],[Psoft No]],[1]Roster!$C$2:$H$1402,6,)</f>
        <v>AUH1</v>
      </c>
      <c r="I186" s="48" t="b">
        <f>Table1[[#This Row],[Building]]=Table1[[#This Row],[Column1]]</f>
        <v>1</v>
      </c>
      <c r="J186" s="11" t="s">
        <v>75</v>
      </c>
      <c r="K186" s="11">
        <v>1299</v>
      </c>
      <c r="L186" s="49" t="s">
        <v>32</v>
      </c>
      <c r="M186" s="49" t="s">
        <v>76</v>
      </c>
      <c r="N186" s="49" t="s">
        <v>88</v>
      </c>
      <c r="O186" s="49" t="s">
        <v>95</v>
      </c>
      <c r="P186" s="48" t="s">
        <v>97</v>
      </c>
      <c r="Q186" s="49" t="s">
        <v>67</v>
      </c>
      <c r="R186" s="11" t="s">
        <v>80</v>
      </c>
      <c r="S186" s="11" t="s">
        <v>98</v>
      </c>
      <c r="T186" s="11" t="s">
        <v>82</v>
      </c>
      <c r="U186" s="11" t="s">
        <v>2713</v>
      </c>
      <c r="V186" s="116" t="s">
        <v>7</v>
      </c>
      <c r="W186" s="88" t="s">
        <v>3015</v>
      </c>
      <c r="X186" s="51">
        <v>44797</v>
      </c>
      <c r="Y186" s="102" t="s">
        <v>1568</v>
      </c>
      <c r="Z186" s="135" t="s">
        <v>3023</v>
      </c>
      <c r="AA186" s="135">
        <v>0</v>
      </c>
    </row>
    <row r="187" spans="1:27" ht="13" customHeight="1">
      <c r="A187" s="11">
        <v>181</v>
      </c>
      <c r="B187" s="47">
        <v>206008708</v>
      </c>
      <c r="C187" s="89" t="s">
        <v>2295</v>
      </c>
      <c r="D187" s="11" t="s">
        <v>2296</v>
      </c>
      <c r="E187" s="48" t="s">
        <v>31</v>
      </c>
      <c r="F187" s="48" t="s">
        <v>74</v>
      </c>
      <c r="G187" s="11" t="s">
        <v>64</v>
      </c>
      <c r="H187" s="48" t="str">
        <f>VLOOKUP(Table1[[#This Row],[Psoft No]],[1]Roster!$C$2:$H$1402,6,)</f>
        <v>AUH1</v>
      </c>
      <c r="I187" s="48" t="b">
        <f>Table1[[#This Row],[Building]]=Table1[[#This Row],[Column1]]</f>
        <v>1</v>
      </c>
      <c r="J187" s="11" t="s">
        <v>75</v>
      </c>
      <c r="K187" s="11">
        <v>1299</v>
      </c>
      <c r="L187" s="49" t="s">
        <v>32</v>
      </c>
      <c r="M187" s="49" t="s">
        <v>76</v>
      </c>
      <c r="N187" s="49" t="s">
        <v>77</v>
      </c>
      <c r="O187" s="49" t="s">
        <v>78</v>
      </c>
      <c r="P187" s="49" t="s">
        <v>89</v>
      </c>
      <c r="Q187" s="49" t="s">
        <v>67</v>
      </c>
      <c r="R187" s="11" t="s">
        <v>80</v>
      </c>
      <c r="S187" s="11" t="s">
        <v>81</v>
      </c>
      <c r="T187" s="11" t="s">
        <v>2711</v>
      </c>
      <c r="U187" s="11" t="s">
        <v>2712</v>
      </c>
      <c r="V187" s="116" t="str">
        <f>VLOOKUP(Table1[[#This Row],[Psoft No]],[2]Sheet1!$A$2:$G$386,7,0)</f>
        <v>P</v>
      </c>
      <c r="W187" s="88"/>
      <c r="X187" s="51">
        <v>45915</v>
      </c>
      <c r="Y187" s="102" t="s">
        <v>1568</v>
      </c>
      <c r="Z187" s="135" t="s">
        <v>2</v>
      </c>
      <c r="AA187" s="135">
        <v>0</v>
      </c>
    </row>
    <row r="188" spans="1:27" ht="13" customHeight="1">
      <c r="A188" s="11">
        <v>182</v>
      </c>
      <c r="B188" s="47">
        <v>206873881</v>
      </c>
      <c r="C188" s="89" t="s">
        <v>1708</v>
      </c>
      <c r="D188" s="11" t="s">
        <v>1709</v>
      </c>
      <c r="E188" s="48" t="s">
        <v>31</v>
      </c>
      <c r="F188" s="48" t="s">
        <v>74</v>
      </c>
      <c r="G188" s="11" t="s">
        <v>64</v>
      </c>
      <c r="H188" s="48" t="str">
        <f>VLOOKUP(Table1[[#This Row],[Psoft No]],[1]Roster!$C$2:$H$1402,6,)</f>
        <v>AUH1</v>
      </c>
      <c r="I188" s="48" t="b">
        <f>Table1[[#This Row],[Building]]=Table1[[#This Row],[Column1]]</f>
        <v>1</v>
      </c>
      <c r="J188" s="11" t="s">
        <v>75</v>
      </c>
      <c r="K188" s="11">
        <v>1299</v>
      </c>
      <c r="L188" s="49" t="s">
        <v>32</v>
      </c>
      <c r="M188" s="49" t="s">
        <v>76</v>
      </c>
      <c r="N188" s="49" t="s">
        <v>77</v>
      </c>
      <c r="O188" s="49" t="s">
        <v>78</v>
      </c>
      <c r="P188" s="49" t="s">
        <v>89</v>
      </c>
      <c r="Q188" s="49" t="s">
        <v>67</v>
      </c>
      <c r="R188" s="11" t="s">
        <v>80</v>
      </c>
      <c r="S188" s="11" t="s">
        <v>90</v>
      </c>
      <c r="T188" s="11" t="s">
        <v>2711</v>
      </c>
      <c r="U188" s="11" t="s">
        <v>2712</v>
      </c>
      <c r="V188" s="116" t="str">
        <f>VLOOKUP(Table1[[#This Row],[Psoft No]],[2]Sheet1!$A$2:$G$386,7,0)</f>
        <v>P</v>
      </c>
      <c r="W188" s="88"/>
      <c r="X188" s="51">
        <v>46020</v>
      </c>
      <c r="Y188" s="102" t="s">
        <v>1568</v>
      </c>
      <c r="Z188" s="135" t="s">
        <v>2</v>
      </c>
      <c r="AA188" s="135">
        <v>0</v>
      </c>
    </row>
    <row r="189" spans="1:27" ht="13" customHeight="1">
      <c r="A189" s="11">
        <v>183</v>
      </c>
      <c r="B189" s="47">
        <v>206175107</v>
      </c>
      <c r="C189" s="89" t="s">
        <v>2487</v>
      </c>
      <c r="D189" s="11" t="s">
        <v>2488</v>
      </c>
      <c r="E189" s="48" t="s">
        <v>31</v>
      </c>
      <c r="F189" s="48" t="s">
        <v>74</v>
      </c>
      <c r="G189" s="48" t="s">
        <v>64</v>
      </c>
      <c r="H189" s="48" t="str">
        <f>VLOOKUP(Table1[[#This Row],[Psoft No]],[1]Roster!$C$2:$H$1402,6,)</f>
        <v>AUH1</v>
      </c>
      <c r="I189" s="48" t="b">
        <f>Table1[[#This Row],[Building]]=Table1[[#This Row],[Column1]]</f>
        <v>1</v>
      </c>
      <c r="J189" s="48" t="s">
        <v>75</v>
      </c>
      <c r="K189" s="11">
        <v>1299</v>
      </c>
      <c r="L189" s="49" t="s">
        <v>32</v>
      </c>
      <c r="M189" s="49" t="s">
        <v>76</v>
      </c>
      <c r="N189" s="49" t="s">
        <v>77</v>
      </c>
      <c r="O189" s="49" t="s">
        <v>78</v>
      </c>
      <c r="P189" s="49" t="s">
        <v>89</v>
      </c>
      <c r="Q189" s="48" t="s">
        <v>67</v>
      </c>
      <c r="R189" s="48" t="s">
        <v>80</v>
      </c>
      <c r="S189" s="11" t="s">
        <v>81</v>
      </c>
      <c r="T189" s="11" t="s">
        <v>2711</v>
      </c>
      <c r="U189" s="11" t="s">
        <v>2712</v>
      </c>
      <c r="V189" s="116" t="str">
        <f>VLOOKUP(Table1[[#This Row],[Psoft No]],[2]Sheet1!$A$2:$G$386,7,0)</f>
        <v>P</v>
      </c>
      <c r="W189" s="88"/>
      <c r="X189" s="51">
        <v>45932</v>
      </c>
      <c r="Y189" s="102" t="s">
        <v>1568</v>
      </c>
      <c r="Z189" s="135" t="s">
        <v>2</v>
      </c>
      <c r="AA189" s="135">
        <v>0</v>
      </c>
    </row>
    <row r="190" spans="1:27" ht="13" customHeight="1">
      <c r="A190" s="11">
        <v>184</v>
      </c>
      <c r="B190" s="47">
        <v>203469455</v>
      </c>
      <c r="C190" s="89" t="s">
        <v>2297</v>
      </c>
      <c r="D190" s="11" t="s">
        <v>2298</v>
      </c>
      <c r="E190" s="48" t="s">
        <v>31</v>
      </c>
      <c r="F190" s="48" t="s">
        <v>74</v>
      </c>
      <c r="G190" s="11" t="s">
        <v>64</v>
      </c>
      <c r="H190" s="48" t="str">
        <f>VLOOKUP(Table1[[#This Row],[Psoft No]],[1]Roster!$C$2:$H$1402,6,)</f>
        <v>AUH1</v>
      </c>
      <c r="I190" s="48" t="b">
        <f>Table1[[#This Row],[Building]]=Table1[[#This Row],[Column1]]</f>
        <v>1</v>
      </c>
      <c r="J190" s="11" t="s">
        <v>75</v>
      </c>
      <c r="K190" s="11">
        <v>1299</v>
      </c>
      <c r="L190" s="49" t="s">
        <v>39</v>
      </c>
      <c r="M190" s="49" t="s">
        <v>76</v>
      </c>
      <c r="N190" s="49" t="s">
        <v>85</v>
      </c>
      <c r="O190" s="49" t="s">
        <v>88</v>
      </c>
      <c r="P190" s="48" t="s">
        <v>86</v>
      </c>
      <c r="Q190" s="49" t="s">
        <v>67</v>
      </c>
      <c r="R190" s="11" t="s">
        <v>80</v>
      </c>
      <c r="S190" s="11" t="s">
        <v>99</v>
      </c>
      <c r="T190" s="11" t="s">
        <v>2711</v>
      </c>
      <c r="U190" s="11" t="s">
        <v>2712</v>
      </c>
      <c r="V190" s="116" t="s">
        <v>7</v>
      </c>
      <c r="W190" s="88"/>
      <c r="X190" s="51">
        <v>45456</v>
      </c>
      <c r="Y190" s="97" t="s">
        <v>1568</v>
      </c>
      <c r="Z190" s="135" t="s">
        <v>3023</v>
      </c>
      <c r="AA190" s="135" t="s">
        <v>3024</v>
      </c>
    </row>
    <row r="191" spans="1:27" ht="13" customHeight="1">
      <c r="A191" s="11">
        <v>185</v>
      </c>
      <c r="B191" s="47">
        <v>203813088</v>
      </c>
      <c r="C191" s="89" t="s">
        <v>143</v>
      </c>
      <c r="D191" s="11" t="s">
        <v>1970</v>
      </c>
      <c r="E191" s="48" t="s">
        <v>31</v>
      </c>
      <c r="F191" s="48" t="s">
        <v>74</v>
      </c>
      <c r="G191" s="11" t="s">
        <v>64</v>
      </c>
      <c r="H191" s="48" t="str">
        <f>VLOOKUP(Table1[[#This Row],[Psoft No]],[1]Roster!$C$2:$H$1402,6,)</f>
        <v>AUH1</v>
      </c>
      <c r="I191" s="48" t="b">
        <f>Table1[[#This Row],[Building]]=Table1[[#This Row],[Column1]]</f>
        <v>1</v>
      </c>
      <c r="J191" s="11" t="s">
        <v>75</v>
      </c>
      <c r="K191" s="11">
        <v>1299</v>
      </c>
      <c r="L191" s="49" t="s">
        <v>39</v>
      </c>
      <c r="M191" s="49" t="s">
        <v>76</v>
      </c>
      <c r="N191" s="49" t="s">
        <v>92</v>
      </c>
      <c r="O191" s="49" t="s">
        <v>84</v>
      </c>
      <c r="P191" s="48" t="s">
        <v>86</v>
      </c>
      <c r="Q191" s="49" t="s">
        <v>67</v>
      </c>
      <c r="R191" s="11" t="s">
        <v>80</v>
      </c>
      <c r="S191" s="11" t="s">
        <v>99</v>
      </c>
      <c r="T191" s="11" t="s">
        <v>2711</v>
      </c>
      <c r="U191" s="11" t="s">
        <v>2712</v>
      </c>
      <c r="V191" s="116" t="s">
        <v>10</v>
      </c>
      <c r="W191" s="88"/>
      <c r="X191" s="51">
        <v>45517</v>
      </c>
      <c r="Y191" s="102" t="s">
        <v>1568</v>
      </c>
      <c r="Z191" s="135" t="s">
        <v>3023</v>
      </c>
      <c r="AA191" s="135">
        <v>0</v>
      </c>
    </row>
    <row r="192" spans="1:27" ht="13" customHeight="1">
      <c r="A192" s="11">
        <v>186</v>
      </c>
      <c r="B192" s="47">
        <v>204072320</v>
      </c>
      <c r="C192" s="89" t="s">
        <v>144</v>
      </c>
      <c r="D192" s="11" t="s">
        <v>1971</v>
      </c>
      <c r="E192" s="48" t="s">
        <v>31</v>
      </c>
      <c r="F192" s="48" t="s">
        <v>74</v>
      </c>
      <c r="G192" s="11" t="s">
        <v>64</v>
      </c>
      <c r="H192" s="48" t="str">
        <f>VLOOKUP(Table1[[#This Row],[Psoft No]],[1]Roster!$C$2:$H$1402,6,)</f>
        <v>AUH1</v>
      </c>
      <c r="I192" s="48" t="b">
        <f>Table1[[#This Row],[Building]]=Table1[[#This Row],[Column1]]</f>
        <v>1</v>
      </c>
      <c r="J192" s="11" t="s">
        <v>75</v>
      </c>
      <c r="K192" s="11">
        <v>1299</v>
      </c>
      <c r="L192" s="49" t="s">
        <v>39</v>
      </c>
      <c r="M192" s="49" t="s">
        <v>76</v>
      </c>
      <c r="N192" s="49" t="s">
        <v>85</v>
      </c>
      <c r="O192" s="49" t="s">
        <v>88</v>
      </c>
      <c r="P192" s="48" t="s">
        <v>89</v>
      </c>
      <c r="Q192" s="49" t="s">
        <v>67</v>
      </c>
      <c r="R192" s="11" t="s">
        <v>80</v>
      </c>
      <c r="S192" s="11" t="s">
        <v>90</v>
      </c>
      <c r="T192" s="11" t="s">
        <v>2711</v>
      </c>
      <c r="U192" s="11" t="s">
        <v>2712</v>
      </c>
      <c r="V192" s="116" t="s">
        <v>1</v>
      </c>
      <c r="W192" s="88"/>
      <c r="X192" s="51">
        <v>45684</v>
      </c>
      <c r="Y192" s="102" t="s">
        <v>1568</v>
      </c>
      <c r="Z192" s="135" t="s">
        <v>2</v>
      </c>
      <c r="AA192" s="135">
        <v>0</v>
      </c>
    </row>
    <row r="193" spans="1:27" ht="13" customHeight="1">
      <c r="A193" s="11">
        <v>187</v>
      </c>
      <c r="B193" s="47">
        <v>204299908</v>
      </c>
      <c r="C193" s="89" t="s">
        <v>145</v>
      </c>
      <c r="D193" s="11" t="s">
        <v>1972</v>
      </c>
      <c r="E193" s="48" t="s">
        <v>31</v>
      </c>
      <c r="F193" s="48" t="s">
        <v>74</v>
      </c>
      <c r="G193" s="11" t="s">
        <v>64</v>
      </c>
      <c r="H193" s="48" t="str">
        <f>VLOOKUP(Table1[[#This Row],[Psoft No]],[1]Roster!$C$2:$H$1402,6,)</f>
        <v>AUH1</v>
      </c>
      <c r="I193" s="48" t="b">
        <f>Table1[[#This Row],[Building]]=Table1[[#This Row],[Column1]]</f>
        <v>1</v>
      </c>
      <c r="J193" s="11" t="s">
        <v>75</v>
      </c>
      <c r="K193" s="11">
        <v>1299</v>
      </c>
      <c r="L193" s="49" t="s">
        <v>39</v>
      </c>
      <c r="M193" s="49" t="s">
        <v>76</v>
      </c>
      <c r="N193" s="49" t="s">
        <v>77</v>
      </c>
      <c r="O193" s="49" t="s">
        <v>78</v>
      </c>
      <c r="P193" s="49" t="s">
        <v>86</v>
      </c>
      <c r="Q193" s="49" t="s">
        <v>67</v>
      </c>
      <c r="R193" s="11" t="s">
        <v>80</v>
      </c>
      <c r="S193" s="11" t="s">
        <v>87</v>
      </c>
      <c r="T193" s="11" t="s">
        <v>2711</v>
      </c>
      <c r="U193" s="11" t="s">
        <v>2712</v>
      </c>
      <c r="V193" s="116" t="s">
        <v>1</v>
      </c>
      <c r="W193" s="88"/>
      <c r="X193" s="51">
        <v>45589</v>
      </c>
      <c r="Y193" s="102" t="s">
        <v>1568</v>
      </c>
      <c r="Z193" s="135" t="s">
        <v>2</v>
      </c>
      <c r="AA193" s="135">
        <v>0</v>
      </c>
    </row>
    <row r="194" spans="1:27" ht="13" customHeight="1">
      <c r="A194" s="11">
        <v>188</v>
      </c>
      <c r="B194" s="47">
        <v>205647585</v>
      </c>
      <c r="C194" s="89" t="s">
        <v>2299</v>
      </c>
      <c r="D194" s="11" t="s">
        <v>2300</v>
      </c>
      <c r="E194" s="48" t="s">
        <v>31</v>
      </c>
      <c r="F194" s="48" t="s">
        <v>74</v>
      </c>
      <c r="G194" s="11" t="s">
        <v>64</v>
      </c>
      <c r="H194" s="48" t="str">
        <f>VLOOKUP(Table1[[#This Row],[Psoft No]],[1]Roster!$C$2:$H$1402,6,)</f>
        <v>AUH1</v>
      </c>
      <c r="I194" s="48" t="b">
        <f>Table1[[#This Row],[Building]]=Table1[[#This Row],[Column1]]</f>
        <v>1</v>
      </c>
      <c r="J194" s="11" t="s">
        <v>75</v>
      </c>
      <c r="K194" s="11">
        <v>1299</v>
      </c>
      <c r="L194" s="49" t="s">
        <v>32</v>
      </c>
      <c r="M194" s="49" t="s">
        <v>76</v>
      </c>
      <c r="N194" s="49" t="s">
        <v>95</v>
      </c>
      <c r="O194" s="49" t="s">
        <v>77</v>
      </c>
      <c r="P194" s="48" t="s">
        <v>89</v>
      </c>
      <c r="Q194" s="49" t="s">
        <v>67</v>
      </c>
      <c r="R194" s="11" t="s">
        <v>80</v>
      </c>
      <c r="S194" s="11" t="s">
        <v>96</v>
      </c>
      <c r="T194" s="11" t="s">
        <v>2711</v>
      </c>
      <c r="U194" s="11" t="s">
        <v>2712</v>
      </c>
      <c r="V194" s="116" t="str">
        <f>VLOOKUP(Table1[[#This Row],[Psoft No]],[2]Sheet1!$A$2:$G$386,7,0)</f>
        <v>P</v>
      </c>
      <c r="W194" s="88"/>
      <c r="X194" s="51">
        <v>45852</v>
      </c>
      <c r="Y194" s="102" t="s">
        <v>1568</v>
      </c>
      <c r="Z194" s="135" t="s">
        <v>2</v>
      </c>
      <c r="AA194" s="135">
        <v>0</v>
      </c>
    </row>
    <row r="195" spans="1:27" ht="13" customHeight="1">
      <c r="A195" s="11">
        <v>189</v>
      </c>
      <c r="B195" s="47">
        <v>205647825</v>
      </c>
      <c r="C195" s="89" t="s">
        <v>146</v>
      </c>
      <c r="D195" s="11" t="s">
        <v>1973</v>
      </c>
      <c r="E195" s="48" t="s">
        <v>31</v>
      </c>
      <c r="F195" s="48" t="s">
        <v>74</v>
      </c>
      <c r="G195" s="11" t="s">
        <v>64</v>
      </c>
      <c r="H195" s="48" t="str">
        <f>VLOOKUP(Table1[[#This Row],[Psoft No]],[1]Roster!$C$2:$H$1402,6,)</f>
        <v>AUH1</v>
      </c>
      <c r="I195" s="48" t="b">
        <f>Table1[[#This Row],[Building]]=Table1[[#This Row],[Column1]]</f>
        <v>1</v>
      </c>
      <c r="J195" s="11" t="s">
        <v>75</v>
      </c>
      <c r="K195" s="11">
        <v>1299</v>
      </c>
      <c r="L195" s="49" t="s">
        <v>32</v>
      </c>
      <c r="M195" s="49" t="s">
        <v>76</v>
      </c>
      <c r="N195" s="49" t="s">
        <v>88</v>
      </c>
      <c r="O195" s="49" t="s">
        <v>95</v>
      </c>
      <c r="P195" s="49" t="s">
        <v>89</v>
      </c>
      <c r="Q195" s="49" t="s">
        <v>67</v>
      </c>
      <c r="R195" s="11" t="s">
        <v>80</v>
      </c>
      <c r="S195" s="11" t="s">
        <v>96</v>
      </c>
      <c r="T195" s="11" t="s">
        <v>2711</v>
      </c>
      <c r="U195" s="11" t="s">
        <v>2712</v>
      </c>
      <c r="V195" s="116" t="str">
        <f>VLOOKUP(Table1[[#This Row],[Psoft No]],[2]Sheet1!$A$2:$G$386,7,0)</f>
        <v>P</v>
      </c>
      <c r="W195" s="88"/>
      <c r="X195" s="51">
        <v>45852</v>
      </c>
      <c r="Y195" s="102" t="s">
        <v>1568</v>
      </c>
      <c r="Z195" s="135" t="s">
        <v>2</v>
      </c>
      <c r="AA195" s="135">
        <v>0</v>
      </c>
    </row>
    <row r="196" spans="1:27" ht="13" customHeight="1">
      <c r="A196" s="11">
        <v>190</v>
      </c>
      <c r="B196" s="47">
        <v>206297429</v>
      </c>
      <c r="C196" s="89" t="s">
        <v>1659</v>
      </c>
      <c r="D196" s="11" t="s">
        <v>1974</v>
      </c>
      <c r="E196" s="48" t="s">
        <v>31</v>
      </c>
      <c r="F196" s="48" t="s">
        <v>74</v>
      </c>
      <c r="G196" s="11" t="s">
        <v>64</v>
      </c>
      <c r="H196" s="48" t="str">
        <f>VLOOKUP(Table1[[#This Row],[Psoft No]],[1]Roster!$C$2:$H$1402,6,)</f>
        <v>AUH1</v>
      </c>
      <c r="I196" s="48" t="b">
        <f>Table1[[#This Row],[Building]]=Table1[[#This Row],[Column1]]</f>
        <v>1</v>
      </c>
      <c r="J196" s="11" t="s">
        <v>75</v>
      </c>
      <c r="K196" s="11">
        <v>1299</v>
      </c>
      <c r="L196" s="49" t="s">
        <v>39</v>
      </c>
      <c r="M196" s="49" t="s">
        <v>76</v>
      </c>
      <c r="N196" s="49" t="s">
        <v>77</v>
      </c>
      <c r="O196" s="49" t="s">
        <v>78</v>
      </c>
      <c r="P196" s="49" t="s">
        <v>79</v>
      </c>
      <c r="Q196" s="49" t="s">
        <v>67</v>
      </c>
      <c r="R196" s="11" t="s">
        <v>80</v>
      </c>
      <c r="S196" s="11" t="s">
        <v>96</v>
      </c>
      <c r="T196" s="11" t="s">
        <v>2711</v>
      </c>
      <c r="U196" s="11" t="s">
        <v>2712</v>
      </c>
      <c r="V196" s="116" t="s">
        <v>1</v>
      </c>
      <c r="W196" s="88"/>
      <c r="X196" s="51">
        <v>45950</v>
      </c>
      <c r="Y196" s="102" t="s">
        <v>1568</v>
      </c>
      <c r="Z196" s="135" t="s">
        <v>2</v>
      </c>
      <c r="AA196" s="135">
        <v>0</v>
      </c>
    </row>
    <row r="197" spans="1:27" ht="13" customHeight="1">
      <c r="A197" s="11">
        <v>191</v>
      </c>
      <c r="B197" s="47">
        <v>203469406</v>
      </c>
      <c r="C197" s="89" t="s">
        <v>147</v>
      </c>
      <c r="D197" s="11" t="s">
        <v>1975</v>
      </c>
      <c r="E197" s="48" t="s">
        <v>31</v>
      </c>
      <c r="F197" s="48" t="s">
        <v>74</v>
      </c>
      <c r="G197" s="11" t="s">
        <v>64</v>
      </c>
      <c r="H197" s="48" t="str">
        <f>VLOOKUP(Table1[[#This Row],[Psoft No]],[1]Roster!$C$2:$H$1402,6,)</f>
        <v>AUH1</v>
      </c>
      <c r="I197" s="48" t="b">
        <f>Table1[[#This Row],[Building]]=Table1[[#This Row],[Column1]]</f>
        <v>1</v>
      </c>
      <c r="J197" s="11" t="s">
        <v>75</v>
      </c>
      <c r="K197" s="11">
        <v>1299</v>
      </c>
      <c r="L197" s="49" t="s">
        <v>32</v>
      </c>
      <c r="M197" s="49" t="s">
        <v>76</v>
      </c>
      <c r="N197" s="49" t="s">
        <v>85</v>
      </c>
      <c r="O197" s="49" t="s">
        <v>88</v>
      </c>
      <c r="P197" s="49" t="s">
        <v>86</v>
      </c>
      <c r="Q197" s="49" t="s">
        <v>67</v>
      </c>
      <c r="R197" s="11" t="s">
        <v>80</v>
      </c>
      <c r="S197" s="11" t="s">
        <v>99</v>
      </c>
      <c r="T197" s="11" t="s">
        <v>2711</v>
      </c>
      <c r="U197" s="11" t="s">
        <v>2712</v>
      </c>
      <c r="V197" s="116" t="str">
        <f>VLOOKUP(Table1[[#This Row],[Psoft No]],[2]Sheet1!$A$2:$G$386,7,0)</f>
        <v>P</v>
      </c>
      <c r="W197" s="88"/>
      <c r="X197" s="51">
        <v>45456</v>
      </c>
      <c r="Y197" s="102" t="s">
        <v>1568</v>
      </c>
      <c r="Z197" s="135" t="s">
        <v>2</v>
      </c>
      <c r="AA197" s="135">
        <v>0</v>
      </c>
    </row>
    <row r="198" spans="1:27" ht="13" customHeight="1">
      <c r="A198" s="11">
        <v>192</v>
      </c>
      <c r="B198" s="47">
        <v>203555408</v>
      </c>
      <c r="C198" s="89" t="s">
        <v>148</v>
      </c>
      <c r="D198" s="11" t="s">
        <v>1976</v>
      </c>
      <c r="E198" s="48" t="s">
        <v>31</v>
      </c>
      <c r="F198" s="48" t="s">
        <v>74</v>
      </c>
      <c r="G198" s="11" t="s">
        <v>64</v>
      </c>
      <c r="H198" s="48" t="str">
        <f>VLOOKUP(Table1[[#This Row],[Psoft No]],[1]Roster!$C$2:$H$1402,6,)</f>
        <v>AUH1</v>
      </c>
      <c r="I198" s="48" t="b">
        <f>Table1[[#This Row],[Building]]=Table1[[#This Row],[Column1]]</f>
        <v>1</v>
      </c>
      <c r="J198" s="11" t="s">
        <v>75</v>
      </c>
      <c r="K198" s="11">
        <v>1299</v>
      </c>
      <c r="L198" s="49" t="s">
        <v>39</v>
      </c>
      <c r="M198" s="49" t="s">
        <v>76</v>
      </c>
      <c r="N198" s="49" t="s">
        <v>77</v>
      </c>
      <c r="O198" s="49" t="s">
        <v>78</v>
      </c>
      <c r="P198" s="48" t="s">
        <v>79</v>
      </c>
      <c r="Q198" s="49" t="s">
        <v>67</v>
      </c>
      <c r="R198" s="11" t="s">
        <v>80</v>
      </c>
      <c r="S198" s="11" t="s">
        <v>81</v>
      </c>
      <c r="T198" s="11" t="s">
        <v>2711</v>
      </c>
      <c r="U198" s="11" t="s">
        <v>2712</v>
      </c>
      <c r="V198" s="116" t="s">
        <v>1</v>
      </c>
      <c r="W198" s="88"/>
      <c r="X198" s="51">
        <v>45470</v>
      </c>
      <c r="Y198" s="102" t="s">
        <v>1568</v>
      </c>
      <c r="Z198" s="135" t="s">
        <v>2</v>
      </c>
      <c r="AA198" s="135">
        <v>0</v>
      </c>
    </row>
    <row r="199" spans="1:27" ht="13" customHeight="1">
      <c r="A199" s="11">
        <v>193</v>
      </c>
      <c r="B199" s="47">
        <v>203469114</v>
      </c>
      <c r="C199" s="89" t="s">
        <v>149</v>
      </c>
      <c r="D199" s="11" t="s">
        <v>1977</v>
      </c>
      <c r="E199" s="48" t="s">
        <v>31</v>
      </c>
      <c r="F199" s="48" t="s">
        <v>74</v>
      </c>
      <c r="G199" s="11" t="s">
        <v>64</v>
      </c>
      <c r="H199" s="48" t="str">
        <f>VLOOKUP(Table1[[#This Row],[Psoft No]],[1]Roster!$C$2:$H$1402,6,)</f>
        <v>AUH1</v>
      </c>
      <c r="I199" s="48" t="b">
        <f>Table1[[#This Row],[Building]]=Table1[[#This Row],[Column1]]</f>
        <v>1</v>
      </c>
      <c r="J199" s="11" t="s">
        <v>75</v>
      </c>
      <c r="K199" s="11">
        <v>1299</v>
      </c>
      <c r="L199" s="49" t="s">
        <v>32</v>
      </c>
      <c r="M199" s="49" t="s">
        <v>76</v>
      </c>
      <c r="N199" s="49" t="s">
        <v>88</v>
      </c>
      <c r="O199" s="49" t="s">
        <v>95</v>
      </c>
      <c r="P199" s="48" t="s">
        <v>79</v>
      </c>
      <c r="Q199" s="49" t="s">
        <v>67</v>
      </c>
      <c r="R199" s="11" t="s">
        <v>80</v>
      </c>
      <c r="S199" s="11" t="s">
        <v>81</v>
      </c>
      <c r="T199" s="11" t="s">
        <v>2711</v>
      </c>
      <c r="U199" s="11" t="s">
        <v>2712</v>
      </c>
      <c r="V199" s="116" t="str">
        <f>VLOOKUP(Table1[[#This Row],[Psoft No]],[2]Sheet1!$A$2:$G$386,7,0)</f>
        <v>P</v>
      </c>
      <c r="W199" s="88"/>
      <c r="X199" s="51">
        <v>45456</v>
      </c>
      <c r="Y199" s="102" t="s">
        <v>1568</v>
      </c>
      <c r="Z199" s="135" t="s">
        <v>2</v>
      </c>
      <c r="AA199" s="135">
        <v>0</v>
      </c>
    </row>
    <row r="200" spans="1:27" ht="13" customHeight="1">
      <c r="A200" s="11">
        <v>194</v>
      </c>
      <c r="B200" s="47">
        <v>203813078</v>
      </c>
      <c r="C200" s="89" t="s">
        <v>150</v>
      </c>
      <c r="D200" s="11" t="s">
        <v>1978</v>
      </c>
      <c r="E200" s="48" t="s">
        <v>31</v>
      </c>
      <c r="F200" s="48" t="s">
        <v>74</v>
      </c>
      <c r="G200" s="11" t="s">
        <v>64</v>
      </c>
      <c r="H200" s="48" t="str">
        <f>VLOOKUP(Table1[[#This Row],[Psoft No]],[1]Roster!$C$2:$H$1402,6,)</f>
        <v>AUH1</v>
      </c>
      <c r="I200" s="48" t="b">
        <f>Table1[[#This Row],[Building]]=Table1[[#This Row],[Column1]]</f>
        <v>1</v>
      </c>
      <c r="J200" s="11" t="s">
        <v>75</v>
      </c>
      <c r="K200" s="11">
        <v>1299</v>
      </c>
      <c r="L200" s="49" t="s">
        <v>32</v>
      </c>
      <c r="M200" s="49" t="s">
        <v>76</v>
      </c>
      <c r="N200" s="49" t="s">
        <v>78</v>
      </c>
      <c r="O200" s="49" t="s">
        <v>92</v>
      </c>
      <c r="P200" s="48" t="s">
        <v>86</v>
      </c>
      <c r="Q200" s="49" t="s">
        <v>67</v>
      </c>
      <c r="R200" s="11" t="s">
        <v>80</v>
      </c>
      <c r="S200" s="11" t="s">
        <v>99</v>
      </c>
      <c r="T200" s="11" t="s">
        <v>2711</v>
      </c>
      <c r="U200" s="11" t="s">
        <v>2712</v>
      </c>
      <c r="V200" s="116" t="s">
        <v>10</v>
      </c>
      <c r="W200" s="88"/>
      <c r="X200" s="51">
        <v>45517</v>
      </c>
      <c r="Y200" s="102" t="s">
        <v>1568</v>
      </c>
      <c r="Z200" s="135" t="s">
        <v>3023</v>
      </c>
      <c r="AA200" s="135">
        <v>0</v>
      </c>
    </row>
    <row r="201" spans="1:27" ht="13" customHeight="1">
      <c r="A201" s="11">
        <v>195</v>
      </c>
      <c r="B201" s="47">
        <v>206952968</v>
      </c>
      <c r="C201" s="89" t="s">
        <v>2121</v>
      </c>
      <c r="D201" s="11" t="s">
        <v>2044</v>
      </c>
      <c r="E201" s="48" t="s">
        <v>31</v>
      </c>
      <c r="F201" s="48" t="s">
        <v>74</v>
      </c>
      <c r="G201" s="11" t="s">
        <v>64</v>
      </c>
      <c r="H201" s="48" t="str">
        <f>VLOOKUP(Table1[[#This Row],[Psoft No]],[1]Roster!$C$2:$H$1402,6,)</f>
        <v>AUH1</v>
      </c>
      <c r="I201" s="48" t="b">
        <f>Table1[[#This Row],[Building]]=Table1[[#This Row],[Column1]]</f>
        <v>1</v>
      </c>
      <c r="J201" s="11" t="s">
        <v>75</v>
      </c>
      <c r="K201" s="11">
        <v>1299</v>
      </c>
      <c r="L201" s="49" t="s">
        <v>32</v>
      </c>
      <c r="M201" s="49" t="s">
        <v>76</v>
      </c>
      <c r="N201" s="49" t="s">
        <v>84</v>
      </c>
      <c r="O201" s="49" t="s">
        <v>85</v>
      </c>
      <c r="P201" s="48" t="s">
        <v>86</v>
      </c>
      <c r="Q201" s="49" t="s">
        <v>67</v>
      </c>
      <c r="R201" s="11" t="s">
        <v>80</v>
      </c>
      <c r="S201" s="11" t="s">
        <v>90</v>
      </c>
      <c r="T201" s="11" t="s">
        <v>2711</v>
      </c>
      <c r="U201" s="11" t="s">
        <v>2712</v>
      </c>
      <c r="V201" s="116" t="str">
        <f>VLOOKUP(Table1[[#This Row],[Psoft No]],[2]Sheet1!$A$2:$G$386,7,0)</f>
        <v>P</v>
      </c>
      <c r="W201" s="88"/>
      <c r="X201" s="51">
        <v>46048</v>
      </c>
      <c r="Y201" s="102" t="s">
        <v>1568</v>
      </c>
      <c r="Z201" s="135" t="s">
        <v>2</v>
      </c>
      <c r="AA201" s="135">
        <v>0</v>
      </c>
    </row>
    <row r="202" spans="1:27" ht="13" customHeight="1">
      <c r="A202" s="11">
        <v>196</v>
      </c>
      <c r="B202" s="47">
        <v>205608882</v>
      </c>
      <c r="C202" s="89" t="s">
        <v>594</v>
      </c>
      <c r="D202" s="11" t="s">
        <v>1979</v>
      </c>
      <c r="E202" s="48" t="s">
        <v>31</v>
      </c>
      <c r="F202" s="48" t="s">
        <v>74</v>
      </c>
      <c r="G202" s="11" t="s">
        <v>64</v>
      </c>
      <c r="H202" s="48" t="str">
        <f>VLOOKUP(Table1[[#This Row],[Psoft No]],[1]Roster!$C$2:$H$1402,6,)</f>
        <v>AUH1</v>
      </c>
      <c r="I202" s="48" t="b">
        <f>Table1[[#This Row],[Building]]=Table1[[#This Row],[Column1]]</f>
        <v>1</v>
      </c>
      <c r="J202" s="11" t="s">
        <v>75</v>
      </c>
      <c r="K202" s="11">
        <v>1299</v>
      </c>
      <c r="L202" s="49" t="s">
        <v>39</v>
      </c>
      <c r="M202" s="49" t="s">
        <v>76</v>
      </c>
      <c r="N202" s="49" t="s">
        <v>92</v>
      </c>
      <c r="O202" s="49" t="s">
        <v>84</v>
      </c>
      <c r="P202" s="48" t="s">
        <v>89</v>
      </c>
      <c r="Q202" s="49" t="s">
        <v>67</v>
      </c>
      <c r="R202" s="11" t="s">
        <v>80</v>
      </c>
      <c r="S202" s="11" t="s">
        <v>90</v>
      </c>
      <c r="T202" s="11" t="s">
        <v>2711</v>
      </c>
      <c r="U202" s="11" t="s">
        <v>2712</v>
      </c>
      <c r="V202" s="116" t="s">
        <v>10</v>
      </c>
      <c r="W202" s="88"/>
      <c r="X202" s="51">
        <v>45845</v>
      </c>
      <c r="Y202" s="102" t="s">
        <v>1568</v>
      </c>
      <c r="Z202" s="135" t="s">
        <v>3023</v>
      </c>
      <c r="AA202" s="135" t="s">
        <v>3015</v>
      </c>
    </row>
    <row r="203" spans="1:27" ht="13" customHeight="1">
      <c r="A203" s="11">
        <v>197</v>
      </c>
      <c r="B203" s="47">
        <v>205276100</v>
      </c>
      <c r="C203" s="89" t="s">
        <v>1434</v>
      </c>
      <c r="D203" s="11" t="s">
        <v>1992</v>
      </c>
      <c r="E203" s="48" t="s">
        <v>31</v>
      </c>
      <c r="F203" s="48" t="s">
        <v>74</v>
      </c>
      <c r="G203" s="11" t="s">
        <v>64</v>
      </c>
      <c r="H203" s="48" t="str">
        <f>VLOOKUP(Table1[[#This Row],[Psoft No]],[1]Roster!$C$2:$H$1402,6,)</f>
        <v>AUH1</v>
      </c>
      <c r="I203" s="48" t="b">
        <f>Table1[[#This Row],[Building]]=Table1[[#This Row],[Column1]]</f>
        <v>1</v>
      </c>
      <c r="J203" s="11" t="s">
        <v>75</v>
      </c>
      <c r="K203" s="11">
        <v>1299</v>
      </c>
      <c r="L203" s="49" t="s">
        <v>39</v>
      </c>
      <c r="M203" s="49" t="s">
        <v>76</v>
      </c>
      <c r="N203" s="49" t="s">
        <v>77</v>
      </c>
      <c r="O203" s="49" t="s">
        <v>78</v>
      </c>
      <c r="P203" s="49" t="s">
        <v>89</v>
      </c>
      <c r="Q203" s="49" t="s">
        <v>67</v>
      </c>
      <c r="R203" s="11" t="s">
        <v>80</v>
      </c>
      <c r="S203" s="11" t="s">
        <v>90</v>
      </c>
      <c r="T203" s="11" t="s">
        <v>2711</v>
      </c>
      <c r="U203" s="11" t="s">
        <v>2712</v>
      </c>
      <c r="V203" s="116" t="s">
        <v>1</v>
      </c>
      <c r="W203" s="88"/>
      <c r="X203" s="51">
        <v>45796</v>
      </c>
      <c r="Y203" s="102" t="s">
        <v>1568</v>
      </c>
      <c r="Z203" s="135" t="s">
        <v>2</v>
      </c>
      <c r="AA203" s="135">
        <v>0</v>
      </c>
    </row>
    <row r="204" spans="1:27" ht="13" customHeight="1">
      <c r="A204" s="11">
        <v>198</v>
      </c>
      <c r="B204" s="47">
        <v>203908354</v>
      </c>
      <c r="C204" s="89" t="s">
        <v>2301</v>
      </c>
      <c r="D204" s="11" t="s">
        <v>2302</v>
      </c>
      <c r="E204" s="48" t="s">
        <v>31</v>
      </c>
      <c r="F204" s="48" t="s">
        <v>74</v>
      </c>
      <c r="G204" s="11" t="s">
        <v>64</v>
      </c>
      <c r="H204" s="48" t="str">
        <f>VLOOKUP(Table1[[#This Row],[Psoft No]],[1]Roster!$C$2:$H$1402,6,)</f>
        <v>AUH1</v>
      </c>
      <c r="I204" s="48" t="b">
        <f>Table1[[#This Row],[Building]]=Table1[[#This Row],[Column1]]</f>
        <v>1</v>
      </c>
      <c r="J204" s="11" t="s">
        <v>75</v>
      </c>
      <c r="K204" s="11">
        <v>1299</v>
      </c>
      <c r="L204" s="49" t="s">
        <v>39</v>
      </c>
      <c r="M204" s="49" t="s">
        <v>76</v>
      </c>
      <c r="N204" s="49" t="s">
        <v>95</v>
      </c>
      <c r="O204" s="49" t="s">
        <v>77</v>
      </c>
      <c r="P204" s="48" t="s">
        <v>89</v>
      </c>
      <c r="Q204" s="49" t="s">
        <v>67</v>
      </c>
      <c r="R204" s="11" t="s">
        <v>80</v>
      </c>
      <c r="S204" s="11" t="s">
        <v>90</v>
      </c>
      <c r="T204" s="11" t="s">
        <v>2711</v>
      </c>
      <c r="U204" s="11" t="s">
        <v>2712</v>
      </c>
      <c r="V204" s="116" t="s">
        <v>1</v>
      </c>
      <c r="W204" s="88"/>
      <c r="X204" s="51">
        <v>45684</v>
      </c>
      <c r="Y204" s="102" t="s">
        <v>1568</v>
      </c>
      <c r="Z204" s="135" t="s">
        <v>2</v>
      </c>
      <c r="AA204" s="135">
        <v>0</v>
      </c>
    </row>
    <row r="205" spans="1:27" ht="13" customHeight="1">
      <c r="A205" s="11">
        <v>199</v>
      </c>
      <c r="B205" s="47">
        <v>205647835</v>
      </c>
      <c r="C205" s="89" t="s">
        <v>2303</v>
      </c>
      <c r="D205" s="11" t="s">
        <v>2304</v>
      </c>
      <c r="E205" s="48" t="s">
        <v>31</v>
      </c>
      <c r="F205" s="48" t="s">
        <v>74</v>
      </c>
      <c r="G205" s="11" t="s">
        <v>64</v>
      </c>
      <c r="H205" s="48" t="str">
        <f>VLOOKUP(Table1[[#This Row],[Psoft No]],[1]Roster!$C$2:$H$1402,6,)</f>
        <v>AUH1</v>
      </c>
      <c r="I205" s="48" t="b">
        <f>Table1[[#This Row],[Building]]=Table1[[#This Row],[Column1]]</f>
        <v>1</v>
      </c>
      <c r="J205" s="11" t="s">
        <v>75</v>
      </c>
      <c r="K205" s="11">
        <v>1299</v>
      </c>
      <c r="L205" s="49" t="s">
        <v>32</v>
      </c>
      <c r="M205" s="49" t="s">
        <v>76</v>
      </c>
      <c r="N205" s="49" t="s">
        <v>85</v>
      </c>
      <c r="O205" s="49" t="s">
        <v>88</v>
      </c>
      <c r="P205" s="49" t="s">
        <v>89</v>
      </c>
      <c r="Q205" s="49" t="s">
        <v>67</v>
      </c>
      <c r="R205" s="11" t="s">
        <v>80</v>
      </c>
      <c r="S205" s="11" t="s">
        <v>96</v>
      </c>
      <c r="T205" s="11" t="s">
        <v>2711</v>
      </c>
      <c r="U205" s="11" t="s">
        <v>2712</v>
      </c>
      <c r="V205" s="116" t="str">
        <f>VLOOKUP(Table1[[#This Row],[Psoft No]],[2]Sheet1!$A$2:$G$386,7,0)</f>
        <v>P</v>
      </c>
      <c r="W205" s="88"/>
      <c r="X205" s="51">
        <v>45852</v>
      </c>
      <c r="Y205" s="102" t="s">
        <v>1568</v>
      </c>
      <c r="Z205" s="135" t="s">
        <v>2</v>
      </c>
      <c r="AA205" s="135">
        <v>0</v>
      </c>
    </row>
    <row r="206" spans="1:27" ht="13" customHeight="1">
      <c r="A206" s="11">
        <v>200</v>
      </c>
      <c r="B206" s="47">
        <v>203965024</v>
      </c>
      <c r="C206" s="89" t="s">
        <v>696</v>
      </c>
      <c r="D206" s="11" t="s">
        <v>697</v>
      </c>
      <c r="E206" s="48" t="s">
        <v>31</v>
      </c>
      <c r="F206" s="48" t="s">
        <v>74</v>
      </c>
      <c r="G206" s="11" t="s">
        <v>64</v>
      </c>
      <c r="H206" s="48" t="str">
        <f>VLOOKUP(Table1[[#This Row],[Psoft No]],[1]Roster!$C$2:$H$1402,6,)</f>
        <v>AUH1</v>
      </c>
      <c r="I206" s="48" t="b">
        <f>Table1[[#This Row],[Building]]=Table1[[#This Row],[Column1]]</f>
        <v>1</v>
      </c>
      <c r="J206" s="11" t="s">
        <v>75</v>
      </c>
      <c r="K206" s="11">
        <v>1299</v>
      </c>
      <c r="L206" s="49" t="s">
        <v>32</v>
      </c>
      <c r="M206" s="49" t="s">
        <v>76</v>
      </c>
      <c r="N206" s="49" t="s">
        <v>77</v>
      </c>
      <c r="O206" s="49" t="s">
        <v>78</v>
      </c>
      <c r="P206" s="48" t="s">
        <v>86</v>
      </c>
      <c r="Q206" s="49" t="s">
        <v>37</v>
      </c>
      <c r="R206" s="11" t="s">
        <v>80</v>
      </c>
      <c r="S206" s="11" t="s">
        <v>99</v>
      </c>
      <c r="T206" s="11" t="s">
        <v>647</v>
      </c>
      <c r="U206" s="11" t="s">
        <v>1798</v>
      </c>
      <c r="V206" s="116" t="str">
        <f>VLOOKUP(Table1[[#This Row],[Psoft No]],[2]Sheet1!$A$2:$G$386,7,0)</f>
        <v>P</v>
      </c>
      <c r="W206" s="88"/>
      <c r="X206" s="51">
        <v>45544</v>
      </c>
      <c r="Y206" s="97" t="s">
        <v>1577</v>
      </c>
      <c r="Z206" s="135" t="s">
        <v>2</v>
      </c>
      <c r="AA206" s="135">
        <v>0</v>
      </c>
    </row>
    <row r="207" spans="1:27" ht="13" customHeight="1">
      <c r="A207" s="11">
        <v>201</v>
      </c>
      <c r="B207" s="47">
        <v>203469168</v>
      </c>
      <c r="C207" s="89" t="s">
        <v>2305</v>
      </c>
      <c r="D207" s="11" t="s">
        <v>2306</v>
      </c>
      <c r="E207" s="48" t="s">
        <v>31</v>
      </c>
      <c r="F207" s="48" t="s">
        <v>74</v>
      </c>
      <c r="G207" s="11" t="s">
        <v>64</v>
      </c>
      <c r="H207" s="48" t="str">
        <f>VLOOKUP(Table1[[#This Row],[Psoft No]],[1]Roster!$C$2:$H$1402,6,)</f>
        <v>AUH1</v>
      </c>
      <c r="I207" s="48" t="b">
        <f>Table1[[#This Row],[Building]]=Table1[[#This Row],[Column1]]</f>
        <v>1</v>
      </c>
      <c r="J207" s="11" t="s">
        <v>75</v>
      </c>
      <c r="K207" s="11">
        <v>1299</v>
      </c>
      <c r="L207" s="49" t="s">
        <v>39</v>
      </c>
      <c r="M207" s="49" t="s">
        <v>76</v>
      </c>
      <c r="N207" s="49" t="s">
        <v>84</v>
      </c>
      <c r="O207" s="49" t="s">
        <v>85</v>
      </c>
      <c r="P207" s="48" t="s">
        <v>79</v>
      </c>
      <c r="Q207" s="49" t="s">
        <v>67</v>
      </c>
      <c r="R207" s="11" t="s">
        <v>80</v>
      </c>
      <c r="S207" s="11" t="s">
        <v>81</v>
      </c>
      <c r="T207" s="11" t="s">
        <v>2711</v>
      </c>
      <c r="U207" s="11" t="s">
        <v>2712</v>
      </c>
      <c r="V207" s="116" t="s">
        <v>1</v>
      </c>
      <c r="W207" s="88"/>
      <c r="X207" s="51">
        <v>45456</v>
      </c>
      <c r="Y207" s="102" t="s">
        <v>1568</v>
      </c>
      <c r="Z207" s="135" t="s">
        <v>2</v>
      </c>
      <c r="AA207" s="135">
        <v>0</v>
      </c>
    </row>
    <row r="208" spans="1:27" ht="13" customHeight="1">
      <c r="A208" s="11">
        <v>202</v>
      </c>
      <c r="B208" s="47">
        <v>205651024</v>
      </c>
      <c r="C208" s="89" t="s">
        <v>2307</v>
      </c>
      <c r="D208" s="11" t="s">
        <v>2308</v>
      </c>
      <c r="E208" s="48" t="s">
        <v>31</v>
      </c>
      <c r="F208" s="48" t="s">
        <v>74</v>
      </c>
      <c r="G208" s="11" t="s">
        <v>64</v>
      </c>
      <c r="H208" s="48" t="str">
        <f>VLOOKUP(Table1[[#This Row],[Psoft No]],[1]Roster!$C$2:$H$1402,6,)</f>
        <v>AUH1</v>
      </c>
      <c r="I208" s="48" t="b">
        <f>Table1[[#This Row],[Building]]=Table1[[#This Row],[Column1]]</f>
        <v>1</v>
      </c>
      <c r="J208" s="11" t="s">
        <v>75</v>
      </c>
      <c r="K208" s="11">
        <v>1299</v>
      </c>
      <c r="L208" s="49" t="s">
        <v>32</v>
      </c>
      <c r="M208" s="49" t="s">
        <v>76</v>
      </c>
      <c r="N208" s="49" t="s">
        <v>95</v>
      </c>
      <c r="O208" s="49" t="s">
        <v>77</v>
      </c>
      <c r="P208" s="48" t="s">
        <v>89</v>
      </c>
      <c r="Q208" s="49" t="s">
        <v>67</v>
      </c>
      <c r="R208" s="11" t="s">
        <v>80</v>
      </c>
      <c r="S208" s="11" t="s">
        <v>96</v>
      </c>
      <c r="T208" s="11" t="s">
        <v>2711</v>
      </c>
      <c r="U208" s="11" t="s">
        <v>2712</v>
      </c>
      <c r="V208" s="116" t="s">
        <v>3</v>
      </c>
      <c r="W208" s="88"/>
      <c r="X208" s="51">
        <v>45852</v>
      </c>
      <c r="Y208" s="102" t="s">
        <v>1568</v>
      </c>
      <c r="Z208" s="135" t="s">
        <v>3023</v>
      </c>
      <c r="AA208" s="135">
        <v>0</v>
      </c>
    </row>
    <row r="209" spans="1:27" ht="13" customHeight="1">
      <c r="A209" s="11">
        <v>203</v>
      </c>
      <c r="B209" s="47">
        <v>205024343</v>
      </c>
      <c r="C209" s="89" t="s">
        <v>1523</v>
      </c>
      <c r="D209" s="11" t="s">
        <v>1524</v>
      </c>
      <c r="E209" s="48" t="s">
        <v>34</v>
      </c>
      <c r="F209" s="48" t="s">
        <v>74</v>
      </c>
      <c r="G209" s="11" t="s">
        <v>64</v>
      </c>
      <c r="H209" s="48" t="str">
        <f>VLOOKUP(Table1[[#This Row],[Psoft No]],[1]Roster!$C$2:$H$1402,6,)</f>
        <v>AUH1</v>
      </c>
      <c r="I209" s="48" t="b">
        <f>Table1[[#This Row],[Building]]=Table1[[#This Row],[Column1]]</f>
        <v>1</v>
      </c>
      <c r="J209" s="11" t="s">
        <v>75</v>
      </c>
      <c r="K209" s="11">
        <v>1299</v>
      </c>
      <c r="L209" s="129" t="s">
        <v>32</v>
      </c>
      <c r="M209" s="11" t="s">
        <v>76</v>
      </c>
      <c r="N209" s="129" t="s">
        <v>78</v>
      </c>
      <c r="O209" s="129" t="s">
        <v>92</v>
      </c>
      <c r="P209" s="11" t="s">
        <v>1516</v>
      </c>
      <c r="Q209" s="11" t="s">
        <v>1517</v>
      </c>
      <c r="R209" s="11" t="s">
        <v>1443</v>
      </c>
      <c r="S209" s="11" t="s">
        <v>98</v>
      </c>
      <c r="T209" s="11" t="s">
        <v>1518</v>
      </c>
      <c r="U209" s="11" t="s">
        <v>2728</v>
      </c>
      <c r="V209" s="116" t="s">
        <v>10</v>
      </c>
      <c r="W209" s="88"/>
      <c r="X209" s="51">
        <v>45775</v>
      </c>
      <c r="Y209" s="102" t="s">
        <v>1584</v>
      </c>
      <c r="Z209" s="135" t="e">
        <v>#N/A</v>
      </c>
      <c r="AA209" s="135" t="e">
        <v>#N/A</v>
      </c>
    </row>
    <row r="210" spans="1:27" ht="13" customHeight="1">
      <c r="A210" s="11">
        <v>204</v>
      </c>
      <c r="B210" s="47">
        <v>203555404</v>
      </c>
      <c r="C210" s="89" t="s">
        <v>2311</v>
      </c>
      <c r="D210" s="11" t="s">
        <v>2312</v>
      </c>
      <c r="E210" s="48" t="s">
        <v>31</v>
      </c>
      <c r="F210" s="48" t="s">
        <v>74</v>
      </c>
      <c r="G210" s="11" t="s">
        <v>64</v>
      </c>
      <c r="H210" s="48" t="str">
        <f>VLOOKUP(Table1[[#This Row],[Psoft No]],[1]Roster!$C$2:$H$1402,6,)</f>
        <v>AUH1</v>
      </c>
      <c r="I210" s="48" t="b">
        <f>Table1[[#This Row],[Building]]=Table1[[#This Row],[Column1]]</f>
        <v>1</v>
      </c>
      <c r="J210" s="11" t="s">
        <v>75</v>
      </c>
      <c r="K210" s="11">
        <v>1299</v>
      </c>
      <c r="L210" s="49" t="s">
        <v>32</v>
      </c>
      <c r="M210" s="49" t="s">
        <v>76</v>
      </c>
      <c r="N210" s="49" t="s">
        <v>88</v>
      </c>
      <c r="O210" s="49" t="s">
        <v>95</v>
      </c>
      <c r="P210" s="49" t="s">
        <v>79</v>
      </c>
      <c r="Q210" s="49" t="s">
        <v>67</v>
      </c>
      <c r="R210" s="11" t="s">
        <v>80</v>
      </c>
      <c r="S210" s="11" t="s">
        <v>81</v>
      </c>
      <c r="T210" s="11" t="s">
        <v>2711</v>
      </c>
      <c r="U210" s="11" t="s">
        <v>2712</v>
      </c>
      <c r="V210" s="116" t="str">
        <f>VLOOKUP(Table1[[#This Row],[Psoft No]],[2]Sheet1!$A$2:$G$386,7,0)</f>
        <v>P</v>
      </c>
      <c r="W210" s="88"/>
      <c r="X210" s="51">
        <v>45470</v>
      </c>
      <c r="Y210" s="102" t="s">
        <v>1568</v>
      </c>
      <c r="Z210" s="135" t="s">
        <v>2</v>
      </c>
      <c r="AA210" s="135">
        <v>0</v>
      </c>
    </row>
    <row r="211" spans="1:27" ht="13" customHeight="1">
      <c r="A211" s="11">
        <v>205</v>
      </c>
      <c r="B211" s="47">
        <v>102434105</v>
      </c>
      <c r="C211" s="89" t="s">
        <v>151</v>
      </c>
      <c r="D211" s="11" t="s">
        <v>152</v>
      </c>
      <c r="E211" s="48" t="s">
        <v>34</v>
      </c>
      <c r="F211" s="48" t="s">
        <v>74</v>
      </c>
      <c r="G211" s="11" t="s">
        <v>64</v>
      </c>
      <c r="H211" s="48" t="str">
        <f>VLOOKUP(Table1[[#This Row],[Psoft No]],[1]Roster!$C$2:$H$1402,6,)</f>
        <v>AUH1</v>
      </c>
      <c r="I211" s="48" t="b">
        <f>Table1[[#This Row],[Building]]=Table1[[#This Row],[Column1]]</f>
        <v>1</v>
      </c>
      <c r="J211" s="11" t="s">
        <v>75</v>
      </c>
      <c r="K211" s="11">
        <v>1299</v>
      </c>
      <c r="L211" s="49" t="s">
        <v>32</v>
      </c>
      <c r="M211" s="49" t="s">
        <v>76</v>
      </c>
      <c r="N211" s="49" t="s">
        <v>78</v>
      </c>
      <c r="O211" s="49" t="s">
        <v>92</v>
      </c>
      <c r="P211" s="48" t="s">
        <v>108</v>
      </c>
      <c r="Q211" s="49" t="s">
        <v>67</v>
      </c>
      <c r="R211" s="11" t="s">
        <v>80</v>
      </c>
      <c r="S211" s="11" t="s">
        <v>98</v>
      </c>
      <c r="T211" s="11" t="s">
        <v>2711</v>
      </c>
      <c r="U211" s="11" t="s">
        <v>2712</v>
      </c>
      <c r="V211" s="116" t="s">
        <v>10</v>
      </c>
      <c r="W211" s="88"/>
      <c r="X211" s="51">
        <v>42883</v>
      </c>
      <c r="Y211" s="102" t="s">
        <v>1568</v>
      </c>
      <c r="Z211" s="135" t="s">
        <v>3023</v>
      </c>
      <c r="AA211" s="135">
        <v>0</v>
      </c>
    </row>
    <row r="212" spans="1:27" ht="13" customHeight="1">
      <c r="A212" s="11">
        <v>206</v>
      </c>
      <c r="B212" s="47">
        <v>204319805</v>
      </c>
      <c r="C212" s="89" t="s">
        <v>2313</v>
      </c>
      <c r="D212" s="11" t="s">
        <v>2314</v>
      </c>
      <c r="E212" s="48" t="s">
        <v>31</v>
      </c>
      <c r="F212" s="48" t="s">
        <v>74</v>
      </c>
      <c r="G212" s="11" t="s">
        <v>64</v>
      </c>
      <c r="H212" s="48" t="str">
        <f>VLOOKUP(Table1[[#This Row],[Psoft No]],[1]Roster!$C$2:$H$1402,6,)</f>
        <v>AUH1</v>
      </c>
      <c r="I212" s="48" t="b">
        <f>Table1[[#This Row],[Building]]=Table1[[#This Row],[Column1]]</f>
        <v>1</v>
      </c>
      <c r="J212" s="11" t="s">
        <v>75</v>
      </c>
      <c r="K212" s="11">
        <v>1299</v>
      </c>
      <c r="L212" s="49" t="s">
        <v>39</v>
      </c>
      <c r="M212" s="49" t="s">
        <v>76</v>
      </c>
      <c r="N212" s="49" t="s">
        <v>77</v>
      </c>
      <c r="O212" s="49" t="s">
        <v>78</v>
      </c>
      <c r="P212" s="48" t="s">
        <v>86</v>
      </c>
      <c r="Q212" s="49" t="s">
        <v>67</v>
      </c>
      <c r="R212" s="11" t="s">
        <v>80</v>
      </c>
      <c r="S212" s="11" t="s">
        <v>87</v>
      </c>
      <c r="T212" s="11" t="s">
        <v>2711</v>
      </c>
      <c r="U212" s="11" t="s">
        <v>2712</v>
      </c>
      <c r="V212" s="116" t="s">
        <v>1</v>
      </c>
      <c r="W212" s="88"/>
      <c r="X212" s="51">
        <v>45589</v>
      </c>
      <c r="Y212" s="102" t="s">
        <v>1568</v>
      </c>
      <c r="Z212" s="135" t="s">
        <v>2</v>
      </c>
      <c r="AA212" s="135">
        <v>0</v>
      </c>
    </row>
    <row r="213" spans="1:27" ht="13" customHeight="1">
      <c r="A213" s="11">
        <v>207</v>
      </c>
      <c r="B213" s="47">
        <v>206949310</v>
      </c>
      <c r="C213" s="89" t="s">
        <v>2164</v>
      </c>
      <c r="D213" s="11" t="s">
        <v>2165</v>
      </c>
      <c r="E213" s="48" t="s">
        <v>31</v>
      </c>
      <c r="F213" s="48" t="s">
        <v>74</v>
      </c>
      <c r="G213" s="11" t="s">
        <v>64</v>
      </c>
      <c r="H213" s="48" t="str">
        <f>VLOOKUP(Table1[[#This Row],[Psoft No]],[1]Roster!$C$2:$H$1402,6,)</f>
        <v>AUH1</v>
      </c>
      <c r="I213" s="48" t="b">
        <f>Table1[[#This Row],[Building]]=Table1[[#This Row],[Column1]]</f>
        <v>1</v>
      </c>
      <c r="J213" s="11" t="s">
        <v>75</v>
      </c>
      <c r="K213" s="11">
        <v>1299</v>
      </c>
      <c r="L213" s="49" t="s">
        <v>32</v>
      </c>
      <c r="M213" s="49" t="s">
        <v>76</v>
      </c>
      <c r="N213" s="49" t="s">
        <v>84</v>
      </c>
      <c r="O213" s="49" t="s">
        <v>85</v>
      </c>
      <c r="P213" s="48" t="s">
        <v>86</v>
      </c>
      <c r="Q213" s="49" t="s">
        <v>67</v>
      </c>
      <c r="R213" s="11" t="s">
        <v>80</v>
      </c>
      <c r="S213" s="11" t="s">
        <v>90</v>
      </c>
      <c r="T213" s="11" t="s">
        <v>2711</v>
      </c>
      <c r="U213" s="11" t="s">
        <v>2712</v>
      </c>
      <c r="V213" s="116" t="str">
        <f>VLOOKUP(Table1[[#This Row],[Psoft No]],[2]Sheet1!$A$2:$G$386,7,0)</f>
        <v>P</v>
      </c>
      <c r="W213" s="88"/>
      <c r="X213" s="51">
        <v>46048</v>
      </c>
      <c r="Y213" s="102" t="s">
        <v>1568</v>
      </c>
      <c r="Z213" s="135" t="s">
        <v>2</v>
      </c>
      <c r="AA213" s="135">
        <v>0</v>
      </c>
    </row>
    <row r="214" spans="1:27" ht="13" customHeight="1">
      <c r="A214" s="11">
        <v>208</v>
      </c>
      <c r="B214" s="47">
        <v>206007530</v>
      </c>
      <c r="C214" s="90" t="s">
        <v>609</v>
      </c>
      <c r="D214" s="103" t="s">
        <v>1980</v>
      </c>
      <c r="E214" s="103" t="s">
        <v>31</v>
      </c>
      <c r="F214" s="48" t="s">
        <v>74</v>
      </c>
      <c r="G214" s="11" t="s">
        <v>64</v>
      </c>
      <c r="H214" s="48" t="str">
        <f>VLOOKUP(Table1[[#This Row],[Psoft No]],[1]Roster!$C$2:$H$1402,6,)</f>
        <v>AUH1</v>
      </c>
      <c r="I214" s="48" t="b">
        <f>Table1[[#This Row],[Building]]=Table1[[#This Row],[Column1]]</f>
        <v>1</v>
      </c>
      <c r="J214" s="11" t="s">
        <v>75</v>
      </c>
      <c r="K214" s="11">
        <v>1299</v>
      </c>
      <c r="L214" s="49" t="s">
        <v>39</v>
      </c>
      <c r="M214" s="49" t="s">
        <v>76</v>
      </c>
      <c r="N214" s="49" t="s">
        <v>88</v>
      </c>
      <c r="O214" s="49" t="s">
        <v>95</v>
      </c>
      <c r="P214" s="48" t="s">
        <v>89</v>
      </c>
      <c r="Q214" s="49" t="s">
        <v>67</v>
      </c>
      <c r="R214" s="49" t="s">
        <v>80</v>
      </c>
      <c r="S214" s="49" t="s">
        <v>81</v>
      </c>
      <c r="T214" s="11" t="s">
        <v>2711</v>
      </c>
      <c r="U214" s="11" t="s">
        <v>2712</v>
      </c>
      <c r="V214" s="116" t="s">
        <v>4</v>
      </c>
      <c r="W214" s="88"/>
      <c r="X214" s="51">
        <v>45915</v>
      </c>
      <c r="Y214" s="102" t="s">
        <v>1568</v>
      </c>
      <c r="Z214" s="135" t="s">
        <v>3023</v>
      </c>
      <c r="AA214" s="135">
        <v>0</v>
      </c>
    </row>
    <row r="215" spans="1:27" ht="13" customHeight="1">
      <c r="A215" s="11">
        <v>209</v>
      </c>
      <c r="B215" s="47">
        <v>203800377</v>
      </c>
      <c r="C215" s="89" t="s">
        <v>2315</v>
      </c>
      <c r="D215" s="11" t="s">
        <v>2316</v>
      </c>
      <c r="E215" s="48" t="s">
        <v>31</v>
      </c>
      <c r="F215" s="48" t="s">
        <v>74</v>
      </c>
      <c r="G215" s="11" t="s">
        <v>64</v>
      </c>
      <c r="H215" s="48" t="str">
        <f>VLOOKUP(Table1[[#This Row],[Psoft No]],[1]Roster!$C$2:$H$1402,6,)</f>
        <v>AUH1</v>
      </c>
      <c r="I215" s="48" t="b">
        <f>Table1[[#This Row],[Building]]=Table1[[#This Row],[Column1]]</f>
        <v>1</v>
      </c>
      <c r="J215" s="11" t="s">
        <v>75</v>
      </c>
      <c r="K215" s="11">
        <v>1299</v>
      </c>
      <c r="L215" s="49" t="s">
        <v>32</v>
      </c>
      <c r="M215" s="49" t="s">
        <v>76</v>
      </c>
      <c r="N215" s="49" t="s">
        <v>84</v>
      </c>
      <c r="O215" s="49" t="s">
        <v>85</v>
      </c>
      <c r="P215" s="49" t="s">
        <v>89</v>
      </c>
      <c r="Q215" s="49" t="s">
        <v>67</v>
      </c>
      <c r="R215" s="11" t="s">
        <v>80</v>
      </c>
      <c r="S215" s="11" t="s">
        <v>90</v>
      </c>
      <c r="T215" s="11" t="s">
        <v>2711</v>
      </c>
      <c r="U215" s="11" t="s">
        <v>2712</v>
      </c>
      <c r="V215" s="116" t="str">
        <f>VLOOKUP(Table1[[#This Row],[Psoft No]],[2]Sheet1!$A$2:$G$386,7,0)</f>
        <v>P</v>
      </c>
      <c r="W215" s="88"/>
      <c r="X215" s="51">
        <v>45516</v>
      </c>
      <c r="Y215" s="102" t="s">
        <v>1568</v>
      </c>
      <c r="Z215" s="135" t="s">
        <v>2</v>
      </c>
      <c r="AA215" s="135">
        <v>0</v>
      </c>
    </row>
    <row r="216" spans="1:27" ht="13" customHeight="1">
      <c r="A216" s="11">
        <v>210</v>
      </c>
      <c r="B216" s="47">
        <v>205609143</v>
      </c>
      <c r="C216" s="89" t="s">
        <v>610</v>
      </c>
      <c r="D216" s="11" t="s">
        <v>1981</v>
      </c>
      <c r="E216" s="48" t="s">
        <v>31</v>
      </c>
      <c r="F216" s="48" t="s">
        <v>74</v>
      </c>
      <c r="G216" s="11" t="s">
        <v>64</v>
      </c>
      <c r="H216" s="48" t="str">
        <f>VLOOKUP(Table1[[#This Row],[Psoft No]],[1]Roster!$C$2:$H$1402,6,)</f>
        <v>AUH1</v>
      </c>
      <c r="I216" s="48" t="b">
        <f>Table1[[#This Row],[Building]]=Table1[[#This Row],[Column1]]</f>
        <v>1</v>
      </c>
      <c r="J216" s="11" t="s">
        <v>75</v>
      </c>
      <c r="K216" s="11">
        <v>1299</v>
      </c>
      <c r="L216" s="49" t="s">
        <v>32</v>
      </c>
      <c r="M216" s="49" t="s">
        <v>76</v>
      </c>
      <c r="N216" s="49" t="s">
        <v>88</v>
      </c>
      <c r="O216" s="49" t="s">
        <v>95</v>
      </c>
      <c r="P216" s="49" t="s">
        <v>89</v>
      </c>
      <c r="Q216" s="49" t="s">
        <v>67</v>
      </c>
      <c r="R216" s="11" t="s">
        <v>80</v>
      </c>
      <c r="S216" s="11" t="s">
        <v>90</v>
      </c>
      <c r="T216" s="11" t="s">
        <v>2711</v>
      </c>
      <c r="U216" s="11" t="s">
        <v>2712</v>
      </c>
      <c r="V216" s="116" t="str">
        <f>VLOOKUP(Table1[[#This Row],[Psoft No]],[2]Sheet1!$A$2:$G$386,7,0)</f>
        <v>P</v>
      </c>
      <c r="W216" s="88"/>
      <c r="X216" s="51">
        <v>45845</v>
      </c>
      <c r="Y216" s="102" t="s">
        <v>1568</v>
      </c>
      <c r="Z216" s="135" t="s">
        <v>2</v>
      </c>
      <c r="AA216" s="135" t="s">
        <v>3024</v>
      </c>
    </row>
    <row r="217" spans="1:27" ht="13" customHeight="1">
      <c r="A217" s="11">
        <v>211</v>
      </c>
      <c r="B217" s="47">
        <v>206296205</v>
      </c>
      <c r="C217" s="89" t="s">
        <v>1660</v>
      </c>
      <c r="D217" s="11" t="s">
        <v>1982</v>
      </c>
      <c r="E217" s="48" t="s">
        <v>31</v>
      </c>
      <c r="F217" s="48" t="s">
        <v>74</v>
      </c>
      <c r="G217" s="11" t="s">
        <v>64</v>
      </c>
      <c r="H217" s="48" t="str">
        <f>VLOOKUP(Table1[[#This Row],[Psoft No]],[1]Roster!$C$2:$H$1402,6,)</f>
        <v>AUH1</v>
      </c>
      <c r="I217" s="48" t="b">
        <f>Table1[[#This Row],[Building]]=Table1[[#This Row],[Column1]]</f>
        <v>1</v>
      </c>
      <c r="J217" s="11" t="s">
        <v>75</v>
      </c>
      <c r="K217" s="11">
        <v>1299</v>
      </c>
      <c r="L217" s="49" t="s">
        <v>39</v>
      </c>
      <c r="M217" s="49" t="s">
        <v>76</v>
      </c>
      <c r="N217" s="49" t="s">
        <v>92</v>
      </c>
      <c r="O217" s="49" t="s">
        <v>84</v>
      </c>
      <c r="P217" s="49" t="s">
        <v>89</v>
      </c>
      <c r="Q217" s="49" t="s">
        <v>67</v>
      </c>
      <c r="R217" s="11" t="s">
        <v>80</v>
      </c>
      <c r="S217" s="11" t="s">
        <v>96</v>
      </c>
      <c r="T217" s="11" t="s">
        <v>2711</v>
      </c>
      <c r="U217" s="11" t="s">
        <v>2712</v>
      </c>
      <c r="V217" s="116" t="s">
        <v>10</v>
      </c>
      <c r="W217" s="88"/>
      <c r="X217" s="51">
        <v>45950</v>
      </c>
      <c r="Y217" s="102" t="s">
        <v>1568</v>
      </c>
      <c r="Z217" s="135" t="s">
        <v>3023</v>
      </c>
      <c r="AA217" s="135">
        <v>0</v>
      </c>
    </row>
    <row r="218" spans="1:27" ht="13" customHeight="1">
      <c r="A218" s="11">
        <v>212</v>
      </c>
      <c r="B218" s="47">
        <v>203555406</v>
      </c>
      <c r="C218" s="89" t="s">
        <v>153</v>
      </c>
      <c r="D218" s="11" t="s">
        <v>1983</v>
      </c>
      <c r="E218" s="48" t="s">
        <v>31</v>
      </c>
      <c r="F218" s="48" t="s">
        <v>74</v>
      </c>
      <c r="G218" s="11" t="s">
        <v>64</v>
      </c>
      <c r="H218" s="48" t="str">
        <f>VLOOKUP(Table1[[#This Row],[Psoft No]],[1]Roster!$C$2:$H$1402,6,)</f>
        <v>AUH1</v>
      </c>
      <c r="I218" s="48" t="b">
        <f>Table1[[#This Row],[Building]]=Table1[[#This Row],[Column1]]</f>
        <v>1</v>
      </c>
      <c r="J218" s="11" t="s">
        <v>75</v>
      </c>
      <c r="K218" s="11">
        <v>1299</v>
      </c>
      <c r="L218" s="49" t="s">
        <v>32</v>
      </c>
      <c r="M218" s="49" t="s">
        <v>76</v>
      </c>
      <c r="N218" s="49" t="s">
        <v>78</v>
      </c>
      <c r="O218" s="49" t="s">
        <v>92</v>
      </c>
      <c r="P218" s="49" t="s">
        <v>79</v>
      </c>
      <c r="Q218" s="49" t="s">
        <v>67</v>
      </c>
      <c r="R218" s="11" t="s">
        <v>80</v>
      </c>
      <c r="S218" s="11" t="s">
        <v>81</v>
      </c>
      <c r="T218" s="11" t="s">
        <v>2711</v>
      </c>
      <c r="U218" s="11" t="s">
        <v>2712</v>
      </c>
      <c r="V218" s="116" t="s">
        <v>10</v>
      </c>
      <c r="W218" s="88"/>
      <c r="X218" s="51">
        <v>45470</v>
      </c>
      <c r="Y218" s="102" t="s">
        <v>1568</v>
      </c>
      <c r="Z218" s="135" t="s">
        <v>3023</v>
      </c>
      <c r="AA218" s="135">
        <v>0</v>
      </c>
    </row>
    <row r="219" spans="1:27" ht="13" customHeight="1">
      <c r="A219" s="11">
        <v>213</v>
      </c>
      <c r="B219" s="47">
        <v>203817154</v>
      </c>
      <c r="C219" s="89" t="s">
        <v>2317</v>
      </c>
      <c r="D219" s="11" t="s">
        <v>2318</v>
      </c>
      <c r="E219" s="48" t="s">
        <v>31</v>
      </c>
      <c r="F219" s="48" t="s">
        <v>74</v>
      </c>
      <c r="G219" s="11" t="s">
        <v>64</v>
      </c>
      <c r="H219" s="48" t="str">
        <f>VLOOKUP(Table1[[#This Row],[Psoft No]],[1]Roster!$C$2:$H$1402,6,)</f>
        <v>AUH1</v>
      </c>
      <c r="I219" s="48" t="b">
        <f>Table1[[#This Row],[Building]]=Table1[[#This Row],[Column1]]</f>
        <v>1</v>
      </c>
      <c r="J219" s="11" t="s">
        <v>75</v>
      </c>
      <c r="K219" s="11">
        <v>1299</v>
      </c>
      <c r="L219" s="49" t="s">
        <v>39</v>
      </c>
      <c r="M219" s="49" t="s">
        <v>76</v>
      </c>
      <c r="N219" s="49" t="s">
        <v>92</v>
      </c>
      <c r="O219" s="49" t="s">
        <v>84</v>
      </c>
      <c r="P219" s="48" t="s">
        <v>79</v>
      </c>
      <c r="Q219" s="49" t="s">
        <v>67</v>
      </c>
      <c r="R219" s="11" t="s">
        <v>80</v>
      </c>
      <c r="S219" s="11" t="s">
        <v>81</v>
      </c>
      <c r="T219" s="11" t="s">
        <v>2711</v>
      </c>
      <c r="U219" s="11" t="s">
        <v>2712</v>
      </c>
      <c r="V219" s="116" t="s">
        <v>10</v>
      </c>
      <c r="W219" s="88"/>
      <c r="X219" s="51">
        <v>45517</v>
      </c>
      <c r="Y219" s="102" t="s">
        <v>1568</v>
      </c>
      <c r="Z219" s="135" t="s">
        <v>3023</v>
      </c>
      <c r="AA219" s="135">
        <v>0</v>
      </c>
    </row>
    <row r="220" spans="1:27" ht="13" customHeight="1">
      <c r="A220" s="11">
        <v>214</v>
      </c>
      <c r="B220" s="47">
        <v>206192235</v>
      </c>
      <c r="C220" s="89" t="s">
        <v>1599</v>
      </c>
      <c r="D220" s="11" t="s">
        <v>1984</v>
      </c>
      <c r="E220" s="48" t="s">
        <v>31</v>
      </c>
      <c r="F220" s="48" t="s">
        <v>74</v>
      </c>
      <c r="G220" s="11" t="s">
        <v>64</v>
      </c>
      <c r="H220" s="48" t="str">
        <f>VLOOKUP(Table1[[#This Row],[Psoft No]],[1]Roster!$C$2:$H$1402,6,)</f>
        <v>AUH1</v>
      </c>
      <c r="I220" s="48" t="b">
        <f>Table1[[#This Row],[Building]]=Table1[[#This Row],[Column1]]</f>
        <v>1</v>
      </c>
      <c r="J220" s="11" t="s">
        <v>75</v>
      </c>
      <c r="K220" s="11">
        <v>1299</v>
      </c>
      <c r="L220" s="49" t="s">
        <v>32</v>
      </c>
      <c r="M220" s="49" t="s">
        <v>76</v>
      </c>
      <c r="N220" s="49" t="s">
        <v>77</v>
      </c>
      <c r="O220" s="49" t="s">
        <v>78</v>
      </c>
      <c r="P220" s="48" t="s">
        <v>79</v>
      </c>
      <c r="Q220" s="49" t="s">
        <v>67</v>
      </c>
      <c r="R220" s="11" t="s">
        <v>80</v>
      </c>
      <c r="S220" s="11" t="s">
        <v>96</v>
      </c>
      <c r="T220" s="11" t="s">
        <v>2711</v>
      </c>
      <c r="U220" s="11" t="s">
        <v>2712</v>
      </c>
      <c r="V220" s="116" t="str">
        <f>VLOOKUP(Table1[[#This Row],[Psoft No]],[2]Sheet1!$A$2:$G$386,7,0)</f>
        <v>P</v>
      </c>
      <c r="W220" s="88"/>
      <c r="X220" s="51">
        <v>45936</v>
      </c>
      <c r="Y220" s="102" t="s">
        <v>1568</v>
      </c>
      <c r="Z220" s="135" t="s">
        <v>2</v>
      </c>
      <c r="AA220" s="135">
        <v>0</v>
      </c>
    </row>
    <row r="221" spans="1:27" ht="13" customHeight="1">
      <c r="A221" s="11">
        <v>215</v>
      </c>
      <c r="B221" s="47">
        <v>203813132</v>
      </c>
      <c r="C221" s="89" t="s">
        <v>154</v>
      </c>
      <c r="D221" s="11" t="s">
        <v>1985</v>
      </c>
      <c r="E221" s="48" t="s">
        <v>31</v>
      </c>
      <c r="F221" s="48" t="s">
        <v>74</v>
      </c>
      <c r="G221" s="11" t="s">
        <v>64</v>
      </c>
      <c r="H221" s="48" t="str">
        <f>VLOOKUP(Table1[[#This Row],[Psoft No]],[1]Roster!$C$2:$H$1402,6,)</f>
        <v>AUH1</v>
      </c>
      <c r="I221" s="48" t="b">
        <f>Table1[[#This Row],[Building]]=Table1[[#This Row],[Column1]]</f>
        <v>1</v>
      </c>
      <c r="J221" s="11" t="s">
        <v>75</v>
      </c>
      <c r="K221" s="11">
        <v>1299</v>
      </c>
      <c r="L221" s="49" t="s">
        <v>39</v>
      </c>
      <c r="M221" s="49" t="s">
        <v>76</v>
      </c>
      <c r="N221" s="49" t="s">
        <v>95</v>
      </c>
      <c r="O221" s="49" t="s">
        <v>77</v>
      </c>
      <c r="P221" s="49" t="s">
        <v>86</v>
      </c>
      <c r="Q221" s="49" t="s">
        <v>67</v>
      </c>
      <c r="R221" s="11" t="s">
        <v>80</v>
      </c>
      <c r="S221" s="11" t="s">
        <v>99</v>
      </c>
      <c r="T221" s="11" t="s">
        <v>2711</v>
      </c>
      <c r="U221" s="11" t="s">
        <v>2712</v>
      </c>
      <c r="V221" s="116" t="s">
        <v>1</v>
      </c>
      <c r="W221" s="88"/>
      <c r="X221" s="51">
        <v>45517</v>
      </c>
      <c r="Y221" s="102" t="s">
        <v>1568</v>
      </c>
      <c r="Z221" s="135" t="s">
        <v>2</v>
      </c>
      <c r="AA221" s="135">
        <v>0</v>
      </c>
    </row>
    <row r="222" spans="1:27" ht="13" customHeight="1">
      <c r="A222" s="11">
        <v>216</v>
      </c>
      <c r="B222" s="47">
        <v>203735945</v>
      </c>
      <c r="C222" s="89" t="s">
        <v>2467</v>
      </c>
      <c r="D222" s="11" t="s">
        <v>2468</v>
      </c>
      <c r="E222" s="48" t="s">
        <v>31</v>
      </c>
      <c r="F222" s="48" t="s">
        <v>74</v>
      </c>
      <c r="G222" s="11" t="s">
        <v>64</v>
      </c>
      <c r="H222" s="48" t="str">
        <f>VLOOKUP(Table1[[#This Row],[Psoft No]],[1]Roster!$C$2:$H$1402,6,)</f>
        <v>AUH1</v>
      </c>
      <c r="I222" s="48" t="b">
        <f>Table1[[#This Row],[Building]]=Table1[[#This Row],[Column1]]</f>
        <v>1</v>
      </c>
      <c r="J222" s="11" t="s">
        <v>75</v>
      </c>
      <c r="K222" s="11">
        <v>1299</v>
      </c>
      <c r="L222" s="49" t="s">
        <v>39</v>
      </c>
      <c r="M222" s="49" t="s">
        <v>76</v>
      </c>
      <c r="N222" s="49" t="s">
        <v>85</v>
      </c>
      <c r="O222" s="49" t="s">
        <v>88</v>
      </c>
      <c r="P222" s="48" t="s">
        <v>89</v>
      </c>
      <c r="Q222" s="49" t="s">
        <v>67</v>
      </c>
      <c r="R222" s="11" t="s">
        <v>80</v>
      </c>
      <c r="S222" s="11" t="s">
        <v>90</v>
      </c>
      <c r="T222" s="11" t="s">
        <v>2711</v>
      </c>
      <c r="U222" s="11" t="s">
        <v>2712</v>
      </c>
      <c r="V222" s="116" t="s">
        <v>1</v>
      </c>
      <c r="W222" s="88"/>
      <c r="X222" s="51">
        <v>45502</v>
      </c>
      <c r="Y222" s="102" t="s">
        <v>1568</v>
      </c>
      <c r="Z222" s="135" t="s">
        <v>2</v>
      </c>
      <c r="AA222" s="135">
        <v>0</v>
      </c>
    </row>
    <row r="223" spans="1:27" ht="13" customHeight="1">
      <c r="A223" s="11">
        <v>217</v>
      </c>
      <c r="B223" s="47">
        <v>203816755</v>
      </c>
      <c r="C223" s="89" t="s">
        <v>2469</v>
      </c>
      <c r="D223" s="11" t="s">
        <v>2470</v>
      </c>
      <c r="E223" s="48" t="s">
        <v>31</v>
      </c>
      <c r="F223" s="48" t="s">
        <v>74</v>
      </c>
      <c r="G223" s="11" t="s">
        <v>64</v>
      </c>
      <c r="H223" s="48" t="str">
        <f>VLOOKUP(Table1[[#This Row],[Psoft No]],[1]Roster!$C$2:$H$1402,6,)</f>
        <v>AUH1</v>
      </c>
      <c r="I223" s="48" t="b">
        <f>Table1[[#This Row],[Building]]=Table1[[#This Row],[Column1]]</f>
        <v>1</v>
      </c>
      <c r="J223" s="11" t="s">
        <v>75</v>
      </c>
      <c r="K223" s="11">
        <v>1299</v>
      </c>
      <c r="L223" s="49" t="s">
        <v>39</v>
      </c>
      <c r="M223" s="49" t="s">
        <v>76</v>
      </c>
      <c r="N223" s="49" t="s">
        <v>78</v>
      </c>
      <c r="O223" s="49" t="s">
        <v>92</v>
      </c>
      <c r="P223" s="49" t="s">
        <v>89</v>
      </c>
      <c r="Q223" s="49" t="s">
        <v>67</v>
      </c>
      <c r="R223" s="11" t="s">
        <v>80</v>
      </c>
      <c r="S223" s="11" t="s">
        <v>90</v>
      </c>
      <c r="T223" s="11" t="s">
        <v>2711</v>
      </c>
      <c r="U223" s="11" t="s">
        <v>2712</v>
      </c>
      <c r="V223" s="116" t="s">
        <v>10</v>
      </c>
      <c r="W223" s="88"/>
      <c r="X223" s="51">
        <v>45518</v>
      </c>
      <c r="Y223" s="102" t="s">
        <v>1568</v>
      </c>
      <c r="Z223" s="135" t="s">
        <v>3023</v>
      </c>
      <c r="AA223" s="135">
        <v>0</v>
      </c>
    </row>
    <row r="224" spans="1:27" ht="13" customHeight="1">
      <c r="A224" s="11">
        <v>218</v>
      </c>
      <c r="B224" s="47">
        <v>205275635</v>
      </c>
      <c r="C224" s="89" t="s">
        <v>1661</v>
      </c>
      <c r="D224" s="11" t="s">
        <v>1986</v>
      </c>
      <c r="E224" s="48" t="s">
        <v>31</v>
      </c>
      <c r="F224" s="48" t="s">
        <v>74</v>
      </c>
      <c r="G224" s="11" t="s">
        <v>64</v>
      </c>
      <c r="H224" s="48" t="str">
        <f>VLOOKUP(Table1[[#This Row],[Psoft No]],[1]Roster!$C$2:$H$1402,6,)</f>
        <v>AUH1</v>
      </c>
      <c r="I224" s="48" t="b">
        <f>Table1[[#This Row],[Building]]=Table1[[#This Row],[Column1]]</f>
        <v>1</v>
      </c>
      <c r="J224" s="11" t="s">
        <v>75</v>
      </c>
      <c r="K224" s="11">
        <v>1299</v>
      </c>
      <c r="L224" s="49" t="s">
        <v>32</v>
      </c>
      <c r="M224" s="49" t="s">
        <v>76</v>
      </c>
      <c r="N224" s="49" t="s">
        <v>77</v>
      </c>
      <c r="O224" s="49" t="s">
        <v>78</v>
      </c>
      <c r="P224" s="49" t="s">
        <v>89</v>
      </c>
      <c r="Q224" s="49" t="s">
        <v>67</v>
      </c>
      <c r="R224" s="11" t="s">
        <v>80</v>
      </c>
      <c r="S224" s="11" t="s">
        <v>96</v>
      </c>
      <c r="T224" s="11" t="s">
        <v>2711</v>
      </c>
      <c r="U224" s="11" t="s">
        <v>2712</v>
      </c>
      <c r="V224" s="116" t="str">
        <f>VLOOKUP(Table1[[#This Row],[Psoft No]],[2]Sheet1!$A$2:$G$386,7,0)</f>
        <v>P</v>
      </c>
      <c r="W224" s="88"/>
      <c r="X224" s="51">
        <v>45950</v>
      </c>
      <c r="Y224" s="102" t="s">
        <v>1568</v>
      </c>
      <c r="Z224" s="135" t="s">
        <v>2</v>
      </c>
      <c r="AA224" s="135">
        <v>0</v>
      </c>
    </row>
    <row r="225" spans="1:27" ht="13" customHeight="1">
      <c r="A225" s="11">
        <v>219</v>
      </c>
      <c r="B225" s="47">
        <v>203468510</v>
      </c>
      <c r="C225" s="89" t="s">
        <v>155</v>
      </c>
      <c r="D225" s="11" t="s">
        <v>156</v>
      </c>
      <c r="E225" s="48" t="s">
        <v>31</v>
      </c>
      <c r="F225" s="48" t="s">
        <v>74</v>
      </c>
      <c r="G225" s="11" t="s">
        <v>64</v>
      </c>
      <c r="H225" s="48" t="str">
        <f>VLOOKUP(Table1[[#This Row],[Psoft No]],[1]Roster!$C$2:$H$1402,6,)</f>
        <v>AUH1</v>
      </c>
      <c r="I225" s="48" t="b">
        <f>Table1[[#This Row],[Building]]=Table1[[#This Row],[Column1]]</f>
        <v>1</v>
      </c>
      <c r="J225" s="11" t="s">
        <v>75</v>
      </c>
      <c r="K225" s="11">
        <v>1299</v>
      </c>
      <c r="L225" s="49" t="s">
        <v>2471</v>
      </c>
      <c r="M225" s="49" t="s">
        <v>76</v>
      </c>
      <c r="N225" s="49" t="s">
        <v>95</v>
      </c>
      <c r="O225" s="49" t="s">
        <v>77</v>
      </c>
      <c r="P225" s="49" t="s">
        <v>79</v>
      </c>
      <c r="Q225" s="49" t="s">
        <v>33</v>
      </c>
      <c r="R225" s="11" t="s">
        <v>80</v>
      </c>
      <c r="S225" s="11" t="s">
        <v>81</v>
      </c>
      <c r="T225" s="11" t="s">
        <v>159</v>
      </c>
      <c r="U225" s="11" t="s">
        <v>2714</v>
      </c>
      <c r="V225" s="116" t="s">
        <v>1</v>
      </c>
      <c r="W225" s="88"/>
      <c r="X225" s="51">
        <v>45456</v>
      </c>
      <c r="Y225" s="102" t="s">
        <v>1569</v>
      </c>
      <c r="Z225" s="135" t="s">
        <v>2</v>
      </c>
      <c r="AA225" s="135">
        <v>0</v>
      </c>
    </row>
    <row r="226" spans="1:27" ht="13" customHeight="1">
      <c r="A226" s="11">
        <v>220</v>
      </c>
      <c r="B226" s="47">
        <v>202308467</v>
      </c>
      <c r="C226" s="89" t="s">
        <v>157</v>
      </c>
      <c r="D226" s="11" t="s">
        <v>158</v>
      </c>
      <c r="E226" s="48" t="s">
        <v>31</v>
      </c>
      <c r="F226" s="48" t="s">
        <v>74</v>
      </c>
      <c r="G226" s="11" t="s">
        <v>64</v>
      </c>
      <c r="H226" s="48" t="str">
        <f>VLOOKUP(Table1[[#This Row],[Psoft No]],[1]Roster!$C$2:$H$1402,6,)</f>
        <v>AUH1</v>
      </c>
      <c r="I226" s="48" t="b">
        <f>Table1[[#This Row],[Building]]=Table1[[#This Row],[Column1]]</f>
        <v>1</v>
      </c>
      <c r="J226" s="11" t="s">
        <v>75</v>
      </c>
      <c r="K226" s="11">
        <v>1299</v>
      </c>
      <c r="L226" s="49" t="s">
        <v>32</v>
      </c>
      <c r="M226" s="49" t="s">
        <v>76</v>
      </c>
      <c r="N226" s="49" t="s">
        <v>85</v>
      </c>
      <c r="O226" s="49" t="s">
        <v>88</v>
      </c>
      <c r="P226" s="48" t="s">
        <v>79</v>
      </c>
      <c r="Q226" s="49" t="s">
        <v>33</v>
      </c>
      <c r="R226" s="11" t="s">
        <v>80</v>
      </c>
      <c r="S226" s="11" t="s">
        <v>81</v>
      </c>
      <c r="T226" s="11" t="s">
        <v>159</v>
      </c>
      <c r="U226" s="11" t="s">
        <v>2714</v>
      </c>
      <c r="V226" s="116" t="str">
        <f>VLOOKUP(Table1[[#This Row],[Psoft No]],[2]Sheet1!$A$2:$G$386,7,0)</f>
        <v>P</v>
      </c>
      <c r="W226" s="88"/>
      <c r="X226" s="51">
        <v>45915</v>
      </c>
      <c r="Y226" s="97" t="s">
        <v>1569</v>
      </c>
      <c r="Z226" s="135" t="s">
        <v>2</v>
      </c>
      <c r="AA226" s="135">
        <v>0</v>
      </c>
    </row>
    <row r="227" spans="1:27" ht="13" customHeight="1">
      <c r="A227" s="11">
        <v>221</v>
      </c>
      <c r="B227" s="47">
        <v>112836630</v>
      </c>
      <c r="C227" s="89" t="s">
        <v>1531</v>
      </c>
      <c r="D227" s="11" t="s">
        <v>1532</v>
      </c>
      <c r="E227" s="48" t="s">
        <v>34</v>
      </c>
      <c r="F227" s="48" t="s">
        <v>74</v>
      </c>
      <c r="G227" s="11" t="s">
        <v>64</v>
      </c>
      <c r="H227" s="48" t="str">
        <f>VLOOKUP(Table1[[#This Row],[Psoft No]],[1]Roster!$C$2:$H$1402,6,)</f>
        <v>AUH1</v>
      </c>
      <c r="I227" s="48" t="b">
        <f>Table1[[#This Row],[Building]]=Table1[[#This Row],[Column1]]</f>
        <v>1</v>
      </c>
      <c r="J227" s="11" t="s">
        <v>75</v>
      </c>
      <c r="K227" s="11">
        <v>1299</v>
      </c>
      <c r="L227" s="129" t="s">
        <v>32</v>
      </c>
      <c r="M227" s="11" t="s">
        <v>76</v>
      </c>
      <c r="N227" s="129" t="s">
        <v>78</v>
      </c>
      <c r="O227" s="129" t="s">
        <v>92</v>
      </c>
      <c r="P227" s="11" t="s">
        <v>1533</v>
      </c>
      <c r="Q227" s="11" t="s">
        <v>1534</v>
      </c>
      <c r="R227" s="11" t="s">
        <v>1443</v>
      </c>
      <c r="S227" s="11" t="s">
        <v>98</v>
      </c>
      <c r="T227" s="11" t="s">
        <v>2729</v>
      </c>
      <c r="U227" s="11" t="s">
        <v>2730</v>
      </c>
      <c r="V227" s="116" t="s">
        <v>10</v>
      </c>
      <c r="W227" s="88"/>
      <c r="X227" s="51">
        <v>44767</v>
      </c>
      <c r="Y227" s="102" t="s">
        <v>1583</v>
      </c>
      <c r="Z227" s="135" t="e">
        <v>#N/A</v>
      </c>
      <c r="AA227" s="135" t="e">
        <v>#N/A</v>
      </c>
    </row>
    <row r="228" spans="1:27" ht="13" customHeight="1">
      <c r="A228" s="11">
        <v>222</v>
      </c>
      <c r="B228" s="47">
        <v>207220266</v>
      </c>
      <c r="C228" s="89" t="s">
        <v>2360</v>
      </c>
      <c r="D228" s="11" t="s">
        <v>2361</v>
      </c>
      <c r="E228" s="48" t="s">
        <v>34</v>
      </c>
      <c r="F228" s="48" t="s">
        <v>74</v>
      </c>
      <c r="G228" s="11" t="s">
        <v>64</v>
      </c>
      <c r="H228" s="48" t="str">
        <f>VLOOKUP(Table1[[#This Row],[Psoft No]],[1]Roster!$C$2:$H$1402,6,)</f>
        <v>AUH1</v>
      </c>
      <c r="I228" s="48" t="b">
        <f>Table1[[#This Row],[Building]]=Table1[[#This Row],[Column1]]</f>
        <v>1</v>
      </c>
      <c r="J228" s="11" t="s">
        <v>75</v>
      </c>
      <c r="K228" s="11">
        <v>1299</v>
      </c>
      <c r="L228" s="49" t="s">
        <v>32</v>
      </c>
      <c r="M228" s="49" t="s">
        <v>76</v>
      </c>
      <c r="N228" s="49" t="s">
        <v>77</v>
      </c>
      <c r="O228" s="49" t="s">
        <v>78</v>
      </c>
      <c r="P228" s="48" t="s">
        <v>97</v>
      </c>
      <c r="Q228" s="49" t="s">
        <v>33</v>
      </c>
      <c r="R228" s="11" t="s">
        <v>80</v>
      </c>
      <c r="S228" s="11" t="s">
        <v>98</v>
      </c>
      <c r="T228" s="11" t="s">
        <v>159</v>
      </c>
      <c r="U228" s="11" t="s">
        <v>2714</v>
      </c>
      <c r="V228" s="116" t="str">
        <f>VLOOKUP(Table1[[#This Row],[Psoft No]],[2]Sheet1!$A$2:$G$386,7,0)</f>
        <v>P</v>
      </c>
      <c r="W228" s="88"/>
      <c r="X228" s="51">
        <v>46147</v>
      </c>
      <c r="Y228" s="97" t="s">
        <v>1569</v>
      </c>
      <c r="Z228" s="135" t="e">
        <v>#N/A</v>
      </c>
      <c r="AA228" s="135" t="e">
        <v>#N/A</v>
      </c>
    </row>
    <row r="229" spans="1:27" ht="13" customHeight="1">
      <c r="A229" s="11">
        <v>223</v>
      </c>
      <c r="B229" s="47">
        <v>203850930</v>
      </c>
      <c r="C229" s="89" t="s">
        <v>162</v>
      </c>
      <c r="D229" s="11" t="s">
        <v>163</v>
      </c>
      <c r="E229" s="48" t="s">
        <v>31</v>
      </c>
      <c r="F229" s="48" t="s">
        <v>74</v>
      </c>
      <c r="G229" s="11" t="s">
        <v>64</v>
      </c>
      <c r="H229" s="48" t="str">
        <f>VLOOKUP(Table1[[#This Row],[Psoft No]],[1]Roster!$C$2:$H$1402,6,)</f>
        <v>AUH1</v>
      </c>
      <c r="I229" s="48" t="b">
        <f>Table1[[#This Row],[Building]]=Table1[[#This Row],[Column1]]</f>
        <v>1</v>
      </c>
      <c r="J229" s="11" t="s">
        <v>75</v>
      </c>
      <c r="K229" s="11">
        <v>1299</v>
      </c>
      <c r="L229" s="49" t="s">
        <v>32</v>
      </c>
      <c r="M229" s="49" t="s">
        <v>76</v>
      </c>
      <c r="N229" s="49" t="s">
        <v>84</v>
      </c>
      <c r="O229" s="49" t="s">
        <v>85</v>
      </c>
      <c r="P229" s="48" t="s">
        <v>79</v>
      </c>
      <c r="Q229" s="49" t="s">
        <v>33</v>
      </c>
      <c r="R229" s="11" t="s">
        <v>80</v>
      </c>
      <c r="S229" s="11" t="s">
        <v>81</v>
      </c>
      <c r="T229" s="11" t="s">
        <v>159</v>
      </c>
      <c r="U229" s="11" t="s">
        <v>2714</v>
      </c>
      <c r="V229" s="116" t="str">
        <f>VLOOKUP(Table1[[#This Row],[Psoft No]],[2]Sheet1!$A$2:$G$386,7,0)</f>
        <v>P</v>
      </c>
      <c r="W229" s="88"/>
      <c r="X229" s="51">
        <v>45524</v>
      </c>
      <c r="Y229" s="102" t="s">
        <v>1569</v>
      </c>
      <c r="Z229" s="135" t="s">
        <v>2</v>
      </c>
      <c r="AA229" s="135">
        <v>0</v>
      </c>
    </row>
    <row r="230" spans="1:27" ht="13" customHeight="1">
      <c r="A230" s="11">
        <v>224</v>
      </c>
      <c r="B230" s="47">
        <v>206953795</v>
      </c>
      <c r="C230" s="89" t="s">
        <v>2107</v>
      </c>
      <c r="D230" s="11" t="s">
        <v>2030</v>
      </c>
      <c r="E230" s="48" t="s">
        <v>31</v>
      </c>
      <c r="F230" s="48" t="s">
        <v>74</v>
      </c>
      <c r="G230" s="11" t="s">
        <v>64</v>
      </c>
      <c r="H230" s="48" t="str">
        <f>VLOOKUP(Table1[[#This Row],[Psoft No]],[1]Roster!$C$2:$H$1402,6,)</f>
        <v>AUH1</v>
      </c>
      <c r="I230" s="48" t="b">
        <f>Table1[[#This Row],[Building]]=Table1[[#This Row],[Column1]]</f>
        <v>1</v>
      </c>
      <c r="J230" s="11" t="s">
        <v>75</v>
      </c>
      <c r="K230" s="11">
        <v>1299</v>
      </c>
      <c r="L230" s="49" t="s">
        <v>32</v>
      </c>
      <c r="M230" s="49" t="s">
        <v>76</v>
      </c>
      <c r="N230" s="49" t="s">
        <v>92</v>
      </c>
      <c r="O230" s="49" t="s">
        <v>84</v>
      </c>
      <c r="P230" s="48" t="s">
        <v>86</v>
      </c>
      <c r="Q230" s="49" t="s">
        <v>33</v>
      </c>
      <c r="R230" s="11" t="s">
        <v>80</v>
      </c>
      <c r="S230" s="11" t="s">
        <v>96</v>
      </c>
      <c r="T230" s="11" t="s">
        <v>159</v>
      </c>
      <c r="U230" s="11" t="s">
        <v>2714</v>
      </c>
      <c r="V230" s="116" t="s">
        <v>10</v>
      </c>
      <c r="W230" s="88"/>
      <c r="X230" s="51">
        <v>46048</v>
      </c>
      <c r="Y230" s="97" t="s">
        <v>1569</v>
      </c>
      <c r="Z230" s="135" t="s">
        <v>3023</v>
      </c>
      <c r="AA230" s="135">
        <v>0</v>
      </c>
    </row>
    <row r="231" spans="1:27" ht="13" customHeight="1">
      <c r="A231" s="11">
        <v>225</v>
      </c>
      <c r="B231" s="47">
        <v>203800481</v>
      </c>
      <c r="C231" s="89" t="s">
        <v>399</v>
      </c>
      <c r="D231" s="11" t="s">
        <v>400</v>
      </c>
      <c r="E231" s="48" t="s">
        <v>31</v>
      </c>
      <c r="F231" s="48" t="s">
        <v>74</v>
      </c>
      <c r="G231" s="11" t="s">
        <v>64</v>
      </c>
      <c r="H231" s="48" t="str">
        <f>VLOOKUP(Table1[[#This Row],[Psoft No]],[1]Roster!$C$2:$H$1402,6,)</f>
        <v>AUH1</v>
      </c>
      <c r="I231" s="48" t="b">
        <f>Table1[[#This Row],[Building]]=Table1[[#This Row],[Column1]]</f>
        <v>1</v>
      </c>
      <c r="J231" s="11" t="s">
        <v>75</v>
      </c>
      <c r="K231" s="11">
        <v>1299</v>
      </c>
      <c r="L231" s="49" t="s">
        <v>32</v>
      </c>
      <c r="M231" s="49" t="s">
        <v>76</v>
      </c>
      <c r="N231" s="49" t="s">
        <v>78</v>
      </c>
      <c r="O231" s="49" t="s">
        <v>92</v>
      </c>
      <c r="P231" s="48" t="s">
        <v>86</v>
      </c>
      <c r="Q231" s="49" t="s">
        <v>35</v>
      </c>
      <c r="R231" s="11" t="s">
        <v>80</v>
      </c>
      <c r="S231" s="11" t="s">
        <v>90</v>
      </c>
      <c r="T231" s="11" t="s">
        <v>225</v>
      </c>
      <c r="U231" s="11" t="s">
        <v>226</v>
      </c>
      <c r="V231" s="116" t="s">
        <v>10</v>
      </c>
      <c r="W231" s="88"/>
      <c r="X231" s="51">
        <v>45516</v>
      </c>
      <c r="Y231" s="97" t="s">
        <v>1573</v>
      </c>
      <c r="Z231" s="135" t="s">
        <v>3023</v>
      </c>
      <c r="AA231" s="135">
        <v>0</v>
      </c>
    </row>
    <row r="232" spans="1:27" ht="13" customHeight="1">
      <c r="A232" s="11">
        <v>226</v>
      </c>
      <c r="B232" s="47">
        <v>205977130</v>
      </c>
      <c r="C232" s="89" t="s">
        <v>164</v>
      </c>
      <c r="D232" s="11" t="s">
        <v>165</v>
      </c>
      <c r="E232" s="48" t="s">
        <v>31</v>
      </c>
      <c r="F232" s="48" t="s">
        <v>74</v>
      </c>
      <c r="G232" s="11" t="s">
        <v>64</v>
      </c>
      <c r="H232" s="48" t="str">
        <f>VLOOKUP(Table1[[#This Row],[Psoft No]],[1]Roster!$C$2:$H$1402,6,)</f>
        <v>AUH1</v>
      </c>
      <c r="I232" s="48" t="b">
        <f>Table1[[#This Row],[Building]]=Table1[[#This Row],[Column1]]</f>
        <v>1</v>
      </c>
      <c r="J232" s="11" t="s">
        <v>75</v>
      </c>
      <c r="K232" s="11">
        <v>1299</v>
      </c>
      <c r="L232" s="49" t="s">
        <v>32</v>
      </c>
      <c r="M232" s="49" t="s">
        <v>76</v>
      </c>
      <c r="N232" s="49" t="s">
        <v>92</v>
      </c>
      <c r="O232" s="49" t="s">
        <v>84</v>
      </c>
      <c r="P232" s="48" t="s">
        <v>86</v>
      </c>
      <c r="Q232" s="49" t="s">
        <v>33</v>
      </c>
      <c r="R232" s="11" t="s">
        <v>80</v>
      </c>
      <c r="S232" s="11" t="s">
        <v>90</v>
      </c>
      <c r="T232" s="11" t="s">
        <v>159</v>
      </c>
      <c r="U232" s="11" t="s">
        <v>2714</v>
      </c>
      <c r="V232" s="116" t="s">
        <v>10</v>
      </c>
      <c r="W232" s="88"/>
      <c r="X232" s="51">
        <v>45915</v>
      </c>
      <c r="Y232" s="97" t="s">
        <v>1569</v>
      </c>
      <c r="Z232" s="135" t="s">
        <v>3023</v>
      </c>
      <c r="AA232" s="135">
        <v>0</v>
      </c>
    </row>
    <row r="233" spans="1:27" ht="13" customHeight="1">
      <c r="A233" s="11">
        <v>227</v>
      </c>
      <c r="B233" s="47">
        <v>203555224</v>
      </c>
      <c r="C233" s="89" t="s">
        <v>1348</v>
      </c>
      <c r="D233" s="11" t="s">
        <v>1349</v>
      </c>
      <c r="E233" s="48" t="s">
        <v>31</v>
      </c>
      <c r="F233" s="48" t="s">
        <v>74</v>
      </c>
      <c r="G233" s="48" t="s">
        <v>64</v>
      </c>
      <c r="H233" s="48" t="str">
        <f>VLOOKUP(Table1[[#This Row],[Psoft No]],[1]Roster!$C$2:$H$1402,6,)</f>
        <v>AUH1</v>
      </c>
      <c r="I233" s="48" t="b">
        <f>Table1[[#This Row],[Building]]=Table1[[#This Row],[Column1]]</f>
        <v>1</v>
      </c>
      <c r="J233" s="48" t="s">
        <v>75</v>
      </c>
      <c r="K233" s="11">
        <v>1299</v>
      </c>
      <c r="L233" s="49" t="s">
        <v>32</v>
      </c>
      <c r="M233" s="49" t="s">
        <v>76</v>
      </c>
      <c r="N233" s="49" t="s">
        <v>77</v>
      </c>
      <c r="O233" s="49" t="s">
        <v>78</v>
      </c>
      <c r="P233" s="49" t="s">
        <v>79</v>
      </c>
      <c r="Q233" s="48" t="s">
        <v>33</v>
      </c>
      <c r="R233" s="48" t="s">
        <v>80</v>
      </c>
      <c r="S233" s="11" t="s">
        <v>81</v>
      </c>
      <c r="T233" s="11" t="s">
        <v>159</v>
      </c>
      <c r="U233" s="11" t="s">
        <v>2714</v>
      </c>
      <c r="V233" s="116" t="str">
        <f>VLOOKUP(Table1[[#This Row],[Psoft No]],[2]Sheet1!$A$2:$G$386,7,0)</f>
        <v>P</v>
      </c>
      <c r="W233" s="88"/>
      <c r="X233" s="51">
        <v>45470</v>
      </c>
      <c r="Y233" s="102" t="s">
        <v>68</v>
      </c>
      <c r="Z233" s="135" t="s">
        <v>2</v>
      </c>
      <c r="AA233" s="135">
        <v>0</v>
      </c>
    </row>
    <row r="234" spans="1:27" ht="13" customHeight="1">
      <c r="A234" s="11">
        <v>228</v>
      </c>
      <c r="B234" s="47">
        <v>206953381</v>
      </c>
      <c r="C234" s="89" t="s">
        <v>2108</v>
      </c>
      <c r="D234" s="11" t="s">
        <v>2031</v>
      </c>
      <c r="E234" s="48" t="s">
        <v>31</v>
      </c>
      <c r="F234" s="48" t="s">
        <v>74</v>
      </c>
      <c r="G234" s="11" t="s">
        <v>64</v>
      </c>
      <c r="H234" s="48" t="str">
        <f>VLOOKUP(Table1[[#This Row],[Psoft No]],[1]Roster!$C$2:$H$1402,6,)</f>
        <v>AUH1</v>
      </c>
      <c r="I234" s="48" t="b">
        <f>Table1[[#This Row],[Building]]=Table1[[#This Row],[Column1]]</f>
        <v>1</v>
      </c>
      <c r="J234" s="11" t="s">
        <v>75</v>
      </c>
      <c r="K234" s="11">
        <v>1299</v>
      </c>
      <c r="L234" s="49" t="s">
        <v>32</v>
      </c>
      <c r="M234" s="49" t="s">
        <v>76</v>
      </c>
      <c r="N234" s="49" t="s">
        <v>92</v>
      </c>
      <c r="O234" s="49" t="s">
        <v>84</v>
      </c>
      <c r="P234" s="48" t="s">
        <v>86</v>
      </c>
      <c r="Q234" s="49" t="s">
        <v>33</v>
      </c>
      <c r="R234" s="11" t="s">
        <v>80</v>
      </c>
      <c r="S234" s="11" t="s">
        <v>96</v>
      </c>
      <c r="T234" s="11" t="s">
        <v>159</v>
      </c>
      <c r="U234" s="11" t="s">
        <v>2714</v>
      </c>
      <c r="V234" s="116" t="s">
        <v>10</v>
      </c>
      <c r="W234" s="88"/>
      <c r="X234" s="51">
        <v>46048</v>
      </c>
      <c r="Y234" s="97" t="s">
        <v>1569</v>
      </c>
      <c r="Z234" s="135" t="s">
        <v>3023</v>
      </c>
      <c r="AA234" s="135">
        <v>0</v>
      </c>
    </row>
    <row r="235" spans="1:27" ht="13" customHeight="1">
      <c r="A235" s="11">
        <v>229</v>
      </c>
      <c r="B235" s="47">
        <v>205996683</v>
      </c>
      <c r="C235" s="89" t="s">
        <v>166</v>
      </c>
      <c r="D235" s="11" t="s">
        <v>167</v>
      </c>
      <c r="E235" s="48" t="s">
        <v>31</v>
      </c>
      <c r="F235" s="48" t="s">
        <v>74</v>
      </c>
      <c r="G235" s="11" t="s">
        <v>64</v>
      </c>
      <c r="H235" s="48" t="str">
        <f>VLOOKUP(Table1[[#This Row],[Psoft No]],[1]Roster!$C$2:$H$1402,6,)</f>
        <v>AUH1</v>
      </c>
      <c r="I235" s="48" t="b">
        <f>Table1[[#This Row],[Building]]=Table1[[#This Row],[Column1]]</f>
        <v>1</v>
      </c>
      <c r="J235" s="11" t="s">
        <v>75</v>
      </c>
      <c r="K235" s="11">
        <v>1299</v>
      </c>
      <c r="L235" s="49" t="s">
        <v>32</v>
      </c>
      <c r="M235" s="49" t="s">
        <v>76</v>
      </c>
      <c r="N235" s="49" t="s">
        <v>84</v>
      </c>
      <c r="O235" s="49" t="s">
        <v>85</v>
      </c>
      <c r="P235" s="49" t="s">
        <v>79</v>
      </c>
      <c r="Q235" s="49" t="s">
        <v>33</v>
      </c>
      <c r="R235" s="11" t="s">
        <v>80</v>
      </c>
      <c r="S235" s="11" t="s">
        <v>81</v>
      </c>
      <c r="T235" s="11" t="s">
        <v>159</v>
      </c>
      <c r="U235" s="11" t="s">
        <v>2714</v>
      </c>
      <c r="V235" s="116" t="str">
        <f>VLOOKUP(Table1[[#This Row],[Psoft No]],[2]Sheet1!$A$2:$G$386,7,0)</f>
        <v>P</v>
      </c>
      <c r="W235" s="88"/>
      <c r="X235" s="51">
        <v>45915</v>
      </c>
      <c r="Y235" s="97" t="s">
        <v>1569</v>
      </c>
      <c r="Z235" s="135" t="s">
        <v>2</v>
      </c>
      <c r="AA235" s="135">
        <v>0</v>
      </c>
    </row>
    <row r="236" spans="1:27" ht="13" customHeight="1">
      <c r="A236" s="11">
        <v>230</v>
      </c>
      <c r="B236" s="47">
        <v>206192647</v>
      </c>
      <c r="C236" s="89" t="s">
        <v>1644</v>
      </c>
      <c r="D236" s="11" t="s">
        <v>1630</v>
      </c>
      <c r="E236" s="48" t="s">
        <v>31</v>
      </c>
      <c r="F236" s="48" t="s">
        <v>74</v>
      </c>
      <c r="G236" s="11" t="s">
        <v>64</v>
      </c>
      <c r="H236" s="48" t="str">
        <f>VLOOKUP(Table1[[#This Row],[Psoft No]],[1]Roster!$C$2:$H$1402,6,)</f>
        <v>AUH1</v>
      </c>
      <c r="I236" s="48" t="b">
        <f>Table1[[#This Row],[Building]]=Table1[[#This Row],[Column1]]</f>
        <v>1</v>
      </c>
      <c r="J236" s="11" t="s">
        <v>75</v>
      </c>
      <c r="K236" s="11">
        <v>1299</v>
      </c>
      <c r="L236" s="49" t="s">
        <v>32</v>
      </c>
      <c r="M236" s="49" t="s">
        <v>76</v>
      </c>
      <c r="N236" s="49" t="s">
        <v>78</v>
      </c>
      <c r="O236" s="49" t="s">
        <v>92</v>
      </c>
      <c r="P236" s="48" t="s">
        <v>79</v>
      </c>
      <c r="Q236" s="49" t="s">
        <v>33</v>
      </c>
      <c r="R236" s="11" t="s">
        <v>80</v>
      </c>
      <c r="S236" s="11" t="s">
        <v>96</v>
      </c>
      <c r="T236" s="11" t="s">
        <v>159</v>
      </c>
      <c r="U236" s="11" t="s">
        <v>2714</v>
      </c>
      <c r="V236" s="116" t="s">
        <v>10</v>
      </c>
      <c r="W236" s="88"/>
      <c r="X236" s="51">
        <v>45943</v>
      </c>
      <c r="Y236" s="97" t="s">
        <v>1569</v>
      </c>
      <c r="Z236" s="135" t="s">
        <v>3023</v>
      </c>
      <c r="AA236" s="135">
        <v>0</v>
      </c>
    </row>
    <row r="237" spans="1:27" ht="13" customHeight="1">
      <c r="A237" s="11">
        <v>231</v>
      </c>
      <c r="B237" s="47">
        <v>206953797</v>
      </c>
      <c r="C237" s="89" t="s">
        <v>2109</v>
      </c>
      <c r="D237" s="11" t="s">
        <v>2032</v>
      </c>
      <c r="E237" s="48" t="s">
        <v>31</v>
      </c>
      <c r="F237" s="48" t="s">
        <v>74</v>
      </c>
      <c r="G237" s="11" t="s">
        <v>64</v>
      </c>
      <c r="H237" s="48" t="str">
        <f>VLOOKUP(Table1[[#This Row],[Psoft No]],[1]Roster!$C$2:$H$1402,6,)</f>
        <v>AUH1</v>
      </c>
      <c r="I237" s="48" t="b">
        <f>Table1[[#This Row],[Building]]=Table1[[#This Row],[Column1]]</f>
        <v>1</v>
      </c>
      <c r="J237" s="11" t="s">
        <v>75</v>
      </c>
      <c r="K237" s="11">
        <v>1299</v>
      </c>
      <c r="L237" s="49" t="s">
        <v>32</v>
      </c>
      <c r="M237" s="49" t="s">
        <v>76</v>
      </c>
      <c r="N237" s="49" t="s">
        <v>92</v>
      </c>
      <c r="O237" s="49" t="s">
        <v>84</v>
      </c>
      <c r="P237" s="48" t="s">
        <v>86</v>
      </c>
      <c r="Q237" s="49" t="s">
        <v>33</v>
      </c>
      <c r="R237" s="11" t="s">
        <v>80</v>
      </c>
      <c r="S237" s="11" t="s">
        <v>96</v>
      </c>
      <c r="T237" s="11" t="s">
        <v>159</v>
      </c>
      <c r="U237" s="11" t="s">
        <v>2714</v>
      </c>
      <c r="V237" s="116" t="s">
        <v>10</v>
      </c>
      <c r="W237" s="88"/>
      <c r="X237" s="51">
        <v>46048</v>
      </c>
      <c r="Y237" s="97" t="s">
        <v>1569</v>
      </c>
      <c r="Z237" s="135" t="s">
        <v>3023</v>
      </c>
      <c r="AA237" s="135">
        <v>0</v>
      </c>
    </row>
    <row r="238" spans="1:27" ht="13" customHeight="1">
      <c r="A238" s="11">
        <v>232</v>
      </c>
      <c r="B238" s="47">
        <v>203850932</v>
      </c>
      <c r="C238" s="89" t="s">
        <v>168</v>
      </c>
      <c r="D238" s="11" t="s">
        <v>169</v>
      </c>
      <c r="E238" s="48" t="s">
        <v>31</v>
      </c>
      <c r="F238" s="48" t="s">
        <v>74</v>
      </c>
      <c r="G238" s="11" t="s">
        <v>64</v>
      </c>
      <c r="H238" s="48" t="str">
        <f>VLOOKUP(Table1[[#This Row],[Psoft No]],[1]Roster!$C$2:$H$1402,6,)</f>
        <v>AUH1</v>
      </c>
      <c r="I238" s="48" t="b">
        <f>Table1[[#This Row],[Building]]=Table1[[#This Row],[Column1]]</f>
        <v>1</v>
      </c>
      <c r="J238" s="11" t="s">
        <v>75</v>
      </c>
      <c r="K238" s="11">
        <v>1299</v>
      </c>
      <c r="L238" s="49" t="s">
        <v>32</v>
      </c>
      <c r="M238" s="49" t="s">
        <v>76</v>
      </c>
      <c r="N238" s="49" t="s">
        <v>84</v>
      </c>
      <c r="O238" s="49" t="s">
        <v>85</v>
      </c>
      <c r="P238" s="49" t="s">
        <v>79</v>
      </c>
      <c r="Q238" s="49" t="s">
        <v>33</v>
      </c>
      <c r="R238" s="11" t="s">
        <v>80</v>
      </c>
      <c r="S238" s="11" t="s">
        <v>81</v>
      </c>
      <c r="T238" s="11" t="s">
        <v>159</v>
      </c>
      <c r="U238" s="11" t="s">
        <v>2714</v>
      </c>
      <c r="V238" s="116" t="str">
        <f>VLOOKUP(Table1[[#This Row],[Psoft No]],[2]Sheet1!$A$2:$G$386,7,0)</f>
        <v>P</v>
      </c>
      <c r="W238" s="88"/>
      <c r="X238" s="51">
        <v>45524</v>
      </c>
      <c r="Y238" s="97" t="s">
        <v>1569</v>
      </c>
      <c r="Z238" s="135" t="s">
        <v>2</v>
      </c>
      <c r="AA238" s="135">
        <v>0</v>
      </c>
    </row>
    <row r="239" spans="1:27" ht="13" customHeight="1">
      <c r="A239" s="11">
        <v>233</v>
      </c>
      <c r="B239" s="47">
        <v>203709877</v>
      </c>
      <c r="C239" s="89" t="s">
        <v>170</v>
      </c>
      <c r="D239" s="11" t="s">
        <v>171</v>
      </c>
      <c r="E239" s="48" t="s">
        <v>31</v>
      </c>
      <c r="F239" s="48" t="s">
        <v>74</v>
      </c>
      <c r="G239" s="11" t="s">
        <v>64</v>
      </c>
      <c r="H239" s="48" t="str">
        <f>VLOOKUP(Table1[[#This Row],[Psoft No]],[1]Roster!$C$2:$H$1402,6,)</f>
        <v>AUH1</v>
      </c>
      <c r="I239" s="48" t="b">
        <f>Table1[[#This Row],[Building]]=Table1[[#This Row],[Column1]]</f>
        <v>1</v>
      </c>
      <c r="J239" s="11" t="s">
        <v>75</v>
      </c>
      <c r="K239" s="11">
        <v>1299</v>
      </c>
      <c r="L239" s="49" t="s">
        <v>32</v>
      </c>
      <c r="M239" s="49" t="s">
        <v>76</v>
      </c>
      <c r="N239" s="49" t="s">
        <v>77</v>
      </c>
      <c r="O239" s="49" t="s">
        <v>78</v>
      </c>
      <c r="P239" s="48" t="s">
        <v>86</v>
      </c>
      <c r="Q239" s="49" t="s">
        <v>33</v>
      </c>
      <c r="R239" s="11" t="s">
        <v>80</v>
      </c>
      <c r="S239" s="11" t="s">
        <v>99</v>
      </c>
      <c r="T239" s="11" t="s">
        <v>159</v>
      </c>
      <c r="U239" s="11" t="s">
        <v>2714</v>
      </c>
      <c r="V239" s="116" t="str">
        <f>VLOOKUP(Table1[[#This Row],[Psoft No]],[2]Sheet1!$A$2:$G$386,7,0)</f>
        <v>P</v>
      </c>
      <c r="W239" s="88"/>
      <c r="X239" s="51">
        <v>45495</v>
      </c>
      <c r="Y239" s="97" t="s">
        <v>1569</v>
      </c>
      <c r="Z239" s="135" t="s">
        <v>2</v>
      </c>
      <c r="AA239" s="135">
        <v>0</v>
      </c>
    </row>
    <row r="240" spans="1:27" ht="13" customHeight="1">
      <c r="A240" s="11">
        <v>234</v>
      </c>
      <c r="B240" s="47">
        <v>206953796</v>
      </c>
      <c r="C240" s="89" t="s">
        <v>2110</v>
      </c>
      <c r="D240" s="11" t="s">
        <v>2033</v>
      </c>
      <c r="E240" s="48" t="s">
        <v>31</v>
      </c>
      <c r="F240" s="48" t="s">
        <v>74</v>
      </c>
      <c r="G240" s="11" t="s">
        <v>64</v>
      </c>
      <c r="H240" s="48" t="str">
        <f>VLOOKUP(Table1[[#This Row],[Psoft No]],[1]Roster!$C$2:$H$1402,6,)</f>
        <v>AUH1</v>
      </c>
      <c r="I240" s="48" t="b">
        <f>Table1[[#This Row],[Building]]=Table1[[#This Row],[Column1]]</f>
        <v>1</v>
      </c>
      <c r="J240" s="11" t="s">
        <v>75</v>
      </c>
      <c r="K240" s="11">
        <v>1299</v>
      </c>
      <c r="L240" s="49" t="s">
        <v>32</v>
      </c>
      <c r="M240" s="49" t="s">
        <v>76</v>
      </c>
      <c r="N240" s="49" t="s">
        <v>92</v>
      </c>
      <c r="O240" s="49" t="s">
        <v>84</v>
      </c>
      <c r="P240" s="48" t="s">
        <v>86</v>
      </c>
      <c r="Q240" s="49" t="s">
        <v>33</v>
      </c>
      <c r="R240" s="11" t="s">
        <v>80</v>
      </c>
      <c r="S240" s="11" t="s">
        <v>96</v>
      </c>
      <c r="T240" s="11" t="s">
        <v>159</v>
      </c>
      <c r="U240" s="11" t="s">
        <v>2714</v>
      </c>
      <c r="V240" s="116" t="s">
        <v>10</v>
      </c>
      <c r="W240" s="88"/>
      <c r="X240" s="51">
        <v>46048</v>
      </c>
      <c r="Y240" s="97" t="s">
        <v>1569</v>
      </c>
      <c r="Z240" s="135" t="s">
        <v>3023</v>
      </c>
      <c r="AA240" s="135">
        <v>0</v>
      </c>
    </row>
    <row r="241" spans="1:27" ht="13" customHeight="1">
      <c r="A241" s="11">
        <v>235</v>
      </c>
      <c r="B241" s="47">
        <v>203850933</v>
      </c>
      <c r="C241" s="89" t="s">
        <v>172</v>
      </c>
      <c r="D241" s="11" t="s">
        <v>173</v>
      </c>
      <c r="E241" s="48" t="s">
        <v>31</v>
      </c>
      <c r="F241" s="48" t="s">
        <v>74</v>
      </c>
      <c r="G241" s="11" t="s">
        <v>64</v>
      </c>
      <c r="H241" s="48" t="str">
        <f>VLOOKUP(Table1[[#This Row],[Psoft No]],[1]Roster!$C$2:$H$1402,6,)</f>
        <v>AUH1</v>
      </c>
      <c r="I241" s="48" t="b">
        <f>Table1[[#This Row],[Building]]=Table1[[#This Row],[Column1]]</f>
        <v>1</v>
      </c>
      <c r="J241" s="11" t="s">
        <v>75</v>
      </c>
      <c r="K241" s="11">
        <v>1299</v>
      </c>
      <c r="L241" s="49" t="s">
        <v>32</v>
      </c>
      <c r="M241" s="49" t="s">
        <v>76</v>
      </c>
      <c r="N241" s="49" t="s">
        <v>95</v>
      </c>
      <c r="O241" s="49" t="s">
        <v>77</v>
      </c>
      <c r="P241" s="49" t="s">
        <v>79</v>
      </c>
      <c r="Q241" s="49" t="s">
        <v>33</v>
      </c>
      <c r="R241" s="11" t="s">
        <v>80</v>
      </c>
      <c r="S241" s="11" t="s">
        <v>81</v>
      </c>
      <c r="T241" s="11" t="s">
        <v>159</v>
      </c>
      <c r="U241" s="11" t="s">
        <v>2714</v>
      </c>
      <c r="V241" s="116" t="str">
        <f>VLOOKUP(Table1[[#This Row],[AMZ ID]],[2]Sheet3!$A$2:$E$50,5,0)</f>
        <v>PL</v>
      </c>
      <c r="W241" s="88" t="s">
        <v>3015</v>
      </c>
      <c r="X241" s="51">
        <v>45524</v>
      </c>
      <c r="Y241" s="97" t="s">
        <v>1569</v>
      </c>
      <c r="Z241" s="135" t="s">
        <v>3023</v>
      </c>
      <c r="AA241" s="135" t="s">
        <v>3025</v>
      </c>
    </row>
    <row r="242" spans="1:27" ht="13" customHeight="1">
      <c r="A242" s="11">
        <v>236</v>
      </c>
      <c r="B242" s="47">
        <v>203468509</v>
      </c>
      <c r="C242" s="89" t="s">
        <v>174</v>
      </c>
      <c r="D242" s="11" t="s">
        <v>175</v>
      </c>
      <c r="E242" s="48" t="s">
        <v>31</v>
      </c>
      <c r="F242" s="48" t="s">
        <v>74</v>
      </c>
      <c r="G242" s="11" t="s">
        <v>64</v>
      </c>
      <c r="H242" s="48" t="str">
        <f>VLOOKUP(Table1[[#This Row],[Psoft No]],[1]Roster!$C$2:$H$1402,6,)</f>
        <v>AUH1</v>
      </c>
      <c r="I242" s="48" t="b">
        <f>Table1[[#This Row],[Building]]=Table1[[#This Row],[Column1]]</f>
        <v>1</v>
      </c>
      <c r="J242" s="11" t="s">
        <v>75</v>
      </c>
      <c r="K242" s="11">
        <v>1299</v>
      </c>
      <c r="L242" s="49" t="s">
        <v>32</v>
      </c>
      <c r="M242" s="49" t="s">
        <v>76</v>
      </c>
      <c r="N242" s="49" t="s">
        <v>95</v>
      </c>
      <c r="O242" s="49" t="s">
        <v>77</v>
      </c>
      <c r="P242" s="48" t="s">
        <v>79</v>
      </c>
      <c r="Q242" s="49" t="s">
        <v>33</v>
      </c>
      <c r="R242" s="11" t="s">
        <v>80</v>
      </c>
      <c r="S242" s="11" t="s">
        <v>81</v>
      </c>
      <c r="T242" s="11" t="s">
        <v>159</v>
      </c>
      <c r="U242" s="11" t="s">
        <v>2714</v>
      </c>
      <c r="V242" s="116" t="str">
        <f>VLOOKUP(Table1[[#This Row],[Psoft No]],[2]Sheet1!$A$2:$G$386,7,0)</f>
        <v>P</v>
      </c>
      <c r="W242" s="88"/>
      <c r="X242" s="51">
        <v>45456</v>
      </c>
      <c r="Y242" s="97" t="s">
        <v>1569</v>
      </c>
      <c r="Z242" s="135" t="s">
        <v>2</v>
      </c>
      <c r="AA242" s="135">
        <v>0</v>
      </c>
    </row>
    <row r="243" spans="1:27" ht="13" customHeight="1">
      <c r="A243" s="11">
        <v>237</v>
      </c>
      <c r="B243" s="47">
        <v>206361763</v>
      </c>
      <c r="C243" s="89" t="s">
        <v>1664</v>
      </c>
      <c r="D243" s="11" t="s">
        <v>1665</v>
      </c>
      <c r="E243" s="48" t="s">
        <v>31</v>
      </c>
      <c r="F243" s="48" t="s">
        <v>74</v>
      </c>
      <c r="G243" s="11" t="s">
        <v>64</v>
      </c>
      <c r="H243" s="48" t="str">
        <f>VLOOKUP(Table1[[#This Row],[Psoft No]],[1]Roster!$C$2:$H$1402,6,)</f>
        <v>AUH1</v>
      </c>
      <c r="I243" s="48" t="b">
        <f>Table1[[#This Row],[Building]]=Table1[[#This Row],[Column1]]</f>
        <v>1</v>
      </c>
      <c r="J243" s="11" t="s">
        <v>75</v>
      </c>
      <c r="K243" s="11">
        <v>1299</v>
      </c>
      <c r="L243" s="49" t="s">
        <v>32</v>
      </c>
      <c r="M243" s="49" t="s">
        <v>76</v>
      </c>
      <c r="N243" s="49" t="s">
        <v>92</v>
      </c>
      <c r="O243" s="49" t="s">
        <v>84</v>
      </c>
      <c r="P243" s="48" t="s">
        <v>89</v>
      </c>
      <c r="Q243" s="49" t="s">
        <v>33</v>
      </c>
      <c r="R243" s="11" t="s">
        <v>80</v>
      </c>
      <c r="S243" s="11" t="s">
        <v>81</v>
      </c>
      <c r="T243" s="11" t="s">
        <v>159</v>
      </c>
      <c r="U243" s="11" t="s">
        <v>2714</v>
      </c>
      <c r="V243" s="116" t="s">
        <v>10</v>
      </c>
      <c r="W243" s="88"/>
      <c r="X243" s="51">
        <v>45957</v>
      </c>
      <c r="Y243" s="97" t="s">
        <v>1569</v>
      </c>
      <c r="Z243" s="135" t="s">
        <v>3023</v>
      </c>
      <c r="AA243" s="135">
        <v>0</v>
      </c>
    </row>
    <row r="244" spans="1:27" ht="13" customHeight="1">
      <c r="A244" s="11">
        <v>238</v>
      </c>
      <c r="B244" s="47">
        <v>203850934</v>
      </c>
      <c r="C244" s="89" t="s">
        <v>176</v>
      </c>
      <c r="D244" s="11" t="s">
        <v>177</v>
      </c>
      <c r="E244" s="48" t="s">
        <v>31</v>
      </c>
      <c r="F244" s="48" t="s">
        <v>74</v>
      </c>
      <c r="G244" s="11" t="s">
        <v>64</v>
      </c>
      <c r="H244" s="48" t="str">
        <f>VLOOKUP(Table1[[#This Row],[Psoft No]],[1]Roster!$C$2:$H$1402,6,)</f>
        <v>AUH1</v>
      </c>
      <c r="I244" s="48" t="b">
        <f>Table1[[#This Row],[Building]]=Table1[[#This Row],[Column1]]</f>
        <v>1</v>
      </c>
      <c r="J244" s="11" t="s">
        <v>75</v>
      </c>
      <c r="K244" s="11">
        <v>1299</v>
      </c>
      <c r="L244" s="49" t="s">
        <v>32</v>
      </c>
      <c r="M244" s="49" t="s">
        <v>76</v>
      </c>
      <c r="N244" s="49" t="s">
        <v>85</v>
      </c>
      <c r="O244" s="49" t="s">
        <v>88</v>
      </c>
      <c r="P244" s="49" t="s">
        <v>79</v>
      </c>
      <c r="Q244" s="49" t="s">
        <v>33</v>
      </c>
      <c r="R244" s="11" t="s">
        <v>80</v>
      </c>
      <c r="S244" s="11" t="s">
        <v>81</v>
      </c>
      <c r="T244" s="11" t="s">
        <v>159</v>
      </c>
      <c r="U244" s="11" t="s">
        <v>2714</v>
      </c>
      <c r="V244" s="116" t="str">
        <f>VLOOKUP(Table1[[#This Row],[Psoft No]],[2]Sheet1!$A$2:$G$386,7,0)</f>
        <v>P</v>
      </c>
      <c r="W244" s="88"/>
      <c r="X244" s="51">
        <v>45524</v>
      </c>
      <c r="Y244" s="97" t="s">
        <v>1569</v>
      </c>
      <c r="Z244" s="135" t="s">
        <v>2</v>
      </c>
      <c r="AA244" s="135">
        <v>0</v>
      </c>
    </row>
    <row r="245" spans="1:27" ht="13" customHeight="1">
      <c r="A245" s="11">
        <v>239</v>
      </c>
      <c r="B245" s="47">
        <v>205996686</v>
      </c>
      <c r="C245" s="89" t="s">
        <v>178</v>
      </c>
      <c r="D245" s="11" t="s">
        <v>179</v>
      </c>
      <c r="E245" s="48" t="s">
        <v>31</v>
      </c>
      <c r="F245" s="48" t="s">
        <v>74</v>
      </c>
      <c r="G245" s="11" t="s">
        <v>64</v>
      </c>
      <c r="H245" s="48" t="str">
        <f>VLOOKUP(Table1[[#This Row],[Psoft No]],[1]Roster!$C$2:$H$1402,6,)</f>
        <v>AUH1</v>
      </c>
      <c r="I245" s="48" t="b">
        <f>Table1[[#This Row],[Building]]=Table1[[#This Row],[Column1]]</f>
        <v>1</v>
      </c>
      <c r="J245" s="11" t="s">
        <v>75</v>
      </c>
      <c r="K245" s="11">
        <v>1299</v>
      </c>
      <c r="L245" s="49" t="s">
        <v>32</v>
      </c>
      <c r="M245" s="49" t="s">
        <v>76</v>
      </c>
      <c r="N245" s="49" t="s">
        <v>88</v>
      </c>
      <c r="O245" s="49" t="s">
        <v>95</v>
      </c>
      <c r="P245" s="48" t="s">
        <v>89</v>
      </c>
      <c r="Q245" s="49" t="s">
        <v>33</v>
      </c>
      <c r="R245" s="11" t="s">
        <v>80</v>
      </c>
      <c r="S245" s="11" t="s">
        <v>81</v>
      </c>
      <c r="T245" s="11" t="s">
        <v>159</v>
      </c>
      <c r="U245" s="11" t="s">
        <v>2714</v>
      </c>
      <c r="V245" s="116" t="str">
        <f>VLOOKUP(Table1[[#This Row],[Psoft No]],[2]Sheet1!$A$2:$G$386,7,0)</f>
        <v>P</v>
      </c>
      <c r="W245" s="88"/>
      <c r="X245" s="51">
        <v>45915</v>
      </c>
      <c r="Y245" s="97" t="s">
        <v>1569</v>
      </c>
      <c r="Z245" s="135" t="s">
        <v>2</v>
      </c>
      <c r="AA245" s="135">
        <v>0</v>
      </c>
    </row>
    <row r="246" spans="1:27" ht="13" customHeight="1">
      <c r="A246" s="11">
        <v>240</v>
      </c>
      <c r="B246" s="47">
        <v>203468508</v>
      </c>
      <c r="C246" s="89" t="s">
        <v>180</v>
      </c>
      <c r="D246" s="11" t="s">
        <v>181</v>
      </c>
      <c r="E246" s="48" t="s">
        <v>31</v>
      </c>
      <c r="F246" s="48" t="s">
        <v>74</v>
      </c>
      <c r="G246" s="11" t="s">
        <v>64</v>
      </c>
      <c r="H246" s="48" t="str">
        <f>VLOOKUP(Table1[[#This Row],[Psoft No]],[1]Roster!$C$2:$H$1402,6,)</f>
        <v>AUH1</v>
      </c>
      <c r="I246" s="48" t="b">
        <f>Table1[[#This Row],[Building]]=Table1[[#This Row],[Column1]]</f>
        <v>1</v>
      </c>
      <c r="J246" s="11" t="s">
        <v>75</v>
      </c>
      <c r="K246" s="11">
        <v>1299</v>
      </c>
      <c r="L246" s="49" t="s">
        <v>32</v>
      </c>
      <c r="M246" s="49" t="s">
        <v>76</v>
      </c>
      <c r="N246" s="49" t="s">
        <v>84</v>
      </c>
      <c r="O246" s="49" t="s">
        <v>85</v>
      </c>
      <c r="P246" s="49" t="s">
        <v>79</v>
      </c>
      <c r="Q246" s="49" t="s">
        <v>33</v>
      </c>
      <c r="R246" s="11" t="s">
        <v>80</v>
      </c>
      <c r="S246" s="11" t="s">
        <v>81</v>
      </c>
      <c r="T246" s="11" t="s">
        <v>159</v>
      </c>
      <c r="U246" s="11" t="s">
        <v>2714</v>
      </c>
      <c r="V246" s="116" t="str">
        <f>VLOOKUP(Table1[[#This Row],[Psoft No]],[2]Sheet1!$A$2:$G$386,7,0)</f>
        <v>P</v>
      </c>
      <c r="W246" s="88"/>
      <c r="X246" s="51">
        <v>45456</v>
      </c>
      <c r="Y246" s="97" t="s">
        <v>1569</v>
      </c>
      <c r="Z246" s="135" t="s">
        <v>2</v>
      </c>
      <c r="AA246" s="135">
        <v>0</v>
      </c>
    </row>
    <row r="247" spans="1:27" ht="13" customHeight="1">
      <c r="A247" s="11">
        <v>241</v>
      </c>
      <c r="B247" s="47">
        <v>204941770</v>
      </c>
      <c r="C247" s="89" t="s">
        <v>182</v>
      </c>
      <c r="D247" s="11" t="s">
        <v>183</v>
      </c>
      <c r="E247" s="48" t="s">
        <v>34</v>
      </c>
      <c r="F247" s="48" t="s">
        <v>74</v>
      </c>
      <c r="G247" s="11" t="s">
        <v>64</v>
      </c>
      <c r="H247" s="48" t="str">
        <f>VLOOKUP(Table1[[#This Row],[Psoft No]],[1]Roster!$C$2:$H$1402,6,)</f>
        <v>AUH1</v>
      </c>
      <c r="I247" s="48" t="b">
        <f>Table1[[#This Row],[Building]]=Table1[[#This Row],[Column1]]</f>
        <v>1</v>
      </c>
      <c r="J247" s="11" t="s">
        <v>75</v>
      </c>
      <c r="K247" s="11">
        <v>1299</v>
      </c>
      <c r="L247" s="49" t="s">
        <v>32</v>
      </c>
      <c r="M247" s="49" t="s">
        <v>76</v>
      </c>
      <c r="N247" s="49" t="s">
        <v>78</v>
      </c>
      <c r="O247" s="49" t="s">
        <v>92</v>
      </c>
      <c r="P247" s="48" t="s">
        <v>97</v>
      </c>
      <c r="Q247" s="49" t="s">
        <v>33</v>
      </c>
      <c r="R247" s="11" t="s">
        <v>80</v>
      </c>
      <c r="S247" s="11" t="s">
        <v>98</v>
      </c>
      <c r="T247" s="11" t="s">
        <v>159</v>
      </c>
      <c r="U247" s="11" t="s">
        <v>2714</v>
      </c>
      <c r="V247" s="116" t="s">
        <v>10</v>
      </c>
      <c r="W247" s="88"/>
      <c r="X247" s="51">
        <v>45733</v>
      </c>
      <c r="Y247" s="97" t="s">
        <v>1569</v>
      </c>
      <c r="Z247" s="135" t="s">
        <v>3023</v>
      </c>
      <c r="AA247" s="135">
        <v>0</v>
      </c>
    </row>
    <row r="248" spans="1:27" ht="13" customHeight="1">
      <c r="A248" s="11">
        <v>242</v>
      </c>
      <c r="B248" s="47">
        <v>203468507</v>
      </c>
      <c r="C248" s="89" t="s">
        <v>184</v>
      </c>
      <c r="D248" s="11" t="s">
        <v>185</v>
      </c>
      <c r="E248" s="48" t="s">
        <v>31</v>
      </c>
      <c r="F248" s="48" t="s">
        <v>74</v>
      </c>
      <c r="G248" s="11" t="s">
        <v>64</v>
      </c>
      <c r="H248" s="48" t="str">
        <f>VLOOKUP(Table1[[#This Row],[Psoft No]],[1]Roster!$C$2:$H$1402,6,)</f>
        <v>AUH1</v>
      </c>
      <c r="I248" s="48" t="b">
        <f>Table1[[#This Row],[Building]]=Table1[[#This Row],[Column1]]</f>
        <v>1</v>
      </c>
      <c r="J248" s="11" t="s">
        <v>75</v>
      </c>
      <c r="K248" s="11">
        <v>1299</v>
      </c>
      <c r="L248" s="49" t="s">
        <v>39</v>
      </c>
      <c r="M248" s="49" t="s">
        <v>76</v>
      </c>
      <c r="N248" s="49" t="s">
        <v>85</v>
      </c>
      <c r="O248" s="49" t="s">
        <v>88</v>
      </c>
      <c r="P248" s="48" t="s">
        <v>79</v>
      </c>
      <c r="Q248" s="49" t="s">
        <v>33</v>
      </c>
      <c r="R248" s="11" t="s">
        <v>80</v>
      </c>
      <c r="S248" s="11" t="s">
        <v>81</v>
      </c>
      <c r="T248" s="11" t="s">
        <v>159</v>
      </c>
      <c r="U248" s="11" t="s">
        <v>2714</v>
      </c>
      <c r="V248" s="116" t="s">
        <v>1</v>
      </c>
      <c r="W248" s="88"/>
      <c r="X248" s="51">
        <v>45456</v>
      </c>
      <c r="Y248" s="97" t="s">
        <v>1569</v>
      </c>
      <c r="Z248" s="135" t="s">
        <v>2</v>
      </c>
      <c r="AA248" s="135">
        <v>0</v>
      </c>
    </row>
    <row r="249" spans="1:27" ht="13" customHeight="1">
      <c r="A249" s="11">
        <v>243</v>
      </c>
      <c r="B249" s="47">
        <v>106268319</v>
      </c>
      <c r="C249" s="89" t="s">
        <v>186</v>
      </c>
      <c r="D249" s="11" t="s">
        <v>187</v>
      </c>
      <c r="E249" s="48" t="s">
        <v>34</v>
      </c>
      <c r="F249" s="48" t="s">
        <v>74</v>
      </c>
      <c r="G249" s="11" t="s">
        <v>64</v>
      </c>
      <c r="H249" s="48" t="str">
        <f>VLOOKUP(Table1[[#This Row],[Psoft No]],[1]Roster!$C$2:$H$1402,6,)</f>
        <v>AUH1</v>
      </c>
      <c r="I249" s="48" t="b">
        <f>Table1[[#This Row],[Building]]=Table1[[#This Row],[Column1]]</f>
        <v>1</v>
      </c>
      <c r="J249" s="11" t="s">
        <v>75</v>
      </c>
      <c r="K249" s="11">
        <v>1299</v>
      </c>
      <c r="L249" s="49" t="s">
        <v>32</v>
      </c>
      <c r="M249" s="49" t="s">
        <v>76</v>
      </c>
      <c r="N249" s="49" t="s">
        <v>95</v>
      </c>
      <c r="O249" s="49" t="s">
        <v>77</v>
      </c>
      <c r="P249" s="48" t="s">
        <v>108</v>
      </c>
      <c r="Q249" s="49" t="s">
        <v>33</v>
      </c>
      <c r="R249" s="11" t="s">
        <v>80</v>
      </c>
      <c r="S249" s="11" t="s">
        <v>98</v>
      </c>
      <c r="T249" s="11" t="s">
        <v>159</v>
      </c>
      <c r="U249" s="11" t="s">
        <v>2714</v>
      </c>
      <c r="V249" s="116" t="str">
        <f>VLOOKUP(Table1[[#This Row],[Psoft No]],[2]Sheet1!$A$2:$G$386,7,0)</f>
        <v>P</v>
      </c>
      <c r="W249" s="88"/>
      <c r="X249" s="51">
        <v>44757</v>
      </c>
      <c r="Y249" s="97" t="s">
        <v>1569</v>
      </c>
      <c r="Z249" s="135" t="s">
        <v>2</v>
      </c>
      <c r="AA249" s="135">
        <v>0</v>
      </c>
    </row>
    <row r="250" spans="1:27" ht="13" customHeight="1">
      <c r="A250" s="11">
        <v>244</v>
      </c>
      <c r="B250" s="47">
        <v>206149617</v>
      </c>
      <c r="C250" s="89" t="s">
        <v>188</v>
      </c>
      <c r="D250" s="11" t="s">
        <v>189</v>
      </c>
      <c r="E250" s="48" t="s">
        <v>31</v>
      </c>
      <c r="F250" s="48" t="s">
        <v>74</v>
      </c>
      <c r="G250" s="11" t="s">
        <v>64</v>
      </c>
      <c r="H250" s="48" t="str">
        <f>VLOOKUP(Table1[[#This Row],[Psoft No]],[1]Roster!$C$2:$H$1402,6,)</f>
        <v>AUH1</v>
      </c>
      <c r="I250" s="48" t="b">
        <f>Table1[[#This Row],[Building]]=Table1[[#This Row],[Column1]]</f>
        <v>1</v>
      </c>
      <c r="J250" s="11" t="s">
        <v>75</v>
      </c>
      <c r="K250" s="11">
        <v>1299</v>
      </c>
      <c r="L250" s="49" t="s">
        <v>32</v>
      </c>
      <c r="M250" s="49" t="s">
        <v>76</v>
      </c>
      <c r="N250" s="49" t="s">
        <v>78</v>
      </c>
      <c r="O250" s="49" t="s">
        <v>92</v>
      </c>
      <c r="P250" s="48" t="s">
        <v>79</v>
      </c>
      <c r="Q250" s="49" t="s">
        <v>33</v>
      </c>
      <c r="R250" s="11" t="s">
        <v>80</v>
      </c>
      <c r="S250" s="11" t="s">
        <v>81</v>
      </c>
      <c r="T250" s="11" t="s">
        <v>159</v>
      </c>
      <c r="U250" s="11" t="s">
        <v>2714</v>
      </c>
      <c r="V250" s="116" t="s">
        <v>10</v>
      </c>
      <c r="W250" s="88"/>
      <c r="X250" s="51">
        <v>45929</v>
      </c>
      <c r="Y250" s="97" t="s">
        <v>1569</v>
      </c>
      <c r="Z250" s="135" t="s">
        <v>3023</v>
      </c>
      <c r="AA250" s="135">
        <v>0</v>
      </c>
    </row>
    <row r="251" spans="1:27" ht="13" customHeight="1">
      <c r="A251" s="11">
        <v>245</v>
      </c>
      <c r="B251" s="47">
        <v>102577243</v>
      </c>
      <c r="C251" s="89" t="s">
        <v>190</v>
      </c>
      <c r="D251" s="11" t="s">
        <v>191</v>
      </c>
      <c r="E251" s="48" t="s">
        <v>34</v>
      </c>
      <c r="F251" s="48" t="s">
        <v>74</v>
      </c>
      <c r="G251" s="11" t="s">
        <v>64</v>
      </c>
      <c r="H251" s="48" t="str">
        <f>VLOOKUP(Table1[[#This Row],[Psoft No]],[1]Roster!$C$2:$H$1402,6,)</f>
        <v>AUH1</v>
      </c>
      <c r="I251" s="48" t="b">
        <f>Table1[[#This Row],[Building]]=Table1[[#This Row],[Column1]]</f>
        <v>1</v>
      </c>
      <c r="J251" s="11" t="s">
        <v>75</v>
      </c>
      <c r="K251" s="11">
        <v>1299</v>
      </c>
      <c r="L251" s="49" t="s">
        <v>32</v>
      </c>
      <c r="M251" s="49" t="s">
        <v>76</v>
      </c>
      <c r="N251" s="49" t="s">
        <v>95</v>
      </c>
      <c r="O251" s="49" t="s">
        <v>77</v>
      </c>
      <c r="P251" s="48" t="s">
        <v>97</v>
      </c>
      <c r="Q251" s="49" t="s">
        <v>33</v>
      </c>
      <c r="R251" s="11" t="s">
        <v>80</v>
      </c>
      <c r="S251" s="11" t="s">
        <v>98</v>
      </c>
      <c r="T251" s="11" t="s">
        <v>159</v>
      </c>
      <c r="U251" s="11" t="s">
        <v>2714</v>
      </c>
      <c r="V251" s="116" t="str">
        <f>VLOOKUP(Table1[[#This Row],[Psoft No]],[2]Sheet1!$A$2:$G$386,7,0)</f>
        <v>P</v>
      </c>
      <c r="W251" s="88"/>
      <c r="X251" s="51">
        <v>42913</v>
      </c>
      <c r="Y251" s="97" t="s">
        <v>1569</v>
      </c>
      <c r="Z251" s="135" t="e">
        <v>#N/A</v>
      </c>
      <c r="AA251" s="135" t="e">
        <v>#N/A</v>
      </c>
    </row>
    <row r="252" spans="1:27" ht="13" customHeight="1">
      <c r="A252" s="11">
        <v>246</v>
      </c>
      <c r="B252" s="47">
        <v>204095446</v>
      </c>
      <c r="C252" s="89" t="s">
        <v>1386</v>
      </c>
      <c r="D252" s="11" t="s">
        <v>1387</v>
      </c>
      <c r="E252" s="48" t="s">
        <v>31</v>
      </c>
      <c r="F252" s="48" t="s">
        <v>74</v>
      </c>
      <c r="G252" s="11" t="s">
        <v>64</v>
      </c>
      <c r="H252" s="48" t="str">
        <f>VLOOKUP(Table1[[#This Row],[Psoft No]],[1]Roster!$C$2:$H$1402,6,)</f>
        <v>AUH1</v>
      </c>
      <c r="I252" s="48" t="b">
        <f>Table1[[#This Row],[Building]]=Table1[[#This Row],[Column1]]</f>
        <v>1</v>
      </c>
      <c r="J252" s="11" t="s">
        <v>75</v>
      </c>
      <c r="K252" s="11">
        <v>1181</v>
      </c>
      <c r="L252" s="49" t="s">
        <v>32</v>
      </c>
      <c r="M252" s="49" t="s">
        <v>76</v>
      </c>
      <c r="N252" s="49" t="s">
        <v>85</v>
      </c>
      <c r="O252" s="49" t="s">
        <v>88</v>
      </c>
      <c r="P252" s="48" t="s">
        <v>86</v>
      </c>
      <c r="Q252" s="49" t="s">
        <v>33</v>
      </c>
      <c r="R252" s="11" t="s">
        <v>80</v>
      </c>
      <c r="S252" s="11" t="s">
        <v>87</v>
      </c>
      <c r="T252" s="11" t="s">
        <v>159</v>
      </c>
      <c r="U252" s="11" t="s">
        <v>2714</v>
      </c>
      <c r="V252" s="116" t="str">
        <f>VLOOKUP(Table1[[#This Row],[Psoft No]],[2]Sheet1!$A$2:$G$386,7,0)</f>
        <v>P</v>
      </c>
      <c r="W252" s="88"/>
      <c r="X252" s="51">
        <v>45561</v>
      </c>
      <c r="Y252" s="97" t="s">
        <v>1569</v>
      </c>
      <c r="Z252" s="135" t="s">
        <v>2</v>
      </c>
      <c r="AA252" s="135">
        <v>0</v>
      </c>
    </row>
    <row r="253" spans="1:27" ht="13" customHeight="1">
      <c r="A253" s="11">
        <v>247</v>
      </c>
      <c r="B253" s="47">
        <v>206239528</v>
      </c>
      <c r="C253" s="89" t="s">
        <v>1645</v>
      </c>
      <c r="D253" s="11" t="s">
        <v>1629</v>
      </c>
      <c r="E253" s="48" t="s">
        <v>31</v>
      </c>
      <c r="F253" s="48" t="s">
        <v>74</v>
      </c>
      <c r="G253" s="11" t="s">
        <v>64</v>
      </c>
      <c r="H253" s="48" t="str">
        <f>VLOOKUP(Table1[[#This Row],[Psoft No]],[1]Roster!$C$2:$H$1402,6,)</f>
        <v>AUH1</v>
      </c>
      <c r="I253" s="48" t="b">
        <f>Table1[[#This Row],[Building]]=Table1[[#This Row],[Column1]]</f>
        <v>1</v>
      </c>
      <c r="J253" s="11" t="s">
        <v>75</v>
      </c>
      <c r="K253" s="11">
        <v>1299</v>
      </c>
      <c r="L253" s="49" t="s">
        <v>32</v>
      </c>
      <c r="M253" s="49" t="s">
        <v>76</v>
      </c>
      <c r="N253" s="49" t="s">
        <v>95</v>
      </c>
      <c r="O253" s="49" t="s">
        <v>77</v>
      </c>
      <c r="P253" s="48" t="s">
        <v>79</v>
      </c>
      <c r="Q253" s="49" t="s">
        <v>33</v>
      </c>
      <c r="R253" s="11" t="s">
        <v>80</v>
      </c>
      <c r="S253" s="11" t="s">
        <v>81</v>
      </c>
      <c r="T253" s="11" t="s">
        <v>159</v>
      </c>
      <c r="U253" s="11" t="s">
        <v>2714</v>
      </c>
      <c r="V253" s="116" t="str">
        <f>VLOOKUP(Table1[[#This Row],[Psoft No]],[2]Sheet1!$A$2:$G$386,7,0)</f>
        <v>P</v>
      </c>
      <c r="W253" s="88"/>
      <c r="X253" s="51">
        <v>45943</v>
      </c>
      <c r="Y253" s="97" t="s">
        <v>1569</v>
      </c>
      <c r="Z253" s="135" t="s">
        <v>2</v>
      </c>
      <c r="AA253" s="135">
        <v>0</v>
      </c>
    </row>
    <row r="254" spans="1:27" ht="13" customHeight="1">
      <c r="A254" s="11">
        <v>248</v>
      </c>
      <c r="B254" s="47">
        <v>203709876</v>
      </c>
      <c r="C254" s="89" t="s">
        <v>192</v>
      </c>
      <c r="D254" s="11" t="s">
        <v>193</v>
      </c>
      <c r="E254" s="48" t="s">
        <v>31</v>
      </c>
      <c r="F254" s="48" t="s">
        <v>74</v>
      </c>
      <c r="G254" s="11" t="s">
        <v>64</v>
      </c>
      <c r="H254" s="48" t="str">
        <f>VLOOKUP(Table1[[#This Row],[Psoft No]],[1]Roster!$C$2:$H$1402,6,)</f>
        <v>AUH1</v>
      </c>
      <c r="I254" s="48" t="b">
        <f>Table1[[#This Row],[Building]]=Table1[[#This Row],[Column1]]</f>
        <v>1</v>
      </c>
      <c r="J254" s="11" t="s">
        <v>75</v>
      </c>
      <c r="K254" s="11">
        <v>1299</v>
      </c>
      <c r="L254" s="49" t="s">
        <v>32</v>
      </c>
      <c r="M254" s="49" t="s">
        <v>76</v>
      </c>
      <c r="N254" s="49" t="s">
        <v>95</v>
      </c>
      <c r="O254" s="49" t="s">
        <v>77</v>
      </c>
      <c r="P254" s="48" t="s">
        <v>86</v>
      </c>
      <c r="Q254" s="49" t="s">
        <v>33</v>
      </c>
      <c r="R254" s="11" t="s">
        <v>80</v>
      </c>
      <c r="S254" s="11" t="s">
        <v>99</v>
      </c>
      <c r="T254" s="11" t="s">
        <v>159</v>
      </c>
      <c r="U254" s="11" t="s">
        <v>2714</v>
      </c>
      <c r="V254" s="116" t="str">
        <f>VLOOKUP(Table1[[#This Row],[Psoft No]],[2]Sheet1!$A$2:$G$386,7,0)</f>
        <v>P</v>
      </c>
      <c r="W254" s="88"/>
      <c r="X254" s="51">
        <v>45495</v>
      </c>
      <c r="Y254" s="97" t="s">
        <v>1569</v>
      </c>
      <c r="Z254" s="135" t="s">
        <v>2</v>
      </c>
      <c r="AA254" s="135">
        <v>0</v>
      </c>
    </row>
    <row r="255" spans="1:27" ht="13" customHeight="1">
      <c r="A255" s="11">
        <v>249</v>
      </c>
      <c r="B255" s="47">
        <v>201228114</v>
      </c>
      <c r="C255" s="89" t="s">
        <v>194</v>
      </c>
      <c r="D255" s="11" t="s">
        <v>195</v>
      </c>
      <c r="E255" s="48" t="s">
        <v>31</v>
      </c>
      <c r="F255" s="48" t="s">
        <v>74</v>
      </c>
      <c r="G255" s="11" t="s">
        <v>64</v>
      </c>
      <c r="H255" s="48" t="str">
        <f>VLOOKUP(Table1[[#This Row],[Psoft No]],[1]Roster!$C$2:$H$1402,6,)</f>
        <v>AUH1</v>
      </c>
      <c r="I255" s="48" t="b">
        <f>Table1[[#This Row],[Building]]=Table1[[#This Row],[Column1]]</f>
        <v>1</v>
      </c>
      <c r="J255" s="11" t="s">
        <v>75</v>
      </c>
      <c r="K255" s="11">
        <v>1299</v>
      </c>
      <c r="L255" s="49" t="s">
        <v>2471</v>
      </c>
      <c r="M255" s="49" t="s">
        <v>76</v>
      </c>
      <c r="N255" s="49" t="s">
        <v>78</v>
      </c>
      <c r="O255" s="49" t="s">
        <v>92</v>
      </c>
      <c r="P255" s="48" t="s">
        <v>86</v>
      </c>
      <c r="Q255" s="49" t="s">
        <v>33</v>
      </c>
      <c r="R255" s="11" t="s">
        <v>80</v>
      </c>
      <c r="S255" s="11" t="s">
        <v>87</v>
      </c>
      <c r="T255" s="11" t="s">
        <v>159</v>
      </c>
      <c r="U255" s="11" t="s">
        <v>2714</v>
      </c>
      <c r="V255" s="116" t="s">
        <v>10</v>
      </c>
      <c r="W255" s="88"/>
      <c r="X255" s="51">
        <v>45596</v>
      </c>
      <c r="Y255" s="97" t="s">
        <v>1569</v>
      </c>
      <c r="Z255" s="135" t="s">
        <v>3023</v>
      </c>
      <c r="AA255" s="135">
        <v>0</v>
      </c>
    </row>
    <row r="256" spans="1:27" ht="13" customHeight="1">
      <c r="A256" s="11">
        <v>250</v>
      </c>
      <c r="B256" s="47">
        <v>110492547</v>
      </c>
      <c r="C256" s="89" t="s">
        <v>1014</v>
      </c>
      <c r="D256" s="11" t="s">
        <v>1015</v>
      </c>
      <c r="E256" s="11" t="s">
        <v>34</v>
      </c>
      <c r="F256" s="48" t="s">
        <v>74</v>
      </c>
      <c r="G256" s="11" t="s">
        <v>64</v>
      </c>
      <c r="H256" s="48" t="str">
        <f>VLOOKUP(Table1[[#This Row],[Psoft No]],[1]Roster!$C$2:$H$1402,6,)</f>
        <v>AUH1</v>
      </c>
      <c r="I256" s="48" t="b">
        <f>Table1[[#This Row],[Building]]=Table1[[#This Row],[Column1]]</f>
        <v>1</v>
      </c>
      <c r="J256" s="11" t="s">
        <v>75</v>
      </c>
      <c r="K256" s="11">
        <v>1299</v>
      </c>
      <c r="L256" s="49" t="s">
        <v>32</v>
      </c>
      <c r="M256" s="49" t="s">
        <v>76</v>
      </c>
      <c r="N256" s="49" t="s">
        <v>92</v>
      </c>
      <c r="O256" s="49" t="s">
        <v>84</v>
      </c>
      <c r="P256" s="49" t="s">
        <v>108</v>
      </c>
      <c r="Q256" s="49" t="s">
        <v>37</v>
      </c>
      <c r="R256" s="11" t="s">
        <v>80</v>
      </c>
      <c r="S256" s="11" t="s">
        <v>98</v>
      </c>
      <c r="T256" s="11" t="s">
        <v>647</v>
      </c>
      <c r="U256" s="11" t="s">
        <v>1798</v>
      </c>
      <c r="V256" s="116" t="s">
        <v>10</v>
      </c>
      <c r="W256" s="88"/>
      <c r="X256" s="51">
        <v>44757</v>
      </c>
      <c r="Y256" s="97" t="s">
        <v>1577</v>
      </c>
      <c r="Z256" s="135" t="s">
        <v>3023</v>
      </c>
      <c r="AA256" s="135">
        <v>0</v>
      </c>
    </row>
    <row r="257" spans="1:27" ht="13" customHeight="1">
      <c r="A257" s="11">
        <v>251</v>
      </c>
      <c r="B257" s="47">
        <v>102865821</v>
      </c>
      <c r="C257" s="89" t="s">
        <v>1535</v>
      </c>
      <c r="D257" s="11" t="s">
        <v>1536</v>
      </c>
      <c r="E257" s="48" t="s">
        <v>34</v>
      </c>
      <c r="F257" s="48" t="s">
        <v>74</v>
      </c>
      <c r="G257" s="11" t="s">
        <v>64</v>
      </c>
      <c r="H257" s="48" t="str">
        <f>VLOOKUP(Table1[[#This Row],[Psoft No]],[1]Roster!$C$2:$H$1402,6,)</f>
        <v>AUH1</v>
      </c>
      <c r="I257" s="48" t="b">
        <f>Table1[[#This Row],[Building]]=Table1[[#This Row],[Column1]]</f>
        <v>1</v>
      </c>
      <c r="J257" s="11" t="s">
        <v>75</v>
      </c>
      <c r="K257" s="11">
        <v>1299</v>
      </c>
      <c r="L257" s="129" t="s">
        <v>32</v>
      </c>
      <c r="M257" s="11" t="s">
        <v>76</v>
      </c>
      <c r="N257" s="129" t="s">
        <v>77</v>
      </c>
      <c r="O257" s="129" t="s">
        <v>78</v>
      </c>
      <c r="P257" s="11" t="s">
        <v>2734</v>
      </c>
      <c r="Q257" s="11" t="s">
        <v>1537</v>
      </c>
      <c r="R257" s="11" t="s">
        <v>1443</v>
      </c>
      <c r="S257" s="11" t="s">
        <v>98</v>
      </c>
      <c r="T257" s="11" t="s">
        <v>1538</v>
      </c>
      <c r="U257" s="11" t="s">
        <v>1539</v>
      </c>
      <c r="V257" s="116" t="str">
        <f>VLOOKUP(Table1[[#This Row],[Psoft No]],[2]Sheet1!$A$2:$G$386,7,0)</f>
        <v>P</v>
      </c>
      <c r="W257" s="88"/>
      <c r="X257" s="51">
        <v>43012</v>
      </c>
      <c r="Y257" s="102" t="s">
        <v>1583</v>
      </c>
      <c r="Z257" s="135" t="s">
        <v>2</v>
      </c>
      <c r="AA257" s="135">
        <v>0</v>
      </c>
    </row>
    <row r="258" spans="1:27" ht="13" customHeight="1">
      <c r="A258" s="11">
        <v>252</v>
      </c>
      <c r="B258" s="47">
        <v>203709886</v>
      </c>
      <c r="C258" s="89" t="s">
        <v>198</v>
      </c>
      <c r="D258" s="11" t="s">
        <v>199</v>
      </c>
      <c r="E258" s="48" t="s">
        <v>31</v>
      </c>
      <c r="F258" s="48" t="s">
        <v>74</v>
      </c>
      <c r="G258" s="11" t="s">
        <v>64</v>
      </c>
      <c r="H258" s="48" t="str">
        <f>VLOOKUP(Table1[[#This Row],[Psoft No]],[1]Roster!$C$2:$H$1402,6,)</f>
        <v>AUH1</v>
      </c>
      <c r="I258" s="48" t="b">
        <f>Table1[[#This Row],[Building]]=Table1[[#This Row],[Column1]]</f>
        <v>1</v>
      </c>
      <c r="J258" s="11" t="s">
        <v>75</v>
      </c>
      <c r="K258" s="11">
        <v>1299</v>
      </c>
      <c r="L258" s="49" t="s">
        <v>2471</v>
      </c>
      <c r="M258" s="49" t="s">
        <v>76</v>
      </c>
      <c r="N258" s="49" t="s">
        <v>95</v>
      </c>
      <c r="O258" s="49" t="s">
        <v>77</v>
      </c>
      <c r="P258" s="48" t="s">
        <v>86</v>
      </c>
      <c r="Q258" s="49" t="s">
        <v>33</v>
      </c>
      <c r="R258" s="11" t="s">
        <v>80</v>
      </c>
      <c r="S258" s="11" t="s">
        <v>99</v>
      </c>
      <c r="T258" s="11" t="s">
        <v>159</v>
      </c>
      <c r="U258" s="11" t="s">
        <v>2714</v>
      </c>
      <c r="V258" s="116" t="s">
        <v>1</v>
      </c>
      <c r="W258" s="88"/>
      <c r="X258" s="51">
        <v>45495</v>
      </c>
      <c r="Y258" s="97" t="s">
        <v>1569</v>
      </c>
      <c r="Z258" s="135" t="s">
        <v>2</v>
      </c>
      <c r="AA258" s="135">
        <v>0</v>
      </c>
    </row>
    <row r="259" spans="1:27" ht="13" customHeight="1">
      <c r="A259" s="11">
        <v>253</v>
      </c>
      <c r="B259" s="47">
        <v>103875256</v>
      </c>
      <c r="C259" s="89" t="s">
        <v>200</v>
      </c>
      <c r="D259" s="11" t="s">
        <v>201</v>
      </c>
      <c r="E259" s="48" t="s">
        <v>34</v>
      </c>
      <c r="F259" s="48" t="s">
        <v>74</v>
      </c>
      <c r="G259" s="11" t="s">
        <v>64</v>
      </c>
      <c r="H259" s="48" t="str">
        <f>VLOOKUP(Table1[[#This Row],[Psoft No]],[1]Roster!$C$2:$H$1402,6,)</f>
        <v>AUH1</v>
      </c>
      <c r="I259" s="48" t="b">
        <f>Table1[[#This Row],[Building]]=Table1[[#This Row],[Column1]]</f>
        <v>1</v>
      </c>
      <c r="J259" s="11" t="s">
        <v>75</v>
      </c>
      <c r="K259" s="11">
        <v>1299</v>
      </c>
      <c r="L259" s="49" t="s">
        <v>32</v>
      </c>
      <c r="M259" s="49" t="s">
        <v>76</v>
      </c>
      <c r="N259" s="49" t="s">
        <v>88</v>
      </c>
      <c r="O259" s="49" t="s">
        <v>95</v>
      </c>
      <c r="P259" s="48" t="s">
        <v>108</v>
      </c>
      <c r="Q259" s="49" t="s">
        <v>33</v>
      </c>
      <c r="R259" s="11" t="s">
        <v>80</v>
      </c>
      <c r="S259" s="11" t="s">
        <v>98</v>
      </c>
      <c r="T259" s="11" t="s">
        <v>159</v>
      </c>
      <c r="U259" s="11" t="s">
        <v>2714</v>
      </c>
      <c r="V259" s="116" t="str">
        <f>VLOOKUP(Table1[[#This Row],[Psoft No]],[2]Sheet1!$A$2:$G$386,7,0)</f>
        <v>P</v>
      </c>
      <c r="W259" s="88"/>
      <c r="X259" s="51">
        <v>44782</v>
      </c>
      <c r="Y259" s="97" t="s">
        <v>1569</v>
      </c>
      <c r="Z259" s="135" t="s">
        <v>2</v>
      </c>
      <c r="AA259" s="135">
        <v>0</v>
      </c>
    </row>
    <row r="260" spans="1:27" ht="13" customHeight="1">
      <c r="A260" s="11">
        <v>254</v>
      </c>
      <c r="B260" s="47">
        <v>204883087</v>
      </c>
      <c r="C260" s="89" t="s">
        <v>202</v>
      </c>
      <c r="D260" s="11" t="s">
        <v>203</v>
      </c>
      <c r="E260" s="48" t="s">
        <v>31</v>
      </c>
      <c r="F260" s="48" t="s">
        <v>74</v>
      </c>
      <c r="G260" s="11" t="s">
        <v>64</v>
      </c>
      <c r="H260" s="48" t="str">
        <f>VLOOKUP(Table1[[#This Row],[Psoft No]],[1]Roster!$C$2:$H$1402,6,)</f>
        <v>AUH1</v>
      </c>
      <c r="I260" s="48" t="b">
        <f>Table1[[#This Row],[Building]]=Table1[[#This Row],[Column1]]</f>
        <v>1</v>
      </c>
      <c r="J260" s="11" t="s">
        <v>75</v>
      </c>
      <c r="K260" s="11">
        <v>1299</v>
      </c>
      <c r="L260" s="49" t="s">
        <v>32</v>
      </c>
      <c r="M260" s="49" t="s">
        <v>76</v>
      </c>
      <c r="N260" s="49" t="s">
        <v>95</v>
      </c>
      <c r="O260" s="49" t="s">
        <v>77</v>
      </c>
      <c r="P260" s="48" t="s">
        <v>86</v>
      </c>
      <c r="Q260" s="49" t="s">
        <v>33</v>
      </c>
      <c r="R260" s="11" t="s">
        <v>80</v>
      </c>
      <c r="S260" s="11" t="s">
        <v>87</v>
      </c>
      <c r="T260" s="11" t="s">
        <v>159</v>
      </c>
      <c r="U260" s="11" t="s">
        <v>2714</v>
      </c>
      <c r="V260" s="116" t="s">
        <v>3</v>
      </c>
      <c r="W260" s="88"/>
      <c r="X260" s="51">
        <v>45691</v>
      </c>
      <c r="Y260" s="97" t="s">
        <v>1569</v>
      </c>
      <c r="Z260" s="135" t="s">
        <v>3023</v>
      </c>
      <c r="AA260" s="135">
        <v>0</v>
      </c>
    </row>
    <row r="261" spans="1:27" ht="13" customHeight="1">
      <c r="A261" s="11">
        <v>255</v>
      </c>
      <c r="B261" s="47">
        <v>204967040</v>
      </c>
      <c r="C261" s="89" t="s">
        <v>204</v>
      </c>
      <c r="D261" s="11" t="s">
        <v>205</v>
      </c>
      <c r="E261" s="48" t="s">
        <v>31</v>
      </c>
      <c r="F261" s="48" t="s">
        <v>74</v>
      </c>
      <c r="G261" s="11" t="s">
        <v>64</v>
      </c>
      <c r="H261" s="48" t="str">
        <f>VLOOKUP(Table1[[#This Row],[Psoft No]],[1]Roster!$C$2:$H$1402,6,)</f>
        <v>AUH1</v>
      </c>
      <c r="I261" s="48" t="b">
        <f>Table1[[#This Row],[Building]]=Table1[[#This Row],[Column1]]</f>
        <v>1</v>
      </c>
      <c r="J261" s="11" t="s">
        <v>75</v>
      </c>
      <c r="K261" s="11">
        <v>1299</v>
      </c>
      <c r="L261" s="49" t="s">
        <v>2471</v>
      </c>
      <c r="M261" s="49" t="s">
        <v>76</v>
      </c>
      <c r="N261" s="49" t="s">
        <v>78</v>
      </c>
      <c r="O261" s="49" t="s">
        <v>92</v>
      </c>
      <c r="P261" s="48" t="s">
        <v>86</v>
      </c>
      <c r="Q261" s="49" t="s">
        <v>33</v>
      </c>
      <c r="R261" s="11" t="s">
        <v>80</v>
      </c>
      <c r="S261" s="11" t="s">
        <v>90</v>
      </c>
      <c r="T261" s="11" t="s">
        <v>159</v>
      </c>
      <c r="U261" s="11" t="s">
        <v>2714</v>
      </c>
      <c r="V261" s="116" t="s">
        <v>10</v>
      </c>
      <c r="W261" s="88"/>
      <c r="X261" s="51">
        <v>45719</v>
      </c>
      <c r="Y261" s="97" t="s">
        <v>1569</v>
      </c>
      <c r="Z261" s="135" t="s">
        <v>3023</v>
      </c>
      <c r="AA261" s="135">
        <v>0</v>
      </c>
    </row>
    <row r="262" spans="1:27" ht="13" customHeight="1">
      <c r="A262" s="11">
        <v>256</v>
      </c>
      <c r="B262" s="47">
        <v>203470082</v>
      </c>
      <c r="C262" s="89" t="s">
        <v>206</v>
      </c>
      <c r="D262" s="11" t="s">
        <v>207</v>
      </c>
      <c r="E262" s="48" t="s">
        <v>31</v>
      </c>
      <c r="F262" s="48" t="s">
        <v>74</v>
      </c>
      <c r="G262" s="11" t="s">
        <v>64</v>
      </c>
      <c r="H262" s="48" t="str">
        <f>VLOOKUP(Table1[[#This Row],[Psoft No]],[1]Roster!$C$2:$H$1402,6,)</f>
        <v>AUH1</v>
      </c>
      <c r="I262" s="48" t="b">
        <f>Table1[[#This Row],[Building]]=Table1[[#This Row],[Column1]]</f>
        <v>1</v>
      </c>
      <c r="J262" s="11" t="s">
        <v>75</v>
      </c>
      <c r="K262" s="11">
        <v>1299</v>
      </c>
      <c r="L262" s="49" t="s">
        <v>2471</v>
      </c>
      <c r="M262" s="49" t="s">
        <v>76</v>
      </c>
      <c r="N262" s="49" t="s">
        <v>84</v>
      </c>
      <c r="O262" s="49" t="s">
        <v>85</v>
      </c>
      <c r="P262" s="48" t="s">
        <v>86</v>
      </c>
      <c r="Q262" s="49" t="s">
        <v>33</v>
      </c>
      <c r="R262" s="11" t="s">
        <v>80</v>
      </c>
      <c r="S262" s="11" t="s">
        <v>99</v>
      </c>
      <c r="T262" s="11" t="s">
        <v>159</v>
      </c>
      <c r="U262" s="11" t="s">
        <v>2714</v>
      </c>
      <c r="V262" s="116" t="s">
        <v>1</v>
      </c>
      <c r="W262" s="88"/>
      <c r="X262" s="51">
        <v>45456</v>
      </c>
      <c r="Y262" s="97" t="s">
        <v>1569</v>
      </c>
      <c r="Z262" s="135" t="s">
        <v>2</v>
      </c>
      <c r="AA262" s="135">
        <v>0</v>
      </c>
    </row>
    <row r="263" spans="1:27" ht="13" customHeight="1">
      <c r="A263" s="11">
        <v>257</v>
      </c>
      <c r="B263" s="47">
        <v>206015654</v>
      </c>
      <c r="C263" s="89" t="s">
        <v>208</v>
      </c>
      <c r="D263" s="11" t="s">
        <v>209</v>
      </c>
      <c r="E263" s="48" t="s">
        <v>31</v>
      </c>
      <c r="F263" s="48" t="s">
        <v>74</v>
      </c>
      <c r="G263" s="11" t="s">
        <v>64</v>
      </c>
      <c r="H263" s="48" t="str">
        <f>VLOOKUP(Table1[[#This Row],[Psoft No]],[1]Roster!$C$2:$H$1402,6,)</f>
        <v>AUH1</v>
      </c>
      <c r="I263" s="48" t="b">
        <f>Table1[[#This Row],[Building]]=Table1[[#This Row],[Column1]]</f>
        <v>1</v>
      </c>
      <c r="J263" s="11" t="s">
        <v>75</v>
      </c>
      <c r="K263" s="11">
        <v>1299</v>
      </c>
      <c r="L263" s="49" t="s">
        <v>32</v>
      </c>
      <c r="M263" s="49" t="s">
        <v>76</v>
      </c>
      <c r="N263" s="49" t="s">
        <v>92</v>
      </c>
      <c r="O263" s="49" t="s">
        <v>84</v>
      </c>
      <c r="P263" s="48" t="s">
        <v>79</v>
      </c>
      <c r="Q263" s="49" t="s">
        <v>33</v>
      </c>
      <c r="R263" s="11" t="s">
        <v>80</v>
      </c>
      <c r="S263" s="11" t="s">
        <v>81</v>
      </c>
      <c r="T263" s="11" t="s">
        <v>159</v>
      </c>
      <c r="U263" s="11" t="s">
        <v>2714</v>
      </c>
      <c r="V263" s="116" t="s">
        <v>10</v>
      </c>
      <c r="W263" s="88"/>
      <c r="X263" s="51">
        <v>45915</v>
      </c>
      <c r="Y263" s="97" t="s">
        <v>1569</v>
      </c>
      <c r="Z263" s="135" t="s">
        <v>3023</v>
      </c>
      <c r="AA263" s="135">
        <v>0</v>
      </c>
    </row>
    <row r="264" spans="1:27" ht="13" customHeight="1">
      <c r="A264" s="11">
        <v>258</v>
      </c>
      <c r="B264" s="47">
        <v>203635600</v>
      </c>
      <c r="C264" s="89" t="s">
        <v>210</v>
      </c>
      <c r="D264" s="11" t="s">
        <v>211</v>
      </c>
      <c r="E264" s="48" t="s">
        <v>31</v>
      </c>
      <c r="F264" s="48" t="s">
        <v>74</v>
      </c>
      <c r="G264" s="11" t="s">
        <v>64</v>
      </c>
      <c r="H264" s="48" t="str">
        <f>VLOOKUP(Table1[[#This Row],[Psoft No]],[1]Roster!$C$2:$H$1402,6,)</f>
        <v>AUH1</v>
      </c>
      <c r="I264" s="48" t="b">
        <f>Table1[[#This Row],[Building]]=Table1[[#This Row],[Column1]]</f>
        <v>1</v>
      </c>
      <c r="J264" s="11" t="s">
        <v>75</v>
      </c>
      <c r="K264" s="11">
        <v>1299</v>
      </c>
      <c r="L264" s="49" t="s">
        <v>32</v>
      </c>
      <c r="M264" s="49" t="s">
        <v>76</v>
      </c>
      <c r="N264" s="49" t="s">
        <v>88</v>
      </c>
      <c r="O264" s="49" t="s">
        <v>95</v>
      </c>
      <c r="P264" s="48" t="s">
        <v>79</v>
      </c>
      <c r="Q264" s="49" t="s">
        <v>33</v>
      </c>
      <c r="R264" s="11" t="s">
        <v>80</v>
      </c>
      <c r="S264" s="11" t="s">
        <v>81</v>
      </c>
      <c r="T264" s="11" t="s">
        <v>159</v>
      </c>
      <c r="U264" s="11" t="s">
        <v>2714</v>
      </c>
      <c r="V264" s="116" t="str">
        <f>VLOOKUP(Table1[[#This Row],[Psoft No]],[2]Sheet1!$A$2:$G$386,7,0)</f>
        <v>P</v>
      </c>
      <c r="W264" s="88"/>
      <c r="X264" s="51">
        <v>45481</v>
      </c>
      <c r="Y264" s="97" t="s">
        <v>1569</v>
      </c>
      <c r="Z264" s="135" t="s">
        <v>2</v>
      </c>
      <c r="AA264" s="135">
        <v>0</v>
      </c>
    </row>
    <row r="265" spans="1:27" ht="13" customHeight="1">
      <c r="A265" s="11">
        <v>259</v>
      </c>
      <c r="B265" s="47">
        <v>204013736</v>
      </c>
      <c r="C265" s="89" t="s">
        <v>212</v>
      </c>
      <c r="D265" s="11" t="s">
        <v>213</v>
      </c>
      <c r="E265" s="48" t="s">
        <v>31</v>
      </c>
      <c r="F265" s="48" t="s">
        <v>74</v>
      </c>
      <c r="G265" s="11" t="s">
        <v>64</v>
      </c>
      <c r="H265" s="48" t="str">
        <f>VLOOKUP(Table1[[#This Row],[Psoft No]],[1]Roster!$C$2:$H$1402,6,)</f>
        <v>AUH1</v>
      </c>
      <c r="I265" s="48" t="b">
        <f>Table1[[#This Row],[Building]]=Table1[[#This Row],[Column1]]</f>
        <v>1</v>
      </c>
      <c r="J265" s="11" t="s">
        <v>75</v>
      </c>
      <c r="K265" s="11">
        <v>1299</v>
      </c>
      <c r="L265" s="49" t="s">
        <v>2471</v>
      </c>
      <c r="M265" s="49" t="s">
        <v>76</v>
      </c>
      <c r="N265" s="49" t="s">
        <v>77</v>
      </c>
      <c r="O265" s="49" t="s">
        <v>78</v>
      </c>
      <c r="P265" s="48" t="s">
        <v>79</v>
      </c>
      <c r="Q265" s="49" t="s">
        <v>33</v>
      </c>
      <c r="R265" s="11" t="s">
        <v>80</v>
      </c>
      <c r="S265" s="11" t="s">
        <v>81</v>
      </c>
      <c r="T265" s="11" t="s">
        <v>159</v>
      </c>
      <c r="U265" s="11" t="s">
        <v>2714</v>
      </c>
      <c r="V265" s="116" t="s">
        <v>1</v>
      </c>
      <c r="W265" s="88"/>
      <c r="X265" s="51">
        <v>45551</v>
      </c>
      <c r="Y265" s="97" t="s">
        <v>1569</v>
      </c>
      <c r="Z265" s="135" t="s">
        <v>2</v>
      </c>
      <c r="AA265" s="135">
        <v>0</v>
      </c>
    </row>
    <row r="266" spans="1:27" ht="13" customHeight="1">
      <c r="A266" s="11">
        <v>260</v>
      </c>
      <c r="B266" s="47">
        <v>206953819</v>
      </c>
      <c r="C266" s="89" t="s">
        <v>2104</v>
      </c>
      <c r="D266" s="11" t="s">
        <v>2027</v>
      </c>
      <c r="E266" s="48" t="s">
        <v>31</v>
      </c>
      <c r="F266" s="48" t="s">
        <v>74</v>
      </c>
      <c r="G266" s="11" t="s">
        <v>64</v>
      </c>
      <c r="H266" s="48" t="str">
        <f>VLOOKUP(Table1[[#This Row],[Psoft No]],[1]Roster!$C$2:$H$1402,6,)</f>
        <v>AUH1</v>
      </c>
      <c r="I266" s="48" t="b">
        <f>Table1[[#This Row],[Building]]=Table1[[#This Row],[Column1]]</f>
        <v>1</v>
      </c>
      <c r="J266" s="11" t="s">
        <v>75</v>
      </c>
      <c r="K266" s="11">
        <v>1299</v>
      </c>
      <c r="L266" s="49" t="s">
        <v>32</v>
      </c>
      <c r="M266" s="49" t="s">
        <v>76</v>
      </c>
      <c r="N266" s="49" t="s">
        <v>88</v>
      </c>
      <c r="O266" s="49" t="s">
        <v>95</v>
      </c>
      <c r="P266" s="48" t="s">
        <v>89</v>
      </c>
      <c r="Q266" s="49" t="s">
        <v>33</v>
      </c>
      <c r="R266" s="11" t="s">
        <v>80</v>
      </c>
      <c r="S266" s="11" t="s">
        <v>96</v>
      </c>
      <c r="T266" s="11" t="s">
        <v>159</v>
      </c>
      <c r="U266" s="11" t="s">
        <v>2714</v>
      </c>
      <c r="V266" s="116" t="str">
        <f>VLOOKUP(Table1[[#This Row],[Psoft No]],[2]Sheet1!$A$2:$G$386,7,0)</f>
        <v>P</v>
      </c>
      <c r="W266" s="88"/>
      <c r="X266" s="51">
        <v>46048</v>
      </c>
      <c r="Y266" s="97" t="s">
        <v>1569</v>
      </c>
      <c r="Z266" s="135" t="s">
        <v>2</v>
      </c>
      <c r="AA266" s="135">
        <v>0</v>
      </c>
    </row>
    <row r="267" spans="1:27" ht="13" customHeight="1">
      <c r="A267" s="11">
        <v>261</v>
      </c>
      <c r="B267" s="47">
        <v>206348214</v>
      </c>
      <c r="C267" s="89" t="s">
        <v>1666</v>
      </c>
      <c r="D267" s="11" t="s">
        <v>1667</v>
      </c>
      <c r="E267" s="48" t="s">
        <v>31</v>
      </c>
      <c r="F267" s="48" t="s">
        <v>74</v>
      </c>
      <c r="G267" s="11" t="s">
        <v>64</v>
      </c>
      <c r="H267" s="48" t="str">
        <f>VLOOKUP(Table1[[#This Row],[Psoft No]],[1]Roster!$C$2:$H$1402,6,)</f>
        <v>AUH1</v>
      </c>
      <c r="I267" s="48" t="b">
        <f>Table1[[#This Row],[Building]]=Table1[[#This Row],[Column1]]</f>
        <v>1</v>
      </c>
      <c r="J267" s="11" t="s">
        <v>75</v>
      </c>
      <c r="K267" s="11">
        <v>1299</v>
      </c>
      <c r="L267" s="49" t="s">
        <v>32</v>
      </c>
      <c r="M267" s="49" t="s">
        <v>76</v>
      </c>
      <c r="N267" s="49" t="s">
        <v>77</v>
      </c>
      <c r="O267" s="49" t="s">
        <v>78</v>
      </c>
      <c r="P267" s="49" t="s">
        <v>89</v>
      </c>
      <c r="Q267" s="49" t="s">
        <v>33</v>
      </c>
      <c r="R267" s="11" t="s">
        <v>80</v>
      </c>
      <c r="S267" s="11" t="s">
        <v>81</v>
      </c>
      <c r="T267" s="11" t="s">
        <v>159</v>
      </c>
      <c r="U267" s="11" t="s">
        <v>2714</v>
      </c>
      <c r="V267" s="116" t="str">
        <f>VLOOKUP(Table1[[#This Row],[Psoft No]],[2]Sheet1!$A$2:$G$386,7,0)</f>
        <v>P</v>
      </c>
      <c r="W267" s="88"/>
      <c r="X267" s="51">
        <v>45957</v>
      </c>
      <c r="Y267" s="97" t="s">
        <v>1569</v>
      </c>
      <c r="Z267" s="135" t="s">
        <v>2</v>
      </c>
      <c r="AA267" s="135">
        <v>0</v>
      </c>
    </row>
    <row r="268" spans="1:27" ht="13" customHeight="1">
      <c r="A268" s="11">
        <v>262</v>
      </c>
      <c r="B268" s="47">
        <v>206148779</v>
      </c>
      <c r="C268" s="89" t="s">
        <v>214</v>
      </c>
      <c r="D268" s="11" t="s">
        <v>215</v>
      </c>
      <c r="E268" s="48" t="s">
        <v>31</v>
      </c>
      <c r="F268" s="48" t="s">
        <v>74</v>
      </c>
      <c r="G268" s="11" t="s">
        <v>64</v>
      </c>
      <c r="H268" s="48" t="str">
        <f>VLOOKUP(Table1[[#This Row],[Psoft No]],[1]Roster!$C$2:$H$1402,6,)</f>
        <v>AUH1</v>
      </c>
      <c r="I268" s="48" t="b">
        <f>Table1[[#This Row],[Building]]=Table1[[#This Row],[Column1]]</f>
        <v>1</v>
      </c>
      <c r="J268" s="11" t="s">
        <v>75</v>
      </c>
      <c r="K268" s="11">
        <v>1299</v>
      </c>
      <c r="L268" s="49" t="s">
        <v>32</v>
      </c>
      <c r="M268" s="49" t="s">
        <v>76</v>
      </c>
      <c r="N268" s="49" t="s">
        <v>95</v>
      </c>
      <c r="O268" s="49" t="s">
        <v>77</v>
      </c>
      <c r="P268" s="49" t="s">
        <v>79</v>
      </c>
      <c r="Q268" s="49" t="s">
        <v>33</v>
      </c>
      <c r="R268" s="11" t="s">
        <v>80</v>
      </c>
      <c r="S268" s="11" t="s">
        <v>81</v>
      </c>
      <c r="T268" s="11" t="s">
        <v>159</v>
      </c>
      <c r="U268" s="11" t="s">
        <v>2714</v>
      </c>
      <c r="V268" s="116" t="str">
        <f>VLOOKUP(Table1[[#This Row],[Psoft No]],[2]Sheet1!$A$2:$G$386,7,0)</f>
        <v>P</v>
      </c>
      <c r="W268" s="88"/>
      <c r="X268" s="51">
        <v>45929</v>
      </c>
      <c r="Y268" s="97" t="s">
        <v>1569</v>
      </c>
      <c r="Z268" s="135" t="s">
        <v>2</v>
      </c>
      <c r="AA268" s="135">
        <v>0</v>
      </c>
    </row>
    <row r="269" spans="1:27" ht="13" customHeight="1">
      <c r="A269" s="11">
        <v>263</v>
      </c>
      <c r="B269" s="47">
        <v>206192491</v>
      </c>
      <c r="C269" s="89" t="s">
        <v>1646</v>
      </c>
      <c r="D269" s="11" t="s">
        <v>1631</v>
      </c>
      <c r="E269" s="48" t="s">
        <v>31</v>
      </c>
      <c r="F269" s="48" t="s">
        <v>74</v>
      </c>
      <c r="G269" s="11" t="s">
        <v>64</v>
      </c>
      <c r="H269" s="48" t="str">
        <f>VLOOKUP(Table1[[#This Row],[Psoft No]],[1]Roster!$C$2:$H$1402,6,)</f>
        <v>AUH1</v>
      </c>
      <c r="I269" s="48" t="b">
        <f>Table1[[#This Row],[Building]]=Table1[[#This Row],[Column1]]</f>
        <v>1</v>
      </c>
      <c r="J269" s="11" t="s">
        <v>75</v>
      </c>
      <c r="K269" s="11">
        <v>1299</v>
      </c>
      <c r="L269" s="49" t="s">
        <v>32</v>
      </c>
      <c r="M269" s="49" t="s">
        <v>76</v>
      </c>
      <c r="N269" s="49" t="s">
        <v>85</v>
      </c>
      <c r="O269" s="49" t="s">
        <v>88</v>
      </c>
      <c r="P269" s="48" t="s">
        <v>79</v>
      </c>
      <c r="Q269" s="49" t="s">
        <v>33</v>
      </c>
      <c r="R269" s="11" t="s">
        <v>80</v>
      </c>
      <c r="S269" s="11" t="s">
        <v>96</v>
      </c>
      <c r="T269" s="11" t="s">
        <v>159</v>
      </c>
      <c r="U269" s="11" t="s">
        <v>2714</v>
      </c>
      <c r="V269" s="116" t="str">
        <f>VLOOKUP(Table1[[#This Row],[Psoft No]],[2]Sheet1!$A$2:$G$386,7,0)</f>
        <v>P</v>
      </c>
      <c r="W269" s="88"/>
      <c r="X269" s="51">
        <v>45943</v>
      </c>
      <c r="Y269" s="97" t="s">
        <v>1569</v>
      </c>
      <c r="Z269" s="135" t="s">
        <v>2</v>
      </c>
      <c r="AA269" s="135">
        <v>0</v>
      </c>
    </row>
    <row r="270" spans="1:27" ht="13" customHeight="1">
      <c r="A270" s="11">
        <v>264</v>
      </c>
      <c r="B270" s="47">
        <v>206953568</v>
      </c>
      <c r="C270" s="89" t="s">
        <v>2105</v>
      </c>
      <c r="D270" s="11" t="s">
        <v>2028</v>
      </c>
      <c r="E270" s="48" t="s">
        <v>31</v>
      </c>
      <c r="F270" s="48" t="s">
        <v>74</v>
      </c>
      <c r="G270" s="11" t="s">
        <v>64</v>
      </c>
      <c r="H270" s="48" t="str">
        <f>VLOOKUP(Table1[[#This Row],[Psoft No]],[1]Roster!$C$2:$H$1402,6,)</f>
        <v>AUH1</v>
      </c>
      <c r="I270" s="48" t="b">
        <f>Table1[[#This Row],[Building]]=Table1[[#This Row],[Column1]]</f>
        <v>1</v>
      </c>
      <c r="J270" s="11" t="s">
        <v>75</v>
      </c>
      <c r="K270" s="11">
        <v>1299</v>
      </c>
      <c r="L270" s="49" t="s">
        <v>32</v>
      </c>
      <c r="M270" s="49" t="s">
        <v>76</v>
      </c>
      <c r="N270" s="49" t="s">
        <v>88</v>
      </c>
      <c r="O270" s="49" t="s">
        <v>95</v>
      </c>
      <c r="P270" s="48" t="s">
        <v>89</v>
      </c>
      <c r="Q270" s="49" t="s">
        <v>33</v>
      </c>
      <c r="R270" s="11" t="s">
        <v>80</v>
      </c>
      <c r="S270" s="11" t="s">
        <v>96</v>
      </c>
      <c r="T270" s="11" t="s">
        <v>159</v>
      </c>
      <c r="U270" s="11" t="s">
        <v>2714</v>
      </c>
      <c r="V270" s="116" t="str">
        <f>VLOOKUP(Table1[[#This Row],[Psoft No]],[2]Sheet1!$A$2:$G$386,7,0)</f>
        <v>P</v>
      </c>
      <c r="W270" s="88"/>
      <c r="X270" s="51">
        <v>46048</v>
      </c>
      <c r="Y270" s="97" t="s">
        <v>1569</v>
      </c>
      <c r="Z270" s="135" t="s">
        <v>2</v>
      </c>
      <c r="AA270" s="135">
        <v>0</v>
      </c>
    </row>
    <row r="271" spans="1:27" ht="13" customHeight="1">
      <c r="A271" s="11">
        <v>265</v>
      </c>
      <c r="B271" s="47">
        <v>206953818</v>
      </c>
      <c r="C271" s="89" t="s">
        <v>2106</v>
      </c>
      <c r="D271" s="11" t="s">
        <v>2029</v>
      </c>
      <c r="E271" s="48" t="s">
        <v>31</v>
      </c>
      <c r="F271" s="48" t="s">
        <v>74</v>
      </c>
      <c r="G271" s="11" t="s">
        <v>64</v>
      </c>
      <c r="H271" s="48" t="str">
        <f>VLOOKUP(Table1[[#This Row],[Psoft No]],[1]Roster!$C$2:$H$1402,6,)</f>
        <v>AUH1</v>
      </c>
      <c r="I271" s="48" t="b">
        <f>Table1[[#This Row],[Building]]=Table1[[#This Row],[Column1]]</f>
        <v>1</v>
      </c>
      <c r="J271" s="11" t="s">
        <v>75</v>
      </c>
      <c r="K271" s="11">
        <v>1299</v>
      </c>
      <c r="L271" s="49" t="s">
        <v>32</v>
      </c>
      <c r="M271" s="49" t="s">
        <v>76</v>
      </c>
      <c r="N271" s="49" t="s">
        <v>92</v>
      </c>
      <c r="O271" s="49" t="s">
        <v>84</v>
      </c>
      <c r="P271" s="49" t="s">
        <v>89</v>
      </c>
      <c r="Q271" s="49" t="s">
        <v>33</v>
      </c>
      <c r="R271" s="11" t="s">
        <v>80</v>
      </c>
      <c r="S271" s="11" t="s">
        <v>96</v>
      </c>
      <c r="T271" s="11" t="s">
        <v>159</v>
      </c>
      <c r="U271" s="11" t="s">
        <v>2714</v>
      </c>
      <c r="V271" s="116" t="s">
        <v>10</v>
      </c>
      <c r="W271" s="88"/>
      <c r="X271" s="51">
        <v>46048</v>
      </c>
      <c r="Y271" s="97" t="s">
        <v>1569</v>
      </c>
      <c r="Z271" s="135" t="s">
        <v>3023</v>
      </c>
      <c r="AA271" s="135">
        <v>0</v>
      </c>
    </row>
    <row r="272" spans="1:27" ht="13" customHeight="1">
      <c r="A272" s="11">
        <v>266</v>
      </c>
      <c r="B272" s="47">
        <v>203709884</v>
      </c>
      <c r="C272" s="89" t="s">
        <v>216</v>
      </c>
      <c r="D272" s="11" t="s">
        <v>217</v>
      </c>
      <c r="E272" s="48" t="s">
        <v>31</v>
      </c>
      <c r="F272" s="48" t="s">
        <v>74</v>
      </c>
      <c r="G272" s="11" t="s">
        <v>64</v>
      </c>
      <c r="H272" s="48" t="str">
        <f>VLOOKUP(Table1[[#This Row],[Psoft No]],[1]Roster!$C$2:$H$1402,6,)</f>
        <v>AUH1</v>
      </c>
      <c r="I272" s="48" t="b">
        <f>Table1[[#This Row],[Building]]=Table1[[#This Row],[Column1]]</f>
        <v>1</v>
      </c>
      <c r="J272" s="11" t="s">
        <v>75</v>
      </c>
      <c r="K272" s="11">
        <v>1299</v>
      </c>
      <c r="L272" s="49" t="s">
        <v>32</v>
      </c>
      <c r="M272" s="49" t="s">
        <v>76</v>
      </c>
      <c r="N272" s="49" t="s">
        <v>77</v>
      </c>
      <c r="O272" s="49" t="s">
        <v>78</v>
      </c>
      <c r="P272" s="49" t="s">
        <v>86</v>
      </c>
      <c r="Q272" s="49" t="s">
        <v>33</v>
      </c>
      <c r="R272" s="11" t="s">
        <v>80</v>
      </c>
      <c r="S272" s="11" t="s">
        <v>99</v>
      </c>
      <c r="T272" s="11" t="s">
        <v>159</v>
      </c>
      <c r="U272" s="11" t="s">
        <v>2714</v>
      </c>
      <c r="V272" s="116" t="str">
        <f>VLOOKUP(Table1[[#This Row],[Psoft No]],[2]Sheet1!$A$2:$G$386,7,0)</f>
        <v>P</v>
      </c>
      <c r="W272" s="88"/>
      <c r="X272" s="51">
        <v>45495</v>
      </c>
      <c r="Y272" s="97" t="s">
        <v>1569</v>
      </c>
      <c r="Z272" s="135" t="s">
        <v>2</v>
      </c>
      <c r="AA272" s="135">
        <v>0</v>
      </c>
    </row>
    <row r="273" spans="1:27" ht="13" customHeight="1">
      <c r="A273" s="11">
        <v>267</v>
      </c>
      <c r="B273" s="47">
        <v>203709883</v>
      </c>
      <c r="C273" s="89" t="s">
        <v>218</v>
      </c>
      <c r="D273" s="11" t="s">
        <v>219</v>
      </c>
      <c r="E273" s="48" t="s">
        <v>31</v>
      </c>
      <c r="F273" s="48" t="s">
        <v>74</v>
      </c>
      <c r="G273" s="11" t="s">
        <v>64</v>
      </c>
      <c r="H273" s="48" t="str">
        <f>VLOOKUP(Table1[[#This Row],[Psoft No]],[1]Roster!$C$2:$H$1402,6,)</f>
        <v>AUH1</v>
      </c>
      <c r="I273" s="48" t="b">
        <f>Table1[[#This Row],[Building]]=Table1[[#This Row],[Column1]]</f>
        <v>1</v>
      </c>
      <c r="J273" s="11" t="s">
        <v>75</v>
      </c>
      <c r="K273" s="11">
        <v>1299</v>
      </c>
      <c r="L273" s="49" t="s">
        <v>32</v>
      </c>
      <c r="M273" s="49" t="s">
        <v>76</v>
      </c>
      <c r="N273" s="49" t="s">
        <v>85</v>
      </c>
      <c r="O273" s="49" t="s">
        <v>88</v>
      </c>
      <c r="P273" s="48" t="s">
        <v>86</v>
      </c>
      <c r="Q273" s="49" t="s">
        <v>33</v>
      </c>
      <c r="R273" s="11" t="s">
        <v>80</v>
      </c>
      <c r="S273" s="11" t="s">
        <v>99</v>
      </c>
      <c r="T273" s="11" t="s">
        <v>159</v>
      </c>
      <c r="U273" s="11" t="s">
        <v>2714</v>
      </c>
      <c r="V273" s="116" t="str">
        <f>VLOOKUP(Table1[[#This Row],[Psoft No]],[2]Sheet1!$A$2:$G$386,7,0)</f>
        <v>P</v>
      </c>
      <c r="W273" s="88"/>
      <c r="X273" s="51">
        <v>45495</v>
      </c>
      <c r="Y273" s="97" t="s">
        <v>1569</v>
      </c>
      <c r="Z273" s="135" t="s">
        <v>2</v>
      </c>
      <c r="AA273" s="135">
        <v>0</v>
      </c>
    </row>
    <row r="274" spans="1:27" ht="13" customHeight="1">
      <c r="A274" s="11">
        <v>268</v>
      </c>
      <c r="B274" s="47">
        <v>203470579</v>
      </c>
      <c r="C274" s="89" t="s">
        <v>220</v>
      </c>
      <c r="D274" s="11" t="s">
        <v>221</v>
      </c>
      <c r="E274" s="48" t="s">
        <v>31</v>
      </c>
      <c r="F274" s="48" t="s">
        <v>74</v>
      </c>
      <c r="G274" s="11" t="s">
        <v>64</v>
      </c>
      <c r="H274" s="48" t="str">
        <f>VLOOKUP(Table1[[#This Row],[Psoft No]],[1]Roster!$C$2:$H$1402,6,)</f>
        <v>AUH1</v>
      </c>
      <c r="I274" s="48" t="b">
        <f>Table1[[#This Row],[Building]]=Table1[[#This Row],[Column1]]</f>
        <v>1</v>
      </c>
      <c r="J274" s="11" t="s">
        <v>75</v>
      </c>
      <c r="K274" s="11">
        <v>1299</v>
      </c>
      <c r="L274" s="49" t="s">
        <v>32</v>
      </c>
      <c r="M274" s="49" t="s">
        <v>76</v>
      </c>
      <c r="N274" s="49" t="s">
        <v>77</v>
      </c>
      <c r="O274" s="49" t="s">
        <v>78</v>
      </c>
      <c r="P274" s="48" t="s">
        <v>86</v>
      </c>
      <c r="Q274" s="49" t="s">
        <v>33</v>
      </c>
      <c r="R274" s="11" t="s">
        <v>80</v>
      </c>
      <c r="S274" s="11" t="s">
        <v>99</v>
      </c>
      <c r="T274" s="11" t="s">
        <v>159</v>
      </c>
      <c r="U274" s="11" t="s">
        <v>2714</v>
      </c>
      <c r="V274" s="116" t="str">
        <f>VLOOKUP(Table1[[#This Row],[Psoft No]],[2]Sheet1!$A$2:$G$386,7,0)</f>
        <v>P</v>
      </c>
      <c r="W274" s="88"/>
      <c r="X274" s="51">
        <v>45456</v>
      </c>
      <c r="Y274" s="97" t="s">
        <v>1569</v>
      </c>
      <c r="Z274" s="135" t="s">
        <v>2</v>
      </c>
      <c r="AA274" s="135">
        <v>0</v>
      </c>
    </row>
    <row r="275" spans="1:27" ht="13" customHeight="1">
      <c r="A275" s="11">
        <v>269</v>
      </c>
      <c r="B275" s="47">
        <v>206791751</v>
      </c>
      <c r="C275" s="89" t="s">
        <v>2491</v>
      </c>
      <c r="D275" s="11" t="s">
        <v>2492</v>
      </c>
      <c r="E275" s="48" t="s">
        <v>31</v>
      </c>
      <c r="F275" s="48" t="s">
        <v>74</v>
      </c>
      <c r="G275" s="11" t="s">
        <v>64</v>
      </c>
      <c r="H275" s="48" t="str">
        <f>VLOOKUP(Table1[[#This Row],[Psoft No]],[1]Roster!$C$2:$H$1402,6,)</f>
        <v>AUH1</v>
      </c>
      <c r="I275" s="48" t="b">
        <f>Table1[[#This Row],[Building]]=Table1[[#This Row],[Column1]]</f>
        <v>1</v>
      </c>
      <c r="J275" s="11" t="s">
        <v>75</v>
      </c>
      <c r="K275" s="11">
        <v>1299</v>
      </c>
      <c r="L275" s="49" t="s">
        <v>32</v>
      </c>
      <c r="M275" s="49" t="s">
        <v>76</v>
      </c>
      <c r="N275" s="49" t="s">
        <v>78</v>
      </c>
      <c r="O275" s="49" t="s">
        <v>92</v>
      </c>
      <c r="P275" s="48" t="s">
        <v>89</v>
      </c>
      <c r="Q275" s="49" t="s">
        <v>35</v>
      </c>
      <c r="R275" s="11" t="s">
        <v>80</v>
      </c>
      <c r="S275" s="11" t="s">
        <v>90</v>
      </c>
      <c r="T275" s="11" t="s">
        <v>224</v>
      </c>
      <c r="U275" s="11" t="s">
        <v>2715</v>
      </c>
      <c r="V275" s="116" t="s">
        <v>10</v>
      </c>
      <c r="W275" s="88"/>
      <c r="X275" s="51">
        <v>45999</v>
      </c>
      <c r="Y275" s="97" t="s">
        <v>1573</v>
      </c>
      <c r="Z275" s="135" t="s">
        <v>3023</v>
      </c>
      <c r="AA275" s="135">
        <v>0</v>
      </c>
    </row>
    <row r="276" spans="1:27" ht="13" customHeight="1">
      <c r="A276" s="11">
        <v>270</v>
      </c>
      <c r="B276" s="47">
        <v>111231851</v>
      </c>
      <c r="C276" s="89" t="s">
        <v>222</v>
      </c>
      <c r="D276" s="11" t="s">
        <v>223</v>
      </c>
      <c r="E276" s="48" t="s">
        <v>34</v>
      </c>
      <c r="F276" s="48" t="s">
        <v>74</v>
      </c>
      <c r="G276" s="11" t="s">
        <v>64</v>
      </c>
      <c r="H276" s="48" t="str">
        <f>VLOOKUP(Table1[[#This Row],[Psoft No]],[1]Roster!$C$2:$H$1402,6,)</f>
        <v>AUH1</v>
      </c>
      <c r="I276" s="48" t="b">
        <f>Table1[[#This Row],[Building]]=Table1[[#This Row],[Column1]]</f>
        <v>1</v>
      </c>
      <c r="J276" s="11" t="s">
        <v>75</v>
      </c>
      <c r="K276" s="11">
        <v>1299</v>
      </c>
      <c r="L276" s="49" t="s">
        <v>32</v>
      </c>
      <c r="M276" s="49" t="s">
        <v>76</v>
      </c>
      <c r="N276" s="49" t="s">
        <v>88</v>
      </c>
      <c r="O276" s="49" t="s">
        <v>95</v>
      </c>
      <c r="P276" s="49" t="s">
        <v>108</v>
      </c>
      <c r="Q276" s="49" t="s">
        <v>35</v>
      </c>
      <c r="R276" s="11" t="s">
        <v>80</v>
      </c>
      <c r="S276" s="11" t="s">
        <v>98</v>
      </c>
      <c r="T276" s="11" t="s">
        <v>224</v>
      </c>
      <c r="U276" s="11" t="s">
        <v>2715</v>
      </c>
      <c r="V276" s="116" t="str">
        <f>VLOOKUP(Table1[[#This Row],[Psoft No]],[2]Sheet1!$A$2:$G$386,7,0)</f>
        <v>P</v>
      </c>
      <c r="W276" s="88"/>
      <c r="X276" s="51">
        <v>44782</v>
      </c>
      <c r="Y276" s="97" t="s">
        <v>1570</v>
      </c>
      <c r="Z276" s="135" t="s">
        <v>2</v>
      </c>
      <c r="AA276" s="135">
        <v>0</v>
      </c>
    </row>
    <row r="277" spans="1:27" ht="13" customHeight="1">
      <c r="A277" s="11">
        <v>271</v>
      </c>
      <c r="B277" s="47">
        <v>206791753</v>
      </c>
      <c r="C277" s="89" t="s">
        <v>2493</v>
      </c>
      <c r="D277" s="11" t="s">
        <v>2494</v>
      </c>
      <c r="E277" s="48" t="s">
        <v>31</v>
      </c>
      <c r="F277" s="48" t="s">
        <v>74</v>
      </c>
      <c r="G277" s="11" t="s">
        <v>64</v>
      </c>
      <c r="H277" s="48" t="str">
        <f>VLOOKUP(Table1[[#This Row],[Psoft No]],[1]Roster!$C$2:$H$1402,6,)</f>
        <v>AUH1</v>
      </c>
      <c r="I277" s="48" t="b">
        <f>Table1[[#This Row],[Building]]=Table1[[#This Row],[Column1]]</f>
        <v>1</v>
      </c>
      <c r="J277" s="11" t="s">
        <v>75</v>
      </c>
      <c r="K277" s="11">
        <v>1299</v>
      </c>
      <c r="L277" s="49" t="s">
        <v>39</v>
      </c>
      <c r="M277" s="49" t="s">
        <v>76</v>
      </c>
      <c r="N277" s="49" t="s">
        <v>88</v>
      </c>
      <c r="O277" s="49" t="s">
        <v>95</v>
      </c>
      <c r="P277" s="48" t="s">
        <v>89</v>
      </c>
      <c r="Q277" s="49" t="s">
        <v>35</v>
      </c>
      <c r="R277" s="11" t="s">
        <v>80</v>
      </c>
      <c r="S277" s="11" t="s">
        <v>90</v>
      </c>
      <c r="T277" s="11" t="s">
        <v>225</v>
      </c>
      <c r="U277" s="11" t="s">
        <v>226</v>
      </c>
      <c r="V277" s="116" t="s">
        <v>1</v>
      </c>
      <c r="W277" s="88"/>
      <c r="X277" s="51">
        <v>45999</v>
      </c>
      <c r="Y277" s="97" t="s">
        <v>1574</v>
      </c>
      <c r="Z277" s="135" t="s">
        <v>2</v>
      </c>
      <c r="AA277" s="135">
        <v>0</v>
      </c>
    </row>
    <row r="278" spans="1:27" ht="13" customHeight="1">
      <c r="A278" s="11">
        <v>272</v>
      </c>
      <c r="B278" s="47">
        <v>203850647</v>
      </c>
      <c r="C278" s="89" t="s">
        <v>2495</v>
      </c>
      <c r="D278" s="11" t="s">
        <v>2496</v>
      </c>
      <c r="E278" s="48" t="s">
        <v>31</v>
      </c>
      <c r="F278" s="48" t="s">
        <v>74</v>
      </c>
      <c r="G278" s="11" t="s">
        <v>64</v>
      </c>
      <c r="H278" s="48" t="str">
        <f>VLOOKUP(Table1[[#This Row],[Psoft No]],[1]Roster!$C$2:$H$1402,6,)</f>
        <v>AUH1</v>
      </c>
      <c r="I278" s="48" t="b">
        <f>Table1[[#This Row],[Building]]=Table1[[#This Row],[Column1]]</f>
        <v>1</v>
      </c>
      <c r="J278" s="11" t="s">
        <v>75</v>
      </c>
      <c r="K278" s="11">
        <v>1299</v>
      </c>
      <c r="L278" s="49" t="s">
        <v>32</v>
      </c>
      <c r="M278" s="49" t="s">
        <v>76</v>
      </c>
      <c r="N278" s="49" t="s">
        <v>78</v>
      </c>
      <c r="O278" s="49" t="s">
        <v>92</v>
      </c>
      <c r="P278" s="49" t="s">
        <v>86</v>
      </c>
      <c r="Q278" s="49" t="s">
        <v>35</v>
      </c>
      <c r="R278" s="11" t="s">
        <v>80</v>
      </c>
      <c r="S278" s="11" t="s">
        <v>90</v>
      </c>
      <c r="T278" s="11" t="s">
        <v>225</v>
      </c>
      <c r="U278" s="11" t="s">
        <v>226</v>
      </c>
      <c r="V278" s="116" t="s">
        <v>10</v>
      </c>
      <c r="W278" s="88"/>
      <c r="X278" s="51">
        <v>45524</v>
      </c>
      <c r="Y278" s="97" t="s">
        <v>1572</v>
      </c>
      <c r="Z278" s="135" t="s">
        <v>3023</v>
      </c>
      <c r="AA278" s="135">
        <v>0</v>
      </c>
    </row>
    <row r="279" spans="1:27" ht="13" customHeight="1">
      <c r="A279" s="11">
        <v>273</v>
      </c>
      <c r="B279" s="47">
        <v>203816837</v>
      </c>
      <c r="C279" s="89" t="s">
        <v>227</v>
      </c>
      <c r="D279" s="11" t="s">
        <v>228</v>
      </c>
      <c r="E279" s="48" t="s">
        <v>31</v>
      </c>
      <c r="F279" s="48" t="s">
        <v>74</v>
      </c>
      <c r="G279" s="11" t="s">
        <v>64</v>
      </c>
      <c r="H279" s="48" t="str">
        <f>VLOOKUP(Table1[[#This Row],[Psoft No]],[1]Roster!$C$2:$H$1402,6,)</f>
        <v>AUH1</v>
      </c>
      <c r="I279" s="48" t="b">
        <f>Table1[[#This Row],[Building]]=Table1[[#This Row],[Column1]]</f>
        <v>1</v>
      </c>
      <c r="J279" s="11" t="s">
        <v>75</v>
      </c>
      <c r="K279" s="11">
        <v>1299</v>
      </c>
      <c r="L279" s="49" t="s">
        <v>32</v>
      </c>
      <c r="M279" s="49" t="s">
        <v>76</v>
      </c>
      <c r="N279" s="49" t="s">
        <v>78</v>
      </c>
      <c r="O279" s="49" t="s">
        <v>92</v>
      </c>
      <c r="P279" s="48" t="s">
        <v>86</v>
      </c>
      <c r="Q279" s="49" t="s">
        <v>35</v>
      </c>
      <c r="R279" s="11" t="s">
        <v>80</v>
      </c>
      <c r="S279" s="11" t="s">
        <v>99</v>
      </c>
      <c r="T279" s="11" t="s">
        <v>225</v>
      </c>
      <c r="U279" s="11" t="s">
        <v>226</v>
      </c>
      <c r="V279" s="116" t="s">
        <v>10</v>
      </c>
      <c r="W279" s="88"/>
      <c r="X279" s="51">
        <v>45517</v>
      </c>
      <c r="Y279" s="97" t="s">
        <v>1573</v>
      </c>
      <c r="Z279" s="135" t="s">
        <v>3023</v>
      </c>
      <c r="AA279" s="135">
        <v>0</v>
      </c>
    </row>
    <row r="280" spans="1:27" ht="13" customHeight="1">
      <c r="A280" s="11">
        <v>274</v>
      </c>
      <c r="B280" s="47">
        <v>206874041</v>
      </c>
      <c r="C280" s="89" t="s">
        <v>2583</v>
      </c>
      <c r="D280" s="11" t="s">
        <v>2584</v>
      </c>
      <c r="E280" s="48" t="s">
        <v>31</v>
      </c>
      <c r="F280" s="48" t="s">
        <v>74</v>
      </c>
      <c r="G280" s="48" t="s">
        <v>64</v>
      </c>
      <c r="H280" s="48" t="str">
        <f>VLOOKUP(Table1[[#This Row],[Psoft No]],[1]Roster!$C$2:$H$1402,6,)</f>
        <v>AUH1</v>
      </c>
      <c r="I280" s="48" t="b">
        <f>Table1[[#This Row],[Building]]=Table1[[#This Row],[Column1]]</f>
        <v>1</v>
      </c>
      <c r="J280" s="48" t="s">
        <v>75</v>
      </c>
      <c r="K280" s="11">
        <v>1299</v>
      </c>
      <c r="L280" s="49" t="s">
        <v>32</v>
      </c>
      <c r="M280" s="49" t="s">
        <v>76</v>
      </c>
      <c r="N280" s="49" t="s">
        <v>78</v>
      </c>
      <c r="O280" s="49" t="s">
        <v>92</v>
      </c>
      <c r="P280" s="49" t="s">
        <v>89</v>
      </c>
      <c r="Q280" s="48" t="s">
        <v>35</v>
      </c>
      <c r="R280" s="48" t="s">
        <v>80</v>
      </c>
      <c r="S280" s="11" t="s">
        <v>90</v>
      </c>
      <c r="T280" s="11" t="s">
        <v>231</v>
      </c>
      <c r="U280" s="11" t="s">
        <v>1753</v>
      </c>
      <c r="V280" s="116" t="s">
        <v>10</v>
      </c>
      <c r="W280" s="88"/>
      <c r="X280" s="51">
        <v>46020</v>
      </c>
      <c r="Y280" s="97" t="s">
        <v>1573</v>
      </c>
      <c r="Z280" s="135" t="s">
        <v>3023</v>
      </c>
      <c r="AA280" s="135">
        <v>0</v>
      </c>
    </row>
    <row r="281" spans="1:27" ht="13" customHeight="1">
      <c r="A281" s="11">
        <v>275</v>
      </c>
      <c r="B281" s="47">
        <v>203850646</v>
      </c>
      <c r="C281" s="89" t="s">
        <v>2497</v>
      </c>
      <c r="D281" s="11" t="s">
        <v>2498</v>
      </c>
      <c r="E281" s="48" t="s">
        <v>31</v>
      </c>
      <c r="F281" s="48" t="s">
        <v>74</v>
      </c>
      <c r="G281" s="11" t="s">
        <v>64</v>
      </c>
      <c r="H281" s="48" t="str">
        <f>VLOOKUP(Table1[[#This Row],[Psoft No]],[1]Roster!$C$2:$H$1402,6,)</f>
        <v>AUH1</v>
      </c>
      <c r="I281" s="48" t="b">
        <f>Table1[[#This Row],[Building]]=Table1[[#This Row],[Column1]]</f>
        <v>1</v>
      </c>
      <c r="J281" s="11" t="s">
        <v>75</v>
      </c>
      <c r="K281" s="11">
        <v>1299</v>
      </c>
      <c r="L281" s="49" t="s">
        <v>32</v>
      </c>
      <c r="M281" s="49" t="s">
        <v>76</v>
      </c>
      <c r="N281" s="49" t="s">
        <v>88</v>
      </c>
      <c r="O281" s="49" t="s">
        <v>95</v>
      </c>
      <c r="P281" s="48" t="s">
        <v>86</v>
      </c>
      <c r="Q281" s="49" t="s">
        <v>35</v>
      </c>
      <c r="R281" s="11" t="s">
        <v>80</v>
      </c>
      <c r="S281" s="11" t="s">
        <v>90</v>
      </c>
      <c r="T281" s="11" t="s">
        <v>225</v>
      </c>
      <c r="U281" s="11" t="s">
        <v>226</v>
      </c>
      <c r="V281" s="116" t="str">
        <f>VLOOKUP(Table1[[#This Row],[Psoft No]],[2]Sheet1!$A$2:$G$386,7,0)</f>
        <v>P</v>
      </c>
      <c r="W281" s="88"/>
      <c r="X281" s="51">
        <v>45524</v>
      </c>
      <c r="Y281" s="97" t="s">
        <v>1572</v>
      </c>
      <c r="Z281" s="135" t="s">
        <v>2</v>
      </c>
      <c r="AA281" s="135">
        <v>0</v>
      </c>
    </row>
    <row r="282" spans="1:27" ht="13" customHeight="1">
      <c r="A282" s="11">
        <v>276</v>
      </c>
      <c r="B282" s="47">
        <v>203741314</v>
      </c>
      <c r="C282" s="89" t="s">
        <v>233</v>
      </c>
      <c r="D282" s="11" t="s">
        <v>234</v>
      </c>
      <c r="E282" s="48" t="s">
        <v>31</v>
      </c>
      <c r="F282" s="48" t="s">
        <v>74</v>
      </c>
      <c r="G282" s="11" t="s">
        <v>64</v>
      </c>
      <c r="H282" s="48" t="str">
        <f>VLOOKUP(Table1[[#This Row],[Psoft No]],[1]Roster!$C$2:$H$1402,6,)</f>
        <v>AUH1</v>
      </c>
      <c r="I282" s="48" t="b">
        <f>Table1[[#This Row],[Building]]=Table1[[#This Row],[Column1]]</f>
        <v>1</v>
      </c>
      <c r="J282" s="11" t="s">
        <v>75</v>
      </c>
      <c r="K282" s="11">
        <v>1299</v>
      </c>
      <c r="L282" s="49" t="s">
        <v>32</v>
      </c>
      <c r="M282" s="49" t="s">
        <v>76</v>
      </c>
      <c r="N282" s="49" t="s">
        <v>77</v>
      </c>
      <c r="O282" s="49" t="s">
        <v>78</v>
      </c>
      <c r="P282" s="48" t="s">
        <v>79</v>
      </c>
      <c r="Q282" s="49" t="s">
        <v>35</v>
      </c>
      <c r="R282" s="11" t="s">
        <v>80</v>
      </c>
      <c r="S282" s="11" t="s">
        <v>81</v>
      </c>
      <c r="T282" s="11" t="s">
        <v>224</v>
      </c>
      <c r="U282" s="11" t="s">
        <v>2715</v>
      </c>
      <c r="V282" s="116" t="str">
        <f>VLOOKUP(Table1[[#This Row],[Psoft No]],[2]Sheet1!$A$2:$G$386,7,0)</f>
        <v>P</v>
      </c>
      <c r="W282" s="88"/>
      <c r="X282" s="51">
        <v>45502</v>
      </c>
      <c r="Y282" s="97" t="s">
        <v>1573</v>
      </c>
      <c r="Z282" s="135" t="s">
        <v>2</v>
      </c>
      <c r="AA282" s="135">
        <v>0</v>
      </c>
    </row>
    <row r="283" spans="1:27" ht="13" customHeight="1">
      <c r="A283" s="11">
        <v>277</v>
      </c>
      <c r="B283" s="47">
        <v>203813034</v>
      </c>
      <c r="C283" s="89" t="s">
        <v>235</v>
      </c>
      <c r="D283" s="11" t="s">
        <v>236</v>
      </c>
      <c r="E283" s="48" t="s">
        <v>31</v>
      </c>
      <c r="F283" s="48" t="s">
        <v>74</v>
      </c>
      <c r="G283" s="11" t="s">
        <v>64</v>
      </c>
      <c r="H283" s="48" t="str">
        <f>VLOOKUP(Table1[[#This Row],[Psoft No]],[1]Roster!$C$2:$H$1402,6,)</f>
        <v>AUH1</v>
      </c>
      <c r="I283" s="48" t="b">
        <f>Table1[[#This Row],[Building]]=Table1[[#This Row],[Column1]]</f>
        <v>1</v>
      </c>
      <c r="J283" s="11" t="s">
        <v>75</v>
      </c>
      <c r="K283" s="11">
        <v>1299</v>
      </c>
      <c r="L283" s="49" t="s">
        <v>32</v>
      </c>
      <c r="M283" s="49" t="s">
        <v>76</v>
      </c>
      <c r="N283" s="49" t="s">
        <v>77</v>
      </c>
      <c r="O283" s="49" t="s">
        <v>78</v>
      </c>
      <c r="P283" s="48" t="s">
        <v>86</v>
      </c>
      <c r="Q283" s="49" t="s">
        <v>35</v>
      </c>
      <c r="R283" s="11" t="s">
        <v>80</v>
      </c>
      <c r="S283" s="11" t="s">
        <v>99</v>
      </c>
      <c r="T283" s="11" t="s">
        <v>225</v>
      </c>
      <c r="U283" s="11" t="s">
        <v>226</v>
      </c>
      <c r="V283" s="116" t="str">
        <f>VLOOKUP(Table1[[#This Row],[Psoft No]],[2]Sheet1!$A$2:$G$386,7,0)</f>
        <v>P</v>
      </c>
      <c r="W283" s="88"/>
      <c r="X283" s="51">
        <v>45517</v>
      </c>
      <c r="Y283" s="97" t="s">
        <v>1573</v>
      </c>
      <c r="Z283" s="135" t="s">
        <v>2</v>
      </c>
      <c r="AA283" s="135">
        <v>0</v>
      </c>
    </row>
    <row r="284" spans="1:27" ht="13" customHeight="1">
      <c r="A284" s="11">
        <v>278</v>
      </c>
      <c r="B284" s="47">
        <v>203813038</v>
      </c>
      <c r="C284" s="89" t="s">
        <v>237</v>
      </c>
      <c r="D284" s="11" t="s">
        <v>238</v>
      </c>
      <c r="E284" s="48" t="s">
        <v>31</v>
      </c>
      <c r="F284" s="48" t="s">
        <v>74</v>
      </c>
      <c r="G284" s="11" t="s">
        <v>64</v>
      </c>
      <c r="H284" s="48" t="str">
        <f>VLOOKUP(Table1[[#This Row],[Psoft No]],[1]Roster!$C$2:$H$1402,6,)</f>
        <v>AUH1</v>
      </c>
      <c r="I284" s="48" t="b">
        <f>Table1[[#This Row],[Building]]=Table1[[#This Row],[Column1]]</f>
        <v>1</v>
      </c>
      <c r="J284" s="11" t="s">
        <v>75</v>
      </c>
      <c r="K284" s="11">
        <v>1299</v>
      </c>
      <c r="L284" s="49" t="s">
        <v>32</v>
      </c>
      <c r="M284" s="49" t="s">
        <v>76</v>
      </c>
      <c r="N284" s="49" t="s">
        <v>84</v>
      </c>
      <c r="O284" s="49" t="s">
        <v>85</v>
      </c>
      <c r="P284" s="48" t="s">
        <v>86</v>
      </c>
      <c r="Q284" s="49" t="s">
        <v>35</v>
      </c>
      <c r="R284" s="11" t="s">
        <v>80</v>
      </c>
      <c r="S284" s="11" t="s">
        <v>99</v>
      </c>
      <c r="T284" s="11" t="s">
        <v>225</v>
      </c>
      <c r="U284" s="11" t="s">
        <v>226</v>
      </c>
      <c r="V284" s="116" t="str">
        <f>VLOOKUP(Table1[[#This Row],[Psoft No]],[2]Sheet1!$A$2:$G$386,7,0)</f>
        <v>P</v>
      </c>
      <c r="W284" s="88"/>
      <c r="X284" s="51">
        <v>45517</v>
      </c>
      <c r="Y284" s="97" t="s">
        <v>1573</v>
      </c>
      <c r="Z284" s="135" t="s">
        <v>2</v>
      </c>
      <c r="AA284" s="135">
        <v>0</v>
      </c>
    </row>
    <row r="285" spans="1:27" ht="13" customHeight="1">
      <c r="A285" s="11">
        <v>279</v>
      </c>
      <c r="B285" s="47">
        <v>203813033</v>
      </c>
      <c r="C285" s="89" t="s">
        <v>239</v>
      </c>
      <c r="D285" s="11" t="s">
        <v>240</v>
      </c>
      <c r="E285" s="48" t="s">
        <v>31</v>
      </c>
      <c r="F285" s="48" t="s">
        <v>74</v>
      </c>
      <c r="G285" s="11" t="s">
        <v>64</v>
      </c>
      <c r="H285" s="48" t="str">
        <f>VLOOKUP(Table1[[#This Row],[Psoft No]],[1]Roster!$C$2:$H$1402,6,)</f>
        <v>AUH1</v>
      </c>
      <c r="I285" s="48" t="b">
        <f>Table1[[#This Row],[Building]]=Table1[[#This Row],[Column1]]</f>
        <v>1</v>
      </c>
      <c r="J285" s="11" t="s">
        <v>75</v>
      </c>
      <c r="K285" s="11">
        <v>1299</v>
      </c>
      <c r="L285" s="49" t="s">
        <v>39</v>
      </c>
      <c r="M285" s="49" t="s">
        <v>76</v>
      </c>
      <c r="N285" s="49" t="s">
        <v>78</v>
      </c>
      <c r="O285" s="49" t="s">
        <v>92</v>
      </c>
      <c r="P285" s="48" t="s">
        <v>86</v>
      </c>
      <c r="Q285" s="49" t="s">
        <v>35</v>
      </c>
      <c r="R285" s="11" t="s">
        <v>80</v>
      </c>
      <c r="S285" s="11" t="s">
        <v>99</v>
      </c>
      <c r="T285" s="11" t="s">
        <v>225</v>
      </c>
      <c r="U285" s="11" t="s">
        <v>226</v>
      </c>
      <c r="V285" s="116" t="s">
        <v>10</v>
      </c>
      <c r="W285" s="88"/>
      <c r="X285" s="51">
        <v>45517</v>
      </c>
      <c r="Y285" s="97" t="s">
        <v>1573</v>
      </c>
      <c r="Z285" s="135" t="s">
        <v>3023</v>
      </c>
      <c r="AA285" s="135">
        <v>0</v>
      </c>
    </row>
    <row r="286" spans="1:27" ht="13" customHeight="1">
      <c r="A286" s="11">
        <v>280</v>
      </c>
      <c r="B286" s="47">
        <v>205977111</v>
      </c>
      <c r="C286" s="89" t="s">
        <v>241</v>
      </c>
      <c r="D286" s="11" t="s">
        <v>242</v>
      </c>
      <c r="E286" s="48" t="s">
        <v>31</v>
      </c>
      <c r="F286" s="48" t="s">
        <v>74</v>
      </c>
      <c r="G286" s="11" t="s">
        <v>64</v>
      </c>
      <c r="H286" s="48" t="str">
        <f>VLOOKUP(Table1[[#This Row],[Psoft No]],[1]Roster!$C$2:$H$1402,6,)</f>
        <v>AUH1</v>
      </c>
      <c r="I286" s="48" t="b">
        <f>Table1[[#This Row],[Building]]=Table1[[#This Row],[Column1]]</f>
        <v>1</v>
      </c>
      <c r="J286" s="11" t="s">
        <v>75</v>
      </c>
      <c r="K286" s="11">
        <v>1299</v>
      </c>
      <c r="L286" s="49" t="s">
        <v>32</v>
      </c>
      <c r="M286" s="49" t="s">
        <v>76</v>
      </c>
      <c r="N286" s="49" t="s">
        <v>85</v>
      </c>
      <c r="O286" s="49" t="s">
        <v>88</v>
      </c>
      <c r="P286" s="48" t="s">
        <v>86</v>
      </c>
      <c r="Q286" s="49" t="s">
        <v>35</v>
      </c>
      <c r="R286" s="11" t="s">
        <v>80</v>
      </c>
      <c r="S286" s="11" t="s">
        <v>90</v>
      </c>
      <c r="T286" s="11" t="s">
        <v>231</v>
      </c>
      <c r="U286" s="11" t="s">
        <v>1753</v>
      </c>
      <c r="V286" s="116" t="str">
        <f>VLOOKUP(Table1[[#This Row],[Psoft No]],[2]Sheet1!$A$2:$G$386,7,0)</f>
        <v>P</v>
      </c>
      <c r="W286" s="88"/>
      <c r="X286" s="51">
        <v>45915</v>
      </c>
      <c r="Y286" s="97" t="s">
        <v>1571</v>
      </c>
      <c r="Z286" s="135" t="s">
        <v>2</v>
      </c>
      <c r="AA286" s="135">
        <v>0</v>
      </c>
    </row>
    <row r="287" spans="1:27" ht="13" customHeight="1">
      <c r="A287" s="11">
        <v>281</v>
      </c>
      <c r="B287" s="47">
        <v>204946685</v>
      </c>
      <c r="C287" s="89" t="s">
        <v>2735</v>
      </c>
      <c r="D287" s="11" t="s">
        <v>2736</v>
      </c>
      <c r="E287" s="48" t="s">
        <v>31</v>
      </c>
      <c r="F287" s="48" t="s">
        <v>74</v>
      </c>
      <c r="G287" s="11" t="s">
        <v>64</v>
      </c>
      <c r="H287" s="48" t="str">
        <f>VLOOKUP(Table1[[#This Row],[Psoft No]],[1]Roster!$C$2:$H$1402,6,)</f>
        <v>AUH1</v>
      </c>
      <c r="I287" s="48" t="b">
        <f>Table1[[#This Row],[Building]]=Table1[[#This Row],[Column1]]</f>
        <v>1</v>
      </c>
      <c r="J287" s="11" t="s">
        <v>75</v>
      </c>
      <c r="K287" s="11">
        <v>1299</v>
      </c>
      <c r="L287" s="49" t="s">
        <v>32</v>
      </c>
      <c r="M287" s="49" t="s">
        <v>76</v>
      </c>
      <c r="N287" s="49" t="s">
        <v>92</v>
      </c>
      <c r="O287" s="49" t="s">
        <v>84</v>
      </c>
      <c r="P287" s="48" t="s">
        <v>89</v>
      </c>
      <c r="Q287" s="49" t="s">
        <v>37</v>
      </c>
      <c r="R287" s="11" t="s">
        <v>80</v>
      </c>
      <c r="S287" s="11" t="s">
        <v>90</v>
      </c>
      <c r="T287" s="49" t="s">
        <v>627</v>
      </c>
      <c r="U287" s="11" t="s">
        <v>628</v>
      </c>
      <c r="V287" s="116" t="s">
        <v>10</v>
      </c>
      <c r="W287" s="88"/>
      <c r="X287" s="51">
        <v>45719</v>
      </c>
      <c r="Y287" s="97" t="s">
        <v>1579</v>
      </c>
      <c r="Z287" s="135" t="s">
        <v>3023</v>
      </c>
      <c r="AA287" s="135">
        <v>0</v>
      </c>
    </row>
    <row r="288" spans="1:27" ht="13" customHeight="1">
      <c r="A288" s="11">
        <v>282</v>
      </c>
      <c r="B288" s="47">
        <v>206871907</v>
      </c>
      <c r="C288" s="89" t="s">
        <v>1772</v>
      </c>
      <c r="D288" s="11" t="s">
        <v>1773</v>
      </c>
      <c r="E288" s="48" t="s">
        <v>31</v>
      </c>
      <c r="F288" s="48" t="s">
        <v>74</v>
      </c>
      <c r="G288" s="11" t="s">
        <v>64</v>
      </c>
      <c r="H288" s="48" t="str">
        <f>VLOOKUP(Table1[[#This Row],[Psoft No]],[1]Roster!$C$2:$H$1402,6,)</f>
        <v>AUH1</v>
      </c>
      <c r="I288" s="48" t="b">
        <f>Table1[[#This Row],[Building]]=Table1[[#This Row],[Column1]]</f>
        <v>1</v>
      </c>
      <c r="J288" s="11" t="s">
        <v>75</v>
      </c>
      <c r="K288" s="11">
        <v>1299</v>
      </c>
      <c r="L288" s="49" t="s">
        <v>2471</v>
      </c>
      <c r="M288" s="49" t="s">
        <v>76</v>
      </c>
      <c r="N288" s="49" t="s">
        <v>84</v>
      </c>
      <c r="O288" s="49" t="s">
        <v>85</v>
      </c>
      <c r="P288" s="48" t="s">
        <v>89</v>
      </c>
      <c r="Q288" s="49" t="s">
        <v>35</v>
      </c>
      <c r="R288" s="11" t="s">
        <v>80</v>
      </c>
      <c r="S288" s="11" t="s">
        <v>81</v>
      </c>
      <c r="T288" s="11" t="s">
        <v>225</v>
      </c>
      <c r="U288" s="11" t="s">
        <v>226</v>
      </c>
      <c r="V288" s="116" t="s">
        <v>1</v>
      </c>
      <c r="W288" s="88"/>
      <c r="X288" s="51">
        <v>46020</v>
      </c>
      <c r="Y288" s="97" t="s">
        <v>1572</v>
      </c>
      <c r="Z288" s="135" t="s">
        <v>2</v>
      </c>
      <c r="AA288" s="135">
        <v>0</v>
      </c>
    </row>
    <row r="289" spans="1:27" ht="13" customHeight="1">
      <c r="A289" s="11">
        <v>283</v>
      </c>
      <c r="B289" s="11">
        <v>110330601</v>
      </c>
      <c r="C289" s="89" t="s">
        <v>245</v>
      </c>
      <c r="D289" s="11" t="s">
        <v>246</v>
      </c>
      <c r="E289" s="48" t="s">
        <v>34</v>
      </c>
      <c r="F289" s="48" t="s">
        <v>74</v>
      </c>
      <c r="G289" s="48" t="s">
        <v>64</v>
      </c>
      <c r="H289" s="48" t="str">
        <f>VLOOKUP(Table1[[#This Row],[Psoft No]],[1]Roster!$C$2:$H$1402,6,)</f>
        <v>AUH1</v>
      </c>
      <c r="I289" s="48" t="b">
        <f>Table1[[#This Row],[Building]]=Table1[[#This Row],[Column1]]</f>
        <v>1</v>
      </c>
      <c r="J289" s="48" t="s">
        <v>75</v>
      </c>
      <c r="K289" s="11">
        <v>1299</v>
      </c>
      <c r="L289" s="49" t="s">
        <v>39</v>
      </c>
      <c r="M289" s="49" t="s">
        <v>76</v>
      </c>
      <c r="N289" s="49" t="s">
        <v>95</v>
      </c>
      <c r="O289" s="49" t="s">
        <v>77</v>
      </c>
      <c r="P289" s="49" t="s">
        <v>108</v>
      </c>
      <c r="Q289" s="48" t="s">
        <v>35</v>
      </c>
      <c r="R289" s="48" t="s">
        <v>80</v>
      </c>
      <c r="S289" s="11" t="s">
        <v>98</v>
      </c>
      <c r="T289" s="11" t="s">
        <v>224</v>
      </c>
      <c r="U289" s="11" t="s">
        <v>2715</v>
      </c>
      <c r="V289" s="116" t="s">
        <v>1</v>
      </c>
      <c r="W289" s="88"/>
      <c r="X289" s="51">
        <v>44757</v>
      </c>
      <c r="Y289" s="97" t="s">
        <v>1570</v>
      </c>
      <c r="Z289" s="135" t="s">
        <v>2</v>
      </c>
      <c r="AA289" s="135">
        <v>0</v>
      </c>
    </row>
    <row r="290" spans="1:27" ht="13" customHeight="1">
      <c r="A290" s="11">
        <v>284</v>
      </c>
      <c r="B290" s="47">
        <v>203796734</v>
      </c>
      <c r="C290" s="89" t="s">
        <v>247</v>
      </c>
      <c r="D290" s="11" t="s">
        <v>248</v>
      </c>
      <c r="E290" s="48" t="s">
        <v>31</v>
      </c>
      <c r="F290" s="48" t="s">
        <v>74</v>
      </c>
      <c r="G290" s="11" t="s">
        <v>64</v>
      </c>
      <c r="H290" s="48" t="str">
        <f>VLOOKUP(Table1[[#This Row],[Psoft No]],[1]Roster!$C$2:$H$1402,6,)</f>
        <v>AUH1</v>
      </c>
      <c r="I290" s="48" t="b">
        <f>Table1[[#This Row],[Building]]=Table1[[#This Row],[Column1]]</f>
        <v>1</v>
      </c>
      <c r="J290" s="11" t="s">
        <v>75</v>
      </c>
      <c r="K290" s="11">
        <v>1299</v>
      </c>
      <c r="L290" s="49" t="s">
        <v>32</v>
      </c>
      <c r="M290" s="49" t="s">
        <v>76</v>
      </c>
      <c r="N290" s="49" t="s">
        <v>78</v>
      </c>
      <c r="O290" s="49" t="s">
        <v>92</v>
      </c>
      <c r="P290" s="48" t="s">
        <v>79</v>
      </c>
      <c r="Q290" s="49" t="s">
        <v>35</v>
      </c>
      <c r="R290" s="11" t="s">
        <v>80</v>
      </c>
      <c r="S290" s="11" t="s">
        <v>81</v>
      </c>
      <c r="T290" s="11" t="s">
        <v>225</v>
      </c>
      <c r="U290" s="11" t="s">
        <v>226</v>
      </c>
      <c r="V290" s="116" t="s">
        <v>10</v>
      </c>
      <c r="W290" s="88"/>
      <c r="X290" s="51">
        <v>45517</v>
      </c>
      <c r="Y290" s="97" t="s">
        <v>1573</v>
      </c>
      <c r="Z290" s="135" t="s">
        <v>3023</v>
      </c>
      <c r="AA290" s="135">
        <v>0</v>
      </c>
    </row>
    <row r="291" spans="1:27" ht="13" customHeight="1">
      <c r="A291" s="11">
        <v>285</v>
      </c>
      <c r="B291" s="47">
        <v>206348034</v>
      </c>
      <c r="C291" s="89" t="s">
        <v>1690</v>
      </c>
      <c r="D291" s="11" t="s">
        <v>1703</v>
      </c>
      <c r="E291" s="48" t="s">
        <v>31</v>
      </c>
      <c r="F291" s="48" t="s">
        <v>74</v>
      </c>
      <c r="G291" s="11" t="s">
        <v>64</v>
      </c>
      <c r="H291" s="48" t="str">
        <f>VLOOKUP(Table1[[#This Row],[Psoft No]],[1]Roster!$C$2:$H$1402,6,)</f>
        <v>AUH1</v>
      </c>
      <c r="I291" s="48" t="b">
        <f>Table1[[#This Row],[Building]]=Table1[[#This Row],[Column1]]</f>
        <v>1</v>
      </c>
      <c r="J291" s="11" t="s">
        <v>75</v>
      </c>
      <c r="K291" s="11">
        <v>1181</v>
      </c>
      <c r="L291" s="49" t="s">
        <v>32</v>
      </c>
      <c r="M291" s="49" t="s">
        <v>76</v>
      </c>
      <c r="N291" s="49" t="s">
        <v>84</v>
      </c>
      <c r="O291" s="49" t="s">
        <v>85</v>
      </c>
      <c r="P291" s="48" t="s">
        <v>89</v>
      </c>
      <c r="Q291" s="49" t="s">
        <v>33</v>
      </c>
      <c r="R291" s="11" t="s">
        <v>80</v>
      </c>
      <c r="S291" s="11" t="s">
        <v>81</v>
      </c>
      <c r="T291" s="11" t="s">
        <v>159</v>
      </c>
      <c r="U291" s="11" t="s">
        <v>2714</v>
      </c>
      <c r="V291" s="116" t="str">
        <f>VLOOKUP(Table1[[#This Row],[Psoft No]],[2]Sheet1!$A$2:$G$386,7,0)</f>
        <v>P</v>
      </c>
      <c r="W291" s="88"/>
      <c r="X291" s="51">
        <v>45957</v>
      </c>
      <c r="Y291" s="97" t="s">
        <v>1569</v>
      </c>
      <c r="Z291" s="135" t="s">
        <v>2</v>
      </c>
      <c r="AA291" s="135">
        <v>0</v>
      </c>
    </row>
    <row r="292" spans="1:27" ht="13" customHeight="1">
      <c r="A292" s="11">
        <v>286</v>
      </c>
      <c r="B292" s="47">
        <v>205477618</v>
      </c>
      <c r="C292" s="90" t="s">
        <v>249</v>
      </c>
      <c r="D292" s="103" t="s">
        <v>250</v>
      </c>
      <c r="E292" s="103" t="s">
        <v>31</v>
      </c>
      <c r="F292" s="48" t="s">
        <v>74</v>
      </c>
      <c r="G292" s="11" t="s">
        <v>64</v>
      </c>
      <c r="H292" s="48" t="str">
        <f>VLOOKUP(Table1[[#This Row],[Psoft No]],[1]Roster!$C$2:$H$1402,6,)</f>
        <v>AUH1</v>
      </c>
      <c r="I292" s="48" t="b">
        <f>Table1[[#This Row],[Building]]=Table1[[#This Row],[Column1]]</f>
        <v>1</v>
      </c>
      <c r="J292" s="11" t="s">
        <v>75</v>
      </c>
      <c r="K292" s="11">
        <v>1299</v>
      </c>
      <c r="L292" s="49" t="s">
        <v>32</v>
      </c>
      <c r="M292" s="49" t="s">
        <v>76</v>
      </c>
      <c r="N292" s="49" t="s">
        <v>88</v>
      </c>
      <c r="O292" s="49" t="s">
        <v>95</v>
      </c>
      <c r="P292" s="49" t="s">
        <v>86</v>
      </c>
      <c r="Q292" s="49" t="s">
        <v>35</v>
      </c>
      <c r="R292" s="49" t="s">
        <v>80</v>
      </c>
      <c r="S292" s="49" t="s">
        <v>90</v>
      </c>
      <c r="T292" s="11" t="s">
        <v>225</v>
      </c>
      <c r="U292" s="49" t="s">
        <v>226</v>
      </c>
      <c r="V292" s="116" t="str">
        <f>VLOOKUP(Table1[[#This Row],[Psoft No]],[2]Sheet1!$A$2:$G$386,7,0)</f>
        <v>P</v>
      </c>
      <c r="W292" s="88"/>
      <c r="X292" s="51">
        <v>45831</v>
      </c>
      <c r="Y292" s="97" t="s">
        <v>1574</v>
      </c>
      <c r="Z292" s="135" t="s">
        <v>2</v>
      </c>
      <c r="AA292" s="135">
        <v>0</v>
      </c>
    </row>
    <row r="293" spans="1:27" ht="13" customHeight="1">
      <c r="A293" s="11">
        <v>287</v>
      </c>
      <c r="B293" s="47">
        <v>206015600</v>
      </c>
      <c r="C293" s="89" t="s">
        <v>252</v>
      </c>
      <c r="D293" s="11" t="s">
        <v>253</v>
      </c>
      <c r="E293" s="48" t="s">
        <v>31</v>
      </c>
      <c r="F293" s="48" t="s">
        <v>74</v>
      </c>
      <c r="G293" s="11" t="s">
        <v>64</v>
      </c>
      <c r="H293" s="48" t="str">
        <f>VLOOKUP(Table1[[#This Row],[Psoft No]],[1]Roster!$C$2:$H$1402,6,)</f>
        <v>AUH1</v>
      </c>
      <c r="I293" s="48" t="b">
        <f>Table1[[#This Row],[Building]]=Table1[[#This Row],[Column1]]</f>
        <v>1</v>
      </c>
      <c r="J293" s="11" t="s">
        <v>75</v>
      </c>
      <c r="K293" s="11">
        <v>1299</v>
      </c>
      <c r="L293" s="49" t="s">
        <v>39</v>
      </c>
      <c r="M293" s="49" t="s">
        <v>76</v>
      </c>
      <c r="N293" s="49" t="s">
        <v>88</v>
      </c>
      <c r="O293" s="49" t="s">
        <v>95</v>
      </c>
      <c r="P293" s="48" t="s">
        <v>79</v>
      </c>
      <c r="Q293" s="49" t="s">
        <v>35</v>
      </c>
      <c r="R293" s="11" t="s">
        <v>80</v>
      </c>
      <c r="S293" s="11" t="s">
        <v>81</v>
      </c>
      <c r="T293" s="11" t="s">
        <v>231</v>
      </c>
      <c r="U293" s="11" t="s">
        <v>1753</v>
      </c>
      <c r="V293" s="116" t="s">
        <v>1</v>
      </c>
      <c r="W293" s="88"/>
      <c r="X293" s="51">
        <v>45915</v>
      </c>
      <c r="Y293" s="97" t="s">
        <v>1573</v>
      </c>
      <c r="Z293" s="135" t="s">
        <v>2</v>
      </c>
      <c r="AA293" s="135">
        <v>0</v>
      </c>
    </row>
    <row r="294" spans="1:27" ht="13" customHeight="1">
      <c r="A294" s="11">
        <v>288</v>
      </c>
      <c r="B294" s="47">
        <v>203880236</v>
      </c>
      <c r="C294" s="89" t="s">
        <v>254</v>
      </c>
      <c r="D294" s="11" t="s">
        <v>255</v>
      </c>
      <c r="E294" s="48" t="s">
        <v>31</v>
      </c>
      <c r="F294" s="48" t="s">
        <v>74</v>
      </c>
      <c r="G294" s="11" t="s">
        <v>64</v>
      </c>
      <c r="H294" s="48" t="str">
        <f>VLOOKUP(Table1[[#This Row],[Psoft No]],[1]Roster!$C$2:$H$1402,6,)</f>
        <v>AUH1</v>
      </c>
      <c r="I294" s="48" t="b">
        <f>Table1[[#This Row],[Building]]=Table1[[#This Row],[Column1]]</f>
        <v>1</v>
      </c>
      <c r="J294" s="11" t="s">
        <v>75</v>
      </c>
      <c r="K294" s="11">
        <v>1299</v>
      </c>
      <c r="L294" s="49" t="s">
        <v>32</v>
      </c>
      <c r="M294" s="49" t="s">
        <v>76</v>
      </c>
      <c r="N294" s="49" t="s">
        <v>78</v>
      </c>
      <c r="O294" s="49" t="s">
        <v>92</v>
      </c>
      <c r="P294" s="48" t="s">
        <v>79</v>
      </c>
      <c r="Q294" s="49" t="s">
        <v>35</v>
      </c>
      <c r="R294" s="11" t="s">
        <v>80</v>
      </c>
      <c r="S294" s="11" t="s">
        <v>81</v>
      </c>
      <c r="T294" s="11" t="s">
        <v>225</v>
      </c>
      <c r="U294" s="11" t="s">
        <v>226</v>
      </c>
      <c r="V294" s="116" t="s">
        <v>10</v>
      </c>
      <c r="W294" s="88"/>
      <c r="X294" s="51">
        <v>45530</v>
      </c>
      <c r="Y294" s="97" t="s">
        <v>1573</v>
      </c>
      <c r="Z294" s="135" t="s">
        <v>3023</v>
      </c>
      <c r="AA294" s="135">
        <v>0</v>
      </c>
    </row>
    <row r="295" spans="1:27" ht="13" customHeight="1">
      <c r="A295" s="11">
        <v>289</v>
      </c>
      <c r="B295" s="47">
        <v>203741612</v>
      </c>
      <c r="C295" s="89" t="s">
        <v>256</v>
      </c>
      <c r="D295" s="11" t="s">
        <v>257</v>
      </c>
      <c r="E295" s="48" t="s">
        <v>31</v>
      </c>
      <c r="F295" s="48" t="s">
        <v>74</v>
      </c>
      <c r="G295" s="11" t="s">
        <v>64</v>
      </c>
      <c r="H295" s="48" t="str">
        <f>VLOOKUP(Table1[[#This Row],[Psoft No]],[1]Roster!$C$2:$H$1402,6,)</f>
        <v>AUH1</v>
      </c>
      <c r="I295" s="48" t="b">
        <f>Table1[[#This Row],[Building]]=Table1[[#This Row],[Column1]]</f>
        <v>1</v>
      </c>
      <c r="J295" s="11" t="s">
        <v>75</v>
      </c>
      <c r="K295" s="11">
        <v>1299</v>
      </c>
      <c r="L295" s="49" t="s">
        <v>39</v>
      </c>
      <c r="M295" s="49" t="s">
        <v>76</v>
      </c>
      <c r="N295" s="49" t="s">
        <v>78</v>
      </c>
      <c r="O295" s="49" t="s">
        <v>92</v>
      </c>
      <c r="P295" s="48" t="s">
        <v>79</v>
      </c>
      <c r="Q295" s="49" t="s">
        <v>35</v>
      </c>
      <c r="R295" s="11" t="s">
        <v>80</v>
      </c>
      <c r="S295" s="11" t="s">
        <v>81</v>
      </c>
      <c r="T295" s="11" t="s">
        <v>224</v>
      </c>
      <c r="U295" s="11" t="s">
        <v>2715</v>
      </c>
      <c r="V295" s="116" t="s">
        <v>10</v>
      </c>
      <c r="W295" s="88"/>
      <c r="X295" s="51">
        <v>45516</v>
      </c>
      <c r="Y295" s="97" t="s">
        <v>1573</v>
      </c>
      <c r="Z295" s="135" t="s">
        <v>3023</v>
      </c>
      <c r="AA295" s="135">
        <v>0</v>
      </c>
    </row>
    <row r="296" spans="1:27" ht="13" customHeight="1">
      <c r="A296" s="11">
        <v>290</v>
      </c>
      <c r="B296" s="47">
        <v>203737145</v>
      </c>
      <c r="C296" s="89" t="s">
        <v>258</v>
      </c>
      <c r="D296" s="11" t="s">
        <v>259</v>
      </c>
      <c r="E296" s="48" t="s">
        <v>31</v>
      </c>
      <c r="F296" s="48" t="s">
        <v>74</v>
      </c>
      <c r="G296" s="11" t="s">
        <v>64</v>
      </c>
      <c r="H296" s="48" t="str">
        <f>VLOOKUP(Table1[[#This Row],[Psoft No]],[1]Roster!$C$2:$H$1402,6,)</f>
        <v>AUH1</v>
      </c>
      <c r="I296" s="48" t="b">
        <f>Table1[[#This Row],[Building]]=Table1[[#This Row],[Column1]]</f>
        <v>1</v>
      </c>
      <c r="J296" s="11" t="s">
        <v>75</v>
      </c>
      <c r="K296" s="11">
        <v>1299</v>
      </c>
      <c r="L296" s="49" t="s">
        <v>2471</v>
      </c>
      <c r="M296" s="49" t="s">
        <v>76</v>
      </c>
      <c r="N296" s="49" t="s">
        <v>78</v>
      </c>
      <c r="O296" s="49" t="s">
        <v>92</v>
      </c>
      <c r="P296" s="48" t="s">
        <v>79</v>
      </c>
      <c r="Q296" s="49" t="s">
        <v>35</v>
      </c>
      <c r="R296" s="11" t="s">
        <v>80</v>
      </c>
      <c r="S296" s="11" t="s">
        <v>81</v>
      </c>
      <c r="T296" s="11" t="s">
        <v>224</v>
      </c>
      <c r="U296" s="11" t="s">
        <v>2715</v>
      </c>
      <c r="V296" s="116" t="s">
        <v>10</v>
      </c>
      <c r="W296" s="88"/>
      <c r="X296" s="51">
        <v>45502</v>
      </c>
      <c r="Y296" s="97" t="s">
        <v>1573</v>
      </c>
      <c r="Z296" s="135" t="s">
        <v>3023</v>
      </c>
      <c r="AA296" s="135">
        <v>0</v>
      </c>
    </row>
    <row r="297" spans="1:27" ht="13" customHeight="1">
      <c r="A297" s="11">
        <v>291</v>
      </c>
      <c r="B297" s="47">
        <v>205236900</v>
      </c>
      <c r="C297" s="89" t="s">
        <v>287</v>
      </c>
      <c r="D297" s="11" t="s">
        <v>288</v>
      </c>
      <c r="E297" s="48" t="s">
        <v>31</v>
      </c>
      <c r="F297" s="48" t="s">
        <v>74</v>
      </c>
      <c r="G297" s="11" t="s">
        <v>64</v>
      </c>
      <c r="H297" s="48" t="str">
        <f>VLOOKUP(Table1[[#This Row],[Psoft No]],[1]Roster!$C$2:$H$1402,6,)</f>
        <v>AUH1</v>
      </c>
      <c r="I297" s="48" t="b">
        <f>Table1[[#This Row],[Building]]=Table1[[#This Row],[Column1]]</f>
        <v>1</v>
      </c>
      <c r="J297" s="11" t="s">
        <v>75</v>
      </c>
      <c r="K297" s="11">
        <v>1299</v>
      </c>
      <c r="L297" s="49" t="s">
        <v>32</v>
      </c>
      <c r="M297" s="49" t="s">
        <v>76</v>
      </c>
      <c r="N297" s="49" t="s">
        <v>78</v>
      </c>
      <c r="O297" s="49" t="s">
        <v>92</v>
      </c>
      <c r="P297" s="48" t="s">
        <v>86</v>
      </c>
      <c r="Q297" s="49" t="s">
        <v>35</v>
      </c>
      <c r="R297" s="11" t="s">
        <v>80</v>
      </c>
      <c r="S297" s="11" t="s">
        <v>90</v>
      </c>
      <c r="T297" s="11" t="s">
        <v>225</v>
      </c>
      <c r="U297" s="11" t="s">
        <v>226</v>
      </c>
      <c r="V297" s="116" t="s">
        <v>10</v>
      </c>
      <c r="W297" s="88"/>
      <c r="X297" s="51">
        <v>45831</v>
      </c>
      <c r="Y297" s="97" t="s">
        <v>1574</v>
      </c>
      <c r="Z297" s="135" t="s">
        <v>3023</v>
      </c>
      <c r="AA297" s="135" t="s">
        <v>3024</v>
      </c>
    </row>
    <row r="298" spans="1:27" ht="13" customHeight="1">
      <c r="A298" s="11">
        <v>292</v>
      </c>
      <c r="B298" s="47">
        <v>203813037</v>
      </c>
      <c r="C298" s="89" t="s">
        <v>262</v>
      </c>
      <c r="D298" s="11" t="s">
        <v>263</v>
      </c>
      <c r="E298" s="48" t="s">
        <v>31</v>
      </c>
      <c r="F298" s="48" t="s">
        <v>74</v>
      </c>
      <c r="G298" s="11" t="s">
        <v>64</v>
      </c>
      <c r="H298" s="48" t="str">
        <f>VLOOKUP(Table1[[#This Row],[Psoft No]],[1]Roster!$C$2:$H$1402,6,)</f>
        <v>AUH1</v>
      </c>
      <c r="I298" s="48" t="b">
        <f>Table1[[#This Row],[Building]]=Table1[[#This Row],[Column1]]</f>
        <v>1</v>
      </c>
      <c r="J298" s="11" t="s">
        <v>75</v>
      </c>
      <c r="K298" s="11">
        <v>1299</v>
      </c>
      <c r="L298" s="49" t="s">
        <v>32</v>
      </c>
      <c r="M298" s="49" t="s">
        <v>76</v>
      </c>
      <c r="N298" s="49" t="s">
        <v>78</v>
      </c>
      <c r="O298" s="49" t="s">
        <v>92</v>
      </c>
      <c r="P298" s="48" t="s">
        <v>86</v>
      </c>
      <c r="Q298" s="49" t="s">
        <v>35</v>
      </c>
      <c r="R298" s="11" t="s">
        <v>80</v>
      </c>
      <c r="S298" s="11" t="s">
        <v>99</v>
      </c>
      <c r="T298" s="11" t="s">
        <v>225</v>
      </c>
      <c r="U298" s="11" t="s">
        <v>226</v>
      </c>
      <c r="V298" s="116" t="s">
        <v>10</v>
      </c>
      <c r="W298" s="88"/>
      <c r="X298" s="51">
        <v>45517</v>
      </c>
      <c r="Y298" s="97" t="s">
        <v>1573</v>
      </c>
      <c r="Z298" s="135" t="s">
        <v>3023</v>
      </c>
      <c r="AA298" s="135">
        <v>0</v>
      </c>
    </row>
    <row r="299" spans="1:27" ht="13" customHeight="1">
      <c r="A299" s="11">
        <v>293</v>
      </c>
      <c r="B299" s="47">
        <v>206958086</v>
      </c>
      <c r="C299" s="89" t="s">
        <v>2499</v>
      </c>
      <c r="D299" s="11" t="s">
        <v>2500</v>
      </c>
      <c r="E299" s="48" t="s">
        <v>31</v>
      </c>
      <c r="F299" s="48" t="s">
        <v>74</v>
      </c>
      <c r="G299" s="11" t="s">
        <v>64</v>
      </c>
      <c r="H299" s="48" t="str">
        <f>VLOOKUP(Table1[[#This Row],[Psoft No]],[1]Roster!$C$2:$H$1402,6,)</f>
        <v>AUH1</v>
      </c>
      <c r="I299" s="48" t="b">
        <f>Table1[[#This Row],[Building]]=Table1[[#This Row],[Column1]]</f>
        <v>1</v>
      </c>
      <c r="J299" s="11" t="s">
        <v>75</v>
      </c>
      <c r="K299" s="11">
        <v>1299</v>
      </c>
      <c r="L299" s="49" t="s">
        <v>32</v>
      </c>
      <c r="M299" s="49" t="s">
        <v>76</v>
      </c>
      <c r="N299" s="49" t="s">
        <v>78</v>
      </c>
      <c r="O299" s="49" t="s">
        <v>92</v>
      </c>
      <c r="P299" s="48" t="s">
        <v>89</v>
      </c>
      <c r="Q299" s="49" t="s">
        <v>35</v>
      </c>
      <c r="R299" s="11" t="s">
        <v>80</v>
      </c>
      <c r="S299" s="11" t="s">
        <v>96</v>
      </c>
      <c r="T299" s="11" t="s">
        <v>224</v>
      </c>
      <c r="U299" s="11" t="s">
        <v>2715</v>
      </c>
      <c r="V299" s="116" t="s">
        <v>10</v>
      </c>
      <c r="W299" s="88"/>
      <c r="X299" s="51">
        <v>46048</v>
      </c>
      <c r="Y299" s="97" t="s">
        <v>1573</v>
      </c>
      <c r="Z299" s="135" t="s">
        <v>3023</v>
      </c>
      <c r="AA299" s="135">
        <v>0</v>
      </c>
    </row>
    <row r="300" spans="1:27" ht="13" customHeight="1">
      <c r="A300" s="11">
        <v>294</v>
      </c>
      <c r="B300" s="47">
        <v>205977126</v>
      </c>
      <c r="C300" s="89" t="s">
        <v>2635</v>
      </c>
      <c r="D300" s="11" t="s">
        <v>2636</v>
      </c>
      <c r="E300" s="48" t="s">
        <v>31</v>
      </c>
      <c r="F300" s="48" t="s">
        <v>74</v>
      </c>
      <c r="G300" s="11" t="s">
        <v>64</v>
      </c>
      <c r="H300" s="48" t="str">
        <f>VLOOKUP(Table1[[#This Row],[Psoft No]],[1]Roster!$C$2:$H$1402,6,)</f>
        <v>AUH1</v>
      </c>
      <c r="I300" s="48" t="b">
        <f>Table1[[#This Row],[Building]]=Table1[[#This Row],[Column1]]</f>
        <v>1</v>
      </c>
      <c r="J300" s="11" t="s">
        <v>75</v>
      </c>
      <c r="K300" s="11">
        <v>1299</v>
      </c>
      <c r="L300" s="49" t="s">
        <v>32</v>
      </c>
      <c r="M300" s="49" t="s">
        <v>76</v>
      </c>
      <c r="N300" s="49" t="s">
        <v>78</v>
      </c>
      <c r="O300" s="49" t="s">
        <v>92</v>
      </c>
      <c r="P300" s="49" t="s">
        <v>86</v>
      </c>
      <c r="Q300" s="49" t="s">
        <v>35</v>
      </c>
      <c r="R300" s="11" t="s">
        <v>80</v>
      </c>
      <c r="S300" s="11" t="s">
        <v>90</v>
      </c>
      <c r="T300" s="11" t="s">
        <v>224</v>
      </c>
      <c r="U300" s="11" t="s">
        <v>2715</v>
      </c>
      <c r="V300" s="116" t="s">
        <v>10</v>
      </c>
      <c r="W300" s="88"/>
      <c r="X300" s="51">
        <v>45915</v>
      </c>
      <c r="Y300" s="97" t="s">
        <v>1573</v>
      </c>
      <c r="Z300" s="135" t="s">
        <v>3023</v>
      </c>
      <c r="AA300" s="135">
        <v>0</v>
      </c>
    </row>
    <row r="301" spans="1:27" ht="13" customHeight="1">
      <c r="A301" s="11">
        <v>295</v>
      </c>
      <c r="B301" s="47">
        <v>206883741</v>
      </c>
      <c r="C301" s="89" t="s">
        <v>1792</v>
      </c>
      <c r="D301" s="11" t="s">
        <v>1793</v>
      </c>
      <c r="E301" s="48" t="s">
        <v>31</v>
      </c>
      <c r="F301" s="48" t="s">
        <v>74</v>
      </c>
      <c r="G301" s="11" t="s">
        <v>64</v>
      </c>
      <c r="H301" s="48" t="str">
        <f>VLOOKUP(Table1[[#This Row],[Psoft No]],[1]Roster!$C$2:$H$1402,6,)</f>
        <v>AUH1</v>
      </c>
      <c r="I301" s="48" t="b">
        <f>Table1[[#This Row],[Building]]=Table1[[#This Row],[Column1]]</f>
        <v>1</v>
      </c>
      <c r="J301" s="11" t="s">
        <v>75</v>
      </c>
      <c r="K301" s="11">
        <v>1299</v>
      </c>
      <c r="L301" s="49" t="s">
        <v>32</v>
      </c>
      <c r="M301" s="49" t="s">
        <v>76</v>
      </c>
      <c r="N301" s="49" t="s">
        <v>78</v>
      </c>
      <c r="O301" s="49" t="s">
        <v>92</v>
      </c>
      <c r="P301" s="48" t="s">
        <v>89</v>
      </c>
      <c r="Q301" s="49" t="s">
        <v>35</v>
      </c>
      <c r="R301" s="11" t="s">
        <v>80</v>
      </c>
      <c r="S301" s="11" t="s">
        <v>96</v>
      </c>
      <c r="T301" s="11" t="s">
        <v>231</v>
      </c>
      <c r="U301" s="11" t="s">
        <v>1753</v>
      </c>
      <c r="V301" s="116" t="s">
        <v>10</v>
      </c>
      <c r="W301" s="88"/>
      <c r="X301" s="51">
        <v>46027</v>
      </c>
      <c r="Y301" s="97" t="s">
        <v>1573</v>
      </c>
      <c r="Z301" s="135" t="s">
        <v>3023</v>
      </c>
      <c r="AA301" s="135">
        <v>0</v>
      </c>
    </row>
    <row r="302" spans="1:27" ht="13" customHeight="1">
      <c r="A302" s="11">
        <v>296</v>
      </c>
      <c r="B302" s="47">
        <v>203813035</v>
      </c>
      <c r="C302" s="89" t="s">
        <v>267</v>
      </c>
      <c r="D302" s="11" t="s">
        <v>268</v>
      </c>
      <c r="E302" s="11" t="s">
        <v>31</v>
      </c>
      <c r="F302" s="11" t="s">
        <v>74</v>
      </c>
      <c r="G302" s="11" t="s">
        <v>64</v>
      </c>
      <c r="H302" s="48" t="str">
        <f>VLOOKUP(Table1[[#This Row],[Psoft No]],[1]Roster!$C$2:$H$1402,6,)</f>
        <v>AUH1</v>
      </c>
      <c r="I302" s="48" t="b">
        <f>Table1[[#This Row],[Building]]=Table1[[#This Row],[Column1]]</f>
        <v>1</v>
      </c>
      <c r="J302" s="11" t="s">
        <v>75</v>
      </c>
      <c r="K302" s="11">
        <v>1299</v>
      </c>
      <c r="L302" s="49" t="s">
        <v>2471</v>
      </c>
      <c r="M302" s="49" t="s">
        <v>76</v>
      </c>
      <c r="N302" s="49" t="s">
        <v>78</v>
      </c>
      <c r="O302" s="49" t="s">
        <v>92</v>
      </c>
      <c r="P302" s="49" t="s">
        <v>86</v>
      </c>
      <c r="Q302" s="11" t="s">
        <v>35</v>
      </c>
      <c r="R302" s="11" t="s">
        <v>80</v>
      </c>
      <c r="S302" s="11" t="s">
        <v>99</v>
      </c>
      <c r="T302" s="11" t="s">
        <v>224</v>
      </c>
      <c r="U302" s="11" t="s">
        <v>2715</v>
      </c>
      <c r="V302" s="116" t="s">
        <v>10</v>
      </c>
      <c r="W302" s="88"/>
      <c r="X302" s="51">
        <v>45517</v>
      </c>
      <c r="Y302" s="102" t="s">
        <v>1573</v>
      </c>
      <c r="Z302" s="135" t="s">
        <v>3023</v>
      </c>
      <c r="AA302" s="135">
        <v>0</v>
      </c>
    </row>
    <row r="303" spans="1:27" ht="13" customHeight="1">
      <c r="A303" s="11">
        <v>297</v>
      </c>
      <c r="B303" s="47">
        <v>203816396</v>
      </c>
      <c r="C303" s="89" t="s">
        <v>2661</v>
      </c>
      <c r="D303" s="11" t="s">
        <v>2662</v>
      </c>
      <c r="E303" s="48" t="s">
        <v>31</v>
      </c>
      <c r="F303" s="48" t="s">
        <v>74</v>
      </c>
      <c r="G303" s="11" t="s">
        <v>64</v>
      </c>
      <c r="H303" s="48" t="str">
        <f>VLOOKUP(Table1[[#This Row],[Psoft No]],[1]Roster!$C$2:$H$1402,6,)</f>
        <v>AUH1</v>
      </c>
      <c r="I303" s="48" t="b">
        <f>Table1[[#This Row],[Building]]=Table1[[#This Row],[Column1]]</f>
        <v>1</v>
      </c>
      <c r="J303" s="11" t="s">
        <v>75</v>
      </c>
      <c r="K303" s="11">
        <v>1299</v>
      </c>
      <c r="L303" s="49" t="s">
        <v>32</v>
      </c>
      <c r="M303" s="49" t="s">
        <v>76</v>
      </c>
      <c r="N303" s="49" t="s">
        <v>78</v>
      </c>
      <c r="O303" s="49" t="s">
        <v>92</v>
      </c>
      <c r="P303" s="49" t="s">
        <v>89</v>
      </c>
      <c r="Q303" s="49" t="s">
        <v>35</v>
      </c>
      <c r="R303" s="11" t="s">
        <v>80</v>
      </c>
      <c r="S303" s="11" t="s">
        <v>90</v>
      </c>
      <c r="T303" s="11" t="s">
        <v>225</v>
      </c>
      <c r="U303" s="11" t="s">
        <v>226</v>
      </c>
      <c r="V303" s="116" t="s">
        <v>10</v>
      </c>
      <c r="W303" s="88"/>
      <c r="X303" s="51">
        <v>45518</v>
      </c>
      <c r="Y303" s="97" t="s">
        <v>1572</v>
      </c>
      <c r="Z303" s="135" t="s">
        <v>3023</v>
      </c>
      <c r="AA303" s="135">
        <v>0</v>
      </c>
    </row>
    <row r="304" spans="1:27" ht="13" customHeight="1">
      <c r="A304" s="11">
        <v>298</v>
      </c>
      <c r="B304" s="47">
        <v>203709740</v>
      </c>
      <c r="C304" s="89" t="s">
        <v>271</v>
      </c>
      <c r="D304" s="11" t="s">
        <v>272</v>
      </c>
      <c r="E304" s="48" t="s">
        <v>31</v>
      </c>
      <c r="F304" s="48" t="s">
        <v>74</v>
      </c>
      <c r="G304" s="11" t="s">
        <v>64</v>
      </c>
      <c r="H304" s="48" t="str">
        <f>VLOOKUP(Table1[[#This Row],[Psoft No]],[1]Roster!$C$2:$H$1402,6,)</f>
        <v>AUH1</v>
      </c>
      <c r="I304" s="48" t="b">
        <f>Table1[[#This Row],[Building]]=Table1[[#This Row],[Column1]]</f>
        <v>1</v>
      </c>
      <c r="J304" s="11" t="s">
        <v>75</v>
      </c>
      <c r="K304" s="11">
        <v>1299</v>
      </c>
      <c r="L304" s="49" t="s">
        <v>39</v>
      </c>
      <c r="M304" s="49" t="s">
        <v>76</v>
      </c>
      <c r="N304" s="49" t="s">
        <v>85</v>
      </c>
      <c r="O304" s="49" t="s">
        <v>88</v>
      </c>
      <c r="P304" s="48" t="s">
        <v>86</v>
      </c>
      <c r="Q304" s="49" t="s">
        <v>35</v>
      </c>
      <c r="R304" s="11" t="s">
        <v>80</v>
      </c>
      <c r="S304" s="11" t="s">
        <v>99</v>
      </c>
      <c r="T304" s="11" t="s">
        <v>224</v>
      </c>
      <c r="U304" s="11" t="s">
        <v>2715</v>
      </c>
      <c r="V304" s="116" t="s">
        <v>1</v>
      </c>
      <c r="W304" s="88"/>
      <c r="X304" s="51">
        <v>45495</v>
      </c>
      <c r="Y304" s="97" t="s">
        <v>1573</v>
      </c>
      <c r="Z304" s="135" t="s">
        <v>2</v>
      </c>
      <c r="AA304" s="135">
        <v>0</v>
      </c>
    </row>
    <row r="305" spans="1:27" ht="13" customHeight="1">
      <c r="A305" s="11">
        <v>299</v>
      </c>
      <c r="B305" s="47">
        <v>203802272</v>
      </c>
      <c r="C305" s="89" t="s">
        <v>273</v>
      </c>
      <c r="D305" s="11" t="s">
        <v>274</v>
      </c>
      <c r="E305" s="48" t="s">
        <v>31</v>
      </c>
      <c r="F305" s="48" t="s">
        <v>74</v>
      </c>
      <c r="G305" s="11" t="s">
        <v>64</v>
      </c>
      <c r="H305" s="48" t="str">
        <f>VLOOKUP(Table1[[#This Row],[Psoft No]],[1]Roster!$C$2:$H$1402,6,)</f>
        <v>AUH1</v>
      </c>
      <c r="I305" s="48" t="b">
        <f>Table1[[#This Row],[Building]]=Table1[[#This Row],[Column1]]</f>
        <v>1</v>
      </c>
      <c r="J305" s="11" t="s">
        <v>75</v>
      </c>
      <c r="K305" s="11">
        <v>1299</v>
      </c>
      <c r="L305" s="49" t="s">
        <v>32</v>
      </c>
      <c r="M305" s="49" t="s">
        <v>76</v>
      </c>
      <c r="N305" s="49" t="s">
        <v>84</v>
      </c>
      <c r="O305" s="49" t="s">
        <v>85</v>
      </c>
      <c r="P305" s="48" t="s">
        <v>79</v>
      </c>
      <c r="Q305" s="49" t="s">
        <v>35</v>
      </c>
      <c r="R305" s="11" t="s">
        <v>80</v>
      </c>
      <c r="S305" s="11" t="s">
        <v>81</v>
      </c>
      <c r="T305" s="11" t="s">
        <v>224</v>
      </c>
      <c r="U305" s="11" t="s">
        <v>2715</v>
      </c>
      <c r="V305" s="116" t="str">
        <f>VLOOKUP(Table1[[#This Row],[Psoft No]],[2]Sheet1!$A$2:$G$386,7,0)</f>
        <v>P</v>
      </c>
      <c r="W305" s="88"/>
      <c r="X305" s="51">
        <v>45517</v>
      </c>
      <c r="Y305" s="97" t="s">
        <v>1573</v>
      </c>
      <c r="Z305" s="135" t="s">
        <v>2</v>
      </c>
      <c r="AA305" s="135">
        <v>0</v>
      </c>
    </row>
    <row r="306" spans="1:27" ht="13" customHeight="1">
      <c r="A306" s="11">
        <v>300</v>
      </c>
      <c r="B306" s="47">
        <v>204869090</v>
      </c>
      <c r="C306" s="89" t="s">
        <v>275</v>
      </c>
      <c r="D306" s="11" t="s">
        <v>276</v>
      </c>
      <c r="E306" s="48" t="s">
        <v>31</v>
      </c>
      <c r="F306" s="48" t="s">
        <v>74</v>
      </c>
      <c r="G306" s="11" t="s">
        <v>64</v>
      </c>
      <c r="H306" s="48" t="str">
        <f>VLOOKUP(Table1[[#This Row],[Psoft No]],[1]Roster!$C$2:$H$1402,6,)</f>
        <v>AUH1</v>
      </c>
      <c r="I306" s="48" t="b">
        <f>Table1[[#This Row],[Building]]=Table1[[#This Row],[Column1]]</f>
        <v>1</v>
      </c>
      <c r="J306" s="11" t="s">
        <v>75</v>
      </c>
      <c r="K306" s="11">
        <v>1299</v>
      </c>
      <c r="L306" s="49" t="s">
        <v>32</v>
      </c>
      <c r="M306" s="49" t="s">
        <v>76</v>
      </c>
      <c r="N306" s="49" t="s">
        <v>95</v>
      </c>
      <c r="O306" s="49" t="s">
        <v>77</v>
      </c>
      <c r="P306" s="48" t="s">
        <v>86</v>
      </c>
      <c r="Q306" s="49" t="s">
        <v>35</v>
      </c>
      <c r="R306" s="11" t="s">
        <v>80</v>
      </c>
      <c r="S306" s="11" t="s">
        <v>87</v>
      </c>
      <c r="T306" s="11" t="s">
        <v>225</v>
      </c>
      <c r="U306" s="11" t="s">
        <v>226</v>
      </c>
      <c r="V306" s="116" t="str">
        <f>VLOOKUP(Table1[[#This Row],[Psoft No]],[2]Sheet1!$A$2:$G$386,7,0)</f>
        <v>P</v>
      </c>
      <c r="W306" s="88"/>
      <c r="X306" s="51">
        <v>45691</v>
      </c>
      <c r="Y306" s="97" t="s">
        <v>1572</v>
      </c>
      <c r="Z306" s="135" t="s">
        <v>2</v>
      </c>
      <c r="AA306" s="135">
        <v>0</v>
      </c>
    </row>
    <row r="307" spans="1:27" ht="13" customHeight="1">
      <c r="A307" s="11">
        <v>301</v>
      </c>
      <c r="B307" s="47">
        <v>206845692</v>
      </c>
      <c r="C307" s="89" t="s">
        <v>2501</v>
      </c>
      <c r="D307" s="11" t="s">
        <v>2502</v>
      </c>
      <c r="E307" s="48" t="s">
        <v>31</v>
      </c>
      <c r="F307" s="48" t="s">
        <v>74</v>
      </c>
      <c r="G307" s="11" t="s">
        <v>64</v>
      </c>
      <c r="H307" s="48" t="str">
        <f>VLOOKUP(Table1[[#This Row],[Psoft No]],[1]Roster!$C$2:$H$1402,6,)</f>
        <v>AUH1</v>
      </c>
      <c r="I307" s="48" t="b">
        <f>Table1[[#This Row],[Building]]=Table1[[#This Row],[Column1]]</f>
        <v>1</v>
      </c>
      <c r="J307" s="11" t="s">
        <v>75</v>
      </c>
      <c r="K307" s="11">
        <v>1299</v>
      </c>
      <c r="L307" s="49" t="s">
        <v>2471</v>
      </c>
      <c r="M307" s="49" t="s">
        <v>76</v>
      </c>
      <c r="N307" s="49" t="s">
        <v>88</v>
      </c>
      <c r="O307" s="49" t="s">
        <v>95</v>
      </c>
      <c r="P307" s="48" t="s">
        <v>89</v>
      </c>
      <c r="Q307" s="49" t="s">
        <v>35</v>
      </c>
      <c r="R307" s="11" t="s">
        <v>80</v>
      </c>
      <c r="S307" s="11" t="s">
        <v>90</v>
      </c>
      <c r="T307" s="11" t="s">
        <v>231</v>
      </c>
      <c r="U307" s="11" t="s">
        <v>1753</v>
      </c>
      <c r="V307" s="116" t="s">
        <v>1</v>
      </c>
      <c r="W307" s="88" t="s">
        <v>3021</v>
      </c>
      <c r="X307" s="51">
        <v>46013</v>
      </c>
      <c r="Y307" s="97" t="s">
        <v>1573</v>
      </c>
      <c r="Z307" s="135" t="s">
        <v>3023</v>
      </c>
      <c r="AA307" s="135">
        <v>0</v>
      </c>
    </row>
    <row r="308" spans="1:27" ht="13" customHeight="1">
      <c r="A308" s="11">
        <v>302</v>
      </c>
      <c r="B308" s="47">
        <v>203635501</v>
      </c>
      <c r="C308" s="89" t="s">
        <v>277</v>
      </c>
      <c r="D308" s="47" t="s">
        <v>278</v>
      </c>
      <c r="E308" s="47" t="s">
        <v>31</v>
      </c>
      <c r="F308" s="47" t="s">
        <v>74</v>
      </c>
      <c r="G308" s="47" t="s">
        <v>64</v>
      </c>
      <c r="H308" s="47" t="str">
        <f>VLOOKUP(Table1[[#This Row],[Psoft No]],[1]Roster!$C$2:$H$1402,6,)</f>
        <v>AUH1</v>
      </c>
      <c r="I308" s="47" t="b">
        <f>Table1[[#This Row],[Building]]=Table1[[#This Row],[Column1]]</f>
        <v>1</v>
      </c>
      <c r="J308" s="47" t="s">
        <v>75</v>
      </c>
      <c r="K308" s="47">
        <v>1299</v>
      </c>
      <c r="L308" s="49" t="s">
        <v>32</v>
      </c>
      <c r="M308" s="49" t="s">
        <v>76</v>
      </c>
      <c r="N308" s="49" t="s">
        <v>78</v>
      </c>
      <c r="O308" s="49" t="s">
        <v>92</v>
      </c>
      <c r="P308" s="49" t="s">
        <v>79</v>
      </c>
      <c r="Q308" s="47" t="s">
        <v>35</v>
      </c>
      <c r="R308" s="47" t="s">
        <v>80</v>
      </c>
      <c r="S308" s="47" t="s">
        <v>81</v>
      </c>
      <c r="T308" s="11" t="s">
        <v>225</v>
      </c>
      <c r="U308" s="47" t="s">
        <v>226</v>
      </c>
      <c r="V308" s="116" t="s">
        <v>10</v>
      </c>
      <c r="W308" s="88"/>
      <c r="X308" s="51">
        <v>45481</v>
      </c>
      <c r="Y308" s="132" t="s">
        <v>1573</v>
      </c>
      <c r="Z308" s="135" t="s">
        <v>3023</v>
      </c>
      <c r="AA308" s="135">
        <v>0</v>
      </c>
    </row>
    <row r="309" spans="1:27" ht="13" customHeight="1">
      <c r="A309" s="11">
        <v>303</v>
      </c>
      <c r="B309" s="47">
        <v>206915298</v>
      </c>
      <c r="C309" s="89" t="s">
        <v>2503</v>
      </c>
      <c r="D309" s="11" t="s">
        <v>2504</v>
      </c>
      <c r="E309" s="48" t="s">
        <v>31</v>
      </c>
      <c r="F309" s="48" t="s">
        <v>74</v>
      </c>
      <c r="G309" s="11" t="s">
        <v>64</v>
      </c>
      <c r="H309" s="48" t="str">
        <f>VLOOKUP(Table1[[#This Row],[Psoft No]],[1]Roster!$C$2:$H$1402,6,)</f>
        <v>AUH1</v>
      </c>
      <c r="I309" s="48" t="b">
        <f>Table1[[#This Row],[Building]]=Table1[[#This Row],[Column1]]</f>
        <v>1</v>
      </c>
      <c r="J309" s="11" t="s">
        <v>75</v>
      </c>
      <c r="K309" s="11">
        <v>1299</v>
      </c>
      <c r="L309" s="49" t="s">
        <v>32</v>
      </c>
      <c r="M309" s="49" t="s">
        <v>76</v>
      </c>
      <c r="N309" s="49" t="s">
        <v>78</v>
      </c>
      <c r="O309" s="49" t="s">
        <v>92</v>
      </c>
      <c r="P309" s="48" t="s">
        <v>89</v>
      </c>
      <c r="Q309" s="49" t="s">
        <v>35</v>
      </c>
      <c r="R309" s="11" t="s">
        <v>80</v>
      </c>
      <c r="S309" s="11" t="s">
        <v>90</v>
      </c>
      <c r="T309" s="11" t="s">
        <v>224</v>
      </c>
      <c r="U309" s="11" t="s">
        <v>2715</v>
      </c>
      <c r="V309" s="116" t="s">
        <v>10</v>
      </c>
      <c r="W309" s="88"/>
      <c r="X309" s="51">
        <v>46034</v>
      </c>
      <c r="Y309" s="97" t="s">
        <v>1573</v>
      </c>
      <c r="Z309" s="135" t="s">
        <v>3023</v>
      </c>
      <c r="AA309" s="135">
        <v>0</v>
      </c>
    </row>
    <row r="310" spans="1:27" ht="13" customHeight="1">
      <c r="A310" s="11">
        <v>304</v>
      </c>
      <c r="B310" s="47">
        <v>206504126</v>
      </c>
      <c r="C310" s="89" t="s">
        <v>2505</v>
      </c>
      <c r="D310" s="11" t="s">
        <v>2506</v>
      </c>
      <c r="E310" s="48" t="s">
        <v>31</v>
      </c>
      <c r="F310" s="48" t="s">
        <v>74</v>
      </c>
      <c r="G310" s="11" t="s">
        <v>64</v>
      </c>
      <c r="H310" s="48" t="str">
        <f>VLOOKUP(Table1[[#This Row],[Psoft No]],[1]Roster!$C$2:$H$1402,6,)</f>
        <v>AUH1</v>
      </c>
      <c r="I310" s="48" t="b">
        <f>Table1[[#This Row],[Building]]=Table1[[#This Row],[Column1]]</f>
        <v>1</v>
      </c>
      <c r="J310" s="11" t="s">
        <v>75</v>
      </c>
      <c r="K310" s="11">
        <v>1299</v>
      </c>
      <c r="L310" s="49" t="s">
        <v>32</v>
      </c>
      <c r="M310" s="49" t="s">
        <v>76</v>
      </c>
      <c r="N310" s="49" t="s">
        <v>78</v>
      </c>
      <c r="O310" s="49" t="s">
        <v>92</v>
      </c>
      <c r="P310" s="49" t="s">
        <v>86</v>
      </c>
      <c r="Q310" s="49" t="s">
        <v>35</v>
      </c>
      <c r="R310" s="49" t="s">
        <v>80</v>
      </c>
      <c r="S310" s="49" t="s">
        <v>90</v>
      </c>
      <c r="T310" s="11" t="s">
        <v>231</v>
      </c>
      <c r="U310" s="49" t="s">
        <v>1753</v>
      </c>
      <c r="V310" s="116" t="s">
        <v>10</v>
      </c>
      <c r="W310" s="88"/>
      <c r="X310" s="51">
        <v>45971</v>
      </c>
      <c r="Y310" s="97" t="s">
        <v>1573</v>
      </c>
      <c r="Z310" s="135" t="s">
        <v>3023</v>
      </c>
      <c r="AA310" s="135">
        <v>0</v>
      </c>
    </row>
    <row r="311" spans="1:27" ht="13" customHeight="1">
      <c r="A311" s="11">
        <v>305</v>
      </c>
      <c r="B311" s="47">
        <v>203881598</v>
      </c>
      <c r="C311" s="89" t="s">
        <v>279</v>
      </c>
      <c r="D311" s="11" t="s">
        <v>280</v>
      </c>
      <c r="E311" s="48" t="s">
        <v>31</v>
      </c>
      <c r="F311" s="48" t="s">
        <v>74</v>
      </c>
      <c r="G311" s="11" t="s">
        <v>64</v>
      </c>
      <c r="H311" s="48" t="str">
        <f>VLOOKUP(Table1[[#This Row],[Psoft No]],[1]Roster!$C$2:$H$1402,6,)</f>
        <v>AUH1</v>
      </c>
      <c r="I311" s="48" t="b">
        <f>Table1[[#This Row],[Building]]=Table1[[#This Row],[Column1]]</f>
        <v>1</v>
      </c>
      <c r="J311" s="11" t="s">
        <v>75</v>
      </c>
      <c r="K311" s="11">
        <v>1299</v>
      </c>
      <c r="L311" s="49" t="s">
        <v>32</v>
      </c>
      <c r="M311" s="49" t="s">
        <v>76</v>
      </c>
      <c r="N311" s="49" t="s">
        <v>78</v>
      </c>
      <c r="O311" s="49" t="s">
        <v>92</v>
      </c>
      <c r="P311" s="48" t="s">
        <v>79</v>
      </c>
      <c r="Q311" s="49" t="s">
        <v>35</v>
      </c>
      <c r="R311" s="11" t="s">
        <v>80</v>
      </c>
      <c r="S311" s="11" t="s">
        <v>81</v>
      </c>
      <c r="T311" s="11" t="s">
        <v>225</v>
      </c>
      <c r="U311" s="11" t="s">
        <v>226</v>
      </c>
      <c r="V311" s="116" t="s">
        <v>10</v>
      </c>
      <c r="W311" s="88"/>
      <c r="X311" s="51">
        <v>45530</v>
      </c>
      <c r="Y311" s="97" t="s">
        <v>1573</v>
      </c>
      <c r="Z311" s="135" t="s">
        <v>3023</v>
      </c>
      <c r="AA311" s="135">
        <v>0</v>
      </c>
    </row>
    <row r="312" spans="1:27" ht="13" customHeight="1">
      <c r="A312" s="11">
        <v>306</v>
      </c>
      <c r="B312" s="47">
        <v>206915295</v>
      </c>
      <c r="C312" s="89" t="s">
        <v>2507</v>
      </c>
      <c r="D312" s="11" t="s">
        <v>2508</v>
      </c>
      <c r="E312" s="48" t="s">
        <v>31</v>
      </c>
      <c r="F312" s="48" t="s">
        <v>74</v>
      </c>
      <c r="G312" s="11" t="s">
        <v>64</v>
      </c>
      <c r="H312" s="48" t="str">
        <f>VLOOKUP(Table1[[#This Row],[Psoft No]],[1]Roster!$C$2:$H$1402,6,)</f>
        <v>AUH1</v>
      </c>
      <c r="I312" s="48" t="b">
        <f>Table1[[#This Row],[Building]]=Table1[[#This Row],[Column1]]</f>
        <v>1</v>
      </c>
      <c r="J312" s="11" t="s">
        <v>75</v>
      </c>
      <c r="K312" s="11">
        <v>1299</v>
      </c>
      <c r="L312" s="49" t="s">
        <v>32</v>
      </c>
      <c r="M312" s="49" t="s">
        <v>76</v>
      </c>
      <c r="N312" s="49" t="s">
        <v>78</v>
      </c>
      <c r="O312" s="49" t="s">
        <v>92</v>
      </c>
      <c r="P312" s="48" t="s">
        <v>89</v>
      </c>
      <c r="Q312" s="49" t="s">
        <v>35</v>
      </c>
      <c r="R312" s="11" t="s">
        <v>80</v>
      </c>
      <c r="S312" s="11" t="s">
        <v>90</v>
      </c>
      <c r="T312" s="11" t="s">
        <v>224</v>
      </c>
      <c r="U312" s="11" t="s">
        <v>2715</v>
      </c>
      <c r="V312" s="116" t="s">
        <v>10</v>
      </c>
      <c r="W312" s="88"/>
      <c r="X312" s="51">
        <v>46034</v>
      </c>
      <c r="Y312" s="97" t="s">
        <v>1573</v>
      </c>
      <c r="Z312" s="135" t="s">
        <v>3023</v>
      </c>
      <c r="AA312" s="135">
        <v>0</v>
      </c>
    </row>
    <row r="313" spans="1:27" ht="13" customHeight="1">
      <c r="A313" s="11">
        <v>307</v>
      </c>
      <c r="B313" s="47">
        <v>203712972</v>
      </c>
      <c r="C313" s="89" t="s">
        <v>281</v>
      </c>
      <c r="D313" s="11" t="s">
        <v>282</v>
      </c>
      <c r="E313" s="48" t="s">
        <v>31</v>
      </c>
      <c r="F313" s="48" t="s">
        <v>74</v>
      </c>
      <c r="G313" s="11" t="s">
        <v>64</v>
      </c>
      <c r="H313" s="48" t="str">
        <f>VLOOKUP(Table1[[#This Row],[Psoft No]],[1]Roster!$C$2:$H$1402,6,)</f>
        <v>AUH1</v>
      </c>
      <c r="I313" s="48" t="b">
        <f>Table1[[#This Row],[Building]]=Table1[[#This Row],[Column1]]</f>
        <v>1</v>
      </c>
      <c r="J313" s="11" t="s">
        <v>75</v>
      </c>
      <c r="K313" s="11">
        <v>1299</v>
      </c>
      <c r="L313" s="49" t="s">
        <v>32</v>
      </c>
      <c r="M313" s="49" t="s">
        <v>76</v>
      </c>
      <c r="N313" s="49" t="s">
        <v>78</v>
      </c>
      <c r="O313" s="49" t="s">
        <v>92</v>
      </c>
      <c r="P313" s="49" t="s">
        <v>86</v>
      </c>
      <c r="Q313" s="49" t="s">
        <v>35</v>
      </c>
      <c r="R313" s="49" t="s">
        <v>80</v>
      </c>
      <c r="S313" s="49" t="s">
        <v>99</v>
      </c>
      <c r="T313" s="11" t="s">
        <v>225</v>
      </c>
      <c r="U313" s="49" t="s">
        <v>226</v>
      </c>
      <c r="V313" s="116" t="s">
        <v>10</v>
      </c>
      <c r="W313" s="88"/>
      <c r="X313" s="51">
        <v>45517</v>
      </c>
      <c r="Y313" s="97" t="s">
        <v>1573</v>
      </c>
      <c r="Z313" s="135" t="s">
        <v>3023</v>
      </c>
      <c r="AA313" s="135">
        <v>0</v>
      </c>
    </row>
    <row r="314" spans="1:27" ht="13" customHeight="1">
      <c r="A314" s="11">
        <v>308</v>
      </c>
      <c r="B314" s="47">
        <v>204883250</v>
      </c>
      <c r="C314" s="89" t="s">
        <v>283</v>
      </c>
      <c r="D314" s="11" t="s">
        <v>284</v>
      </c>
      <c r="E314" s="48" t="s">
        <v>31</v>
      </c>
      <c r="F314" s="48" t="s">
        <v>74</v>
      </c>
      <c r="G314" s="11" t="s">
        <v>64</v>
      </c>
      <c r="H314" s="48" t="str">
        <f>VLOOKUP(Table1[[#This Row],[Psoft No]],[1]Roster!$C$2:$H$1402,6,)</f>
        <v>AUH1</v>
      </c>
      <c r="I314" s="48" t="b">
        <f>Table1[[#This Row],[Building]]=Table1[[#This Row],[Column1]]</f>
        <v>1</v>
      </c>
      <c r="J314" s="11" t="s">
        <v>75</v>
      </c>
      <c r="K314" s="11">
        <v>1299</v>
      </c>
      <c r="L314" s="49" t="s">
        <v>32</v>
      </c>
      <c r="M314" s="49" t="s">
        <v>76</v>
      </c>
      <c r="N314" s="49" t="s">
        <v>78</v>
      </c>
      <c r="O314" s="49" t="s">
        <v>92</v>
      </c>
      <c r="P314" s="49" t="s">
        <v>86</v>
      </c>
      <c r="Q314" s="49" t="s">
        <v>35</v>
      </c>
      <c r="R314" s="11" t="s">
        <v>80</v>
      </c>
      <c r="S314" s="11" t="s">
        <v>87</v>
      </c>
      <c r="T314" s="11" t="s">
        <v>225</v>
      </c>
      <c r="U314" s="11" t="s">
        <v>226</v>
      </c>
      <c r="V314" s="116" t="s">
        <v>10</v>
      </c>
      <c r="W314" s="88"/>
      <c r="X314" s="51">
        <v>45691</v>
      </c>
      <c r="Y314" s="97" t="s">
        <v>1572</v>
      </c>
      <c r="Z314" s="135" t="s">
        <v>3023</v>
      </c>
      <c r="AA314" s="135">
        <v>0</v>
      </c>
    </row>
    <row r="315" spans="1:27" ht="13" customHeight="1">
      <c r="A315" s="11">
        <v>309</v>
      </c>
      <c r="B315" s="47">
        <v>203521129</v>
      </c>
      <c r="C315" s="89" t="s">
        <v>285</v>
      </c>
      <c r="D315" s="11" t="s">
        <v>286</v>
      </c>
      <c r="E315" s="48" t="s">
        <v>31</v>
      </c>
      <c r="F315" s="48" t="s">
        <v>74</v>
      </c>
      <c r="G315" s="11" t="s">
        <v>64</v>
      </c>
      <c r="H315" s="48" t="str">
        <f>VLOOKUP(Table1[[#This Row],[Psoft No]],[1]Roster!$C$2:$H$1402,6,)</f>
        <v>AUH1</v>
      </c>
      <c r="I315" s="48" t="b">
        <f>Table1[[#This Row],[Building]]=Table1[[#This Row],[Column1]]</f>
        <v>1</v>
      </c>
      <c r="J315" s="11" t="s">
        <v>75</v>
      </c>
      <c r="K315" s="11">
        <v>1299</v>
      </c>
      <c r="L315" s="49" t="s">
        <v>39</v>
      </c>
      <c r="M315" s="49" t="s">
        <v>76</v>
      </c>
      <c r="N315" s="49" t="s">
        <v>78</v>
      </c>
      <c r="O315" s="49" t="s">
        <v>92</v>
      </c>
      <c r="P315" s="48" t="s">
        <v>79</v>
      </c>
      <c r="Q315" s="49" t="s">
        <v>35</v>
      </c>
      <c r="R315" s="11" t="s">
        <v>80</v>
      </c>
      <c r="S315" s="11" t="s">
        <v>81</v>
      </c>
      <c r="T315" s="11" t="s">
        <v>224</v>
      </c>
      <c r="U315" s="11" t="s">
        <v>2715</v>
      </c>
      <c r="V315" s="116" t="s">
        <v>10</v>
      </c>
      <c r="W315" s="88"/>
      <c r="X315" s="51">
        <v>45463</v>
      </c>
      <c r="Y315" s="97" t="s">
        <v>1573</v>
      </c>
      <c r="Z315" s="135" t="s">
        <v>3023</v>
      </c>
      <c r="AA315" s="135">
        <v>0</v>
      </c>
    </row>
    <row r="316" spans="1:27" ht="13" customHeight="1">
      <c r="A316" s="11">
        <v>310</v>
      </c>
      <c r="B316" s="47">
        <v>205609884</v>
      </c>
      <c r="C316" s="89" t="s">
        <v>2513</v>
      </c>
      <c r="D316" s="11" t="s">
        <v>2514</v>
      </c>
      <c r="E316" s="48" t="s">
        <v>31</v>
      </c>
      <c r="F316" s="48" t="s">
        <v>74</v>
      </c>
      <c r="G316" s="11" t="s">
        <v>64</v>
      </c>
      <c r="H316" s="48" t="str">
        <f>VLOOKUP(Table1[[#This Row],[Psoft No]],[1]Roster!$C$2:$H$1402,6,)</f>
        <v>AUH1</v>
      </c>
      <c r="I316" s="48" t="b">
        <f>Table1[[#This Row],[Building]]=Table1[[#This Row],[Column1]]</f>
        <v>1</v>
      </c>
      <c r="J316" s="11" t="s">
        <v>75</v>
      </c>
      <c r="K316" s="11">
        <v>1299</v>
      </c>
      <c r="L316" s="49" t="s">
        <v>32</v>
      </c>
      <c r="M316" s="49" t="s">
        <v>76</v>
      </c>
      <c r="N316" s="49" t="s">
        <v>78</v>
      </c>
      <c r="O316" s="49" t="s">
        <v>92</v>
      </c>
      <c r="P316" s="48" t="s">
        <v>86</v>
      </c>
      <c r="Q316" s="49" t="s">
        <v>35</v>
      </c>
      <c r="R316" s="11" t="s">
        <v>80</v>
      </c>
      <c r="S316" s="11" t="s">
        <v>90</v>
      </c>
      <c r="T316" s="11" t="s">
        <v>224</v>
      </c>
      <c r="U316" s="11" t="s">
        <v>2715</v>
      </c>
      <c r="V316" s="116" t="s">
        <v>10</v>
      </c>
      <c r="W316" s="88"/>
      <c r="X316" s="51">
        <v>45845</v>
      </c>
      <c r="Y316" s="97" t="s">
        <v>1573</v>
      </c>
      <c r="Z316" s="135" t="s">
        <v>3023</v>
      </c>
      <c r="AA316" s="135" t="s">
        <v>3024</v>
      </c>
    </row>
    <row r="317" spans="1:27" ht="13" customHeight="1">
      <c r="A317" s="11">
        <v>311</v>
      </c>
      <c r="B317" s="47">
        <v>205839586</v>
      </c>
      <c r="C317" s="89" t="s">
        <v>788</v>
      </c>
      <c r="D317" s="11" t="s">
        <v>789</v>
      </c>
      <c r="E317" s="48" t="s">
        <v>31</v>
      </c>
      <c r="F317" s="48" t="s">
        <v>74</v>
      </c>
      <c r="G317" s="11" t="s">
        <v>64</v>
      </c>
      <c r="H317" s="48" t="str">
        <f>VLOOKUP(Table1[[#This Row],[Psoft No]],[1]Roster!$C$2:$H$1402,6,)</f>
        <v>AUH1</v>
      </c>
      <c r="I317" s="48" t="b">
        <f>Table1[[#This Row],[Building]]=Table1[[#This Row],[Column1]]</f>
        <v>1</v>
      </c>
      <c r="J317" s="11" t="s">
        <v>75</v>
      </c>
      <c r="K317" s="11">
        <v>1299</v>
      </c>
      <c r="L317" s="49" t="s">
        <v>32</v>
      </c>
      <c r="M317" s="49" t="s">
        <v>76</v>
      </c>
      <c r="N317" s="49" t="s">
        <v>77</v>
      </c>
      <c r="O317" s="49" t="s">
        <v>78</v>
      </c>
      <c r="P317" s="48" t="s">
        <v>86</v>
      </c>
      <c r="Q317" s="49" t="s">
        <v>37</v>
      </c>
      <c r="R317" s="11" t="s">
        <v>80</v>
      </c>
      <c r="S317" s="11" t="s">
        <v>90</v>
      </c>
      <c r="T317" s="49" t="s">
        <v>2845</v>
      </c>
      <c r="U317" s="11" t="s">
        <v>2846</v>
      </c>
      <c r="V317" s="116" t="s">
        <v>7</v>
      </c>
      <c r="W317" s="88" t="s">
        <v>3015</v>
      </c>
      <c r="X317" s="51">
        <v>45894</v>
      </c>
      <c r="Y317" s="97" t="s">
        <v>1577</v>
      </c>
      <c r="Z317" s="135" t="s">
        <v>3023</v>
      </c>
      <c r="AA317" s="135" t="s">
        <v>3024</v>
      </c>
    </row>
    <row r="318" spans="1:27" ht="13" customHeight="1">
      <c r="A318" s="11">
        <v>312</v>
      </c>
      <c r="B318" s="47">
        <v>206873865</v>
      </c>
      <c r="C318" s="89" t="s">
        <v>2509</v>
      </c>
      <c r="D318" s="11" t="s">
        <v>2510</v>
      </c>
      <c r="E318" s="48" t="s">
        <v>31</v>
      </c>
      <c r="F318" s="48" t="s">
        <v>74</v>
      </c>
      <c r="G318" s="11" t="s">
        <v>64</v>
      </c>
      <c r="H318" s="48" t="str">
        <f>VLOOKUP(Table1[[#This Row],[Psoft No]],[1]Roster!$C$2:$H$1402,6,)</f>
        <v>AUH1</v>
      </c>
      <c r="I318" s="48" t="b">
        <f>Table1[[#This Row],[Building]]=Table1[[#This Row],[Column1]]</f>
        <v>1</v>
      </c>
      <c r="J318" s="11" t="s">
        <v>75</v>
      </c>
      <c r="K318" s="11">
        <v>1299</v>
      </c>
      <c r="L318" s="49" t="s">
        <v>32</v>
      </c>
      <c r="M318" s="49" t="s">
        <v>76</v>
      </c>
      <c r="N318" s="49" t="s">
        <v>78</v>
      </c>
      <c r="O318" s="49" t="s">
        <v>92</v>
      </c>
      <c r="P318" s="48" t="s">
        <v>89</v>
      </c>
      <c r="Q318" s="49" t="s">
        <v>35</v>
      </c>
      <c r="R318" s="11" t="s">
        <v>80</v>
      </c>
      <c r="S318" s="11" t="s">
        <v>90</v>
      </c>
      <c r="T318" s="11" t="s">
        <v>231</v>
      </c>
      <c r="U318" s="11" t="s">
        <v>1753</v>
      </c>
      <c r="V318" s="116" t="s">
        <v>10</v>
      </c>
      <c r="W318" s="88"/>
      <c r="X318" s="51">
        <v>46020</v>
      </c>
      <c r="Y318" s="97" t="s">
        <v>1573</v>
      </c>
      <c r="Z318" s="135" t="s">
        <v>3023</v>
      </c>
      <c r="AA318" s="135">
        <v>0</v>
      </c>
    </row>
    <row r="319" spans="1:27" ht="13" customHeight="1">
      <c r="A319" s="11">
        <v>313</v>
      </c>
      <c r="B319" s="47">
        <v>203800480</v>
      </c>
      <c r="C319" s="89" t="s">
        <v>2511</v>
      </c>
      <c r="D319" s="11" t="s">
        <v>2512</v>
      </c>
      <c r="E319" s="48" t="s">
        <v>31</v>
      </c>
      <c r="F319" s="48" t="s">
        <v>74</v>
      </c>
      <c r="G319" s="48" t="s">
        <v>64</v>
      </c>
      <c r="H319" s="48" t="str">
        <f>VLOOKUP(Table1[[#This Row],[Psoft No]],[1]Roster!$C$2:$H$1402,6,)</f>
        <v>AUH1</v>
      </c>
      <c r="I319" s="48" t="b">
        <f>Table1[[#This Row],[Building]]=Table1[[#This Row],[Column1]]</f>
        <v>1</v>
      </c>
      <c r="J319" s="48" t="s">
        <v>75</v>
      </c>
      <c r="K319" s="11">
        <v>1299</v>
      </c>
      <c r="L319" s="49" t="s">
        <v>32</v>
      </c>
      <c r="M319" s="49" t="s">
        <v>76</v>
      </c>
      <c r="N319" s="49" t="s">
        <v>78</v>
      </c>
      <c r="O319" s="49" t="s">
        <v>92</v>
      </c>
      <c r="P319" s="49" t="s">
        <v>86</v>
      </c>
      <c r="Q319" s="48" t="s">
        <v>35</v>
      </c>
      <c r="R319" s="48" t="s">
        <v>80</v>
      </c>
      <c r="S319" s="11" t="s">
        <v>90</v>
      </c>
      <c r="T319" s="11" t="s">
        <v>224</v>
      </c>
      <c r="U319" s="11" t="s">
        <v>2715</v>
      </c>
      <c r="V319" s="116" t="s">
        <v>10</v>
      </c>
      <c r="W319" s="88"/>
      <c r="X319" s="51">
        <v>45516</v>
      </c>
      <c r="Y319" s="97" t="s">
        <v>1573</v>
      </c>
      <c r="Z319" s="135" t="s">
        <v>3023</v>
      </c>
      <c r="AA319" s="135">
        <v>0</v>
      </c>
    </row>
    <row r="320" spans="1:27" ht="13" customHeight="1">
      <c r="A320" s="11">
        <v>314</v>
      </c>
      <c r="B320" s="47">
        <v>206958910</v>
      </c>
      <c r="C320" s="89" t="s">
        <v>2103</v>
      </c>
      <c r="D320" s="11" t="s">
        <v>2026</v>
      </c>
      <c r="E320" s="48" t="s">
        <v>31</v>
      </c>
      <c r="F320" s="48" t="s">
        <v>74</v>
      </c>
      <c r="G320" s="11" t="s">
        <v>64</v>
      </c>
      <c r="H320" s="48" t="str">
        <f>VLOOKUP(Table1[[#This Row],[Psoft No]],[1]Roster!$C$2:$H$1402,6,)</f>
        <v>AUH1</v>
      </c>
      <c r="I320" s="48" t="b">
        <f>Table1[[#This Row],[Building]]=Table1[[#This Row],[Column1]]</f>
        <v>1</v>
      </c>
      <c r="J320" s="11" t="s">
        <v>75</v>
      </c>
      <c r="K320" s="11">
        <v>1299</v>
      </c>
      <c r="L320" s="49" t="s">
        <v>32</v>
      </c>
      <c r="M320" s="49" t="s">
        <v>76</v>
      </c>
      <c r="N320" s="49" t="s">
        <v>78</v>
      </c>
      <c r="O320" s="49" t="s">
        <v>92</v>
      </c>
      <c r="P320" s="48" t="s">
        <v>89</v>
      </c>
      <c r="Q320" s="49" t="s">
        <v>35</v>
      </c>
      <c r="R320" s="11" t="s">
        <v>80</v>
      </c>
      <c r="S320" s="11" t="s">
        <v>96</v>
      </c>
      <c r="T320" s="11" t="s">
        <v>224</v>
      </c>
      <c r="U320" s="11" t="s">
        <v>2715</v>
      </c>
      <c r="V320" s="116" t="s">
        <v>10</v>
      </c>
      <c r="W320" s="88"/>
      <c r="X320" s="51">
        <v>46048</v>
      </c>
      <c r="Y320" s="97" t="s">
        <v>1573</v>
      </c>
      <c r="Z320" s="135" t="s">
        <v>3023</v>
      </c>
      <c r="AA320" s="135">
        <v>0</v>
      </c>
    </row>
    <row r="321" spans="1:27" ht="13" customHeight="1">
      <c r="A321" s="11">
        <v>315</v>
      </c>
      <c r="B321" s="47">
        <v>203521521</v>
      </c>
      <c r="C321" s="89" t="s">
        <v>291</v>
      </c>
      <c r="D321" s="11" t="s">
        <v>292</v>
      </c>
      <c r="E321" s="48" t="s">
        <v>31</v>
      </c>
      <c r="F321" s="48" t="s">
        <v>74</v>
      </c>
      <c r="G321" s="11" t="s">
        <v>64</v>
      </c>
      <c r="H321" s="48" t="str">
        <f>VLOOKUP(Table1[[#This Row],[Psoft No]],[1]Roster!$C$2:$H$1402,6,)</f>
        <v>AUH1</v>
      </c>
      <c r="I321" s="48" t="b">
        <f>Table1[[#This Row],[Building]]=Table1[[#This Row],[Column1]]</f>
        <v>1</v>
      </c>
      <c r="J321" s="11" t="s">
        <v>75</v>
      </c>
      <c r="K321" s="11">
        <v>1299</v>
      </c>
      <c r="L321" s="49" t="s">
        <v>32</v>
      </c>
      <c r="M321" s="49" t="s">
        <v>76</v>
      </c>
      <c r="N321" s="49" t="s">
        <v>78</v>
      </c>
      <c r="O321" s="49" t="s">
        <v>92</v>
      </c>
      <c r="P321" s="49" t="s">
        <v>79</v>
      </c>
      <c r="Q321" s="49" t="s">
        <v>35</v>
      </c>
      <c r="R321" s="11" t="s">
        <v>80</v>
      </c>
      <c r="S321" s="11" t="s">
        <v>81</v>
      </c>
      <c r="T321" s="11" t="s">
        <v>225</v>
      </c>
      <c r="U321" s="11" t="s">
        <v>226</v>
      </c>
      <c r="V321" s="116" t="s">
        <v>10</v>
      </c>
      <c r="W321" s="88"/>
      <c r="X321" s="51">
        <v>45463</v>
      </c>
      <c r="Y321" s="97" t="s">
        <v>1570</v>
      </c>
      <c r="Z321" s="135" t="s">
        <v>3023</v>
      </c>
      <c r="AA321" s="135">
        <v>0</v>
      </c>
    </row>
    <row r="322" spans="1:27" ht="13" customHeight="1">
      <c r="A322" s="11">
        <v>316</v>
      </c>
      <c r="B322" s="47">
        <v>203965524</v>
      </c>
      <c r="C322" s="89" t="s">
        <v>293</v>
      </c>
      <c r="D322" s="11" t="s">
        <v>294</v>
      </c>
      <c r="E322" s="48" t="s">
        <v>31</v>
      </c>
      <c r="F322" s="48" t="s">
        <v>74</v>
      </c>
      <c r="G322" s="11" t="s">
        <v>64</v>
      </c>
      <c r="H322" s="48" t="str">
        <f>VLOOKUP(Table1[[#This Row],[Psoft No]],[1]Roster!$C$2:$H$1402,6,)</f>
        <v>AUH1</v>
      </c>
      <c r="I322" s="48" t="b">
        <f>Table1[[#This Row],[Building]]=Table1[[#This Row],[Column1]]</f>
        <v>1</v>
      </c>
      <c r="J322" s="11" t="s">
        <v>75</v>
      </c>
      <c r="K322" s="11">
        <v>1299</v>
      </c>
      <c r="L322" s="49" t="s">
        <v>32</v>
      </c>
      <c r="M322" s="49" t="s">
        <v>76</v>
      </c>
      <c r="N322" s="49" t="s">
        <v>95</v>
      </c>
      <c r="O322" s="49" t="s">
        <v>77</v>
      </c>
      <c r="P322" s="48" t="s">
        <v>79</v>
      </c>
      <c r="Q322" s="49" t="s">
        <v>35</v>
      </c>
      <c r="R322" s="11" t="s">
        <v>80</v>
      </c>
      <c r="S322" s="11" t="s">
        <v>81</v>
      </c>
      <c r="T322" s="11" t="s">
        <v>225</v>
      </c>
      <c r="U322" s="11" t="s">
        <v>226</v>
      </c>
      <c r="V322" s="116" t="str">
        <f>VLOOKUP(Table1[[#This Row],[Psoft No]],[2]Sheet1!$A$2:$G$386,7,0)</f>
        <v>P</v>
      </c>
      <c r="W322" s="88"/>
      <c r="X322" s="51">
        <v>45544</v>
      </c>
      <c r="Y322" s="97" t="s">
        <v>1573</v>
      </c>
      <c r="Z322" s="135" t="s">
        <v>2</v>
      </c>
      <c r="AA322" s="135">
        <v>0</v>
      </c>
    </row>
    <row r="323" spans="1:27" ht="13" customHeight="1">
      <c r="A323" s="11">
        <v>317</v>
      </c>
      <c r="B323" s="47">
        <v>205845560</v>
      </c>
      <c r="C323" s="89" t="s">
        <v>1211</v>
      </c>
      <c r="D323" s="11" t="s">
        <v>1212</v>
      </c>
      <c r="E323" s="48" t="s">
        <v>31</v>
      </c>
      <c r="F323" s="48" t="s">
        <v>74</v>
      </c>
      <c r="G323" s="11" t="s">
        <v>64</v>
      </c>
      <c r="H323" s="48" t="str">
        <f>VLOOKUP(Table1[[#This Row],[Psoft No]],[1]Roster!$C$2:$H$1402,6,)</f>
        <v>AUH1</v>
      </c>
      <c r="I323" s="48" t="b">
        <f>Table1[[#This Row],[Building]]=Table1[[#This Row],[Column1]]</f>
        <v>1</v>
      </c>
      <c r="J323" s="11" t="s">
        <v>75</v>
      </c>
      <c r="K323" s="11">
        <v>1299</v>
      </c>
      <c r="L323" s="49" t="s">
        <v>32</v>
      </c>
      <c r="M323" s="49" t="s">
        <v>76</v>
      </c>
      <c r="N323" s="49" t="s">
        <v>77</v>
      </c>
      <c r="O323" s="49" t="s">
        <v>78</v>
      </c>
      <c r="P323" s="48" t="s">
        <v>86</v>
      </c>
      <c r="Q323" s="49" t="s">
        <v>37</v>
      </c>
      <c r="R323" s="11" t="s">
        <v>80</v>
      </c>
      <c r="S323" s="11" t="s">
        <v>90</v>
      </c>
      <c r="T323" s="11" t="s">
        <v>2845</v>
      </c>
      <c r="U323" s="11" t="s">
        <v>2846</v>
      </c>
      <c r="V323" s="116" t="s">
        <v>7</v>
      </c>
      <c r="W323" s="88" t="s">
        <v>3015</v>
      </c>
      <c r="X323" s="51">
        <v>45894</v>
      </c>
      <c r="Y323" s="97" t="s">
        <v>1577</v>
      </c>
      <c r="Z323" s="135" t="s">
        <v>3023</v>
      </c>
      <c r="AA323" s="135" t="s">
        <v>3024</v>
      </c>
    </row>
    <row r="324" spans="1:27" ht="13" customHeight="1">
      <c r="A324" s="11">
        <v>318</v>
      </c>
      <c r="B324" s="47">
        <v>205236908</v>
      </c>
      <c r="C324" s="89" t="s">
        <v>2561</v>
      </c>
      <c r="D324" s="11" t="s">
        <v>2562</v>
      </c>
      <c r="E324" s="48" t="s">
        <v>31</v>
      </c>
      <c r="F324" s="48" t="s">
        <v>74</v>
      </c>
      <c r="G324" s="11" t="s">
        <v>64</v>
      </c>
      <c r="H324" s="48" t="str">
        <f>VLOOKUP(Table1[[#This Row],[Psoft No]],[1]Roster!$C$2:$H$1402,6,)</f>
        <v>AUH1</v>
      </c>
      <c r="I324" s="48" t="b">
        <f>Table1[[#This Row],[Building]]=Table1[[#This Row],[Column1]]</f>
        <v>1</v>
      </c>
      <c r="J324" s="11" t="s">
        <v>75</v>
      </c>
      <c r="K324" s="11">
        <v>1299</v>
      </c>
      <c r="L324" s="49" t="s">
        <v>32</v>
      </c>
      <c r="M324" s="49" t="s">
        <v>76</v>
      </c>
      <c r="N324" s="49" t="s">
        <v>85</v>
      </c>
      <c r="O324" s="49" t="s">
        <v>88</v>
      </c>
      <c r="P324" s="49" t="s">
        <v>86</v>
      </c>
      <c r="Q324" s="49" t="s">
        <v>35</v>
      </c>
      <c r="R324" s="11" t="s">
        <v>80</v>
      </c>
      <c r="S324" s="11" t="s">
        <v>90</v>
      </c>
      <c r="T324" s="11" t="s">
        <v>225</v>
      </c>
      <c r="U324" s="11" t="s">
        <v>226</v>
      </c>
      <c r="V324" s="116" t="str">
        <f>VLOOKUP(Table1[[#This Row],[Psoft No]],[2]Sheet1!$A$2:$G$386,7,0)</f>
        <v>P</v>
      </c>
      <c r="W324" s="88" t="s">
        <v>3015</v>
      </c>
      <c r="X324" s="51">
        <v>45831</v>
      </c>
      <c r="Y324" s="97" t="s">
        <v>1574</v>
      </c>
      <c r="Z324" s="135" t="s">
        <v>2</v>
      </c>
      <c r="AA324" s="135">
        <v>0</v>
      </c>
    </row>
    <row r="325" spans="1:27" ht="13" customHeight="1">
      <c r="A325" s="11">
        <v>319</v>
      </c>
      <c r="B325" s="47">
        <v>205608621</v>
      </c>
      <c r="C325" s="89" t="s">
        <v>2587</v>
      </c>
      <c r="D325" s="11" t="s">
        <v>2588</v>
      </c>
      <c r="E325" s="48" t="s">
        <v>31</v>
      </c>
      <c r="F325" s="48" t="s">
        <v>74</v>
      </c>
      <c r="G325" s="11" t="s">
        <v>64</v>
      </c>
      <c r="H325" s="48" t="str">
        <f>VLOOKUP(Table1[[#This Row],[Psoft No]],[1]Roster!$C$2:$H$1402,6,)</f>
        <v>AUH1</v>
      </c>
      <c r="I325" s="48" t="b">
        <f>Table1[[#This Row],[Building]]=Table1[[#This Row],[Column1]]</f>
        <v>1</v>
      </c>
      <c r="J325" s="11" t="s">
        <v>75</v>
      </c>
      <c r="K325" s="11">
        <v>1299</v>
      </c>
      <c r="L325" s="49" t="s">
        <v>32</v>
      </c>
      <c r="M325" s="49" t="s">
        <v>76</v>
      </c>
      <c r="N325" s="49" t="s">
        <v>78</v>
      </c>
      <c r="O325" s="49" t="s">
        <v>92</v>
      </c>
      <c r="P325" s="48" t="s">
        <v>86</v>
      </c>
      <c r="Q325" s="49" t="s">
        <v>35</v>
      </c>
      <c r="R325" s="11" t="s">
        <v>80</v>
      </c>
      <c r="S325" s="11" t="s">
        <v>90</v>
      </c>
      <c r="T325" s="11" t="s">
        <v>224</v>
      </c>
      <c r="U325" s="11" t="s">
        <v>2715</v>
      </c>
      <c r="V325" s="116" t="s">
        <v>10</v>
      </c>
      <c r="W325" s="88"/>
      <c r="X325" s="51">
        <v>45845</v>
      </c>
      <c r="Y325" s="97" t="s">
        <v>1573</v>
      </c>
      <c r="Z325" s="135" t="s">
        <v>3023</v>
      </c>
      <c r="AA325" s="135" t="s">
        <v>3024</v>
      </c>
    </row>
    <row r="326" spans="1:27" ht="13" customHeight="1">
      <c r="A326" s="11">
        <v>320</v>
      </c>
      <c r="B326" s="47">
        <v>203802274</v>
      </c>
      <c r="C326" s="89" t="s">
        <v>299</v>
      </c>
      <c r="D326" s="11" t="s">
        <v>300</v>
      </c>
      <c r="E326" s="48" t="s">
        <v>31</v>
      </c>
      <c r="F326" s="48" t="s">
        <v>74</v>
      </c>
      <c r="G326" s="11" t="s">
        <v>64</v>
      </c>
      <c r="H326" s="48" t="str">
        <f>VLOOKUP(Table1[[#This Row],[Psoft No]],[1]Roster!$C$2:$H$1402,6,)</f>
        <v>AUH1</v>
      </c>
      <c r="I326" s="48" t="b">
        <f>Table1[[#This Row],[Building]]=Table1[[#This Row],[Column1]]</f>
        <v>1</v>
      </c>
      <c r="J326" s="11" t="s">
        <v>75</v>
      </c>
      <c r="K326" s="11">
        <v>1299</v>
      </c>
      <c r="L326" s="49" t="s">
        <v>32</v>
      </c>
      <c r="M326" s="49" t="s">
        <v>76</v>
      </c>
      <c r="N326" s="49" t="s">
        <v>78</v>
      </c>
      <c r="O326" s="49" t="s">
        <v>92</v>
      </c>
      <c r="P326" s="48" t="s">
        <v>79</v>
      </c>
      <c r="Q326" s="49" t="s">
        <v>35</v>
      </c>
      <c r="R326" s="11" t="s">
        <v>80</v>
      </c>
      <c r="S326" s="11" t="s">
        <v>81</v>
      </c>
      <c r="T326" s="11" t="s">
        <v>224</v>
      </c>
      <c r="U326" s="11" t="s">
        <v>2715</v>
      </c>
      <c r="V326" s="116" t="s">
        <v>10</v>
      </c>
      <c r="W326" s="88"/>
      <c r="X326" s="51">
        <v>45516</v>
      </c>
      <c r="Y326" s="97" t="s">
        <v>1573</v>
      </c>
      <c r="Z326" s="135" t="s">
        <v>3023</v>
      </c>
      <c r="AA326" s="135">
        <v>0</v>
      </c>
    </row>
    <row r="327" spans="1:27" ht="13" customHeight="1">
      <c r="A327" s="11">
        <v>321</v>
      </c>
      <c r="B327" s="47">
        <v>205506017</v>
      </c>
      <c r="C327" s="89" t="s">
        <v>2515</v>
      </c>
      <c r="D327" s="11" t="s">
        <v>2516</v>
      </c>
      <c r="E327" s="48" t="s">
        <v>31</v>
      </c>
      <c r="F327" s="48" t="s">
        <v>74</v>
      </c>
      <c r="G327" s="11" t="s">
        <v>64</v>
      </c>
      <c r="H327" s="48" t="str">
        <f>VLOOKUP(Table1[[#This Row],[Psoft No]],[1]Roster!$C$2:$H$1402,6,)</f>
        <v>AUH1</v>
      </c>
      <c r="I327" s="48" t="b">
        <f>Table1[[#This Row],[Building]]=Table1[[#This Row],[Column1]]</f>
        <v>1</v>
      </c>
      <c r="J327" s="11" t="s">
        <v>75</v>
      </c>
      <c r="K327" s="11">
        <v>1299</v>
      </c>
      <c r="L327" s="49" t="s">
        <v>32</v>
      </c>
      <c r="M327" s="49" t="s">
        <v>76</v>
      </c>
      <c r="N327" s="49" t="s">
        <v>77</v>
      </c>
      <c r="O327" s="49" t="s">
        <v>78</v>
      </c>
      <c r="P327" s="48" t="s">
        <v>89</v>
      </c>
      <c r="Q327" s="49" t="s">
        <v>35</v>
      </c>
      <c r="R327" s="11" t="s">
        <v>80</v>
      </c>
      <c r="S327" s="11" t="s">
        <v>96</v>
      </c>
      <c r="T327" s="11" t="s">
        <v>224</v>
      </c>
      <c r="U327" s="11" t="s">
        <v>2715</v>
      </c>
      <c r="V327" s="116" t="str">
        <f>VLOOKUP(Table1[[#This Row],[Psoft No]],[2]Sheet1!$A$2:$G$386,7,0)</f>
        <v>P</v>
      </c>
      <c r="W327" s="88"/>
      <c r="X327" s="51">
        <v>45831</v>
      </c>
      <c r="Y327" s="97" t="s">
        <v>1573</v>
      </c>
      <c r="Z327" s="135" t="s">
        <v>2</v>
      </c>
      <c r="AA327" s="135">
        <v>0</v>
      </c>
    </row>
    <row r="328" spans="1:27" ht="13" customHeight="1">
      <c r="A328" s="11">
        <v>322</v>
      </c>
      <c r="B328" s="47">
        <v>205608618</v>
      </c>
      <c r="C328" s="89" t="s">
        <v>2517</v>
      </c>
      <c r="D328" s="11" t="s">
        <v>2518</v>
      </c>
      <c r="E328" s="48" t="s">
        <v>31</v>
      </c>
      <c r="F328" s="48" t="s">
        <v>74</v>
      </c>
      <c r="G328" s="11" t="s">
        <v>64</v>
      </c>
      <c r="H328" s="48" t="str">
        <f>VLOOKUP(Table1[[#This Row],[Psoft No]],[1]Roster!$C$2:$H$1402,6,)</f>
        <v>AUH1</v>
      </c>
      <c r="I328" s="48" t="b">
        <f>Table1[[#This Row],[Building]]=Table1[[#This Row],[Column1]]</f>
        <v>1</v>
      </c>
      <c r="J328" s="11" t="s">
        <v>75</v>
      </c>
      <c r="K328" s="11">
        <v>1299</v>
      </c>
      <c r="L328" s="49" t="s">
        <v>32</v>
      </c>
      <c r="M328" s="49" t="s">
        <v>76</v>
      </c>
      <c r="N328" s="49" t="s">
        <v>78</v>
      </c>
      <c r="O328" s="49" t="s">
        <v>92</v>
      </c>
      <c r="P328" s="49" t="s">
        <v>86</v>
      </c>
      <c r="Q328" s="49" t="s">
        <v>35</v>
      </c>
      <c r="R328" s="11" t="s">
        <v>80</v>
      </c>
      <c r="S328" s="11" t="s">
        <v>90</v>
      </c>
      <c r="T328" s="11" t="s">
        <v>224</v>
      </c>
      <c r="U328" s="11" t="s">
        <v>2715</v>
      </c>
      <c r="V328" s="116" t="s">
        <v>10</v>
      </c>
      <c r="W328" s="88"/>
      <c r="X328" s="51">
        <v>45845</v>
      </c>
      <c r="Y328" s="97" t="s">
        <v>1573</v>
      </c>
      <c r="Z328" s="135" t="s">
        <v>3023</v>
      </c>
      <c r="AA328" s="135">
        <v>0</v>
      </c>
    </row>
    <row r="329" spans="1:27" ht="13" customHeight="1">
      <c r="A329" s="11">
        <v>323</v>
      </c>
      <c r="B329" s="47">
        <v>203965520</v>
      </c>
      <c r="C329" s="89" t="s">
        <v>302</v>
      </c>
      <c r="D329" s="11" t="s">
        <v>303</v>
      </c>
      <c r="E329" s="48" t="s">
        <v>31</v>
      </c>
      <c r="F329" s="48" t="s">
        <v>74</v>
      </c>
      <c r="G329" s="11" t="s">
        <v>64</v>
      </c>
      <c r="H329" s="48" t="str">
        <f>VLOOKUP(Table1[[#This Row],[Psoft No]],[1]Roster!$C$2:$H$1402,6,)</f>
        <v>AUH1</v>
      </c>
      <c r="I329" s="48" t="b">
        <f>Table1[[#This Row],[Building]]=Table1[[#This Row],[Column1]]</f>
        <v>1</v>
      </c>
      <c r="J329" s="11" t="s">
        <v>75</v>
      </c>
      <c r="K329" s="11">
        <v>1299</v>
      </c>
      <c r="L329" s="49" t="s">
        <v>39</v>
      </c>
      <c r="M329" s="49" t="s">
        <v>76</v>
      </c>
      <c r="N329" s="49" t="s">
        <v>78</v>
      </c>
      <c r="O329" s="49" t="s">
        <v>92</v>
      </c>
      <c r="P329" s="49" t="s">
        <v>79</v>
      </c>
      <c r="Q329" s="49" t="s">
        <v>35</v>
      </c>
      <c r="R329" s="11" t="s">
        <v>80</v>
      </c>
      <c r="S329" s="11" t="s">
        <v>81</v>
      </c>
      <c r="T329" s="11" t="s">
        <v>224</v>
      </c>
      <c r="U329" s="11" t="s">
        <v>2715</v>
      </c>
      <c r="V329" s="116" t="s">
        <v>10</v>
      </c>
      <c r="W329" s="88"/>
      <c r="X329" s="51">
        <v>45544</v>
      </c>
      <c r="Y329" s="97" t="s">
        <v>1573</v>
      </c>
      <c r="Z329" s="135" t="s">
        <v>3023</v>
      </c>
      <c r="AA329" s="135">
        <v>0</v>
      </c>
    </row>
    <row r="330" spans="1:27" ht="13" customHeight="1">
      <c r="A330" s="11">
        <v>324</v>
      </c>
      <c r="B330" s="47">
        <v>203851006</v>
      </c>
      <c r="C330" s="89" t="s">
        <v>304</v>
      </c>
      <c r="D330" s="11" t="s">
        <v>305</v>
      </c>
      <c r="E330" s="48" t="s">
        <v>31</v>
      </c>
      <c r="F330" s="48" t="s">
        <v>74</v>
      </c>
      <c r="G330" s="11" t="s">
        <v>64</v>
      </c>
      <c r="H330" s="48" t="str">
        <f>VLOOKUP(Table1[[#This Row],[Psoft No]],[1]Roster!$C$2:$H$1402,6,)</f>
        <v>AUH1</v>
      </c>
      <c r="I330" s="48" t="b">
        <f>Table1[[#This Row],[Building]]=Table1[[#This Row],[Column1]]</f>
        <v>1</v>
      </c>
      <c r="J330" s="11" t="s">
        <v>75</v>
      </c>
      <c r="K330" s="11">
        <v>1299</v>
      </c>
      <c r="L330" s="49" t="s">
        <v>32</v>
      </c>
      <c r="M330" s="49" t="s">
        <v>76</v>
      </c>
      <c r="N330" s="49" t="s">
        <v>78</v>
      </c>
      <c r="O330" s="49" t="s">
        <v>92</v>
      </c>
      <c r="P330" s="48" t="s">
        <v>79</v>
      </c>
      <c r="Q330" s="49" t="s">
        <v>35</v>
      </c>
      <c r="R330" s="11" t="s">
        <v>80</v>
      </c>
      <c r="S330" s="11" t="s">
        <v>81</v>
      </c>
      <c r="T330" s="11" t="s">
        <v>225</v>
      </c>
      <c r="U330" s="11" t="s">
        <v>226</v>
      </c>
      <c r="V330" s="116" t="s">
        <v>10</v>
      </c>
      <c r="W330" s="88"/>
      <c r="X330" s="51">
        <v>45524</v>
      </c>
      <c r="Y330" s="97" t="s">
        <v>1572</v>
      </c>
      <c r="Z330" s="135" t="s">
        <v>3023</v>
      </c>
      <c r="AA330" s="135">
        <v>0</v>
      </c>
    </row>
    <row r="331" spans="1:27" ht="13" customHeight="1">
      <c r="A331" s="11">
        <v>325</v>
      </c>
      <c r="B331" s="47">
        <v>203881601</v>
      </c>
      <c r="C331" s="89" t="s">
        <v>306</v>
      </c>
      <c r="D331" s="11" t="s">
        <v>307</v>
      </c>
      <c r="E331" s="48" t="s">
        <v>31</v>
      </c>
      <c r="F331" s="48" t="s">
        <v>74</v>
      </c>
      <c r="G331" s="11" t="s">
        <v>64</v>
      </c>
      <c r="H331" s="48" t="str">
        <f>VLOOKUP(Table1[[#This Row],[Psoft No]],[1]Roster!$C$2:$H$1402,6,)</f>
        <v>AUH1</v>
      </c>
      <c r="I331" s="48" t="b">
        <f>Table1[[#This Row],[Building]]=Table1[[#This Row],[Column1]]</f>
        <v>1</v>
      </c>
      <c r="J331" s="11" t="s">
        <v>75</v>
      </c>
      <c r="K331" s="11">
        <v>1299</v>
      </c>
      <c r="L331" s="49" t="s">
        <v>32</v>
      </c>
      <c r="M331" s="49" t="s">
        <v>76</v>
      </c>
      <c r="N331" s="49" t="s">
        <v>88</v>
      </c>
      <c r="O331" s="49" t="s">
        <v>95</v>
      </c>
      <c r="P331" s="48" t="s">
        <v>79</v>
      </c>
      <c r="Q331" s="49" t="s">
        <v>35</v>
      </c>
      <c r="R331" s="11" t="s">
        <v>80</v>
      </c>
      <c r="S331" s="11" t="s">
        <v>81</v>
      </c>
      <c r="T331" s="11" t="s">
        <v>224</v>
      </c>
      <c r="U331" s="11" t="s">
        <v>2715</v>
      </c>
      <c r="V331" s="116" t="str">
        <f>VLOOKUP(Table1[[#This Row],[AMZ ID]],[2]Sheet3!$A$2:$E$50,5,0)</f>
        <v>PL</v>
      </c>
      <c r="W331" s="88" t="s">
        <v>3015</v>
      </c>
      <c r="X331" s="51">
        <v>45530</v>
      </c>
      <c r="Y331" s="97" t="s">
        <v>1573</v>
      </c>
      <c r="Z331" s="135" t="s">
        <v>3023</v>
      </c>
      <c r="AA331" s="135" t="s">
        <v>3024</v>
      </c>
    </row>
    <row r="332" spans="1:27" ht="13" customHeight="1">
      <c r="A332" s="11">
        <v>326</v>
      </c>
      <c r="B332" s="47">
        <v>204967143</v>
      </c>
      <c r="C332" s="89" t="s">
        <v>308</v>
      </c>
      <c r="D332" s="11" t="s">
        <v>309</v>
      </c>
      <c r="E332" s="48" t="s">
        <v>31</v>
      </c>
      <c r="F332" s="48" t="s">
        <v>74</v>
      </c>
      <c r="G332" s="11" t="s">
        <v>64</v>
      </c>
      <c r="H332" s="48" t="str">
        <f>VLOOKUP(Table1[[#This Row],[Psoft No]],[1]Roster!$C$2:$H$1402,6,)</f>
        <v>AUH1</v>
      </c>
      <c r="I332" s="48" t="b">
        <f>Table1[[#This Row],[Building]]=Table1[[#This Row],[Column1]]</f>
        <v>1</v>
      </c>
      <c r="J332" s="11" t="s">
        <v>75</v>
      </c>
      <c r="K332" s="11">
        <v>1299</v>
      </c>
      <c r="L332" s="49" t="s">
        <v>32</v>
      </c>
      <c r="M332" s="49" t="s">
        <v>76</v>
      </c>
      <c r="N332" s="49" t="s">
        <v>84</v>
      </c>
      <c r="O332" s="49" t="s">
        <v>85</v>
      </c>
      <c r="P332" s="48" t="s">
        <v>86</v>
      </c>
      <c r="Q332" s="49" t="s">
        <v>35</v>
      </c>
      <c r="R332" s="11" t="s">
        <v>80</v>
      </c>
      <c r="S332" s="11" t="s">
        <v>90</v>
      </c>
      <c r="T332" s="11" t="s">
        <v>224</v>
      </c>
      <c r="U332" s="11" t="s">
        <v>2715</v>
      </c>
      <c r="V332" s="116" t="str">
        <f>VLOOKUP(Table1[[#This Row],[Psoft No]],[2]Sheet1!$A$2:$G$386,7,0)</f>
        <v>P</v>
      </c>
      <c r="W332" s="88"/>
      <c r="X332" s="51">
        <v>45826</v>
      </c>
      <c r="Y332" s="97" t="s">
        <v>1573</v>
      </c>
      <c r="Z332" s="135" t="s">
        <v>2</v>
      </c>
      <c r="AA332" s="135">
        <v>0</v>
      </c>
    </row>
    <row r="333" spans="1:27" ht="13" customHeight="1">
      <c r="A333" s="11">
        <v>327</v>
      </c>
      <c r="B333" s="47">
        <v>206065200</v>
      </c>
      <c r="C333" s="89" t="s">
        <v>310</v>
      </c>
      <c r="D333" s="11" t="s">
        <v>311</v>
      </c>
      <c r="E333" s="48" t="s">
        <v>31</v>
      </c>
      <c r="F333" s="48" t="s">
        <v>74</v>
      </c>
      <c r="G333" s="11" t="s">
        <v>64</v>
      </c>
      <c r="H333" s="48" t="str">
        <f>VLOOKUP(Table1[[#This Row],[Psoft No]],[1]Roster!$C$2:$H$1402,6,)</f>
        <v>AUH1</v>
      </c>
      <c r="I333" s="48" t="b">
        <f>Table1[[#This Row],[Building]]=Table1[[#This Row],[Column1]]</f>
        <v>1</v>
      </c>
      <c r="J333" s="11" t="s">
        <v>75</v>
      </c>
      <c r="K333" s="11">
        <v>1299</v>
      </c>
      <c r="L333" s="49" t="s">
        <v>32</v>
      </c>
      <c r="M333" s="49" t="s">
        <v>76</v>
      </c>
      <c r="N333" s="49" t="s">
        <v>78</v>
      </c>
      <c r="O333" s="49" t="s">
        <v>92</v>
      </c>
      <c r="P333" s="48" t="s">
        <v>79</v>
      </c>
      <c r="Q333" s="49" t="s">
        <v>35</v>
      </c>
      <c r="R333" s="11" t="s">
        <v>80</v>
      </c>
      <c r="S333" s="11" t="s">
        <v>81</v>
      </c>
      <c r="T333" s="11" t="s">
        <v>225</v>
      </c>
      <c r="U333" s="11" t="s">
        <v>226</v>
      </c>
      <c r="V333" s="116" t="s">
        <v>10</v>
      </c>
      <c r="W333" s="88"/>
      <c r="X333" s="51">
        <v>45922</v>
      </c>
      <c r="Y333" s="97" t="s">
        <v>1572</v>
      </c>
      <c r="Z333" s="135" t="s">
        <v>3023</v>
      </c>
      <c r="AA333" s="135">
        <v>0</v>
      </c>
    </row>
    <row r="334" spans="1:27" ht="13" customHeight="1">
      <c r="A334" s="11">
        <v>328</v>
      </c>
      <c r="B334" s="47">
        <v>205495596</v>
      </c>
      <c r="C334" s="89" t="s">
        <v>2519</v>
      </c>
      <c r="D334" s="11" t="s">
        <v>2520</v>
      </c>
      <c r="E334" s="48" t="s">
        <v>31</v>
      </c>
      <c r="F334" s="48" t="s">
        <v>74</v>
      </c>
      <c r="G334" s="11" t="s">
        <v>64</v>
      </c>
      <c r="H334" s="48" t="str">
        <f>VLOOKUP(Table1[[#This Row],[Psoft No]],[1]Roster!$C$2:$H$1402,6,)</f>
        <v>AUH1</v>
      </c>
      <c r="I334" s="48" t="b">
        <f>Table1[[#This Row],[Building]]=Table1[[#This Row],[Column1]]</f>
        <v>1</v>
      </c>
      <c r="J334" s="11" t="s">
        <v>75</v>
      </c>
      <c r="K334" s="11">
        <v>1299</v>
      </c>
      <c r="L334" s="49" t="s">
        <v>32</v>
      </c>
      <c r="M334" s="49" t="s">
        <v>76</v>
      </c>
      <c r="N334" s="49" t="s">
        <v>84</v>
      </c>
      <c r="O334" s="49" t="s">
        <v>85</v>
      </c>
      <c r="P334" s="48" t="s">
        <v>89</v>
      </c>
      <c r="Q334" s="49" t="s">
        <v>35</v>
      </c>
      <c r="R334" s="11" t="s">
        <v>80</v>
      </c>
      <c r="S334" s="11" t="s">
        <v>96</v>
      </c>
      <c r="T334" s="11" t="s">
        <v>224</v>
      </c>
      <c r="U334" s="11" t="s">
        <v>2715</v>
      </c>
      <c r="V334" s="116" t="str">
        <f>VLOOKUP(Table1[[#This Row],[Psoft No]],[2]Sheet1!$A$2:$G$386,7,0)</f>
        <v>P</v>
      </c>
      <c r="W334" s="88"/>
      <c r="X334" s="51">
        <v>45831</v>
      </c>
      <c r="Y334" s="97" t="s">
        <v>1573</v>
      </c>
      <c r="Z334" s="135" t="s">
        <v>2</v>
      </c>
      <c r="AA334" s="135">
        <v>0</v>
      </c>
    </row>
    <row r="335" spans="1:27" ht="13" customHeight="1">
      <c r="A335" s="11">
        <v>329</v>
      </c>
      <c r="B335" s="47">
        <v>204246157</v>
      </c>
      <c r="C335" s="89" t="s">
        <v>312</v>
      </c>
      <c r="D335" s="11" t="s">
        <v>313</v>
      </c>
      <c r="E335" s="48" t="s">
        <v>31</v>
      </c>
      <c r="F335" s="48" t="s">
        <v>74</v>
      </c>
      <c r="G335" s="11" t="s">
        <v>64</v>
      </c>
      <c r="H335" s="48" t="str">
        <f>VLOOKUP(Table1[[#This Row],[Psoft No]],[1]Roster!$C$2:$H$1402,6,)</f>
        <v>AUH1</v>
      </c>
      <c r="I335" s="48" t="b">
        <f>Table1[[#This Row],[Building]]=Table1[[#This Row],[Column1]]</f>
        <v>1</v>
      </c>
      <c r="J335" s="11" t="s">
        <v>75</v>
      </c>
      <c r="K335" s="11">
        <v>1299</v>
      </c>
      <c r="L335" s="49" t="s">
        <v>32</v>
      </c>
      <c r="M335" s="49" t="s">
        <v>76</v>
      </c>
      <c r="N335" s="49" t="s">
        <v>84</v>
      </c>
      <c r="O335" s="49" t="s">
        <v>85</v>
      </c>
      <c r="P335" s="49" t="s">
        <v>86</v>
      </c>
      <c r="Q335" s="49" t="s">
        <v>35</v>
      </c>
      <c r="R335" s="11" t="s">
        <v>80</v>
      </c>
      <c r="S335" s="11" t="s">
        <v>87</v>
      </c>
      <c r="T335" s="11" t="s">
        <v>224</v>
      </c>
      <c r="U335" s="11" t="s">
        <v>2715</v>
      </c>
      <c r="V335" s="116" t="str">
        <f>VLOOKUP(Table1[[#This Row],[Psoft No]],[2]Sheet1!$A$2:$G$386,7,0)</f>
        <v>P</v>
      </c>
      <c r="W335" s="88"/>
      <c r="X335" s="51">
        <v>45579</v>
      </c>
      <c r="Y335" s="97" t="s">
        <v>1573</v>
      </c>
      <c r="Z335" s="135" t="s">
        <v>2</v>
      </c>
      <c r="AA335" s="135">
        <v>0</v>
      </c>
    </row>
    <row r="336" spans="1:27" ht="13" customHeight="1">
      <c r="A336" s="11">
        <v>330</v>
      </c>
      <c r="B336" s="47">
        <v>204868859</v>
      </c>
      <c r="C336" s="89" t="s">
        <v>314</v>
      </c>
      <c r="D336" s="11" t="s">
        <v>315</v>
      </c>
      <c r="E336" s="48" t="s">
        <v>31</v>
      </c>
      <c r="F336" s="48" t="s">
        <v>74</v>
      </c>
      <c r="G336" s="11" t="s">
        <v>64</v>
      </c>
      <c r="H336" s="48" t="str">
        <f>VLOOKUP(Table1[[#This Row],[Psoft No]],[1]Roster!$C$2:$H$1402,6,)</f>
        <v>AUH1</v>
      </c>
      <c r="I336" s="48" t="b">
        <f>Table1[[#This Row],[Building]]=Table1[[#This Row],[Column1]]</f>
        <v>1</v>
      </c>
      <c r="J336" s="11" t="s">
        <v>75</v>
      </c>
      <c r="K336" s="11">
        <v>1299</v>
      </c>
      <c r="L336" s="49" t="s">
        <v>32</v>
      </c>
      <c r="M336" s="49" t="s">
        <v>76</v>
      </c>
      <c r="N336" s="49" t="s">
        <v>84</v>
      </c>
      <c r="O336" s="49" t="s">
        <v>85</v>
      </c>
      <c r="P336" s="48" t="s">
        <v>86</v>
      </c>
      <c r="Q336" s="49" t="s">
        <v>35</v>
      </c>
      <c r="R336" s="11" t="s">
        <v>80</v>
      </c>
      <c r="S336" s="11" t="s">
        <v>87</v>
      </c>
      <c r="T336" s="11" t="s">
        <v>231</v>
      </c>
      <c r="U336" s="11" t="s">
        <v>1753</v>
      </c>
      <c r="V336" s="116" t="str">
        <f>VLOOKUP(Table1[[#This Row],[Psoft No]],[2]Sheet1!$A$2:$G$386,7,0)</f>
        <v>P</v>
      </c>
      <c r="W336" s="88"/>
      <c r="X336" s="51">
        <v>45691</v>
      </c>
      <c r="Y336" s="97" t="s">
        <v>1573</v>
      </c>
      <c r="Z336" s="135" t="s">
        <v>2</v>
      </c>
      <c r="AA336" s="135">
        <v>0</v>
      </c>
    </row>
    <row r="337" spans="1:27" ht="13" customHeight="1">
      <c r="A337" s="11">
        <v>331</v>
      </c>
      <c r="B337" s="47">
        <v>204872907</v>
      </c>
      <c r="C337" s="89" t="s">
        <v>316</v>
      </c>
      <c r="D337" s="11" t="s">
        <v>317</v>
      </c>
      <c r="E337" s="48" t="s">
        <v>31</v>
      </c>
      <c r="F337" s="48" t="s">
        <v>74</v>
      </c>
      <c r="G337" s="11" t="s">
        <v>64</v>
      </c>
      <c r="H337" s="48" t="str">
        <f>VLOOKUP(Table1[[#This Row],[Psoft No]],[1]Roster!$C$2:$H$1402,6,)</f>
        <v>AUH1</v>
      </c>
      <c r="I337" s="48" t="b">
        <f>Table1[[#This Row],[Building]]=Table1[[#This Row],[Column1]]</f>
        <v>1</v>
      </c>
      <c r="J337" s="11" t="s">
        <v>75</v>
      </c>
      <c r="K337" s="11">
        <v>1299</v>
      </c>
      <c r="L337" s="49" t="s">
        <v>39</v>
      </c>
      <c r="M337" s="49" t="s">
        <v>76</v>
      </c>
      <c r="N337" s="49" t="s">
        <v>84</v>
      </c>
      <c r="O337" s="49" t="s">
        <v>85</v>
      </c>
      <c r="P337" s="48" t="s">
        <v>86</v>
      </c>
      <c r="Q337" s="49" t="s">
        <v>35</v>
      </c>
      <c r="R337" s="11" t="s">
        <v>80</v>
      </c>
      <c r="S337" s="11" t="s">
        <v>90</v>
      </c>
      <c r="T337" s="11" t="s">
        <v>224</v>
      </c>
      <c r="U337" s="11" t="s">
        <v>2715</v>
      </c>
      <c r="V337" s="116" t="s">
        <v>7</v>
      </c>
      <c r="W337" s="88"/>
      <c r="X337" s="51">
        <v>45826</v>
      </c>
      <c r="Y337" s="97" t="s">
        <v>1573</v>
      </c>
      <c r="Z337" s="135" t="s">
        <v>3023</v>
      </c>
      <c r="AA337" s="135" t="s">
        <v>3024</v>
      </c>
    </row>
    <row r="338" spans="1:27" ht="13" customHeight="1">
      <c r="A338" s="11">
        <v>332</v>
      </c>
      <c r="B338" s="47">
        <v>206065195</v>
      </c>
      <c r="C338" s="89" t="s">
        <v>318</v>
      </c>
      <c r="D338" s="11" t="s">
        <v>319</v>
      </c>
      <c r="E338" s="48" t="s">
        <v>31</v>
      </c>
      <c r="F338" s="48" t="s">
        <v>74</v>
      </c>
      <c r="G338" s="11" t="s">
        <v>64</v>
      </c>
      <c r="H338" s="48" t="str">
        <f>VLOOKUP(Table1[[#This Row],[Psoft No]],[1]Roster!$C$2:$H$1402,6,)</f>
        <v>AUH1</v>
      </c>
      <c r="I338" s="48" t="b">
        <f>Table1[[#This Row],[Building]]=Table1[[#This Row],[Column1]]</f>
        <v>1</v>
      </c>
      <c r="J338" s="11" t="s">
        <v>75</v>
      </c>
      <c r="K338" s="11">
        <v>1299</v>
      </c>
      <c r="L338" s="49" t="s">
        <v>32</v>
      </c>
      <c r="M338" s="49" t="s">
        <v>76</v>
      </c>
      <c r="N338" s="49" t="s">
        <v>84</v>
      </c>
      <c r="O338" s="49" t="s">
        <v>85</v>
      </c>
      <c r="P338" s="48" t="s">
        <v>79</v>
      </c>
      <c r="Q338" s="49" t="s">
        <v>35</v>
      </c>
      <c r="R338" s="11" t="s">
        <v>80</v>
      </c>
      <c r="S338" s="11" t="s">
        <v>81</v>
      </c>
      <c r="T338" s="11" t="s">
        <v>225</v>
      </c>
      <c r="U338" s="11" t="s">
        <v>226</v>
      </c>
      <c r="V338" s="116" t="str">
        <f>VLOOKUP(Table1[[#This Row],[Psoft No]],[2]Sheet1!$A$2:$G$386,7,0)</f>
        <v>P</v>
      </c>
      <c r="W338" s="88"/>
      <c r="X338" s="51">
        <v>45922</v>
      </c>
      <c r="Y338" s="97" t="s">
        <v>1572</v>
      </c>
      <c r="Z338" s="135" t="s">
        <v>2</v>
      </c>
      <c r="AA338" s="135">
        <v>0</v>
      </c>
    </row>
    <row r="339" spans="1:27" ht="13" customHeight="1">
      <c r="A339" s="11">
        <v>333</v>
      </c>
      <c r="B339" s="47">
        <v>205845561</v>
      </c>
      <c r="C339" s="89" t="s">
        <v>2432</v>
      </c>
      <c r="D339" s="11" t="s">
        <v>2433</v>
      </c>
      <c r="E339" s="48" t="s">
        <v>31</v>
      </c>
      <c r="F339" s="48" t="s">
        <v>74</v>
      </c>
      <c r="G339" s="11" t="s">
        <v>64</v>
      </c>
      <c r="H339" s="48" t="str">
        <f>VLOOKUP(Table1[[#This Row],[Psoft No]],[1]Roster!$C$2:$H$1402,6,)</f>
        <v>AUH1</v>
      </c>
      <c r="I339" s="48" t="b">
        <f>Table1[[#This Row],[Building]]=Table1[[#This Row],[Column1]]</f>
        <v>1</v>
      </c>
      <c r="J339" s="11" t="s">
        <v>75</v>
      </c>
      <c r="K339" s="11">
        <v>1299</v>
      </c>
      <c r="L339" s="49" t="s">
        <v>32</v>
      </c>
      <c r="M339" s="49" t="s">
        <v>76</v>
      </c>
      <c r="N339" s="49" t="s">
        <v>77</v>
      </c>
      <c r="O339" s="49" t="s">
        <v>78</v>
      </c>
      <c r="P339" s="48" t="s">
        <v>86</v>
      </c>
      <c r="Q339" s="49" t="s">
        <v>37</v>
      </c>
      <c r="R339" s="11" t="s">
        <v>80</v>
      </c>
      <c r="S339" s="11" t="s">
        <v>90</v>
      </c>
      <c r="T339" s="11" t="s">
        <v>2845</v>
      </c>
      <c r="U339" s="11" t="s">
        <v>2846</v>
      </c>
      <c r="V339" s="116" t="str">
        <f>VLOOKUP(Table1[[#This Row],[Psoft No]],[2]Sheet1!$A$2:$G$386,7,0)</f>
        <v>P</v>
      </c>
      <c r="W339" s="88"/>
      <c r="X339" s="51">
        <v>45894</v>
      </c>
      <c r="Y339" s="97" t="s">
        <v>1577</v>
      </c>
      <c r="Z339" s="135" t="s">
        <v>2</v>
      </c>
      <c r="AA339" s="135">
        <v>0</v>
      </c>
    </row>
    <row r="340" spans="1:27" ht="13" customHeight="1">
      <c r="A340" s="11">
        <v>334</v>
      </c>
      <c r="B340" s="47">
        <v>205671334</v>
      </c>
      <c r="C340" s="89" t="s">
        <v>2362</v>
      </c>
      <c r="D340" s="11" t="s">
        <v>2363</v>
      </c>
      <c r="E340" s="48" t="s">
        <v>34</v>
      </c>
      <c r="F340" s="48" t="s">
        <v>74</v>
      </c>
      <c r="G340" s="11" t="s">
        <v>64</v>
      </c>
      <c r="H340" s="48" t="str">
        <f>VLOOKUP(Table1[[#This Row],[Psoft No]],[1]Roster!$C$2:$H$1402,6,)</f>
        <v>AUH1</v>
      </c>
      <c r="I340" s="48" t="b">
        <f>Table1[[#This Row],[Building]]=Table1[[#This Row],[Column1]]</f>
        <v>1</v>
      </c>
      <c r="J340" s="11" t="s">
        <v>75</v>
      </c>
      <c r="K340" s="11">
        <v>1299</v>
      </c>
      <c r="L340" s="49" t="s">
        <v>32</v>
      </c>
      <c r="M340" s="49" t="s">
        <v>76</v>
      </c>
      <c r="N340" s="49" t="s">
        <v>78</v>
      </c>
      <c r="O340" s="49" t="s">
        <v>92</v>
      </c>
      <c r="P340" s="48" t="s">
        <v>97</v>
      </c>
      <c r="Q340" s="49" t="s">
        <v>35</v>
      </c>
      <c r="R340" s="11" t="s">
        <v>80</v>
      </c>
      <c r="S340" s="11" t="s">
        <v>98</v>
      </c>
      <c r="T340" s="11" t="s">
        <v>231</v>
      </c>
      <c r="U340" s="11" t="s">
        <v>1753</v>
      </c>
      <c r="V340" s="116" t="s">
        <v>10</v>
      </c>
      <c r="W340" s="88"/>
      <c r="X340" s="51">
        <v>46062</v>
      </c>
      <c r="Y340" s="97" t="s">
        <v>1575</v>
      </c>
      <c r="Z340" s="135" t="s">
        <v>3023</v>
      </c>
      <c r="AA340" s="135">
        <v>0</v>
      </c>
    </row>
    <row r="341" spans="1:27" ht="13" customHeight="1">
      <c r="A341" s="11">
        <v>335</v>
      </c>
      <c r="B341" s="47">
        <v>203851004</v>
      </c>
      <c r="C341" s="89" t="s">
        <v>322</v>
      </c>
      <c r="D341" s="11" t="s">
        <v>323</v>
      </c>
      <c r="E341" s="48" t="s">
        <v>31</v>
      </c>
      <c r="F341" s="48" t="s">
        <v>74</v>
      </c>
      <c r="G341" s="11" t="s">
        <v>64</v>
      </c>
      <c r="H341" s="48" t="str">
        <f>VLOOKUP(Table1[[#This Row],[Psoft No]],[1]Roster!$C$2:$H$1402,6,)</f>
        <v>AUH1</v>
      </c>
      <c r="I341" s="48" t="b">
        <f>Table1[[#This Row],[Building]]=Table1[[#This Row],[Column1]]</f>
        <v>1</v>
      </c>
      <c r="J341" s="11" t="s">
        <v>75</v>
      </c>
      <c r="K341" s="11">
        <v>1299</v>
      </c>
      <c r="L341" s="49" t="s">
        <v>39</v>
      </c>
      <c r="M341" s="49" t="s">
        <v>76</v>
      </c>
      <c r="N341" s="49" t="s">
        <v>84</v>
      </c>
      <c r="O341" s="49" t="s">
        <v>85</v>
      </c>
      <c r="P341" s="48" t="s">
        <v>79</v>
      </c>
      <c r="Q341" s="49" t="s">
        <v>35</v>
      </c>
      <c r="R341" s="11" t="s">
        <v>80</v>
      </c>
      <c r="S341" s="11" t="s">
        <v>81</v>
      </c>
      <c r="T341" s="11" t="s">
        <v>225</v>
      </c>
      <c r="U341" s="11" t="s">
        <v>226</v>
      </c>
      <c r="V341" s="116" t="s">
        <v>1</v>
      </c>
      <c r="W341" s="88"/>
      <c r="X341" s="51">
        <v>45524</v>
      </c>
      <c r="Y341" s="97" t="s">
        <v>1572</v>
      </c>
      <c r="Z341" s="135" t="s">
        <v>2</v>
      </c>
      <c r="AA341" s="135">
        <v>0</v>
      </c>
    </row>
    <row r="342" spans="1:27" ht="13" customHeight="1">
      <c r="A342" s="11">
        <v>336</v>
      </c>
      <c r="B342" s="47">
        <v>203736252</v>
      </c>
      <c r="C342" s="89" t="s">
        <v>2521</v>
      </c>
      <c r="D342" s="11" t="s">
        <v>2522</v>
      </c>
      <c r="E342" s="48" t="s">
        <v>31</v>
      </c>
      <c r="F342" s="48" t="s">
        <v>74</v>
      </c>
      <c r="G342" s="11" t="s">
        <v>64</v>
      </c>
      <c r="H342" s="48" t="str">
        <f>VLOOKUP(Table1[[#This Row],[Psoft No]],[1]Roster!$C$2:$H$1402,6,)</f>
        <v>AUH1</v>
      </c>
      <c r="I342" s="48" t="b">
        <f>Table1[[#This Row],[Building]]=Table1[[#This Row],[Column1]]</f>
        <v>1</v>
      </c>
      <c r="J342" s="11" t="s">
        <v>75</v>
      </c>
      <c r="K342" s="11">
        <v>1299</v>
      </c>
      <c r="L342" s="49" t="s">
        <v>39</v>
      </c>
      <c r="M342" s="49" t="s">
        <v>76</v>
      </c>
      <c r="N342" s="49" t="s">
        <v>92</v>
      </c>
      <c r="O342" s="49" t="s">
        <v>84</v>
      </c>
      <c r="P342" s="48" t="s">
        <v>86</v>
      </c>
      <c r="Q342" s="49" t="s">
        <v>35</v>
      </c>
      <c r="R342" s="11" t="s">
        <v>80</v>
      </c>
      <c r="S342" s="11" t="s">
        <v>90</v>
      </c>
      <c r="T342" s="11" t="s">
        <v>224</v>
      </c>
      <c r="U342" s="11" t="s">
        <v>2715</v>
      </c>
      <c r="V342" s="116" t="s">
        <v>10</v>
      </c>
      <c r="W342" s="88"/>
      <c r="X342" s="51">
        <v>45502</v>
      </c>
      <c r="Y342" s="97" t="s">
        <v>1573</v>
      </c>
      <c r="Z342" s="135" t="s">
        <v>3023</v>
      </c>
      <c r="AA342" s="135">
        <v>0</v>
      </c>
    </row>
    <row r="343" spans="1:27" ht="13" customHeight="1">
      <c r="A343" s="11">
        <v>337</v>
      </c>
      <c r="B343" s="47">
        <v>204246170</v>
      </c>
      <c r="C343" s="89" t="s">
        <v>324</v>
      </c>
      <c r="D343" s="11" t="s">
        <v>325</v>
      </c>
      <c r="E343" s="48" t="s">
        <v>31</v>
      </c>
      <c r="F343" s="48" t="s">
        <v>74</v>
      </c>
      <c r="G343" s="11" t="s">
        <v>64</v>
      </c>
      <c r="H343" s="48" t="str">
        <f>VLOOKUP(Table1[[#This Row],[Psoft No]],[1]Roster!$C$2:$H$1402,6,)</f>
        <v>AUH1</v>
      </c>
      <c r="I343" s="48" t="b">
        <f>Table1[[#This Row],[Building]]=Table1[[#This Row],[Column1]]</f>
        <v>1</v>
      </c>
      <c r="J343" s="11" t="s">
        <v>75</v>
      </c>
      <c r="K343" s="11">
        <v>1299</v>
      </c>
      <c r="L343" s="49" t="s">
        <v>39</v>
      </c>
      <c r="M343" s="49" t="s">
        <v>76</v>
      </c>
      <c r="N343" s="49" t="s">
        <v>85</v>
      </c>
      <c r="O343" s="49" t="s">
        <v>88</v>
      </c>
      <c r="P343" s="48" t="s">
        <v>86</v>
      </c>
      <c r="Q343" s="49" t="s">
        <v>35</v>
      </c>
      <c r="R343" s="11" t="s">
        <v>80</v>
      </c>
      <c r="S343" s="11" t="s">
        <v>87</v>
      </c>
      <c r="T343" s="11" t="s">
        <v>224</v>
      </c>
      <c r="U343" s="11" t="s">
        <v>2715</v>
      </c>
      <c r="V343" s="116" t="s">
        <v>1</v>
      </c>
      <c r="W343" s="88"/>
      <c r="X343" s="51">
        <v>45579</v>
      </c>
      <c r="Y343" s="97" t="s">
        <v>1573</v>
      </c>
      <c r="Z343" s="135" t="s">
        <v>2</v>
      </c>
      <c r="AA343" s="135">
        <v>0</v>
      </c>
    </row>
    <row r="344" spans="1:27" ht="13" customHeight="1">
      <c r="A344" s="11">
        <v>338</v>
      </c>
      <c r="B344" s="47">
        <v>204246161</v>
      </c>
      <c r="C344" s="89" t="s">
        <v>326</v>
      </c>
      <c r="D344" s="11" t="s">
        <v>327</v>
      </c>
      <c r="E344" s="48" t="s">
        <v>31</v>
      </c>
      <c r="F344" s="48" t="s">
        <v>74</v>
      </c>
      <c r="G344" s="11" t="s">
        <v>64</v>
      </c>
      <c r="H344" s="48" t="str">
        <f>VLOOKUP(Table1[[#This Row],[Psoft No]],[1]Roster!$C$2:$H$1402,6,)</f>
        <v>AUH1</v>
      </c>
      <c r="I344" s="48" t="b">
        <f>Table1[[#This Row],[Building]]=Table1[[#This Row],[Column1]]</f>
        <v>1</v>
      </c>
      <c r="J344" s="11" t="s">
        <v>75</v>
      </c>
      <c r="K344" s="11">
        <v>1299</v>
      </c>
      <c r="L344" s="49" t="s">
        <v>32</v>
      </c>
      <c r="M344" s="49" t="s">
        <v>76</v>
      </c>
      <c r="N344" s="49" t="s">
        <v>78</v>
      </c>
      <c r="O344" s="49" t="s">
        <v>92</v>
      </c>
      <c r="P344" s="48" t="s">
        <v>86</v>
      </c>
      <c r="Q344" s="49" t="s">
        <v>35</v>
      </c>
      <c r="R344" s="11" t="s">
        <v>80</v>
      </c>
      <c r="S344" s="11" t="s">
        <v>87</v>
      </c>
      <c r="T344" s="11" t="s">
        <v>224</v>
      </c>
      <c r="U344" s="11" t="s">
        <v>2715</v>
      </c>
      <c r="V344" s="116" t="s">
        <v>10</v>
      </c>
      <c r="W344" s="88"/>
      <c r="X344" s="51">
        <v>45579</v>
      </c>
      <c r="Y344" s="97" t="s">
        <v>1573</v>
      </c>
      <c r="Z344" s="135" t="s">
        <v>3023</v>
      </c>
      <c r="AA344" s="135">
        <v>0</v>
      </c>
    </row>
    <row r="345" spans="1:27" ht="13" customHeight="1">
      <c r="A345" s="11">
        <v>339</v>
      </c>
      <c r="B345" s="47">
        <v>102582327</v>
      </c>
      <c r="C345" s="89" t="s">
        <v>328</v>
      </c>
      <c r="D345" s="11" t="s">
        <v>329</v>
      </c>
      <c r="E345" s="48" t="s">
        <v>34</v>
      </c>
      <c r="F345" s="48" t="s">
        <v>74</v>
      </c>
      <c r="G345" s="11" t="s">
        <v>64</v>
      </c>
      <c r="H345" s="48" t="str">
        <f>VLOOKUP(Table1[[#This Row],[Psoft No]],[1]Roster!$C$2:$H$1402,6,)</f>
        <v>AUH1</v>
      </c>
      <c r="I345" s="48" t="b">
        <f>Table1[[#This Row],[Building]]=Table1[[#This Row],[Column1]]</f>
        <v>1</v>
      </c>
      <c r="J345" s="11" t="s">
        <v>75</v>
      </c>
      <c r="K345" s="11">
        <v>1299</v>
      </c>
      <c r="L345" s="49" t="s">
        <v>2471</v>
      </c>
      <c r="M345" s="49" t="s">
        <v>76</v>
      </c>
      <c r="N345" s="49" t="s">
        <v>78</v>
      </c>
      <c r="O345" s="49" t="s">
        <v>92</v>
      </c>
      <c r="P345" s="48" t="s">
        <v>97</v>
      </c>
      <c r="Q345" s="49" t="s">
        <v>35</v>
      </c>
      <c r="R345" s="11" t="s">
        <v>80</v>
      </c>
      <c r="S345" s="11" t="s">
        <v>98</v>
      </c>
      <c r="T345" s="11" t="s">
        <v>224</v>
      </c>
      <c r="U345" s="11" t="s">
        <v>2715</v>
      </c>
      <c r="V345" s="116" t="s">
        <v>10</v>
      </c>
      <c r="W345" s="88"/>
      <c r="X345" s="51">
        <v>42960</v>
      </c>
      <c r="Y345" s="97" t="s">
        <v>1575</v>
      </c>
      <c r="Z345" s="135" t="s">
        <v>3023</v>
      </c>
      <c r="AA345" s="135">
        <v>0</v>
      </c>
    </row>
    <row r="346" spans="1:27" ht="13" customHeight="1">
      <c r="A346" s="11">
        <v>340</v>
      </c>
      <c r="B346" s="47">
        <v>203555714</v>
      </c>
      <c r="C346" s="89" t="s">
        <v>330</v>
      </c>
      <c r="D346" s="11" t="s">
        <v>331</v>
      </c>
      <c r="E346" s="48" t="s">
        <v>31</v>
      </c>
      <c r="F346" s="48" t="s">
        <v>74</v>
      </c>
      <c r="G346" s="11" t="s">
        <v>64</v>
      </c>
      <c r="H346" s="48" t="str">
        <f>VLOOKUP(Table1[[#This Row],[Psoft No]],[1]Roster!$C$2:$H$1402,6,)</f>
        <v>AUH1</v>
      </c>
      <c r="I346" s="48" t="b">
        <f>Table1[[#This Row],[Building]]=Table1[[#This Row],[Column1]]</f>
        <v>1</v>
      </c>
      <c r="J346" s="11" t="s">
        <v>75</v>
      </c>
      <c r="K346" s="11">
        <v>1299</v>
      </c>
      <c r="L346" s="49" t="s">
        <v>32</v>
      </c>
      <c r="M346" s="49" t="s">
        <v>76</v>
      </c>
      <c r="N346" s="49" t="s">
        <v>77</v>
      </c>
      <c r="O346" s="49" t="s">
        <v>78</v>
      </c>
      <c r="P346" s="48" t="s">
        <v>79</v>
      </c>
      <c r="Q346" s="49" t="s">
        <v>35</v>
      </c>
      <c r="R346" s="11" t="s">
        <v>80</v>
      </c>
      <c r="S346" s="11" t="s">
        <v>81</v>
      </c>
      <c r="T346" s="11" t="s">
        <v>225</v>
      </c>
      <c r="U346" s="11" t="s">
        <v>226</v>
      </c>
      <c r="V346" s="116" t="str">
        <f>VLOOKUP(Table1[[#This Row],[Psoft No]],[2]Sheet1!$A$2:$G$386,7,0)</f>
        <v>P</v>
      </c>
      <c r="W346" s="88"/>
      <c r="X346" s="51">
        <v>45470</v>
      </c>
      <c r="Y346" s="97" t="s">
        <v>1572</v>
      </c>
      <c r="Z346" s="135" t="s">
        <v>2</v>
      </c>
      <c r="AA346" s="135">
        <v>0</v>
      </c>
    </row>
    <row r="347" spans="1:27" ht="13" customHeight="1">
      <c r="A347" s="11">
        <v>341</v>
      </c>
      <c r="B347" s="47">
        <v>203468318</v>
      </c>
      <c r="C347" s="89" t="s">
        <v>332</v>
      </c>
      <c r="D347" s="11" t="s">
        <v>333</v>
      </c>
      <c r="E347" s="48" t="s">
        <v>31</v>
      </c>
      <c r="F347" s="48" t="s">
        <v>74</v>
      </c>
      <c r="G347" s="11" t="s">
        <v>64</v>
      </c>
      <c r="H347" s="48" t="str">
        <f>VLOOKUP(Table1[[#This Row],[Psoft No]],[1]Roster!$C$2:$H$1402,6,)</f>
        <v>AUH1</v>
      </c>
      <c r="I347" s="48" t="b">
        <f>Table1[[#This Row],[Building]]=Table1[[#This Row],[Column1]]</f>
        <v>1</v>
      </c>
      <c r="J347" s="11" t="s">
        <v>75</v>
      </c>
      <c r="K347" s="11">
        <v>1299</v>
      </c>
      <c r="L347" s="49" t="s">
        <v>32</v>
      </c>
      <c r="M347" s="49" t="s">
        <v>76</v>
      </c>
      <c r="N347" s="49" t="s">
        <v>78</v>
      </c>
      <c r="O347" s="49" t="s">
        <v>92</v>
      </c>
      <c r="P347" s="48" t="s">
        <v>79</v>
      </c>
      <c r="Q347" s="49" t="s">
        <v>35</v>
      </c>
      <c r="R347" s="11" t="s">
        <v>80</v>
      </c>
      <c r="S347" s="11" t="s">
        <v>81</v>
      </c>
      <c r="T347" s="11" t="s">
        <v>225</v>
      </c>
      <c r="U347" s="11" t="s">
        <v>226</v>
      </c>
      <c r="V347" s="116" t="s">
        <v>10</v>
      </c>
      <c r="W347" s="88"/>
      <c r="X347" s="51">
        <v>45456</v>
      </c>
      <c r="Y347" s="97" t="s">
        <v>1570</v>
      </c>
      <c r="Z347" s="135" t="s">
        <v>3023</v>
      </c>
      <c r="AA347" s="135">
        <v>0</v>
      </c>
    </row>
    <row r="348" spans="1:27" ht="13" customHeight="1">
      <c r="A348" s="11">
        <v>342</v>
      </c>
      <c r="B348" s="47">
        <v>206873868</v>
      </c>
      <c r="C348" s="89" t="s">
        <v>2523</v>
      </c>
      <c r="D348" s="11" t="s">
        <v>2524</v>
      </c>
      <c r="E348" s="48" t="s">
        <v>31</v>
      </c>
      <c r="F348" s="48" t="s">
        <v>74</v>
      </c>
      <c r="G348" s="48" t="s">
        <v>64</v>
      </c>
      <c r="H348" s="48" t="str">
        <f>VLOOKUP(Table1[[#This Row],[Psoft No]],[1]Roster!$C$2:$H$1402,6,)</f>
        <v>AUH1</v>
      </c>
      <c r="I348" s="48" t="b">
        <f>Table1[[#This Row],[Building]]=Table1[[#This Row],[Column1]]</f>
        <v>1</v>
      </c>
      <c r="J348" s="48" t="s">
        <v>75</v>
      </c>
      <c r="K348" s="11">
        <v>1299</v>
      </c>
      <c r="L348" s="49" t="s">
        <v>32</v>
      </c>
      <c r="M348" s="49" t="s">
        <v>76</v>
      </c>
      <c r="N348" s="49" t="s">
        <v>78</v>
      </c>
      <c r="O348" s="49" t="s">
        <v>92</v>
      </c>
      <c r="P348" s="49" t="s">
        <v>89</v>
      </c>
      <c r="Q348" s="48" t="s">
        <v>35</v>
      </c>
      <c r="R348" s="48" t="s">
        <v>80</v>
      </c>
      <c r="S348" s="11" t="s">
        <v>90</v>
      </c>
      <c r="T348" s="11" t="s">
        <v>231</v>
      </c>
      <c r="U348" s="11" t="s">
        <v>1753</v>
      </c>
      <c r="V348" s="116" t="s">
        <v>10</v>
      </c>
      <c r="W348" s="88"/>
      <c r="X348" s="51">
        <v>46020</v>
      </c>
      <c r="Y348" s="97" t="s">
        <v>1573</v>
      </c>
      <c r="Z348" s="135" t="s">
        <v>3023</v>
      </c>
      <c r="AA348" s="135">
        <v>0</v>
      </c>
    </row>
    <row r="349" spans="1:27" ht="13" customHeight="1">
      <c r="A349" s="11">
        <v>343</v>
      </c>
      <c r="B349" s="47">
        <v>204868858</v>
      </c>
      <c r="C349" s="89" t="s">
        <v>334</v>
      </c>
      <c r="D349" s="11" t="s">
        <v>335</v>
      </c>
      <c r="E349" s="48" t="s">
        <v>31</v>
      </c>
      <c r="F349" s="48" t="s">
        <v>74</v>
      </c>
      <c r="G349" s="11" t="s">
        <v>64</v>
      </c>
      <c r="H349" s="48" t="str">
        <f>VLOOKUP(Table1[[#This Row],[Psoft No]],[1]Roster!$C$2:$H$1402,6,)</f>
        <v>AUH1</v>
      </c>
      <c r="I349" s="48" t="b">
        <f>Table1[[#This Row],[Building]]=Table1[[#This Row],[Column1]]</f>
        <v>1</v>
      </c>
      <c r="J349" s="11" t="s">
        <v>75</v>
      </c>
      <c r="K349" s="11">
        <v>1299</v>
      </c>
      <c r="L349" s="49" t="s">
        <v>2471</v>
      </c>
      <c r="M349" s="49" t="s">
        <v>76</v>
      </c>
      <c r="N349" s="49" t="s">
        <v>84</v>
      </c>
      <c r="O349" s="49" t="s">
        <v>85</v>
      </c>
      <c r="P349" s="48" t="s">
        <v>86</v>
      </c>
      <c r="Q349" s="49" t="s">
        <v>35</v>
      </c>
      <c r="R349" s="11" t="s">
        <v>80</v>
      </c>
      <c r="S349" s="11" t="s">
        <v>87</v>
      </c>
      <c r="T349" s="11" t="s">
        <v>224</v>
      </c>
      <c r="U349" s="11" t="s">
        <v>2715</v>
      </c>
      <c r="V349" s="116" t="s">
        <v>1</v>
      </c>
      <c r="W349" s="88"/>
      <c r="X349" s="51">
        <v>45691</v>
      </c>
      <c r="Y349" s="97" t="s">
        <v>1573</v>
      </c>
      <c r="Z349" s="135" t="s">
        <v>2</v>
      </c>
      <c r="AA349" s="135">
        <v>0</v>
      </c>
    </row>
    <row r="350" spans="1:27" ht="13" customHeight="1">
      <c r="A350" s="11">
        <v>344</v>
      </c>
      <c r="B350" s="47">
        <v>203521428</v>
      </c>
      <c r="C350" s="89" t="s">
        <v>336</v>
      </c>
      <c r="D350" s="11" t="s">
        <v>337</v>
      </c>
      <c r="E350" s="48" t="s">
        <v>31</v>
      </c>
      <c r="F350" s="48" t="s">
        <v>74</v>
      </c>
      <c r="G350" s="11" t="s">
        <v>64</v>
      </c>
      <c r="H350" s="48" t="str">
        <f>VLOOKUP(Table1[[#This Row],[Psoft No]],[1]Roster!$C$2:$H$1402,6,)</f>
        <v>AUH1</v>
      </c>
      <c r="I350" s="48" t="b">
        <f>Table1[[#This Row],[Building]]=Table1[[#This Row],[Column1]]</f>
        <v>1</v>
      </c>
      <c r="J350" s="11" t="s">
        <v>75</v>
      </c>
      <c r="K350" s="11">
        <v>1299</v>
      </c>
      <c r="L350" s="49" t="s">
        <v>32</v>
      </c>
      <c r="M350" s="49" t="s">
        <v>76</v>
      </c>
      <c r="N350" s="49" t="s">
        <v>78</v>
      </c>
      <c r="O350" s="49" t="s">
        <v>92</v>
      </c>
      <c r="P350" s="48" t="s">
        <v>79</v>
      </c>
      <c r="Q350" s="49" t="s">
        <v>35</v>
      </c>
      <c r="R350" s="11" t="s">
        <v>80</v>
      </c>
      <c r="S350" s="11" t="s">
        <v>81</v>
      </c>
      <c r="T350" s="11" t="s">
        <v>225</v>
      </c>
      <c r="U350" s="11" t="s">
        <v>226</v>
      </c>
      <c r="V350" s="116" t="s">
        <v>10</v>
      </c>
      <c r="W350" s="88"/>
      <c r="X350" s="51">
        <v>45463</v>
      </c>
      <c r="Y350" s="97" t="s">
        <v>1574</v>
      </c>
      <c r="Z350" s="135" t="s">
        <v>3023</v>
      </c>
      <c r="AA350" s="135">
        <v>0</v>
      </c>
    </row>
    <row r="351" spans="1:27" ht="13" customHeight="1">
      <c r="A351" s="11">
        <v>345</v>
      </c>
      <c r="B351" s="47">
        <v>204246156</v>
      </c>
      <c r="C351" s="89" t="s">
        <v>338</v>
      </c>
      <c r="D351" s="11" t="s">
        <v>339</v>
      </c>
      <c r="E351" s="48" t="s">
        <v>31</v>
      </c>
      <c r="F351" s="48" t="s">
        <v>74</v>
      </c>
      <c r="G351" s="11" t="s">
        <v>64</v>
      </c>
      <c r="H351" s="48" t="str">
        <f>VLOOKUP(Table1[[#This Row],[Psoft No]],[1]Roster!$C$2:$H$1402,6,)</f>
        <v>AUH1</v>
      </c>
      <c r="I351" s="48" t="b">
        <f>Table1[[#This Row],[Building]]=Table1[[#This Row],[Column1]]</f>
        <v>1</v>
      </c>
      <c r="J351" s="11" t="s">
        <v>75</v>
      </c>
      <c r="K351" s="11">
        <v>1299</v>
      </c>
      <c r="L351" s="49" t="s">
        <v>32</v>
      </c>
      <c r="M351" s="49" t="s">
        <v>76</v>
      </c>
      <c r="N351" s="49" t="s">
        <v>78</v>
      </c>
      <c r="O351" s="49" t="s">
        <v>92</v>
      </c>
      <c r="P351" s="49" t="s">
        <v>86</v>
      </c>
      <c r="Q351" s="49" t="s">
        <v>35</v>
      </c>
      <c r="R351" s="11" t="s">
        <v>80</v>
      </c>
      <c r="S351" s="11" t="s">
        <v>87</v>
      </c>
      <c r="T351" s="11" t="s">
        <v>2844</v>
      </c>
      <c r="U351" s="11" t="s">
        <v>2716</v>
      </c>
      <c r="V351" s="116" t="s">
        <v>10</v>
      </c>
      <c r="W351" s="88"/>
      <c r="X351" s="51">
        <v>45579</v>
      </c>
      <c r="Y351" s="97" t="s">
        <v>1573</v>
      </c>
      <c r="Z351" s="135" t="s">
        <v>3023</v>
      </c>
      <c r="AA351" s="135">
        <v>0</v>
      </c>
    </row>
    <row r="352" spans="1:27" ht="13" customHeight="1">
      <c r="A352" s="11">
        <v>346</v>
      </c>
      <c r="B352" s="47">
        <v>103060279</v>
      </c>
      <c r="C352" s="89" t="s">
        <v>340</v>
      </c>
      <c r="D352" s="11" t="s">
        <v>341</v>
      </c>
      <c r="E352" s="48" t="s">
        <v>34</v>
      </c>
      <c r="F352" s="48" t="s">
        <v>74</v>
      </c>
      <c r="G352" s="11" t="s">
        <v>64</v>
      </c>
      <c r="H352" s="48" t="str">
        <f>VLOOKUP(Table1[[#This Row],[Psoft No]],[1]Roster!$C$2:$H$1402,6,)</f>
        <v>AUH1</v>
      </c>
      <c r="I352" s="48" t="b">
        <f>Table1[[#This Row],[Building]]=Table1[[#This Row],[Column1]]</f>
        <v>1</v>
      </c>
      <c r="J352" s="11" t="s">
        <v>75</v>
      </c>
      <c r="K352" s="11">
        <v>1299</v>
      </c>
      <c r="L352" s="49" t="s">
        <v>32</v>
      </c>
      <c r="M352" s="49" t="s">
        <v>76</v>
      </c>
      <c r="N352" s="49" t="s">
        <v>92</v>
      </c>
      <c r="O352" s="49" t="s">
        <v>84</v>
      </c>
      <c r="P352" s="48" t="s">
        <v>108</v>
      </c>
      <c r="Q352" s="49" t="s">
        <v>35</v>
      </c>
      <c r="R352" s="11" t="s">
        <v>80</v>
      </c>
      <c r="S352" s="11" t="s">
        <v>98</v>
      </c>
      <c r="T352" s="11" t="s">
        <v>225</v>
      </c>
      <c r="U352" s="11" t="s">
        <v>226</v>
      </c>
      <c r="V352" s="116" t="s">
        <v>10</v>
      </c>
      <c r="W352" s="88"/>
      <c r="X352" s="51">
        <v>43080</v>
      </c>
      <c r="Y352" s="97" t="s">
        <v>1574</v>
      </c>
      <c r="Z352" s="135" t="s">
        <v>3023</v>
      </c>
      <c r="AA352" s="135">
        <v>0</v>
      </c>
    </row>
    <row r="353" spans="1:27" ht="13" customHeight="1">
      <c r="A353" s="11">
        <v>347</v>
      </c>
      <c r="B353" s="47">
        <v>204880567</v>
      </c>
      <c r="C353" s="89" t="s">
        <v>2525</v>
      </c>
      <c r="D353" s="11" t="s">
        <v>2526</v>
      </c>
      <c r="E353" s="48" t="s">
        <v>31</v>
      </c>
      <c r="F353" s="48" t="s">
        <v>74</v>
      </c>
      <c r="G353" s="11" t="s">
        <v>64</v>
      </c>
      <c r="H353" s="48" t="str">
        <f>VLOOKUP(Table1[[#This Row],[Psoft No]],[1]Roster!$C$2:$H$1402,6,)</f>
        <v>AUH1</v>
      </c>
      <c r="I353" s="48" t="b">
        <f>Table1[[#This Row],[Building]]=Table1[[#This Row],[Column1]]</f>
        <v>1</v>
      </c>
      <c r="J353" s="11" t="s">
        <v>75</v>
      </c>
      <c r="K353" s="11">
        <v>1299</v>
      </c>
      <c r="L353" s="49" t="s">
        <v>32</v>
      </c>
      <c r="M353" s="49" t="s">
        <v>76</v>
      </c>
      <c r="N353" s="49" t="s">
        <v>84</v>
      </c>
      <c r="O353" s="49" t="s">
        <v>85</v>
      </c>
      <c r="P353" s="49" t="s">
        <v>89</v>
      </c>
      <c r="Q353" s="49" t="s">
        <v>35</v>
      </c>
      <c r="R353" s="11" t="s">
        <v>80</v>
      </c>
      <c r="S353" s="11" t="s">
        <v>90</v>
      </c>
      <c r="T353" s="11" t="s">
        <v>224</v>
      </c>
      <c r="U353" s="11" t="s">
        <v>2715</v>
      </c>
      <c r="V353" s="116" t="str">
        <f>VLOOKUP(Table1[[#This Row],[Psoft No]],[2]Sheet1!$A$2:$G$386,7,0)</f>
        <v>P</v>
      </c>
      <c r="W353" s="88"/>
      <c r="X353" s="51">
        <v>45826</v>
      </c>
      <c r="Y353" s="97" t="s">
        <v>1573</v>
      </c>
      <c r="Z353" s="135" t="s">
        <v>2</v>
      </c>
      <c r="AA353" s="135">
        <v>0</v>
      </c>
    </row>
    <row r="354" spans="1:27" ht="13" customHeight="1">
      <c r="A354" s="11">
        <v>348</v>
      </c>
      <c r="B354" s="47">
        <v>203736250</v>
      </c>
      <c r="C354" s="89" t="s">
        <v>2527</v>
      </c>
      <c r="D354" s="11" t="s">
        <v>2528</v>
      </c>
      <c r="E354" s="48" t="s">
        <v>31</v>
      </c>
      <c r="F354" s="48" t="s">
        <v>74</v>
      </c>
      <c r="G354" s="11" t="s">
        <v>64</v>
      </c>
      <c r="H354" s="48" t="str">
        <f>VLOOKUP(Table1[[#This Row],[Psoft No]],[1]Roster!$C$2:$H$1402,6,)</f>
        <v>AUH1</v>
      </c>
      <c r="I354" s="48" t="b">
        <f>Table1[[#This Row],[Building]]=Table1[[#This Row],[Column1]]</f>
        <v>1</v>
      </c>
      <c r="J354" s="11" t="s">
        <v>75</v>
      </c>
      <c r="K354" s="11">
        <v>1299</v>
      </c>
      <c r="L354" s="49" t="s">
        <v>39</v>
      </c>
      <c r="M354" s="49" t="s">
        <v>76</v>
      </c>
      <c r="N354" s="49" t="s">
        <v>77</v>
      </c>
      <c r="O354" s="49" t="s">
        <v>78</v>
      </c>
      <c r="P354" s="48" t="s">
        <v>86</v>
      </c>
      <c r="Q354" s="49" t="s">
        <v>35</v>
      </c>
      <c r="R354" s="11" t="s">
        <v>80</v>
      </c>
      <c r="S354" s="11" t="s">
        <v>90</v>
      </c>
      <c r="T354" s="11" t="s">
        <v>224</v>
      </c>
      <c r="U354" s="11" t="s">
        <v>2715</v>
      </c>
      <c r="V354" s="116" t="s">
        <v>1</v>
      </c>
      <c r="W354" s="88"/>
      <c r="X354" s="51">
        <v>45502</v>
      </c>
      <c r="Y354" s="97" t="s">
        <v>1573</v>
      </c>
      <c r="Z354" s="135" t="s">
        <v>2</v>
      </c>
      <c r="AA354" s="135">
        <v>0</v>
      </c>
    </row>
    <row r="355" spans="1:27" ht="13" customHeight="1">
      <c r="A355" s="11">
        <v>349</v>
      </c>
      <c r="B355" s="47">
        <v>205495355</v>
      </c>
      <c r="C355" s="89" t="s">
        <v>342</v>
      </c>
      <c r="D355" s="11" t="s">
        <v>343</v>
      </c>
      <c r="E355" s="48" t="s">
        <v>31</v>
      </c>
      <c r="F355" s="48" t="s">
        <v>74</v>
      </c>
      <c r="G355" s="11" t="s">
        <v>64</v>
      </c>
      <c r="H355" s="48" t="str">
        <f>VLOOKUP(Table1[[#This Row],[Psoft No]],[1]Roster!$C$2:$H$1402,6,)</f>
        <v>AUH1</v>
      </c>
      <c r="I355" s="48" t="b">
        <f>Table1[[#This Row],[Building]]=Table1[[#This Row],[Column1]]</f>
        <v>1</v>
      </c>
      <c r="J355" s="11" t="s">
        <v>75</v>
      </c>
      <c r="K355" s="11">
        <v>1299</v>
      </c>
      <c r="L355" s="49" t="s">
        <v>39</v>
      </c>
      <c r="M355" s="49" t="s">
        <v>76</v>
      </c>
      <c r="N355" s="49" t="s">
        <v>78</v>
      </c>
      <c r="O355" s="49" t="s">
        <v>92</v>
      </c>
      <c r="P355" s="49" t="s">
        <v>89</v>
      </c>
      <c r="Q355" s="49" t="s">
        <v>35</v>
      </c>
      <c r="R355" s="11" t="s">
        <v>80</v>
      </c>
      <c r="S355" s="11" t="s">
        <v>96</v>
      </c>
      <c r="T355" s="11" t="s">
        <v>225</v>
      </c>
      <c r="U355" s="11" t="s">
        <v>226</v>
      </c>
      <c r="V355" s="116" t="s">
        <v>10</v>
      </c>
      <c r="W355" s="88"/>
      <c r="X355" s="51">
        <v>45831</v>
      </c>
      <c r="Y355" s="97" t="s">
        <v>1574</v>
      </c>
      <c r="Z355" s="135" t="s">
        <v>3023</v>
      </c>
      <c r="AA355" s="135" t="s">
        <v>3015</v>
      </c>
    </row>
    <row r="356" spans="1:27" ht="13" customHeight="1">
      <c r="A356" s="11">
        <v>350</v>
      </c>
      <c r="B356" s="47">
        <v>206873870</v>
      </c>
      <c r="C356" s="89" t="s">
        <v>1766</v>
      </c>
      <c r="D356" s="11" t="s">
        <v>1767</v>
      </c>
      <c r="E356" s="48" t="s">
        <v>31</v>
      </c>
      <c r="F356" s="48" t="s">
        <v>74</v>
      </c>
      <c r="G356" s="48" t="s">
        <v>64</v>
      </c>
      <c r="H356" s="48" t="str">
        <f>VLOOKUP(Table1[[#This Row],[Psoft No]],[1]Roster!$C$2:$H$1402,6,)</f>
        <v>AUH1</v>
      </c>
      <c r="I356" s="48" t="b">
        <f>Table1[[#This Row],[Building]]=Table1[[#This Row],[Column1]]</f>
        <v>1</v>
      </c>
      <c r="J356" s="48" t="s">
        <v>75</v>
      </c>
      <c r="K356" s="11">
        <v>1299</v>
      </c>
      <c r="L356" s="49" t="s">
        <v>32</v>
      </c>
      <c r="M356" s="49" t="s">
        <v>76</v>
      </c>
      <c r="N356" s="49" t="s">
        <v>78</v>
      </c>
      <c r="O356" s="49" t="s">
        <v>92</v>
      </c>
      <c r="P356" s="49" t="s">
        <v>89</v>
      </c>
      <c r="Q356" s="48" t="s">
        <v>35</v>
      </c>
      <c r="R356" s="48" t="s">
        <v>80</v>
      </c>
      <c r="S356" s="11" t="s">
        <v>90</v>
      </c>
      <c r="T356" s="11" t="s">
        <v>231</v>
      </c>
      <c r="U356" s="11" t="s">
        <v>1753</v>
      </c>
      <c r="V356" s="116" t="s">
        <v>10</v>
      </c>
      <c r="W356" s="88"/>
      <c r="X356" s="51">
        <v>46020</v>
      </c>
      <c r="Y356" s="97" t="s">
        <v>1573</v>
      </c>
      <c r="Z356" s="135" t="s">
        <v>3023</v>
      </c>
      <c r="AA356" s="135">
        <v>0</v>
      </c>
    </row>
    <row r="357" spans="1:27" ht="13" customHeight="1">
      <c r="A357" s="11">
        <v>351</v>
      </c>
      <c r="B357" s="47">
        <v>203741310</v>
      </c>
      <c r="C357" s="89" t="s">
        <v>344</v>
      </c>
      <c r="D357" s="11" t="s">
        <v>345</v>
      </c>
      <c r="E357" s="48" t="s">
        <v>31</v>
      </c>
      <c r="F357" s="48" t="s">
        <v>74</v>
      </c>
      <c r="G357" s="11" t="s">
        <v>64</v>
      </c>
      <c r="H357" s="48" t="str">
        <f>VLOOKUP(Table1[[#This Row],[Psoft No]],[1]Roster!$C$2:$H$1402,6,)</f>
        <v>AUH1</v>
      </c>
      <c r="I357" s="48" t="b">
        <f>Table1[[#This Row],[Building]]=Table1[[#This Row],[Column1]]</f>
        <v>1</v>
      </c>
      <c r="J357" s="11" t="s">
        <v>75</v>
      </c>
      <c r="K357" s="11">
        <v>1299</v>
      </c>
      <c r="L357" s="49" t="s">
        <v>32</v>
      </c>
      <c r="M357" s="49" t="s">
        <v>76</v>
      </c>
      <c r="N357" s="49" t="s">
        <v>84</v>
      </c>
      <c r="O357" s="49" t="s">
        <v>85</v>
      </c>
      <c r="P357" s="48" t="s">
        <v>79</v>
      </c>
      <c r="Q357" s="49" t="s">
        <v>35</v>
      </c>
      <c r="R357" s="11" t="s">
        <v>80</v>
      </c>
      <c r="S357" s="11" t="s">
        <v>81</v>
      </c>
      <c r="T357" s="11" t="s">
        <v>224</v>
      </c>
      <c r="U357" s="11" t="s">
        <v>2715</v>
      </c>
      <c r="V357" s="116" t="str">
        <f>VLOOKUP(Table1[[#This Row],[Psoft No]],[2]Sheet1!$A$2:$G$386,7,0)</f>
        <v>P</v>
      </c>
      <c r="W357" s="88"/>
      <c r="X357" s="51">
        <v>45502</v>
      </c>
      <c r="Y357" s="97" t="s">
        <v>1573</v>
      </c>
      <c r="Z357" s="135" t="s">
        <v>2</v>
      </c>
      <c r="AA357" s="135">
        <v>0</v>
      </c>
    </row>
    <row r="358" spans="1:27" ht="13" customHeight="1">
      <c r="A358" s="11">
        <v>352</v>
      </c>
      <c r="B358" s="47">
        <v>203741317</v>
      </c>
      <c r="C358" s="89" t="s">
        <v>346</v>
      </c>
      <c r="D358" s="11" t="s">
        <v>347</v>
      </c>
      <c r="E358" s="48" t="s">
        <v>31</v>
      </c>
      <c r="F358" s="48" t="s">
        <v>74</v>
      </c>
      <c r="G358" s="11" t="s">
        <v>64</v>
      </c>
      <c r="H358" s="48" t="str">
        <f>VLOOKUP(Table1[[#This Row],[Psoft No]],[1]Roster!$C$2:$H$1402,6,)</f>
        <v>AUH1</v>
      </c>
      <c r="I358" s="48" t="b">
        <f>Table1[[#This Row],[Building]]=Table1[[#This Row],[Column1]]</f>
        <v>1</v>
      </c>
      <c r="J358" s="11" t="s">
        <v>75</v>
      </c>
      <c r="K358" s="11">
        <v>1299</v>
      </c>
      <c r="L358" s="49" t="s">
        <v>39</v>
      </c>
      <c r="M358" s="49" t="s">
        <v>76</v>
      </c>
      <c r="N358" s="49" t="s">
        <v>85</v>
      </c>
      <c r="O358" s="49" t="s">
        <v>88</v>
      </c>
      <c r="P358" s="48" t="s">
        <v>79</v>
      </c>
      <c r="Q358" s="49" t="s">
        <v>35</v>
      </c>
      <c r="R358" s="11" t="s">
        <v>80</v>
      </c>
      <c r="S358" s="11" t="s">
        <v>81</v>
      </c>
      <c r="T358" s="11" t="s">
        <v>224</v>
      </c>
      <c r="U358" s="11" t="s">
        <v>2715</v>
      </c>
      <c r="V358" s="116" t="s">
        <v>1</v>
      </c>
      <c r="W358" s="88"/>
      <c r="X358" s="51">
        <v>45502</v>
      </c>
      <c r="Y358" s="97" t="s">
        <v>1573</v>
      </c>
      <c r="Z358" s="135" t="s">
        <v>2</v>
      </c>
      <c r="AA358" s="135">
        <v>0</v>
      </c>
    </row>
    <row r="359" spans="1:27" ht="13" customHeight="1">
      <c r="A359" s="11">
        <v>353</v>
      </c>
      <c r="B359" s="47">
        <v>206065199</v>
      </c>
      <c r="C359" s="89" t="s">
        <v>348</v>
      </c>
      <c r="D359" s="11" t="s">
        <v>349</v>
      </c>
      <c r="E359" s="48" t="s">
        <v>31</v>
      </c>
      <c r="F359" s="48" t="s">
        <v>74</v>
      </c>
      <c r="G359" s="11" t="s">
        <v>64</v>
      </c>
      <c r="H359" s="48" t="str">
        <f>VLOOKUP(Table1[[#This Row],[Psoft No]],[1]Roster!$C$2:$H$1402,6,)</f>
        <v>AUH1</v>
      </c>
      <c r="I359" s="48" t="b">
        <f>Table1[[#This Row],[Building]]=Table1[[#This Row],[Column1]]</f>
        <v>1</v>
      </c>
      <c r="J359" s="11" t="s">
        <v>75</v>
      </c>
      <c r="K359" s="11">
        <v>1299</v>
      </c>
      <c r="L359" s="49" t="s">
        <v>32</v>
      </c>
      <c r="M359" s="49" t="s">
        <v>76</v>
      </c>
      <c r="N359" s="49" t="s">
        <v>88</v>
      </c>
      <c r="O359" s="49" t="s">
        <v>95</v>
      </c>
      <c r="P359" s="48" t="s">
        <v>79</v>
      </c>
      <c r="Q359" s="49" t="s">
        <v>35</v>
      </c>
      <c r="R359" s="11" t="s">
        <v>80</v>
      </c>
      <c r="S359" s="11" t="s">
        <v>81</v>
      </c>
      <c r="T359" s="11" t="s">
        <v>225</v>
      </c>
      <c r="U359" s="11" t="s">
        <v>226</v>
      </c>
      <c r="V359" s="116" t="str">
        <f>VLOOKUP(Table1[[#This Row],[Psoft No]],[2]Sheet1!$A$2:$G$386,7,0)</f>
        <v>P</v>
      </c>
      <c r="W359" s="88"/>
      <c r="X359" s="51">
        <v>45922</v>
      </c>
      <c r="Y359" s="97" t="s">
        <v>1572</v>
      </c>
      <c r="Z359" s="135" t="s">
        <v>2</v>
      </c>
      <c r="AA359" s="135">
        <v>0</v>
      </c>
    </row>
    <row r="360" spans="1:27" ht="13" customHeight="1">
      <c r="A360" s="11">
        <v>354</v>
      </c>
      <c r="B360" s="47">
        <v>203736253</v>
      </c>
      <c r="C360" s="89" t="s">
        <v>2529</v>
      </c>
      <c r="D360" s="11" t="s">
        <v>2530</v>
      </c>
      <c r="E360" s="48" t="s">
        <v>31</v>
      </c>
      <c r="F360" s="48" t="s">
        <v>74</v>
      </c>
      <c r="G360" s="11" t="s">
        <v>64</v>
      </c>
      <c r="H360" s="48" t="str">
        <f>VLOOKUP(Table1[[#This Row],[Psoft No]],[1]Roster!$C$2:$H$1402,6,)</f>
        <v>AUH1</v>
      </c>
      <c r="I360" s="48" t="b">
        <f>Table1[[#This Row],[Building]]=Table1[[#This Row],[Column1]]</f>
        <v>1</v>
      </c>
      <c r="J360" s="11" t="s">
        <v>75</v>
      </c>
      <c r="K360" s="11">
        <v>1299</v>
      </c>
      <c r="L360" s="49" t="s">
        <v>39</v>
      </c>
      <c r="M360" s="49" t="s">
        <v>76</v>
      </c>
      <c r="N360" s="49" t="s">
        <v>77</v>
      </c>
      <c r="O360" s="49" t="s">
        <v>78</v>
      </c>
      <c r="P360" s="48" t="s">
        <v>86</v>
      </c>
      <c r="Q360" s="49" t="s">
        <v>35</v>
      </c>
      <c r="R360" s="11" t="s">
        <v>80</v>
      </c>
      <c r="S360" s="11" t="s">
        <v>90</v>
      </c>
      <c r="T360" s="11" t="s">
        <v>224</v>
      </c>
      <c r="U360" s="11" t="s">
        <v>2715</v>
      </c>
      <c r="V360" s="116" t="s">
        <v>1</v>
      </c>
      <c r="W360" s="88"/>
      <c r="X360" s="51">
        <v>45502</v>
      </c>
      <c r="Y360" s="97" t="s">
        <v>1573</v>
      </c>
      <c r="Z360" s="135" t="s">
        <v>2</v>
      </c>
      <c r="AA360" s="135">
        <v>0</v>
      </c>
    </row>
    <row r="361" spans="1:27" ht="13" customHeight="1">
      <c r="A361" s="11">
        <v>355</v>
      </c>
      <c r="B361" s="47">
        <v>203521133</v>
      </c>
      <c r="C361" s="89" t="s">
        <v>350</v>
      </c>
      <c r="D361" s="11" t="s">
        <v>351</v>
      </c>
      <c r="E361" s="48" t="s">
        <v>31</v>
      </c>
      <c r="F361" s="48" t="s">
        <v>74</v>
      </c>
      <c r="G361" s="11" t="s">
        <v>65</v>
      </c>
      <c r="H361" s="48" t="str">
        <f>VLOOKUP(Table1[[#This Row],[Psoft No]],[1]Roster!$C$2:$H$1402,6,)</f>
        <v>AUH3</v>
      </c>
      <c r="I361" s="48" t="b">
        <f>Table1[[#This Row],[Building]]=Table1[[#This Row],[Column1]]</f>
        <v>1</v>
      </c>
      <c r="J361" s="11" t="s">
        <v>75</v>
      </c>
      <c r="K361" s="11">
        <v>1299</v>
      </c>
      <c r="L361" s="49" t="s">
        <v>39</v>
      </c>
      <c r="M361" s="49" t="s">
        <v>76</v>
      </c>
      <c r="N361" s="49" t="s">
        <v>95</v>
      </c>
      <c r="O361" s="49" t="s">
        <v>77</v>
      </c>
      <c r="P361" s="48" t="s">
        <v>79</v>
      </c>
      <c r="Q361" s="49" t="s">
        <v>68</v>
      </c>
      <c r="R361" s="11" t="s">
        <v>80</v>
      </c>
      <c r="S361" s="11" t="s">
        <v>81</v>
      </c>
      <c r="T361" s="11" t="s">
        <v>2720</v>
      </c>
      <c r="U361" s="11" t="s">
        <v>2721</v>
      </c>
      <c r="V361" s="116" t="s">
        <v>1</v>
      </c>
      <c r="W361" s="88"/>
      <c r="X361" s="51">
        <v>45463</v>
      </c>
      <c r="Y361" s="97" t="s">
        <v>68</v>
      </c>
      <c r="Z361" s="135" t="s">
        <v>2</v>
      </c>
      <c r="AA361" s="135">
        <v>0</v>
      </c>
    </row>
    <row r="362" spans="1:27" ht="13" customHeight="1">
      <c r="A362" s="11">
        <v>356</v>
      </c>
      <c r="B362" s="47">
        <v>204013733</v>
      </c>
      <c r="C362" s="89" t="s">
        <v>352</v>
      </c>
      <c r="D362" s="11" t="s">
        <v>353</v>
      </c>
      <c r="E362" s="48" t="s">
        <v>31</v>
      </c>
      <c r="F362" s="48" t="s">
        <v>74</v>
      </c>
      <c r="G362" s="11" t="s">
        <v>64</v>
      </c>
      <c r="H362" s="48" t="str">
        <f>VLOOKUP(Table1[[#This Row],[Psoft No]],[1]Roster!$C$2:$H$1402,6,)</f>
        <v>AUH1</v>
      </c>
      <c r="I362" s="48" t="b">
        <f>Table1[[#This Row],[Building]]=Table1[[#This Row],[Column1]]</f>
        <v>1</v>
      </c>
      <c r="J362" s="11" t="s">
        <v>75</v>
      </c>
      <c r="K362" s="11">
        <v>1299</v>
      </c>
      <c r="L362" s="49" t="s">
        <v>32</v>
      </c>
      <c r="M362" s="49" t="s">
        <v>76</v>
      </c>
      <c r="N362" s="49" t="s">
        <v>78</v>
      </c>
      <c r="O362" s="49" t="s">
        <v>92</v>
      </c>
      <c r="P362" s="48" t="s">
        <v>79</v>
      </c>
      <c r="Q362" s="49" t="s">
        <v>35</v>
      </c>
      <c r="R362" s="11" t="s">
        <v>80</v>
      </c>
      <c r="S362" s="11" t="s">
        <v>81</v>
      </c>
      <c r="T362" s="11" t="s">
        <v>225</v>
      </c>
      <c r="U362" s="11" t="s">
        <v>226</v>
      </c>
      <c r="V362" s="116" t="s">
        <v>10</v>
      </c>
      <c r="W362" s="88"/>
      <c r="X362" s="51">
        <v>45551</v>
      </c>
      <c r="Y362" s="97" t="s">
        <v>1573</v>
      </c>
      <c r="Z362" s="135" t="s">
        <v>3023</v>
      </c>
      <c r="AA362" s="135">
        <v>0</v>
      </c>
    </row>
    <row r="363" spans="1:27" ht="13" customHeight="1">
      <c r="A363" s="11">
        <v>357</v>
      </c>
      <c r="B363" s="47">
        <v>204967151</v>
      </c>
      <c r="C363" s="89" t="s">
        <v>2531</v>
      </c>
      <c r="D363" s="11" t="s">
        <v>2532</v>
      </c>
      <c r="E363" s="48" t="s">
        <v>31</v>
      </c>
      <c r="F363" s="48" t="s">
        <v>74</v>
      </c>
      <c r="G363" s="11" t="s">
        <v>64</v>
      </c>
      <c r="H363" s="48" t="str">
        <f>VLOOKUP(Table1[[#This Row],[Psoft No]],[1]Roster!$C$2:$H$1402,6,)</f>
        <v>AUH1</v>
      </c>
      <c r="I363" s="48" t="b">
        <f>Table1[[#This Row],[Building]]=Table1[[#This Row],[Column1]]</f>
        <v>1</v>
      </c>
      <c r="J363" s="11" t="s">
        <v>75</v>
      </c>
      <c r="K363" s="11">
        <v>1299</v>
      </c>
      <c r="L363" s="49" t="s">
        <v>32</v>
      </c>
      <c r="M363" s="49" t="s">
        <v>76</v>
      </c>
      <c r="N363" s="49" t="s">
        <v>85</v>
      </c>
      <c r="O363" s="49" t="s">
        <v>88</v>
      </c>
      <c r="P363" s="48" t="s">
        <v>86</v>
      </c>
      <c r="Q363" s="49" t="s">
        <v>35</v>
      </c>
      <c r="R363" s="11" t="s">
        <v>80</v>
      </c>
      <c r="S363" s="11" t="s">
        <v>90</v>
      </c>
      <c r="T363" s="11" t="s">
        <v>224</v>
      </c>
      <c r="U363" s="11" t="s">
        <v>2715</v>
      </c>
      <c r="V363" s="116" t="str">
        <f>VLOOKUP(Table1[[#This Row],[Psoft No]],[2]Sheet1!$A$2:$G$386,7,0)</f>
        <v>P</v>
      </c>
      <c r="W363" s="88"/>
      <c r="X363" s="51">
        <v>45826</v>
      </c>
      <c r="Y363" s="97" t="s">
        <v>1573</v>
      </c>
      <c r="Z363" s="135" t="s">
        <v>2</v>
      </c>
      <c r="AA363" s="135">
        <v>0</v>
      </c>
    </row>
    <row r="364" spans="1:27" ht="13" customHeight="1">
      <c r="A364" s="11">
        <v>358</v>
      </c>
      <c r="B364" s="47">
        <v>203965496</v>
      </c>
      <c r="C364" s="89" t="s">
        <v>354</v>
      </c>
      <c r="D364" s="11" t="s">
        <v>355</v>
      </c>
      <c r="E364" s="48" t="s">
        <v>31</v>
      </c>
      <c r="F364" s="48" t="s">
        <v>74</v>
      </c>
      <c r="G364" s="11" t="s">
        <v>64</v>
      </c>
      <c r="H364" s="48" t="str">
        <f>VLOOKUP(Table1[[#This Row],[Psoft No]],[1]Roster!$C$2:$H$1402,6,)</f>
        <v>AUH1</v>
      </c>
      <c r="I364" s="48" t="b">
        <f>Table1[[#This Row],[Building]]=Table1[[#This Row],[Column1]]</f>
        <v>1</v>
      </c>
      <c r="J364" s="11" t="s">
        <v>75</v>
      </c>
      <c r="K364" s="11">
        <v>1299</v>
      </c>
      <c r="L364" s="49" t="s">
        <v>39</v>
      </c>
      <c r="M364" s="49" t="s">
        <v>76</v>
      </c>
      <c r="N364" s="49" t="s">
        <v>84</v>
      </c>
      <c r="O364" s="49" t="s">
        <v>85</v>
      </c>
      <c r="P364" s="48" t="s">
        <v>79</v>
      </c>
      <c r="Q364" s="49" t="s">
        <v>35</v>
      </c>
      <c r="R364" s="11" t="s">
        <v>80</v>
      </c>
      <c r="S364" s="11" t="s">
        <v>81</v>
      </c>
      <c r="T364" s="11" t="s">
        <v>224</v>
      </c>
      <c r="U364" s="11" t="s">
        <v>2715</v>
      </c>
      <c r="V364" s="116" t="s">
        <v>1</v>
      </c>
      <c r="W364" s="88"/>
      <c r="X364" s="51">
        <v>45544</v>
      </c>
      <c r="Y364" s="97" t="s">
        <v>1573</v>
      </c>
      <c r="Z364" s="135" t="s">
        <v>2</v>
      </c>
      <c r="AA364" s="135">
        <v>0</v>
      </c>
    </row>
    <row r="365" spans="1:27" ht="13" customHeight="1">
      <c r="A365" s="11">
        <v>359</v>
      </c>
      <c r="B365" s="47">
        <v>203965492</v>
      </c>
      <c r="C365" s="89" t="s">
        <v>356</v>
      </c>
      <c r="D365" s="11" t="s">
        <v>357</v>
      </c>
      <c r="E365" s="48" t="s">
        <v>31</v>
      </c>
      <c r="F365" s="48" t="s">
        <v>74</v>
      </c>
      <c r="G365" s="11" t="s">
        <v>65</v>
      </c>
      <c r="H365" s="48" t="str">
        <f>VLOOKUP(Table1[[#This Row],[Psoft No]],[1]Roster!$C$2:$H$1402,6,)</f>
        <v>AUH3</v>
      </c>
      <c r="I365" s="48" t="b">
        <f>Table1[[#This Row],[Building]]=Table1[[#This Row],[Column1]]</f>
        <v>1</v>
      </c>
      <c r="J365" s="11" t="s">
        <v>75</v>
      </c>
      <c r="K365" s="11">
        <v>1299</v>
      </c>
      <c r="L365" s="49" t="s">
        <v>39</v>
      </c>
      <c r="M365" s="49" t="s">
        <v>76</v>
      </c>
      <c r="N365" s="49" t="s">
        <v>84</v>
      </c>
      <c r="O365" s="49" t="s">
        <v>85</v>
      </c>
      <c r="P365" s="48" t="s">
        <v>79</v>
      </c>
      <c r="Q365" s="49" t="s">
        <v>68</v>
      </c>
      <c r="R365" s="11" t="s">
        <v>80</v>
      </c>
      <c r="S365" s="11" t="s">
        <v>81</v>
      </c>
      <c r="T365" s="11" t="s">
        <v>2720</v>
      </c>
      <c r="U365" s="11" t="s">
        <v>2721</v>
      </c>
      <c r="V365" s="116" t="s">
        <v>3</v>
      </c>
      <c r="W365" s="88"/>
      <c r="X365" s="51">
        <v>45544</v>
      </c>
      <c r="Y365" s="97" t="s">
        <v>68</v>
      </c>
      <c r="Z365" s="135" t="s">
        <v>3023</v>
      </c>
      <c r="AA365" s="135" t="s">
        <v>3025</v>
      </c>
    </row>
    <row r="366" spans="1:27" ht="13" customHeight="1">
      <c r="A366" s="11">
        <v>360</v>
      </c>
      <c r="B366" s="47">
        <v>205502951</v>
      </c>
      <c r="C366" s="89" t="s">
        <v>358</v>
      </c>
      <c r="D366" s="11" t="s">
        <v>359</v>
      </c>
      <c r="E366" s="48" t="s">
        <v>31</v>
      </c>
      <c r="F366" s="48" t="s">
        <v>74</v>
      </c>
      <c r="G366" s="11" t="s">
        <v>64</v>
      </c>
      <c r="H366" s="48" t="str">
        <f>VLOOKUP(Table1[[#This Row],[Psoft No]],[1]Roster!$C$2:$H$1402,6,)</f>
        <v>AUH1</v>
      </c>
      <c r="I366" s="48" t="b">
        <f>Table1[[#This Row],[Building]]=Table1[[#This Row],[Column1]]</f>
        <v>1</v>
      </c>
      <c r="J366" s="11" t="s">
        <v>75</v>
      </c>
      <c r="K366" s="11">
        <v>1299</v>
      </c>
      <c r="L366" s="49" t="s">
        <v>39</v>
      </c>
      <c r="M366" s="49" t="s">
        <v>76</v>
      </c>
      <c r="N366" s="49" t="s">
        <v>88</v>
      </c>
      <c r="O366" s="49" t="s">
        <v>95</v>
      </c>
      <c r="P366" s="49" t="s">
        <v>89</v>
      </c>
      <c r="Q366" s="49" t="s">
        <v>35</v>
      </c>
      <c r="R366" s="11" t="s">
        <v>80</v>
      </c>
      <c r="S366" s="11" t="s">
        <v>96</v>
      </c>
      <c r="T366" s="11" t="s">
        <v>224</v>
      </c>
      <c r="U366" s="11" t="s">
        <v>2715</v>
      </c>
      <c r="V366" s="116" t="s">
        <v>1</v>
      </c>
      <c r="W366" s="88"/>
      <c r="X366" s="51">
        <v>45831</v>
      </c>
      <c r="Y366" s="97" t="s">
        <v>1573</v>
      </c>
      <c r="Z366" s="135" t="s">
        <v>2</v>
      </c>
      <c r="AA366" s="135">
        <v>0</v>
      </c>
    </row>
    <row r="367" spans="1:27" ht="13" customHeight="1">
      <c r="A367" s="11">
        <v>361</v>
      </c>
      <c r="B367" s="47">
        <v>203521134</v>
      </c>
      <c r="C367" s="89" t="s">
        <v>360</v>
      </c>
      <c r="D367" s="11" t="s">
        <v>361</v>
      </c>
      <c r="E367" s="48" t="s">
        <v>31</v>
      </c>
      <c r="F367" s="48" t="s">
        <v>74</v>
      </c>
      <c r="G367" s="11" t="s">
        <v>64</v>
      </c>
      <c r="H367" s="48" t="str">
        <f>VLOOKUP(Table1[[#This Row],[Psoft No]],[1]Roster!$C$2:$H$1402,6,)</f>
        <v>AUH1</v>
      </c>
      <c r="I367" s="48" t="b">
        <f>Table1[[#This Row],[Building]]=Table1[[#This Row],[Column1]]</f>
        <v>1</v>
      </c>
      <c r="J367" s="11" t="s">
        <v>75</v>
      </c>
      <c r="K367" s="11">
        <v>1299</v>
      </c>
      <c r="L367" s="49" t="s">
        <v>32</v>
      </c>
      <c r="M367" s="49" t="s">
        <v>76</v>
      </c>
      <c r="N367" s="49" t="s">
        <v>78</v>
      </c>
      <c r="O367" s="49" t="s">
        <v>92</v>
      </c>
      <c r="P367" s="48" t="s">
        <v>79</v>
      </c>
      <c r="Q367" s="49" t="s">
        <v>35</v>
      </c>
      <c r="R367" s="11" t="s">
        <v>80</v>
      </c>
      <c r="S367" s="11" t="s">
        <v>81</v>
      </c>
      <c r="T367" s="11" t="s">
        <v>231</v>
      </c>
      <c r="U367" s="11" t="s">
        <v>1753</v>
      </c>
      <c r="V367" s="116" t="s">
        <v>10</v>
      </c>
      <c r="W367" s="88"/>
      <c r="X367" s="51">
        <v>45463</v>
      </c>
      <c r="Y367" s="97" t="s">
        <v>1573</v>
      </c>
      <c r="Z367" s="135" t="s">
        <v>3023</v>
      </c>
      <c r="AA367" s="135">
        <v>0</v>
      </c>
    </row>
    <row r="368" spans="1:27" ht="13" customHeight="1">
      <c r="A368" s="11">
        <v>362</v>
      </c>
      <c r="B368" s="47">
        <v>206886729</v>
      </c>
      <c r="C368" s="89" t="s">
        <v>2533</v>
      </c>
      <c r="D368" s="11" t="s">
        <v>2534</v>
      </c>
      <c r="E368" s="11" t="s">
        <v>31</v>
      </c>
      <c r="F368" s="11" t="s">
        <v>74</v>
      </c>
      <c r="G368" s="11" t="s">
        <v>64</v>
      </c>
      <c r="H368" s="48" t="str">
        <f>VLOOKUP(Table1[[#This Row],[Psoft No]],[1]Roster!$C$2:$H$1402,6,)</f>
        <v>AUH1</v>
      </c>
      <c r="I368" s="48" t="b">
        <f>Table1[[#This Row],[Building]]=Table1[[#This Row],[Column1]]</f>
        <v>1</v>
      </c>
      <c r="J368" s="11" t="s">
        <v>75</v>
      </c>
      <c r="K368" s="11">
        <v>1299</v>
      </c>
      <c r="L368" s="49" t="s">
        <v>32</v>
      </c>
      <c r="M368" s="49" t="s">
        <v>76</v>
      </c>
      <c r="N368" s="49" t="s">
        <v>78</v>
      </c>
      <c r="O368" s="49" t="s">
        <v>92</v>
      </c>
      <c r="P368" s="49" t="s">
        <v>79</v>
      </c>
      <c r="Q368" s="11" t="s">
        <v>35</v>
      </c>
      <c r="R368" s="11" t="s">
        <v>80</v>
      </c>
      <c r="S368" s="11" t="s">
        <v>96</v>
      </c>
      <c r="T368" s="11" t="s">
        <v>224</v>
      </c>
      <c r="U368" s="11" t="s">
        <v>2715</v>
      </c>
      <c r="V368" s="116" t="s">
        <v>10</v>
      </c>
      <c r="W368" s="88"/>
      <c r="X368" s="51">
        <v>46027</v>
      </c>
      <c r="Y368" s="102" t="s">
        <v>1573</v>
      </c>
      <c r="Z368" s="135" t="s">
        <v>3023</v>
      </c>
      <c r="AA368" s="135">
        <v>0</v>
      </c>
    </row>
    <row r="369" spans="1:27" ht="13" customHeight="1">
      <c r="A369" s="11">
        <v>363</v>
      </c>
      <c r="B369" s="47">
        <v>206886638</v>
      </c>
      <c r="C369" s="89" t="s">
        <v>1794</v>
      </c>
      <c r="D369" s="11" t="s">
        <v>1795</v>
      </c>
      <c r="E369" s="11" t="s">
        <v>31</v>
      </c>
      <c r="F369" s="11" t="s">
        <v>74</v>
      </c>
      <c r="G369" s="11" t="s">
        <v>64</v>
      </c>
      <c r="H369" s="48" t="str">
        <f>VLOOKUP(Table1[[#This Row],[Psoft No]],[1]Roster!$C$2:$H$1402,6,)</f>
        <v>AUH1</v>
      </c>
      <c r="I369" s="48" t="b">
        <f>Table1[[#This Row],[Building]]=Table1[[#This Row],[Column1]]</f>
        <v>1</v>
      </c>
      <c r="J369" s="11" t="s">
        <v>75</v>
      </c>
      <c r="K369" s="11">
        <v>1299</v>
      </c>
      <c r="L369" s="49" t="s">
        <v>32</v>
      </c>
      <c r="M369" s="49" t="s">
        <v>76</v>
      </c>
      <c r="N369" s="49" t="s">
        <v>78</v>
      </c>
      <c r="O369" s="49" t="s">
        <v>92</v>
      </c>
      <c r="P369" s="49" t="s">
        <v>89</v>
      </c>
      <c r="Q369" s="11" t="s">
        <v>35</v>
      </c>
      <c r="R369" s="11" t="s">
        <v>80</v>
      </c>
      <c r="S369" s="11" t="s">
        <v>96</v>
      </c>
      <c r="T369" s="11" t="s">
        <v>224</v>
      </c>
      <c r="U369" s="11" t="s">
        <v>2715</v>
      </c>
      <c r="V369" s="116" t="s">
        <v>10</v>
      </c>
      <c r="W369" s="88"/>
      <c r="X369" s="51">
        <v>46027</v>
      </c>
      <c r="Y369" s="102" t="s">
        <v>1573</v>
      </c>
      <c r="Z369" s="135" t="s">
        <v>3023</v>
      </c>
      <c r="AA369" s="135">
        <v>0</v>
      </c>
    </row>
    <row r="370" spans="1:27" ht="13" customHeight="1">
      <c r="A370" s="11">
        <v>364</v>
      </c>
      <c r="B370" s="47">
        <v>206890228</v>
      </c>
      <c r="C370" s="89" t="s">
        <v>1796</v>
      </c>
      <c r="D370" s="11" t="s">
        <v>1797</v>
      </c>
      <c r="E370" s="11" t="s">
        <v>31</v>
      </c>
      <c r="F370" s="11" t="s">
        <v>74</v>
      </c>
      <c r="G370" s="11" t="s">
        <v>64</v>
      </c>
      <c r="H370" s="48" t="str">
        <f>VLOOKUP(Table1[[#This Row],[Psoft No]],[1]Roster!$C$2:$H$1402,6,)</f>
        <v>AUH1</v>
      </c>
      <c r="I370" s="48" t="b">
        <f>Table1[[#This Row],[Building]]=Table1[[#This Row],[Column1]]</f>
        <v>1</v>
      </c>
      <c r="J370" s="11" t="s">
        <v>75</v>
      </c>
      <c r="K370" s="11">
        <v>1299</v>
      </c>
      <c r="L370" s="49" t="s">
        <v>32</v>
      </c>
      <c r="M370" s="49" t="s">
        <v>76</v>
      </c>
      <c r="N370" s="49" t="s">
        <v>78</v>
      </c>
      <c r="O370" s="49" t="s">
        <v>92</v>
      </c>
      <c r="P370" s="49" t="s">
        <v>89</v>
      </c>
      <c r="Q370" s="11" t="s">
        <v>35</v>
      </c>
      <c r="R370" s="11" t="s">
        <v>80</v>
      </c>
      <c r="S370" s="11" t="s">
        <v>96</v>
      </c>
      <c r="T370" s="11" t="s">
        <v>224</v>
      </c>
      <c r="U370" s="11" t="s">
        <v>2715</v>
      </c>
      <c r="V370" s="116" t="s">
        <v>10</v>
      </c>
      <c r="W370" s="88"/>
      <c r="X370" s="51">
        <v>46027</v>
      </c>
      <c r="Y370" s="102" t="s">
        <v>1573</v>
      </c>
      <c r="Z370" s="135" t="s">
        <v>3023</v>
      </c>
      <c r="AA370" s="135">
        <v>0</v>
      </c>
    </row>
    <row r="371" spans="1:27" ht="13" customHeight="1">
      <c r="A371" s="11">
        <v>365</v>
      </c>
      <c r="B371" s="47">
        <v>206015637</v>
      </c>
      <c r="C371" s="89" t="s">
        <v>364</v>
      </c>
      <c r="D371" s="11" t="s">
        <v>365</v>
      </c>
      <c r="E371" s="48" t="s">
        <v>31</v>
      </c>
      <c r="F371" s="48" t="s">
        <v>74</v>
      </c>
      <c r="G371" s="11" t="s">
        <v>64</v>
      </c>
      <c r="H371" s="48" t="str">
        <f>VLOOKUP(Table1[[#This Row],[Psoft No]],[1]Roster!$C$2:$H$1402,6,)</f>
        <v>AUH1</v>
      </c>
      <c r="I371" s="48" t="b">
        <f>Table1[[#This Row],[Building]]=Table1[[#This Row],[Column1]]</f>
        <v>1</v>
      </c>
      <c r="J371" s="11" t="s">
        <v>75</v>
      </c>
      <c r="K371" s="11">
        <v>1299</v>
      </c>
      <c r="L371" s="49" t="s">
        <v>32</v>
      </c>
      <c r="M371" s="49" t="s">
        <v>76</v>
      </c>
      <c r="N371" s="49" t="s">
        <v>78</v>
      </c>
      <c r="O371" s="49" t="s">
        <v>92</v>
      </c>
      <c r="P371" s="48" t="s">
        <v>79</v>
      </c>
      <c r="Q371" s="49" t="s">
        <v>35</v>
      </c>
      <c r="R371" s="11" t="s">
        <v>80</v>
      </c>
      <c r="S371" s="11" t="s">
        <v>81</v>
      </c>
      <c r="T371" s="11" t="s">
        <v>225</v>
      </c>
      <c r="U371" s="11" t="s">
        <v>226</v>
      </c>
      <c r="V371" s="116" t="s">
        <v>10</v>
      </c>
      <c r="W371" s="88"/>
      <c r="X371" s="51">
        <v>45915</v>
      </c>
      <c r="Y371" s="97" t="s">
        <v>1574</v>
      </c>
      <c r="Z371" s="135" t="s">
        <v>3023</v>
      </c>
      <c r="AA371" s="135">
        <v>0</v>
      </c>
    </row>
    <row r="372" spans="1:27" ht="13" customHeight="1">
      <c r="A372" s="11">
        <v>366</v>
      </c>
      <c r="B372" s="47">
        <v>206065197</v>
      </c>
      <c r="C372" s="89" t="s">
        <v>366</v>
      </c>
      <c r="D372" s="11" t="s">
        <v>367</v>
      </c>
      <c r="E372" s="48" t="s">
        <v>31</v>
      </c>
      <c r="F372" s="48" t="s">
        <v>74</v>
      </c>
      <c r="G372" s="11" t="s">
        <v>64</v>
      </c>
      <c r="H372" s="48" t="str">
        <f>VLOOKUP(Table1[[#This Row],[Psoft No]],[1]Roster!$C$2:$H$1402,6,)</f>
        <v>AUH1</v>
      </c>
      <c r="I372" s="48" t="b">
        <f>Table1[[#This Row],[Building]]=Table1[[#This Row],[Column1]]</f>
        <v>1</v>
      </c>
      <c r="J372" s="11" t="s">
        <v>75</v>
      </c>
      <c r="K372" s="11">
        <v>1299</v>
      </c>
      <c r="L372" s="49" t="s">
        <v>32</v>
      </c>
      <c r="M372" s="49" t="s">
        <v>76</v>
      </c>
      <c r="N372" s="49" t="s">
        <v>88</v>
      </c>
      <c r="O372" s="49" t="s">
        <v>95</v>
      </c>
      <c r="P372" s="48" t="s">
        <v>79</v>
      </c>
      <c r="Q372" s="49" t="s">
        <v>35</v>
      </c>
      <c r="R372" s="11" t="s">
        <v>80</v>
      </c>
      <c r="S372" s="11" t="s">
        <v>81</v>
      </c>
      <c r="T372" s="11" t="s">
        <v>225</v>
      </c>
      <c r="U372" s="11" t="s">
        <v>226</v>
      </c>
      <c r="V372" s="116" t="str">
        <f>VLOOKUP(Table1[[#This Row],[Psoft No]],[2]Sheet1!$A$2:$G$386,7,0)</f>
        <v>P</v>
      </c>
      <c r="W372" s="88"/>
      <c r="X372" s="51">
        <v>45922</v>
      </c>
      <c r="Y372" s="97" t="s">
        <v>1572</v>
      </c>
      <c r="Z372" s="135" t="s">
        <v>2</v>
      </c>
      <c r="AA372" s="135">
        <v>0</v>
      </c>
    </row>
    <row r="373" spans="1:27" ht="13" customHeight="1">
      <c r="A373" s="11">
        <v>367</v>
      </c>
      <c r="B373" s="47">
        <v>204246158</v>
      </c>
      <c r="C373" s="89" t="s">
        <v>368</v>
      </c>
      <c r="D373" s="11" t="s">
        <v>369</v>
      </c>
      <c r="E373" s="48" t="s">
        <v>31</v>
      </c>
      <c r="F373" s="48" t="s">
        <v>74</v>
      </c>
      <c r="G373" s="11" t="s">
        <v>64</v>
      </c>
      <c r="H373" s="48" t="str">
        <f>VLOOKUP(Table1[[#This Row],[Psoft No]],[1]Roster!$C$2:$H$1402,6,)</f>
        <v>AUH1</v>
      </c>
      <c r="I373" s="48" t="b">
        <f>Table1[[#This Row],[Building]]=Table1[[#This Row],[Column1]]</f>
        <v>1</v>
      </c>
      <c r="J373" s="11" t="s">
        <v>75</v>
      </c>
      <c r="K373" s="11">
        <v>1299</v>
      </c>
      <c r="L373" s="49" t="s">
        <v>32</v>
      </c>
      <c r="M373" s="49" t="s">
        <v>76</v>
      </c>
      <c r="N373" s="49" t="s">
        <v>84</v>
      </c>
      <c r="O373" s="49" t="s">
        <v>85</v>
      </c>
      <c r="P373" s="48" t="s">
        <v>86</v>
      </c>
      <c r="Q373" s="49" t="s">
        <v>35</v>
      </c>
      <c r="R373" s="11" t="s">
        <v>80</v>
      </c>
      <c r="S373" s="11" t="s">
        <v>87</v>
      </c>
      <c r="T373" s="11" t="s">
        <v>225</v>
      </c>
      <c r="U373" s="11" t="s">
        <v>226</v>
      </c>
      <c r="V373" s="116" t="s">
        <v>3</v>
      </c>
      <c r="W373" s="88"/>
      <c r="X373" s="51">
        <v>45579</v>
      </c>
      <c r="Y373" s="97" t="s">
        <v>1572</v>
      </c>
      <c r="Z373" s="135" t="s">
        <v>3023</v>
      </c>
      <c r="AA373" s="135">
        <v>0</v>
      </c>
    </row>
    <row r="374" spans="1:27" ht="13" customHeight="1">
      <c r="A374" s="11">
        <v>368</v>
      </c>
      <c r="B374" s="47">
        <v>205495359</v>
      </c>
      <c r="C374" s="89" t="s">
        <v>2535</v>
      </c>
      <c r="D374" s="11" t="s">
        <v>2536</v>
      </c>
      <c r="E374" s="48" t="s">
        <v>31</v>
      </c>
      <c r="F374" s="48" t="s">
        <v>74</v>
      </c>
      <c r="G374" s="11" t="s">
        <v>64</v>
      </c>
      <c r="H374" s="48" t="str">
        <f>VLOOKUP(Table1[[#This Row],[Psoft No]],[1]Roster!$C$2:$H$1402,6,)</f>
        <v>AUH1</v>
      </c>
      <c r="I374" s="48" t="b">
        <f>Table1[[#This Row],[Building]]=Table1[[#This Row],[Column1]]</f>
        <v>1</v>
      </c>
      <c r="J374" s="11" t="s">
        <v>75</v>
      </c>
      <c r="K374" s="11">
        <v>1299</v>
      </c>
      <c r="L374" s="49" t="s">
        <v>32</v>
      </c>
      <c r="M374" s="49" t="s">
        <v>76</v>
      </c>
      <c r="N374" s="49" t="s">
        <v>88</v>
      </c>
      <c r="O374" s="49" t="s">
        <v>95</v>
      </c>
      <c r="P374" s="49" t="s">
        <v>89</v>
      </c>
      <c r="Q374" s="49" t="s">
        <v>35</v>
      </c>
      <c r="R374" s="11" t="s">
        <v>80</v>
      </c>
      <c r="S374" s="11" t="s">
        <v>96</v>
      </c>
      <c r="T374" s="11" t="s">
        <v>224</v>
      </c>
      <c r="U374" s="11" t="s">
        <v>2715</v>
      </c>
      <c r="V374" s="116" t="str">
        <f>VLOOKUP(Table1[[#This Row],[Psoft No]],[2]Sheet1!$A$2:$G$386,7,0)</f>
        <v>P</v>
      </c>
      <c r="W374" s="88"/>
      <c r="X374" s="51">
        <v>45831</v>
      </c>
      <c r="Y374" s="97" t="s">
        <v>1573</v>
      </c>
      <c r="Z374" s="135" t="s">
        <v>2</v>
      </c>
      <c r="AA374" s="135">
        <v>0</v>
      </c>
    </row>
    <row r="375" spans="1:27" ht="13" customHeight="1">
      <c r="A375" s="11">
        <v>369</v>
      </c>
      <c r="B375" s="11">
        <v>206873551</v>
      </c>
      <c r="C375" s="89" t="s">
        <v>1784</v>
      </c>
      <c r="D375" s="11" t="s">
        <v>1785</v>
      </c>
      <c r="E375" s="48" t="s">
        <v>31</v>
      </c>
      <c r="F375" s="48" t="s">
        <v>74</v>
      </c>
      <c r="G375" s="48" t="s">
        <v>64</v>
      </c>
      <c r="H375" s="48" t="str">
        <f>VLOOKUP(Table1[[#This Row],[Psoft No]],[1]Roster!$C$2:$H$1402,6,)</f>
        <v>AUH1</v>
      </c>
      <c r="I375" s="48" t="b">
        <f>Table1[[#This Row],[Building]]=Table1[[#This Row],[Column1]]</f>
        <v>1</v>
      </c>
      <c r="J375" s="48" t="s">
        <v>75</v>
      </c>
      <c r="K375" s="11">
        <v>1299</v>
      </c>
      <c r="L375" s="49" t="s">
        <v>39</v>
      </c>
      <c r="M375" s="49" t="s">
        <v>76</v>
      </c>
      <c r="N375" s="49" t="s">
        <v>78</v>
      </c>
      <c r="O375" s="49" t="s">
        <v>92</v>
      </c>
      <c r="P375" s="49" t="s">
        <v>89</v>
      </c>
      <c r="Q375" s="48" t="s">
        <v>35</v>
      </c>
      <c r="R375" s="48" t="s">
        <v>80</v>
      </c>
      <c r="S375" s="11" t="s">
        <v>81</v>
      </c>
      <c r="T375" s="11" t="s">
        <v>231</v>
      </c>
      <c r="U375" s="11" t="s">
        <v>1753</v>
      </c>
      <c r="V375" s="116" t="s">
        <v>10</v>
      </c>
      <c r="W375" s="88"/>
      <c r="X375" s="51">
        <v>46020</v>
      </c>
      <c r="Y375" s="102" t="s">
        <v>1573</v>
      </c>
      <c r="Z375" s="135" t="s">
        <v>3023</v>
      </c>
      <c r="AA375" s="135">
        <v>0</v>
      </c>
    </row>
    <row r="376" spans="1:27" ht="13" customHeight="1">
      <c r="A376" s="11">
        <v>370</v>
      </c>
      <c r="B376" s="47">
        <v>203468401</v>
      </c>
      <c r="C376" s="89" t="s">
        <v>370</v>
      </c>
      <c r="D376" s="11" t="s">
        <v>371</v>
      </c>
      <c r="E376" s="48" t="s">
        <v>31</v>
      </c>
      <c r="F376" s="48" t="s">
        <v>74</v>
      </c>
      <c r="G376" s="11" t="s">
        <v>64</v>
      </c>
      <c r="H376" s="48" t="str">
        <f>VLOOKUP(Table1[[#This Row],[Psoft No]],[1]Roster!$C$2:$H$1402,6,)</f>
        <v>AUH1</v>
      </c>
      <c r="I376" s="48" t="b">
        <f>Table1[[#This Row],[Building]]=Table1[[#This Row],[Column1]]</f>
        <v>1</v>
      </c>
      <c r="J376" s="11" t="s">
        <v>75</v>
      </c>
      <c r="K376" s="11">
        <v>1299</v>
      </c>
      <c r="L376" s="49" t="s">
        <v>39</v>
      </c>
      <c r="M376" s="49" t="s">
        <v>76</v>
      </c>
      <c r="N376" s="49" t="s">
        <v>95</v>
      </c>
      <c r="O376" s="49" t="s">
        <v>77</v>
      </c>
      <c r="P376" s="48" t="s">
        <v>79</v>
      </c>
      <c r="Q376" s="49" t="s">
        <v>35</v>
      </c>
      <c r="R376" s="11" t="s">
        <v>80</v>
      </c>
      <c r="S376" s="11" t="s">
        <v>81</v>
      </c>
      <c r="T376" s="11" t="s">
        <v>224</v>
      </c>
      <c r="U376" s="11" t="s">
        <v>2715</v>
      </c>
      <c r="V376" s="116" t="s">
        <v>1</v>
      </c>
      <c r="W376" s="88"/>
      <c r="X376" s="51">
        <v>45456</v>
      </c>
      <c r="Y376" s="97" t="s">
        <v>1573</v>
      </c>
      <c r="Z376" s="135" t="s">
        <v>2</v>
      </c>
      <c r="AA376" s="135">
        <v>0</v>
      </c>
    </row>
    <row r="377" spans="1:27" ht="13" customHeight="1">
      <c r="A377" s="11">
        <v>371</v>
      </c>
      <c r="B377" s="11">
        <v>206873639</v>
      </c>
      <c r="C377" s="89" t="s">
        <v>1788</v>
      </c>
      <c r="D377" s="11" t="s">
        <v>1789</v>
      </c>
      <c r="E377" s="48" t="s">
        <v>31</v>
      </c>
      <c r="F377" s="48" t="s">
        <v>74</v>
      </c>
      <c r="G377" s="48" t="s">
        <v>64</v>
      </c>
      <c r="H377" s="48" t="str">
        <f>VLOOKUP(Table1[[#This Row],[Psoft No]],[1]Roster!$C$2:$H$1402,6,)</f>
        <v>AUH1</v>
      </c>
      <c r="I377" s="48" t="b">
        <f>Table1[[#This Row],[Building]]=Table1[[#This Row],[Column1]]</f>
        <v>1</v>
      </c>
      <c r="J377" s="48" t="s">
        <v>75</v>
      </c>
      <c r="K377" s="11">
        <v>1299</v>
      </c>
      <c r="L377" s="49" t="s">
        <v>32</v>
      </c>
      <c r="M377" s="49" t="s">
        <v>76</v>
      </c>
      <c r="N377" s="49" t="s">
        <v>78</v>
      </c>
      <c r="O377" s="49" t="s">
        <v>92</v>
      </c>
      <c r="P377" s="49" t="s">
        <v>89</v>
      </c>
      <c r="Q377" s="48" t="s">
        <v>35</v>
      </c>
      <c r="R377" s="48" t="s">
        <v>80</v>
      </c>
      <c r="S377" s="11" t="s">
        <v>81</v>
      </c>
      <c r="T377" s="11" t="s">
        <v>231</v>
      </c>
      <c r="U377" s="11" t="s">
        <v>1753</v>
      </c>
      <c r="V377" s="116" t="s">
        <v>10</v>
      </c>
      <c r="W377" s="88"/>
      <c r="X377" s="51">
        <v>46020</v>
      </c>
      <c r="Y377" s="102" t="s">
        <v>1573</v>
      </c>
      <c r="Z377" s="135" t="s">
        <v>3023</v>
      </c>
      <c r="AA377" s="135">
        <v>0</v>
      </c>
    </row>
    <row r="378" spans="1:27" ht="13" customHeight="1">
      <c r="A378" s="11">
        <v>372</v>
      </c>
      <c r="B378" s="47">
        <v>206504141</v>
      </c>
      <c r="C378" s="89" t="s">
        <v>2537</v>
      </c>
      <c r="D378" s="11" t="s">
        <v>2538</v>
      </c>
      <c r="E378" s="48" t="s">
        <v>31</v>
      </c>
      <c r="F378" s="48" t="s">
        <v>74</v>
      </c>
      <c r="G378" s="11" t="s">
        <v>64</v>
      </c>
      <c r="H378" s="48" t="str">
        <f>VLOOKUP(Table1[[#This Row],[Psoft No]],[1]Roster!$C$2:$H$1402,6,)</f>
        <v>AUH1</v>
      </c>
      <c r="I378" s="48" t="b">
        <f>Table1[[#This Row],[Building]]=Table1[[#This Row],[Column1]]</f>
        <v>1</v>
      </c>
      <c r="J378" s="11" t="s">
        <v>75</v>
      </c>
      <c r="K378" s="11">
        <v>1299</v>
      </c>
      <c r="L378" s="49" t="s">
        <v>32</v>
      </c>
      <c r="M378" s="49" t="s">
        <v>76</v>
      </c>
      <c r="N378" s="49" t="s">
        <v>78</v>
      </c>
      <c r="O378" s="49" t="s">
        <v>92</v>
      </c>
      <c r="P378" s="48" t="s">
        <v>86</v>
      </c>
      <c r="Q378" s="49" t="s">
        <v>35</v>
      </c>
      <c r="R378" s="11" t="s">
        <v>80</v>
      </c>
      <c r="S378" s="11" t="s">
        <v>90</v>
      </c>
      <c r="T378" s="11" t="s">
        <v>231</v>
      </c>
      <c r="U378" s="11" t="s">
        <v>1753</v>
      </c>
      <c r="V378" s="116" t="s">
        <v>10</v>
      </c>
      <c r="W378" s="88"/>
      <c r="X378" s="51">
        <v>45971</v>
      </c>
      <c r="Y378" s="97" t="s">
        <v>1573</v>
      </c>
      <c r="Z378" s="135" t="s">
        <v>3023</v>
      </c>
      <c r="AA378" s="135">
        <v>0</v>
      </c>
    </row>
    <row r="379" spans="1:27" ht="13" customHeight="1">
      <c r="A379" s="11">
        <v>373</v>
      </c>
      <c r="B379" s="47">
        <v>203468395</v>
      </c>
      <c r="C379" s="89" t="s">
        <v>372</v>
      </c>
      <c r="D379" s="11" t="s">
        <v>373</v>
      </c>
      <c r="E379" s="48" t="s">
        <v>31</v>
      </c>
      <c r="F379" s="48" t="s">
        <v>74</v>
      </c>
      <c r="G379" s="11" t="s">
        <v>64</v>
      </c>
      <c r="H379" s="48" t="str">
        <f>VLOOKUP(Table1[[#This Row],[Psoft No]],[1]Roster!$C$2:$H$1402,6,)</f>
        <v>AUH1</v>
      </c>
      <c r="I379" s="48" t="b">
        <f>Table1[[#This Row],[Building]]=Table1[[#This Row],[Column1]]</f>
        <v>1</v>
      </c>
      <c r="J379" s="11" t="s">
        <v>75</v>
      </c>
      <c r="K379" s="11">
        <v>1299</v>
      </c>
      <c r="L379" s="49" t="s">
        <v>32</v>
      </c>
      <c r="M379" s="49" t="s">
        <v>76</v>
      </c>
      <c r="N379" s="49" t="s">
        <v>78</v>
      </c>
      <c r="O379" s="49" t="s">
        <v>92</v>
      </c>
      <c r="P379" s="48" t="s">
        <v>79</v>
      </c>
      <c r="Q379" s="49" t="s">
        <v>35</v>
      </c>
      <c r="R379" s="11" t="s">
        <v>80</v>
      </c>
      <c r="S379" s="11" t="s">
        <v>81</v>
      </c>
      <c r="T379" s="11" t="s">
        <v>224</v>
      </c>
      <c r="U379" s="11" t="s">
        <v>2715</v>
      </c>
      <c r="V379" s="116" t="s">
        <v>10</v>
      </c>
      <c r="W379" s="88"/>
      <c r="X379" s="51">
        <v>45456</v>
      </c>
      <c r="Y379" s="97" t="s">
        <v>1573</v>
      </c>
      <c r="Z379" s="135" t="s">
        <v>3023</v>
      </c>
      <c r="AA379" s="135">
        <v>0</v>
      </c>
    </row>
    <row r="380" spans="1:27" ht="13" customHeight="1">
      <c r="A380" s="11">
        <v>374</v>
      </c>
      <c r="B380" s="47">
        <v>204406416</v>
      </c>
      <c r="C380" s="89" t="s">
        <v>374</v>
      </c>
      <c r="D380" s="11" t="s">
        <v>375</v>
      </c>
      <c r="E380" s="48" t="s">
        <v>31</v>
      </c>
      <c r="F380" s="48" t="s">
        <v>74</v>
      </c>
      <c r="G380" s="11" t="s">
        <v>64</v>
      </c>
      <c r="H380" s="48" t="str">
        <f>VLOOKUP(Table1[[#This Row],[Psoft No]],[1]Roster!$C$2:$H$1402,6,)</f>
        <v>AUH1</v>
      </c>
      <c r="I380" s="48" t="b">
        <f>Table1[[#This Row],[Building]]=Table1[[#This Row],[Column1]]</f>
        <v>1</v>
      </c>
      <c r="J380" s="11" t="s">
        <v>75</v>
      </c>
      <c r="K380" s="11">
        <v>1299</v>
      </c>
      <c r="L380" s="49" t="s">
        <v>32</v>
      </c>
      <c r="M380" s="49" t="s">
        <v>76</v>
      </c>
      <c r="N380" s="49" t="s">
        <v>78</v>
      </c>
      <c r="O380" s="49" t="s">
        <v>92</v>
      </c>
      <c r="P380" s="48" t="s">
        <v>86</v>
      </c>
      <c r="Q380" s="49" t="s">
        <v>35</v>
      </c>
      <c r="R380" s="11" t="s">
        <v>80</v>
      </c>
      <c r="S380" s="11" t="s">
        <v>87</v>
      </c>
      <c r="T380" s="11" t="s">
        <v>224</v>
      </c>
      <c r="U380" s="11" t="s">
        <v>2715</v>
      </c>
      <c r="V380" s="116" t="s">
        <v>10</v>
      </c>
      <c r="W380" s="88"/>
      <c r="X380" s="51">
        <v>45596</v>
      </c>
      <c r="Y380" s="97" t="s">
        <v>1574</v>
      </c>
      <c r="Z380" s="135" t="s">
        <v>3023</v>
      </c>
      <c r="AA380" s="135">
        <v>0</v>
      </c>
    </row>
    <row r="381" spans="1:27" ht="13" customHeight="1">
      <c r="A381" s="11">
        <v>375</v>
      </c>
      <c r="B381" s="47">
        <v>203741324</v>
      </c>
      <c r="C381" s="89" t="s">
        <v>376</v>
      </c>
      <c r="D381" s="11" t="s">
        <v>377</v>
      </c>
      <c r="E381" s="48" t="s">
        <v>31</v>
      </c>
      <c r="F381" s="48" t="s">
        <v>74</v>
      </c>
      <c r="G381" s="11" t="s">
        <v>64</v>
      </c>
      <c r="H381" s="48" t="str">
        <f>VLOOKUP(Table1[[#This Row],[Psoft No]],[1]Roster!$C$2:$H$1402,6,)</f>
        <v>AUH1</v>
      </c>
      <c r="I381" s="48" t="b">
        <f>Table1[[#This Row],[Building]]=Table1[[#This Row],[Column1]]</f>
        <v>1</v>
      </c>
      <c r="J381" s="11" t="s">
        <v>75</v>
      </c>
      <c r="K381" s="11">
        <v>1299</v>
      </c>
      <c r="L381" s="49" t="s">
        <v>32</v>
      </c>
      <c r="M381" s="49" t="s">
        <v>76</v>
      </c>
      <c r="N381" s="49" t="s">
        <v>85</v>
      </c>
      <c r="O381" s="49" t="s">
        <v>88</v>
      </c>
      <c r="P381" s="48" t="s">
        <v>79</v>
      </c>
      <c r="Q381" s="49" t="s">
        <v>35</v>
      </c>
      <c r="R381" s="11" t="s">
        <v>80</v>
      </c>
      <c r="S381" s="11" t="s">
        <v>81</v>
      </c>
      <c r="T381" s="11" t="s">
        <v>224</v>
      </c>
      <c r="U381" s="11" t="s">
        <v>2715</v>
      </c>
      <c r="V381" s="116" t="s">
        <v>3</v>
      </c>
      <c r="W381" s="88"/>
      <c r="X381" s="51">
        <v>45502</v>
      </c>
      <c r="Y381" s="97" t="s">
        <v>1573</v>
      </c>
      <c r="Z381" s="135" t="s">
        <v>3023</v>
      </c>
      <c r="AA381" s="135">
        <v>0</v>
      </c>
    </row>
    <row r="382" spans="1:27" ht="13" customHeight="1">
      <c r="A382" s="11">
        <v>376</v>
      </c>
      <c r="B382" s="47">
        <v>203816301</v>
      </c>
      <c r="C382" s="89" t="s">
        <v>2539</v>
      </c>
      <c r="D382" s="11" t="s">
        <v>2540</v>
      </c>
      <c r="E382" s="48" t="s">
        <v>31</v>
      </c>
      <c r="F382" s="48" t="s">
        <v>74</v>
      </c>
      <c r="G382" s="11" t="s">
        <v>64</v>
      </c>
      <c r="H382" s="48" t="str">
        <f>VLOOKUP(Table1[[#This Row],[Psoft No]],[1]Roster!$C$2:$H$1402,6,)</f>
        <v>AUH1</v>
      </c>
      <c r="I382" s="48" t="b">
        <f>Table1[[#This Row],[Building]]=Table1[[#This Row],[Column1]]</f>
        <v>1</v>
      </c>
      <c r="J382" s="11" t="s">
        <v>75</v>
      </c>
      <c r="K382" s="11">
        <v>1299</v>
      </c>
      <c r="L382" s="49" t="s">
        <v>32</v>
      </c>
      <c r="M382" s="49" t="s">
        <v>76</v>
      </c>
      <c r="N382" s="49" t="s">
        <v>84</v>
      </c>
      <c r="O382" s="49" t="s">
        <v>85</v>
      </c>
      <c r="P382" s="48" t="s">
        <v>86</v>
      </c>
      <c r="Q382" s="49" t="s">
        <v>35</v>
      </c>
      <c r="R382" s="11" t="s">
        <v>80</v>
      </c>
      <c r="S382" s="11" t="s">
        <v>90</v>
      </c>
      <c r="T382" s="11" t="s">
        <v>225</v>
      </c>
      <c r="U382" s="11" t="s">
        <v>226</v>
      </c>
      <c r="V382" s="116" t="str">
        <f>VLOOKUP(Table1[[#This Row],[Psoft No]],[2]Sheet1!$A$2:$G$386,7,0)</f>
        <v>P</v>
      </c>
      <c r="W382" s="88"/>
      <c r="X382" s="51">
        <v>45518</v>
      </c>
      <c r="Y382" s="97" t="s">
        <v>1573</v>
      </c>
      <c r="Z382" s="135" t="s">
        <v>2</v>
      </c>
      <c r="AA382" s="135">
        <v>0</v>
      </c>
    </row>
    <row r="383" spans="1:27" ht="13" customHeight="1">
      <c r="A383" s="11">
        <v>377</v>
      </c>
      <c r="B383" s="47">
        <v>203800383</v>
      </c>
      <c r="C383" s="89" t="s">
        <v>2541</v>
      </c>
      <c r="D383" s="11" t="s">
        <v>2542</v>
      </c>
      <c r="E383" s="48" t="s">
        <v>31</v>
      </c>
      <c r="F383" s="48" t="s">
        <v>74</v>
      </c>
      <c r="G383" s="11" t="s">
        <v>64</v>
      </c>
      <c r="H383" s="48" t="str">
        <f>VLOOKUP(Table1[[#This Row],[Psoft No]],[1]Roster!$C$2:$H$1402,6,)</f>
        <v>AUH1</v>
      </c>
      <c r="I383" s="48" t="b">
        <f>Table1[[#This Row],[Building]]=Table1[[#This Row],[Column1]]</f>
        <v>1</v>
      </c>
      <c r="J383" s="11" t="s">
        <v>75</v>
      </c>
      <c r="K383" s="11">
        <v>1299</v>
      </c>
      <c r="L383" s="49" t="s">
        <v>32</v>
      </c>
      <c r="M383" s="49" t="s">
        <v>76</v>
      </c>
      <c r="N383" s="49" t="s">
        <v>84</v>
      </c>
      <c r="O383" s="49" t="s">
        <v>85</v>
      </c>
      <c r="P383" s="48" t="s">
        <v>86</v>
      </c>
      <c r="Q383" s="49" t="s">
        <v>35</v>
      </c>
      <c r="R383" s="11" t="s">
        <v>80</v>
      </c>
      <c r="S383" s="11" t="s">
        <v>90</v>
      </c>
      <c r="T383" s="11" t="s">
        <v>224</v>
      </c>
      <c r="U383" s="11" t="s">
        <v>2715</v>
      </c>
      <c r="V383" s="116" t="str">
        <f>VLOOKUP(Table1[[#This Row],[Psoft No]],[2]Sheet1!$A$2:$G$386,7,0)</f>
        <v>P</v>
      </c>
      <c r="W383" s="88"/>
      <c r="X383" s="51">
        <v>45516</v>
      </c>
      <c r="Y383" s="97" t="s">
        <v>1574</v>
      </c>
      <c r="Z383" s="135" t="s">
        <v>2</v>
      </c>
      <c r="AA383" s="135">
        <v>0</v>
      </c>
    </row>
    <row r="384" spans="1:27" ht="13" customHeight="1">
      <c r="A384" s="11">
        <v>378</v>
      </c>
      <c r="B384" s="47">
        <v>203521427</v>
      </c>
      <c r="C384" s="89" t="s">
        <v>378</v>
      </c>
      <c r="D384" s="11" t="s">
        <v>379</v>
      </c>
      <c r="E384" s="48" t="s">
        <v>31</v>
      </c>
      <c r="F384" s="48" t="s">
        <v>74</v>
      </c>
      <c r="G384" s="11" t="s">
        <v>64</v>
      </c>
      <c r="H384" s="48" t="str">
        <f>VLOOKUP(Table1[[#This Row],[Psoft No]],[1]Roster!$C$2:$H$1402,6,)</f>
        <v>AUH1</v>
      </c>
      <c r="I384" s="48" t="b">
        <f>Table1[[#This Row],[Building]]=Table1[[#This Row],[Column1]]</f>
        <v>1</v>
      </c>
      <c r="J384" s="11" t="s">
        <v>75</v>
      </c>
      <c r="K384" s="11">
        <v>1299</v>
      </c>
      <c r="L384" s="49" t="s">
        <v>32</v>
      </c>
      <c r="M384" s="49" t="s">
        <v>76</v>
      </c>
      <c r="N384" s="49" t="s">
        <v>95</v>
      </c>
      <c r="O384" s="49" t="s">
        <v>77</v>
      </c>
      <c r="P384" s="48" t="s">
        <v>79</v>
      </c>
      <c r="Q384" s="49" t="s">
        <v>35</v>
      </c>
      <c r="R384" s="11" t="s">
        <v>80</v>
      </c>
      <c r="S384" s="11" t="s">
        <v>81</v>
      </c>
      <c r="T384" s="11" t="s">
        <v>225</v>
      </c>
      <c r="U384" s="11" t="s">
        <v>226</v>
      </c>
      <c r="V384" s="116" t="str">
        <f>VLOOKUP(Table1[[#This Row],[Psoft No]],[2]Sheet1!$A$2:$G$386,7,0)</f>
        <v>P</v>
      </c>
      <c r="W384" s="88"/>
      <c r="X384" s="51">
        <v>45463</v>
      </c>
      <c r="Y384" s="97" t="s">
        <v>1571</v>
      </c>
      <c r="Z384" s="135" t="s">
        <v>2</v>
      </c>
      <c r="AA384" s="135">
        <v>0</v>
      </c>
    </row>
    <row r="385" spans="1:27" ht="13" customHeight="1">
      <c r="A385" s="11">
        <v>379</v>
      </c>
      <c r="B385" s="47">
        <v>203965502</v>
      </c>
      <c r="C385" s="89" t="s">
        <v>381</v>
      </c>
      <c r="D385" s="11" t="s">
        <v>382</v>
      </c>
      <c r="E385" s="48" t="s">
        <v>31</v>
      </c>
      <c r="F385" s="48" t="s">
        <v>74</v>
      </c>
      <c r="G385" s="11" t="s">
        <v>64</v>
      </c>
      <c r="H385" s="48" t="str">
        <f>VLOOKUP(Table1[[#This Row],[Psoft No]],[1]Roster!$C$2:$H$1402,6,)</f>
        <v>AUH1</v>
      </c>
      <c r="I385" s="48" t="b">
        <f>Table1[[#This Row],[Building]]=Table1[[#This Row],[Column1]]</f>
        <v>1</v>
      </c>
      <c r="J385" s="11" t="s">
        <v>75</v>
      </c>
      <c r="K385" s="11">
        <v>1299</v>
      </c>
      <c r="L385" s="49" t="s">
        <v>32</v>
      </c>
      <c r="M385" s="49" t="s">
        <v>76</v>
      </c>
      <c r="N385" s="49" t="s">
        <v>78</v>
      </c>
      <c r="O385" s="49" t="s">
        <v>92</v>
      </c>
      <c r="P385" s="48" t="s">
        <v>79</v>
      </c>
      <c r="Q385" s="49" t="s">
        <v>35</v>
      </c>
      <c r="R385" s="11" t="s">
        <v>80</v>
      </c>
      <c r="S385" s="11" t="s">
        <v>81</v>
      </c>
      <c r="T385" s="11" t="s">
        <v>225</v>
      </c>
      <c r="U385" s="11" t="s">
        <v>226</v>
      </c>
      <c r="V385" s="116" t="s">
        <v>10</v>
      </c>
      <c r="W385" s="88"/>
      <c r="X385" s="51">
        <v>45544</v>
      </c>
      <c r="Y385" s="97" t="s">
        <v>1573</v>
      </c>
      <c r="Z385" s="135" t="s">
        <v>3023</v>
      </c>
      <c r="AA385" s="135">
        <v>0</v>
      </c>
    </row>
    <row r="386" spans="1:27" ht="13" customHeight="1">
      <c r="A386" s="11">
        <v>380</v>
      </c>
      <c r="B386" s="11">
        <v>204768284</v>
      </c>
      <c r="C386" s="89" t="s">
        <v>1346</v>
      </c>
      <c r="D386" s="11" t="s">
        <v>1347</v>
      </c>
      <c r="E386" s="48" t="s">
        <v>31</v>
      </c>
      <c r="F386" s="48" t="s">
        <v>74</v>
      </c>
      <c r="G386" s="48" t="s">
        <v>65</v>
      </c>
      <c r="H386" s="48" t="str">
        <f>VLOOKUP(Table1[[#This Row],[Psoft No]],[1]Roster!$C$2:$H$1402,6,)</f>
        <v>AUH3</v>
      </c>
      <c r="I386" s="48" t="b">
        <f>Table1[[#This Row],[Building]]=Table1[[#This Row],[Column1]]</f>
        <v>1</v>
      </c>
      <c r="J386" s="48" t="s">
        <v>1332</v>
      </c>
      <c r="K386" s="11">
        <v>1181</v>
      </c>
      <c r="L386" s="49" t="s">
        <v>32</v>
      </c>
      <c r="M386" s="49" t="s">
        <v>76</v>
      </c>
      <c r="N386" s="49" t="s">
        <v>77</v>
      </c>
      <c r="O386" s="49" t="s">
        <v>78</v>
      </c>
      <c r="P386" s="49" t="s">
        <v>89</v>
      </c>
      <c r="Q386" s="48" t="s">
        <v>68</v>
      </c>
      <c r="R386" s="48" t="s">
        <v>80</v>
      </c>
      <c r="S386" s="11" t="s">
        <v>90</v>
      </c>
      <c r="T386" s="11" t="s">
        <v>1336</v>
      </c>
      <c r="U386" s="11" t="s">
        <v>1337</v>
      </c>
      <c r="V386" s="116" t="s">
        <v>1</v>
      </c>
      <c r="W386" s="88"/>
      <c r="X386" s="51">
        <v>45796</v>
      </c>
      <c r="Y386" s="102" t="s">
        <v>68</v>
      </c>
      <c r="Z386" s="135" t="s">
        <v>2</v>
      </c>
      <c r="AA386" s="135">
        <v>0</v>
      </c>
    </row>
    <row r="387" spans="1:27" ht="13" customHeight="1">
      <c r="A387" s="11">
        <v>381</v>
      </c>
      <c r="B387" s="47">
        <v>206504132</v>
      </c>
      <c r="C387" s="89" t="s">
        <v>2543</v>
      </c>
      <c r="D387" s="11" t="s">
        <v>2544</v>
      </c>
      <c r="E387" s="48" t="s">
        <v>31</v>
      </c>
      <c r="F387" s="48" t="s">
        <v>74</v>
      </c>
      <c r="G387" s="11" t="s">
        <v>64</v>
      </c>
      <c r="H387" s="48" t="str">
        <f>VLOOKUP(Table1[[#This Row],[Psoft No]],[1]Roster!$C$2:$H$1402,6,)</f>
        <v>AUH1</v>
      </c>
      <c r="I387" s="48" t="b">
        <f>Table1[[#This Row],[Building]]=Table1[[#This Row],[Column1]]</f>
        <v>1</v>
      </c>
      <c r="J387" s="11" t="s">
        <v>75</v>
      </c>
      <c r="K387" s="11">
        <v>1299</v>
      </c>
      <c r="L387" s="49" t="s">
        <v>32</v>
      </c>
      <c r="M387" s="49" t="s">
        <v>76</v>
      </c>
      <c r="N387" s="49" t="s">
        <v>78</v>
      </c>
      <c r="O387" s="49" t="s">
        <v>92</v>
      </c>
      <c r="P387" s="48" t="s">
        <v>86</v>
      </c>
      <c r="Q387" s="49" t="s">
        <v>35</v>
      </c>
      <c r="R387" s="11" t="s">
        <v>80</v>
      </c>
      <c r="S387" s="11" t="s">
        <v>90</v>
      </c>
      <c r="T387" s="11" t="s">
        <v>231</v>
      </c>
      <c r="U387" s="11" t="s">
        <v>1753</v>
      </c>
      <c r="V387" s="116" t="s">
        <v>10</v>
      </c>
      <c r="W387" s="88"/>
      <c r="X387" s="51">
        <v>45971</v>
      </c>
      <c r="Y387" s="97" t="s">
        <v>1573</v>
      </c>
      <c r="Z387" s="135" t="s">
        <v>3023</v>
      </c>
      <c r="AA387" s="135">
        <v>0</v>
      </c>
    </row>
    <row r="388" spans="1:27" ht="13" customHeight="1">
      <c r="A388" s="11">
        <v>382</v>
      </c>
      <c r="B388" s="47">
        <v>205608625</v>
      </c>
      <c r="C388" s="89" t="s">
        <v>385</v>
      </c>
      <c r="D388" s="11" t="s">
        <v>386</v>
      </c>
      <c r="E388" s="48" t="s">
        <v>31</v>
      </c>
      <c r="F388" s="48" t="s">
        <v>74</v>
      </c>
      <c r="G388" s="11" t="s">
        <v>64</v>
      </c>
      <c r="H388" s="48" t="str">
        <f>VLOOKUP(Table1[[#This Row],[Psoft No]],[1]Roster!$C$2:$H$1402,6,)</f>
        <v>AUH1</v>
      </c>
      <c r="I388" s="48" t="b">
        <f>Table1[[#This Row],[Building]]=Table1[[#This Row],[Column1]]</f>
        <v>1</v>
      </c>
      <c r="J388" s="11" t="s">
        <v>75</v>
      </c>
      <c r="K388" s="11">
        <v>1299</v>
      </c>
      <c r="L388" s="49" t="s">
        <v>39</v>
      </c>
      <c r="M388" s="49" t="s">
        <v>76</v>
      </c>
      <c r="N388" s="49" t="s">
        <v>88</v>
      </c>
      <c r="O388" s="49" t="s">
        <v>95</v>
      </c>
      <c r="P388" s="48" t="s">
        <v>86</v>
      </c>
      <c r="Q388" s="49" t="s">
        <v>35</v>
      </c>
      <c r="R388" s="11" t="s">
        <v>80</v>
      </c>
      <c r="S388" s="11" t="s">
        <v>90</v>
      </c>
      <c r="T388" s="11" t="s">
        <v>224</v>
      </c>
      <c r="U388" s="11" t="s">
        <v>2715</v>
      </c>
      <c r="V388" s="116" t="s">
        <v>1</v>
      </c>
      <c r="W388" s="88"/>
      <c r="X388" s="51">
        <v>45845</v>
      </c>
      <c r="Y388" s="97" t="s">
        <v>1573</v>
      </c>
      <c r="Z388" s="135" t="s">
        <v>2</v>
      </c>
      <c r="AA388" s="135">
        <v>0</v>
      </c>
    </row>
    <row r="389" spans="1:27" ht="13" customHeight="1">
      <c r="A389" s="11">
        <v>383</v>
      </c>
      <c r="B389" s="47">
        <v>206873552</v>
      </c>
      <c r="C389" s="89" t="s">
        <v>1782</v>
      </c>
      <c r="D389" s="11" t="s">
        <v>1783</v>
      </c>
      <c r="E389" s="48" t="s">
        <v>31</v>
      </c>
      <c r="F389" s="48" t="s">
        <v>74</v>
      </c>
      <c r="G389" s="11" t="s">
        <v>64</v>
      </c>
      <c r="H389" s="48" t="str">
        <f>VLOOKUP(Table1[[#This Row],[Psoft No]],[1]Roster!$C$2:$H$1402,6,)</f>
        <v>AUH1</v>
      </c>
      <c r="I389" s="48" t="b">
        <f>Table1[[#This Row],[Building]]=Table1[[#This Row],[Column1]]</f>
        <v>1</v>
      </c>
      <c r="J389" s="11" t="s">
        <v>75</v>
      </c>
      <c r="K389" s="11">
        <v>1299</v>
      </c>
      <c r="L389" s="49" t="s">
        <v>32</v>
      </c>
      <c r="M389" s="49" t="s">
        <v>76</v>
      </c>
      <c r="N389" s="49" t="s">
        <v>78</v>
      </c>
      <c r="O389" s="49" t="s">
        <v>92</v>
      </c>
      <c r="P389" s="48" t="s">
        <v>89</v>
      </c>
      <c r="Q389" s="49" t="s">
        <v>35</v>
      </c>
      <c r="R389" s="11" t="s">
        <v>80</v>
      </c>
      <c r="S389" s="11" t="s">
        <v>81</v>
      </c>
      <c r="T389" s="11" t="s">
        <v>231</v>
      </c>
      <c r="U389" s="11" t="s">
        <v>1753</v>
      </c>
      <c r="V389" s="116" t="s">
        <v>10</v>
      </c>
      <c r="W389" s="88"/>
      <c r="X389" s="51">
        <v>46020</v>
      </c>
      <c r="Y389" s="97" t="s">
        <v>1573</v>
      </c>
      <c r="Z389" s="135" t="s">
        <v>3023</v>
      </c>
      <c r="AA389" s="135">
        <v>0</v>
      </c>
    </row>
    <row r="390" spans="1:27" ht="13" customHeight="1">
      <c r="A390" s="11">
        <v>384</v>
      </c>
      <c r="B390" s="47">
        <v>202218633</v>
      </c>
      <c r="C390" s="89" t="s">
        <v>387</v>
      </c>
      <c r="D390" s="11" t="s">
        <v>388</v>
      </c>
      <c r="E390" s="48" t="s">
        <v>31</v>
      </c>
      <c r="F390" s="48" t="s">
        <v>74</v>
      </c>
      <c r="G390" s="11" t="s">
        <v>64</v>
      </c>
      <c r="H390" s="48" t="str">
        <f>VLOOKUP(Table1[[#This Row],[Psoft No]],[1]Roster!$C$2:$H$1402,6,)</f>
        <v>AUH1</v>
      </c>
      <c r="I390" s="48" t="b">
        <f>Table1[[#This Row],[Building]]=Table1[[#This Row],[Column1]]</f>
        <v>1</v>
      </c>
      <c r="J390" s="11" t="s">
        <v>75</v>
      </c>
      <c r="K390" s="11">
        <v>1299</v>
      </c>
      <c r="L390" s="49" t="s">
        <v>32</v>
      </c>
      <c r="M390" s="49" t="s">
        <v>76</v>
      </c>
      <c r="N390" s="49" t="s">
        <v>85</v>
      </c>
      <c r="O390" s="49" t="s">
        <v>88</v>
      </c>
      <c r="P390" s="48" t="s">
        <v>86</v>
      </c>
      <c r="Q390" s="49" t="s">
        <v>35</v>
      </c>
      <c r="R390" s="11" t="s">
        <v>80</v>
      </c>
      <c r="S390" s="11" t="s">
        <v>87</v>
      </c>
      <c r="T390" s="11" t="s">
        <v>224</v>
      </c>
      <c r="U390" s="11" t="s">
        <v>2715</v>
      </c>
      <c r="V390" s="116" t="str">
        <f>VLOOKUP(Table1[[#This Row],[Psoft No]],[2]Sheet1!$A$2:$G$386,7,0)</f>
        <v>P</v>
      </c>
      <c r="W390" s="88"/>
      <c r="X390" s="51">
        <v>45586</v>
      </c>
      <c r="Y390" s="97" t="s">
        <v>1573</v>
      </c>
      <c r="Z390" s="135" t="s">
        <v>2</v>
      </c>
      <c r="AA390" s="135">
        <v>0</v>
      </c>
    </row>
    <row r="391" spans="1:27" ht="13" customHeight="1">
      <c r="A391" s="11">
        <v>385</v>
      </c>
      <c r="B391" s="47">
        <v>205845555</v>
      </c>
      <c r="C391" s="89" t="s">
        <v>2426</v>
      </c>
      <c r="D391" s="11" t="s">
        <v>2427</v>
      </c>
      <c r="E391" s="48" t="s">
        <v>31</v>
      </c>
      <c r="F391" s="48" t="s">
        <v>74</v>
      </c>
      <c r="G391" s="11" t="s">
        <v>64</v>
      </c>
      <c r="H391" s="48" t="str">
        <f>VLOOKUP(Table1[[#This Row],[Psoft No]],[1]Roster!$C$2:$H$1402,6,)</f>
        <v>AUH1</v>
      </c>
      <c r="I391" s="48" t="b">
        <f>Table1[[#This Row],[Building]]=Table1[[#This Row],[Column1]]</f>
        <v>1</v>
      </c>
      <c r="J391" s="11" t="s">
        <v>75</v>
      </c>
      <c r="K391" s="11">
        <v>1299</v>
      </c>
      <c r="L391" s="49" t="s">
        <v>32</v>
      </c>
      <c r="M391" s="49" t="s">
        <v>76</v>
      </c>
      <c r="N391" s="49" t="s">
        <v>92</v>
      </c>
      <c r="O391" s="49" t="s">
        <v>84</v>
      </c>
      <c r="P391" s="48" t="s">
        <v>89</v>
      </c>
      <c r="Q391" s="49" t="s">
        <v>37</v>
      </c>
      <c r="R391" s="11" t="s">
        <v>80</v>
      </c>
      <c r="S391" s="11" t="s">
        <v>90</v>
      </c>
      <c r="T391" s="11" t="s">
        <v>647</v>
      </c>
      <c r="U391" s="11" t="s">
        <v>1798</v>
      </c>
      <c r="V391" s="116" t="s">
        <v>10</v>
      </c>
      <c r="W391" s="88"/>
      <c r="X391" s="51">
        <v>45894</v>
      </c>
      <c r="Y391" s="97" t="s">
        <v>1577</v>
      </c>
      <c r="Z391" s="135" t="s">
        <v>3023</v>
      </c>
      <c r="AA391" s="135" t="s">
        <v>3024</v>
      </c>
    </row>
    <row r="392" spans="1:27" ht="13" customHeight="1">
      <c r="A392" s="11">
        <v>386</v>
      </c>
      <c r="B392" s="47">
        <v>206874115</v>
      </c>
      <c r="C392" s="89" t="s">
        <v>2545</v>
      </c>
      <c r="D392" s="11" t="s">
        <v>2546</v>
      </c>
      <c r="E392" s="48" t="s">
        <v>31</v>
      </c>
      <c r="F392" s="48" t="s">
        <v>74</v>
      </c>
      <c r="G392" s="48" t="s">
        <v>64</v>
      </c>
      <c r="H392" s="48" t="str">
        <f>VLOOKUP(Table1[[#This Row],[Psoft No]],[1]Roster!$C$2:$H$1402,6,)</f>
        <v>AUH1</v>
      </c>
      <c r="I392" s="48" t="b">
        <f>Table1[[#This Row],[Building]]=Table1[[#This Row],[Column1]]</f>
        <v>1</v>
      </c>
      <c r="J392" s="48" t="s">
        <v>75</v>
      </c>
      <c r="K392" s="11">
        <v>1299</v>
      </c>
      <c r="L392" s="49" t="s">
        <v>32</v>
      </c>
      <c r="M392" s="49" t="s">
        <v>76</v>
      </c>
      <c r="N392" s="49" t="s">
        <v>78</v>
      </c>
      <c r="O392" s="49" t="s">
        <v>92</v>
      </c>
      <c r="P392" s="49" t="s">
        <v>89</v>
      </c>
      <c r="Q392" s="48" t="s">
        <v>35</v>
      </c>
      <c r="R392" s="48" t="s">
        <v>80</v>
      </c>
      <c r="S392" s="11" t="s">
        <v>90</v>
      </c>
      <c r="T392" s="11" t="s">
        <v>231</v>
      </c>
      <c r="U392" s="11" t="s">
        <v>1753</v>
      </c>
      <c r="V392" s="116" t="s">
        <v>10</v>
      </c>
      <c r="W392" s="88"/>
      <c r="X392" s="51">
        <v>46020</v>
      </c>
      <c r="Y392" s="97" t="s">
        <v>1573</v>
      </c>
      <c r="Z392" s="135" t="s">
        <v>3023</v>
      </c>
      <c r="AA392" s="135">
        <v>0</v>
      </c>
    </row>
    <row r="393" spans="1:27" ht="13" customHeight="1">
      <c r="A393" s="11">
        <v>387</v>
      </c>
      <c r="B393" s="11">
        <v>206873567</v>
      </c>
      <c r="C393" s="89" t="s">
        <v>1776</v>
      </c>
      <c r="D393" s="11" t="s">
        <v>1777</v>
      </c>
      <c r="E393" s="48" t="s">
        <v>31</v>
      </c>
      <c r="F393" s="48" t="s">
        <v>74</v>
      </c>
      <c r="G393" s="48" t="s">
        <v>64</v>
      </c>
      <c r="H393" s="48" t="str">
        <f>VLOOKUP(Table1[[#This Row],[Psoft No]],[1]Roster!$C$2:$H$1402,6,)</f>
        <v>AUH1</v>
      </c>
      <c r="I393" s="48" t="b">
        <f>Table1[[#This Row],[Building]]=Table1[[#This Row],[Column1]]</f>
        <v>1</v>
      </c>
      <c r="J393" s="48" t="s">
        <v>75</v>
      </c>
      <c r="K393" s="11">
        <v>1299</v>
      </c>
      <c r="L393" s="49" t="s">
        <v>32</v>
      </c>
      <c r="M393" s="49" t="s">
        <v>76</v>
      </c>
      <c r="N393" s="49" t="s">
        <v>78</v>
      </c>
      <c r="O393" s="49" t="s">
        <v>92</v>
      </c>
      <c r="P393" s="49" t="s">
        <v>89</v>
      </c>
      <c r="Q393" s="48" t="s">
        <v>35</v>
      </c>
      <c r="R393" s="48" t="s">
        <v>80</v>
      </c>
      <c r="S393" s="11" t="s">
        <v>81</v>
      </c>
      <c r="T393" s="11" t="s">
        <v>231</v>
      </c>
      <c r="U393" s="11" t="s">
        <v>1753</v>
      </c>
      <c r="V393" s="116" t="s">
        <v>10</v>
      </c>
      <c r="W393" s="88"/>
      <c r="X393" s="51">
        <v>46020</v>
      </c>
      <c r="Y393" s="97" t="s">
        <v>1573</v>
      </c>
      <c r="Z393" s="135" t="s">
        <v>3023</v>
      </c>
      <c r="AA393" s="135">
        <v>0</v>
      </c>
    </row>
    <row r="394" spans="1:27" ht="13" customHeight="1">
      <c r="A394" s="11">
        <v>388</v>
      </c>
      <c r="B394" s="47">
        <v>203737200</v>
      </c>
      <c r="C394" s="89" t="s">
        <v>2547</v>
      </c>
      <c r="D394" s="11" t="s">
        <v>2548</v>
      </c>
      <c r="E394" s="48" t="s">
        <v>31</v>
      </c>
      <c r="F394" s="48" t="s">
        <v>74</v>
      </c>
      <c r="G394" s="11" t="s">
        <v>64</v>
      </c>
      <c r="H394" s="48" t="str">
        <f>VLOOKUP(Table1[[#This Row],[Psoft No]],[1]Roster!$C$2:$H$1402,6,)</f>
        <v>AUH1</v>
      </c>
      <c r="I394" s="48" t="b">
        <f>Table1[[#This Row],[Building]]=Table1[[#This Row],[Column1]]</f>
        <v>1</v>
      </c>
      <c r="J394" s="11" t="s">
        <v>75</v>
      </c>
      <c r="K394" s="11">
        <v>1299</v>
      </c>
      <c r="L394" s="49" t="s">
        <v>32</v>
      </c>
      <c r="M394" s="49" t="s">
        <v>76</v>
      </c>
      <c r="N394" s="49" t="s">
        <v>85</v>
      </c>
      <c r="O394" s="49" t="s">
        <v>88</v>
      </c>
      <c r="P394" s="48" t="s">
        <v>86</v>
      </c>
      <c r="Q394" s="49" t="s">
        <v>35</v>
      </c>
      <c r="R394" s="11" t="s">
        <v>80</v>
      </c>
      <c r="S394" s="11" t="s">
        <v>90</v>
      </c>
      <c r="T394" s="11" t="s">
        <v>231</v>
      </c>
      <c r="U394" s="11" t="s">
        <v>1753</v>
      </c>
      <c r="V394" s="116" t="str">
        <f>VLOOKUP(Table1[[#This Row],[Psoft No]],[2]Sheet1!$A$2:$G$386,7,0)</f>
        <v>P</v>
      </c>
      <c r="W394" s="88"/>
      <c r="X394" s="51">
        <v>45502</v>
      </c>
      <c r="Y394" s="97" t="s">
        <v>1573</v>
      </c>
      <c r="Z394" s="135" t="s">
        <v>2</v>
      </c>
      <c r="AA394" s="135">
        <v>0</v>
      </c>
    </row>
    <row r="395" spans="1:27" ht="13" customHeight="1">
      <c r="A395" s="11">
        <v>389</v>
      </c>
      <c r="B395" s="47">
        <v>206873643</v>
      </c>
      <c r="C395" s="89" t="s">
        <v>1762</v>
      </c>
      <c r="D395" s="11" t="s">
        <v>1763</v>
      </c>
      <c r="E395" s="48" t="s">
        <v>31</v>
      </c>
      <c r="F395" s="48" t="s">
        <v>74</v>
      </c>
      <c r="G395" s="48" t="s">
        <v>64</v>
      </c>
      <c r="H395" s="48" t="str">
        <f>VLOOKUP(Table1[[#This Row],[Psoft No]],[1]Roster!$C$2:$H$1402,6,)</f>
        <v>AUH1</v>
      </c>
      <c r="I395" s="48" t="b">
        <f>Table1[[#This Row],[Building]]=Table1[[#This Row],[Column1]]</f>
        <v>1</v>
      </c>
      <c r="J395" s="48" t="s">
        <v>75</v>
      </c>
      <c r="K395" s="11">
        <v>1299</v>
      </c>
      <c r="L395" s="49" t="s">
        <v>32</v>
      </c>
      <c r="M395" s="49" t="s">
        <v>76</v>
      </c>
      <c r="N395" s="49" t="s">
        <v>78</v>
      </c>
      <c r="O395" s="49" t="s">
        <v>92</v>
      </c>
      <c r="P395" s="49" t="s">
        <v>89</v>
      </c>
      <c r="Q395" s="48" t="s">
        <v>35</v>
      </c>
      <c r="R395" s="48" t="s">
        <v>80</v>
      </c>
      <c r="S395" s="11" t="s">
        <v>81</v>
      </c>
      <c r="T395" s="11" t="s">
        <v>231</v>
      </c>
      <c r="U395" s="11" t="s">
        <v>1753</v>
      </c>
      <c r="V395" s="116" t="s">
        <v>10</v>
      </c>
      <c r="W395" s="88"/>
      <c r="X395" s="51">
        <v>46020</v>
      </c>
      <c r="Y395" s="97" t="s">
        <v>1573</v>
      </c>
      <c r="Z395" s="135" t="s">
        <v>3023</v>
      </c>
      <c r="AA395" s="135">
        <v>0</v>
      </c>
    </row>
    <row r="396" spans="1:27" ht="13" customHeight="1">
      <c r="A396" s="11">
        <v>390</v>
      </c>
      <c r="B396" s="47">
        <v>204246601</v>
      </c>
      <c r="C396" s="89" t="s">
        <v>391</v>
      </c>
      <c r="D396" s="11" t="s">
        <v>392</v>
      </c>
      <c r="E396" s="48" t="s">
        <v>31</v>
      </c>
      <c r="F396" s="48" t="s">
        <v>74</v>
      </c>
      <c r="G396" s="11" t="s">
        <v>64</v>
      </c>
      <c r="H396" s="48" t="str">
        <f>VLOOKUP(Table1[[#This Row],[Psoft No]],[1]Roster!$C$2:$H$1402,6,)</f>
        <v>AUH1</v>
      </c>
      <c r="I396" s="48" t="b">
        <f>Table1[[#This Row],[Building]]=Table1[[#This Row],[Column1]]</f>
        <v>1</v>
      </c>
      <c r="J396" s="11" t="s">
        <v>75</v>
      </c>
      <c r="K396" s="11">
        <v>1299</v>
      </c>
      <c r="L396" s="49" t="s">
        <v>39</v>
      </c>
      <c r="M396" s="49" t="s">
        <v>76</v>
      </c>
      <c r="N396" s="49" t="s">
        <v>84</v>
      </c>
      <c r="O396" s="49" t="s">
        <v>85</v>
      </c>
      <c r="P396" s="48" t="s">
        <v>86</v>
      </c>
      <c r="Q396" s="49" t="s">
        <v>35</v>
      </c>
      <c r="R396" s="11" t="s">
        <v>80</v>
      </c>
      <c r="S396" s="11" t="s">
        <v>87</v>
      </c>
      <c r="T396" s="11" t="s">
        <v>224</v>
      </c>
      <c r="U396" s="11" t="s">
        <v>2715</v>
      </c>
      <c r="V396" s="116" t="s">
        <v>1</v>
      </c>
      <c r="W396" s="88"/>
      <c r="X396" s="51">
        <v>45579</v>
      </c>
      <c r="Y396" s="97" t="s">
        <v>1573</v>
      </c>
      <c r="Z396" s="135" t="s">
        <v>2</v>
      </c>
      <c r="AA396" s="135">
        <v>0</v>
      </c>
    </row>
    <row r="397" spans="1:27" ht="13" customHeight="1">
      <c r="A397" s="11">
        <v>391</v>
      </c>
      <c r="B397" s="47">
        <v>206874042</v>
      </c>
      <c r="C397" s="89" t="s">
        <v>2549</v>
      </c>
      <c r="D397" s="11" t="s">
        <v>2550</v>
      </c>
      <c r="E397" s="48" t="s">
        <v>31</v>
      </c>
      <c r="F397" s="48" t="s">
        <v>74</v>
      </c>
      <c r="G397" s="48" t="s">
        <v>64</v>
      </c>
      <c r="H397" s="48" t="str">
        <f>VLOOKUP(Table1[[#This Row],[Psoft No]],[1]Roster!$C$2:$H$1402,6,)</f>
        <v>AUH1</v>
      </c>
      <c r="I397" s="48" t="b">
        <f>Table1[[#This Row],[Building]]=Table1[[#This Row],[Column1]]</f>
        <v>1</v>
      </c>
      <c r="J397" s="48" t="s">
        <v>75</v>
      </c>
      <c r="K397" s="11">
        <v>1299</v>
      </c>
      <c r="L397" s="49" t="s">
        <v>32</v>
      </c>
      <c r="M397" s="49" t="s">
        <v>76</v>
      </c>
      <c r="N397" s="49" t="s">
        <v>78</v>
      </c>
      <c r="O397" s="49" t="s">
        <v>92</v>
      </c>
      <c r="P397" s="49" t="s">
        <v>89</v>
      </c>
      <c r="Q397" s="48" t="s">
        <v>35</v>
      </c>
      <c r="R397" s="48" t="s">
        <v>80</v>
      </c>
      <c r="S397" s="11" t="s">
        <v>90</v>
      </c>
      <c r="T397" s="11" t="s">
        <v>231</v>
      </c>
      <c r="U397" s="11" t="s">
        <v>1753</v>
      </c>
      <c r="V397" s="116" t="s">
        <v>10</v>
      </c>
      <c r="W397" s="88"/>
      <c r="X397" s="51">
        <v>46020</v>
      </c>
      <c r="Y397" s="97" t="s">
        <v>1573</v>
      </c>
      <c r="Z397" s="135" t="s">
        <v>3023</v>
      </c>
      <c r="AA397" s="135">
        <v>0</v>
      </c>
    </row>
    <row r="398" spans="1:27" ht="13" customHeight="1">
      <c r="A398" s="11">
        <v>392</v>
      </c>
      <c r="B398" s="47">
        <v>206846115</v>
      </c>
      <c r="C398" s="89" t="s">
        <v>2551</v>
      </c>
      <c r="D398" s="47" t="s">
        <v>2552</v>
      </c>
      <c r="E398" s="47" t="s">
        <v>31</v>
      </c>
      <c r="F398" s="47" t="s">
        <v>74</v>
      </c>
      <c r="G398" s="47" t="s">
        <v>64</v>
      </c>
      <c r="H398" s="47" t="str">
        <f>VLOOKUP(Table1[[#This Row],[Psoft No]],[1]Roster!$C$2:$H$1402,6,)</f>
        <v>AUH1</v>
      </c>
      <c r="I398" s="47" t="b">
        <f>Table1[[#This Row],[Building]]=Table1[[#This Row],[Column1]]</f>
        <v>1</v>
      </c>
      <c r="J398" s="47" t="s">
        <v>75</v>
      </c>
      <c r="K398" s="47">
        <v>1299</v>
      </c>
      <c r="L398" s="49" t="s">
        <v>2471</v>
      </c>
      <c r="M398" s="49" t="s">
        <v>76</v>
      </c>
      <c r="N398" s="49" t="s">
        <v>88</v>
      </c>
      <c r="O398" s="49" t="s">
        <v>95</v>
      </c>
      <c r="P398" s="49" t="s">
        <v>89</v>
      </c>
      <c r="Q398" s="47" t="s">
        <v>35</v>
      </c>
      <c r="R398" s="47" t="s">
        <v>80</v>
      </c>
      <c r="S398" s="47" t="s">
        <v>90</v>
      </c>
      <c r="T398" s="11" t="s">
        <v>231</v>
      </c>
      <c r="U398" s="47" t="s">
        <v>1753</v>
      </c>
      <c r="V398" s="116" t="s">
        <v>1</v>
      </c>
      <c r="W398" s="88"/>
      <c r="X398" s="51">
        <v>46013</v>
      </c>
      <c r="Y398" s="132" t="s">
        <v>1573</v>
      </c>
      <c r="Z398" s="135" t="s">
        <v>2</v>
      </c>
      <c r="AA398" s="135">
        <v>0</v>
      </c>
    </row>
    <row r="399" spans="1:27" ht="13" customHeight="1">
      <c r="A399" s="11">
        <v>393</v>
      </c>
      <c r="B399" s="47">
        <v>203816298</v>
      </c>
      <c r="C399" s="89" t="s">
        <v>2553</v>
      </c>
      <c r="D399" s="11" t="s">
        <v>2554</v>
      </c>
      <c r="E399" s="48" t="s">
        <v>31</v>
      </c>
      <c r="F399" s="48" t="s">
        <v>74</v>
      </c>
      <c r="G399" s="11" t="s">
        <v>64</v>
      </c>
      <c r="H399" s="48" t="str">
        <f>VLOOKUP(Table1[[#This Row],[Psoft No]],[1]Roster!$C$2:$H$1402,6,)</f>
        <v>AUH1</v>
      </c>
      <c r="I399" s="48" t="b">
        <f>Table1[[#This Row],[Building]]=Table1[[#This Row],[Column1]]</f>
        <v>1</v>
      </c>
      <c r="J399" s="11" t="s">
        <v>75</v>
      </c>
      <c r="K399" s="11">
        <v>1299</v>
      </c>
      <c r="L399" s="49" t="s">
        <v>32</v>
      </c>
      <c r="M399" s="49" t="s">
        <v>76</v>
      </c>
      <c r="N399" s="49" t="s">
        <v>78</v>
      </c>
      <c r="O399" s="49" t="s">
        <v>92</v>
      </c>
      <c r="P399" s="48" t="s">
        <v>86</v>
      </c>
      <c r="Q399" s="49" t="s">
        <v>35</v>
      </c>
      <c r="R399" s="11" t="s">
        <v>80</v>
      </c>
      <c r="S399" s="11" t="s">
        <v>90</v>
      </c>
      <c r="T399" s="11" t="s">
        <v>225</v>
      </c>
      <c r="U399" s="11" t="s">
        <v>226</v>
      </c>
      <c r="V399" s="116" t="s">
        <v>10</v>
      </c>
      <c r="W399" s="88"/>
      <c r="X399" s="51">
        <v>45826</v>
      </c>
      <c r="Y399" s="97" t="s">
        <v>1573</v>
      </c>
      <c r="Z399" s="135" t="s">
        <v>3023</v>
      </c>
      <c r="AA399" s="135">
        <v>0</v>
      </c>
    </row>
    <row r="400" spans="1:27" ht="13" customHeight="1">
      <c r="A400" s="11">
        <v>394</v>
      </c>
      <c r="B400" s="47">
        <v>205133783</v>
      </c>
      <c r="C400" s="89" t="s">
        <v>2098</v>
      </c>
      <c r="D400" s="11" t="s">
        <v>2099</v>
      </c>
      <c r="E400" s="11" t="s">
        <v>31</v>
      </c>
      <c r="F400" s="48" t="s">
        <v>74</v>
      </c>
      <c r="G400" s="11" t="s">
        <v>64</v>
      </c>
      <c r="H400" s="48" t="str">
        <f>VLOOKUP(Table1[[#This Row],[Psoft No]],[1]Roster!$C$2:$H$1402,6,)</f>
        <v>AUH1</v>
      </c>
      <c r="I400" s="48" t="b">
        <f>Table1[[#This Row],[Building]]=Table1[[#This Row],[Column1]]</f>
        <v>1</v>
      </c>
      <c r="J400" s="11" t="s">
        <v>75</v>
      </c>
      <c r="K400" s="11">
        <v>1299</v>
      </c>
      <c r="L400" s="49" t="s">
        <v>32</v>
      </c>
      <c r="M400" s="49" t="s">
        <v>76</v>
      </c>
      <c r="N400" s="49" t="s">
        <v>92</v>
      </c>
      <c r="O400" s="49" t="s">
        <v>84</v>
      </c>
      <c r="P400" s="49" t="s">
        <v>89</v>
      </c>
      <c r="Q400" s="49" t="s">
        <v>37</v>
      </c>
      <c r="R400" s="11" t="s">
        <v>80</v>
      </c>
      <c r="S400" s="11" t="s">
        <v>96</v>
      </c>
      <c r="T400" s="11" t="s">
        <v>2719</v>
      </c>
      <c r="U400" s="11" t="s">
        <v>642</v>
      </c>
      <c r="V400" s="116" t="s">
        <v>10</v>
      </c>
      <c r="W400" s="88"/>
      <c r="X400" s="51">
        <v>46048</v>
      </c>
      <c r="Y400" s="97" t="s">
        <v>1577</v>
      </c>
      <c r="Z400" s="135" t="s">
        <v>3023</v>
      </c>
      <c r="AA400" s="135">
        <v>0</v>
      </c>
    </row>
    <row r="401" spans="1:27" ht="13" customHeight="1">
      <c r="A401" s="11">
        <v>395</v>
      </c>
      <c r="B401" s="47">
        <v>205977115</v>
      </c>
      <c r="C401" s="89" t="s">
        <v>395</v>
      </c>
      <c r="D401" s="11" t="s">
        <v>396</v>
      </c>
      <c r="E401" s="48" t="s">
        <v>31</v>
      </c>
      <c r="F401" s="48" t="s">
        <v>74</v>
      </c>
      <c r="G401" s="11" t="s">
        <v>64</v>
      </c>
      <c r="H401" s="48" t="str">
        <f>VLOOKUP(Table1[[#This Row],[Psoft No]],[1]Roster!$C$2:$H$1402,6,)</f>
        <v>AUH1</v>
      </c>
      <c r="I401" s="48" t="b">
        <f>Table1[[#This Row],[Building]]=Table1[[#This Row],[Column1]]</f>
        <v>1</v>
      </c>
      <c r="J401" s="11" t="s">
        <v>75</v>
      </c>
      <c r="K401" s="11">
        <v>1299</v>
      </c>
      <c r="L401" s="49" t="s">
        <v>32</v>
      </c>
      <c r="M401" s="49" t="s">
        <v>76</v>
      </c>
      <c r="N401" s="49" t="s">
        <v>78</v>
      </c>
      <c r="O401" s="49" t="s">
        <v>92</v>
      </c>
      <c r="P401" s="48" t="s">
        <v>86</v>
      </c>
      <c r="Q401" s="49" t="s">
        <v>35</v>
      </c>
      <c r="R401" s="11" t="s">
        <v>80</v>
      </c>
      <c r="S401" s="11" t="s">
        <v>90</v>
      </c>
      <c r="T401" s="11" t="s">
        <v>224</v>
      </c>
      <c r="U401" s="11" t="s">
        <v>2715</v>
      </c>
      <c r="V401" s="116" t="s">
        <v>10</v>
      </c>
      <c r="W401" s="88"/>
      <c r="X401" s="51">
        <v>45915</v>
      </c>
      <c r="Y401" s="97" t="s">
        <v>1573</v>
      </c>
      <c r="Z401" s="135" t="s">
        <v>3023</v>
      </c>
      <c r="AA401" s="135">
        <v>0</v>
      </c>
    </row>
    <row r="402" spans="1:27" ht="13" customHeight="1">
      <c r="A402" s="11">
        <v>396</v>
      </c>
      <c r="B402" s="47">
        <v>206504129</v>
      </c>
      <c r="C402" s="89" t="s">
        <v>2555</v>
      </c>
      <c r="D402" s="11" t="s">
        <v>2556</v>
      </c>
      <c r="E402" s="48" t="s">
        <v>31</v>
      </c>
      <c r="F402" s="48" t="s">
        <v>74</v>
      </c>
      <c r="G402" s="11" t="s">
        <v>64</v>
      </c>
      <c r="H402" s="48" t="str">
        <f>VLOOKUP(Table1[[#This Row],[Psoft No]],[1]Roster!$C$2:$H$1402,6,)</f>
        <v>AUH1</v>
      </c>
      <c r="I402" s="48" t="b">
        <f>Table1[[#This Row],[Building]]=Table1[[#This Row],[Column1]]</f>
        <v>1</v>
      </c>
      <c r="J402" s="11" t="s">
        <v>75</v>
      </c>
      <c r="K402" s="11">
        <v>1299</v>
      </c>
      <c r="L402" s="49" t="s">
        <v>39</v>
      </c>
      <c r="M402" s="49" t="s">
        <v>76</v>
      </c>
      <c r="N402" s="49" t="s">
        <v>88</v>
      </c>
      <c r="O402" s="49" t="s">
        <v>95</v>
      </c>
      <c r="P402" s="48" t="s">
        <v>86</v>
      </c>
      <c r="Q402" s="49" t="s">
        <v>35</v>
      </c>
      <c r="R402" s="11" t="s">
        <v>80</v>
      </c>
      <c r="S402" s="11" t="s">
        <v>90</v>
      </c>
      <c r="T402" s="11" t="s">
        <v>224</v>
      </c>
      <c r="U402" s="11" t="s">
        <v>2715</v>
      </c>
      <c r="V402" s="116" t="s">
        <v>1</v>
      </c>
      <c r="W402" s="88" t="s">
        <v>3021</v>
      </c>
      <c r="X402" s="51">
        <v>45971</v>
      </c>
      <c r="Y402" s="97" t="s">
        <v>1573</v>
      </c>
      <c r="Z402" s="135" t="s">
        <v>3023</v>
      </c>
      <c r="AA402" s="135">
        <v>0</v>
      </c>
    </row>
    <row r="403" spans="1:27" ht="13" customHeight="1">
      <c r="A403" s="11">
        <v>397</v>
      </c>
      <c r="B403" s="47">
        <v>203521425</v>
      </c>
      <c r="C403" s="89" t="s">
        <v>397</v>
      </c>
      <c r="D403" s="11" t="s">
        <v>398</v>
      </c>
      <c r="E403" s="48" t="s">
        <v>31</v>
      </c>
      <c r="F403" s="48" t="s">
        <v>74</v>
      </c>
      <c r="G403" s="11" t="s">
        <v>64</v>
      </c>
      <c r="H403" s="48" t="str">
        <f>VLOOKUP(Table1[[#This Row],[Psoft No]],[1]Roster!$C$2:$H$1402,6,)</f>
        <v>AUH1</v>
      </c>
      <c r="I403" s="48" t="b">
        <f>Table1[[#This Row],[Building]]=Table1[[#This Row],[Column1]]</f>
        <v>1</v>
      </c>
      <c r="J403" s="11" t="s">
        <v>75</v>
      </c>
      <c r="K403" s="11">
        <v>1299</v>
      </c>
      <c r="L403" s="49" t="s">
        <v>32</v>
      </c>
      <c r="M403" s="49" t="s">
        <v>76</v>
      </c>
      <c r="N403" s="49" t="s">
        <v>95</v>
      </c>
      <c r="O403" s="49" t="s">
        <v>77</v>
      </c>
      <c r="P403" s="48" t="s">
        <v>79</v>
      </c>
      <c r="Q403" s="49" t="s">
        <v>35</v>
      </c>
      <c r="R403" s="11" t="s">
        <v>80</v>
      </c>
      <c r="S403" s="11" t="s">
        <v>81</v>
      </c>
      <c r="T403" s="11" t="s">
        <v>225</v>
      </c>
      <c r="U403" s="11" t="s">
        <v>226</v>
      </c>
      <c r="V403" s="116" t="str">
        <f>VLOOKUP(Table1[[#This Row],[Psoft No]],[2]Sheet1!$A$2:$G$386,7,0)</f>
        <v>P</v>
      </c>
      <c r="W403" s="88"/>
      <c r="X403" s="51">
        <v>45463</v>
      </c>
      <c r="Y403" s="97" t="s">
        <v>1572</v>
      </c>
      <c r="Z403" s="135" t="s">
        <v>2</v>
      </c>
      <c r="AA403" s="135">
        <v>0</v>
      </c>
    </row>
    <row r="404" spans="1:27" ht="13" customHeight="1">
      <c r="A404" s="11">
        <v>398</v>
      </c>
      <c r="B404" s="47">
        <v>203736254</v>
      </c>
      <c r="C404" s="89" t="s">
        <v>2557</v>
      </c>
      <c r="D404" s="11" t="s">
        <v>2558</v>
      </c>
      <c r="E404" s="48" t="s">
        <v>31</v>
      </c>
      <c r="F404" s="48" t="s">
        <v>74</v>
      </c>
      <c r="G404" s="11" t="s">
        <v>64</v>
      </c>
      <c r="H404" s="48" t="str">
        <f>VLOOKUP(Table1[[#This Row],[Psoft No]],[1]Roster!$C$2:$H$1402,6,)</f>
        <v>AUH1</v>
      </c>
      <c r="I404" s="48" t="b">
        <f>Table1[[#This Row],[Building]]=Table1[[#This Row],[Column1]]</f>
        <v>1</v>
      </c>
      <c r="J404" s="11" t="s">
        <v>75</v>
      </c>
      <c r="K404" s="11">
        <v>1299</v>
      </c>
      <c r="L404" s="49" t="s">
        <v>39</v>
      </c>
      <c r="M404" s="49" t="s">
        <v>76</v>
      </c>
      <c r="N404" s="49" t="s">
        <v>84</v>
      </c>
      <c r="O404" s="49" t="s">
        <v>85</v>
      </c>
      <c r="P404" s="48" t="s">
        <v>86</v>
      </c>
      <c r="Q404" s="49" t="s">
        <v>35</v>
      </c>
      <c r="R404" s="11" t="s">
        <v>80</v>
      </c>
      <c r="S404" s="11" t="s">
        <v>90</v>
      </c>
      <c r="T404" s="11" t="s">
        <v>224</v>
      </c>
      <c r="U404" s="11" t="s">
        <v>2715</v>
      </c>
      <c r="V404" s="116" t="s">
        <v>1</v>
      </c>
      <c r="W404" s="88"/>
      <c r="X404" s="51">
        <v>45502</v>
      </c>
      <c r="Y404" s="97" t="s">
        <v>1573</v>
      </c>
      <c r="Z404" s="135" t="s">
        <v>2</v>
      </c>
      <c r="AA404" s="135">
        <v>0</v>
      </c>
    </row>
    <row r="405" spans="1:27" ht="13" customHeight="1">
      <c r="A405" s="11">
        <v>399</v>
      </c>
      <c r="B405" s="47">
        <v>204951311</v>
      </c>
      <c r="C405" s="89" t="s">
        <v>2428</v>
      </c>
      <c r="D405" s="11" t="s">
        <v>2429</v>
      </c>
      <c r="E405" s="48" t="s">
        <v>31</v>
      </c>
      <c r="F405" s="48" t="s">
        <v>74</v>
      </c>
      <c r="G405" s="11" t="s">
        <v>64</v>
      </c>
      <c r="H405" s="48" t="str">
        <f>VLOOKUP(Table1[[#This Row],[Psoft No]],[1]Roster!$C$2:$H$1402,6,)</f>
        <v>AUH1</v>
      </c>
      <c r="I405" s="48" t="b">
        <f>Table1[[#This Row],[Building]]=Table1[[#This Row],[Column1]]</f>
        <v>1</v>
      </c>
      <c r="J405" s="11" t="s">
        <v>75</v>
      </c>
      <c r="K405" s="11">
        <v>1299</v>
      </c>
      <c r="L405" s="49" t="s">
        <v>32</v>
      </c>
      <c r="M405" s="49" t="s">
        <v>76</v>
      </c>
      <c r="N405" s="49" t="s">
        <v>92</v>
      </c>
      <c r="O405" s="49" t="s">
        <v>84</v>
      </c>
      <c r="P405" s="49" t="s">
        <v>86</v>
      </c>
      <c r="Q405" s="48" t="s">
        <v>37</v>
      </c>
      <c r="R405" s="48" t="s">
        <v>80</v>
      </c>
      <c r="S405" s="11" t="s">
        <v>90</v>
      </c>
      <c r="T405" s="49" t="s">
        <v>647</v>
      </c>
      <c r="U405" s="11" t="s">
        <v>1798</v>
      </c>
      <c r="V405" s="116" t="s">
        <v>10</v>
      </c>
      <c r="W405" s="88"/>
      <c r="X405" s="51">
        <v>45719</v>
      </c>
      <c r="Y405" s="97" t="s">
        <v>1577</v>
      </c>
      <c r="Z405" s="135" t="s">
        <v>3023</v>
      </c>
      <c r="AA405" s="135">
        <v>0</v>
      </c>
    </row>
    <row r="406" spans="1:27" ht="13" customHeight="1">
      <c r="A406" s="11">
        <v>400</v>
      </c>
      <c r="B406" s="47">
        <v>205977117</v>
      </c>
      <c r="C406" s="89" t="s">
        <v>2559</v>
      </c>
      <c r="D406" s="11" t="s">
        <v>2560</v>
      </c>
      <c r="E406" s="48" t="s">
        <v>31</v>
      </c>
      <c r="F406" s="48" t="s">
        <v>74</v>
      </c>
      <c r="G406" s="11" t="s">
        <v>64</v>
      </c>
      <c r="H406" s="48" t="str">
        <f>VLOOKUP(Table1[[#This Row],[Psoft No]],[1]Roster!$C$2:$H$1402,6,)</f>
        <v>AUH1</v>
      </c>
      <c r="I406" s="48" t="b">
        <f>Table1[[#This Row],[Building]]=Table1[[#This Row],[Column1]]</f>
        <v>1</v>
      </c>
      <c r="J406" s="11" t="s">
        <v>75</v>
      </c>
      <c r="K406" s="11">
        <v>1299</v>
      </c>
      <c r="L406" s="49" t="s">
        <v>32</v>
      </c>
      <c r="M406" s="49" t="s">
        <v>76</v>
      </c>
      <c r="N406" s="49" t="s">
        <v>78</v>
      </c>
      <c r="O406" s="49" t="s">
        <v>92</v>
      </c>
      <c r="P406" s="48" t="s">
        <v>86</v>
      </c>
      <c r="Q406" s="49" t="s">
        <v>35</v>
      </c>
      <c r="R406" s="11" t="s">
        <v>80</v>
      </c>
      <c r="S406" s="11" t="s">
        <v>90</v>
      </c>
      <c r="T406" s="11" t="s">
        <v>231</v>
      </c>
      <c r="U406" s="11" t="s">
        <v>1753</v>
      </c>
      <c r="V406" s="116" t="s">
        <v>10</v>
      </c>
      <c r="W406" s="88"/>
      <c r="X406" s="51">
        <v>45915</v>
      </c>
      <c r="Y406" s="97" t="s">
        <v>1573</v>
      </c>
      <c r="Z406" s="135" t="s">
        <v>3023</v>
      </c>
      <c r="AA406" s="135">
        <v>0</v>
      </c>
    </row>
    <row r="407" spans="1:27" ht="13" customHeight="1">
      <c r="A407" s="11">
        <v>401</v>
      </c>
      <c r="B407" s="47">
        <v>206962049</v>
      </c>
      <c r="C407" s="89" t="s">
        <v>2102</v>
      </c>
      <c r="D407" s="11" t="s">
        <v>2025</v>
      </c>
      <c r="E407" s="48" t="s">
        <v>31</v>
      </c>
      <c r="F407" s="48" t="s">
        <v>74</v>
      </c>
      <c r="G407" s="11" t="s">
        <v>64</v>
      </c>
      <c r="H407" s="48" t="str">
        <f>VLOOKUP(Table1[[#This Row],[Psoft No]],[1]Roster!$C$2:$H$1402,6,)</f>
        <v>AUH1</v>
      </c>
      <c r="I407" s="48" t="b">
        <f>Table1[[#This Row],[Building]]=Table1[[#This Row],[Column1]]</f>
        <v>1</v>
      </c>
      <c r="J407" s="11" t="s">
        <v>75</v>
      </c>
      <c r="K407" s="11">
        <v>1299</v>
      </c>
      <c r="L407" s="49" t="s">
        <v>32</v>
      </c>
      <c r="M407" s="49" t="s">
        <v>76</v>
      </c>
      <c r="N407" s="49" t="s">
        <v>78</v>
      </c>
      <c r="O407" s="49" t="s">
        <v>92</v>
      </c>
      <c r="P407" s="49" t="s">
        <v>89</v>
      </c>
      <c r="Q407" s="49" t="s">
        <v>35</v>
      </c>
      <c r="R407" s="11" t="s">
        <v>80</v>
      </c>
      <c r="S407" s="11" t="s">
        <v>96</v>
      </c>
      <c r="T407" s="11" t="s">
        <v>224</v>
      </c>
      <c r="U407" s="11" t="s">
        <v>2715</v>
      </c>
      <c r="V407" s="116" t="s">
        <v>10</v>
      </c>
      <c r="W407" s="88"/>
      <c r="X407" s="51">
        <v>46048</v>
      </c>
      <c r="Y407" s="97" t="s">
        <v>1573</v>
      </c>
      <c r="Z407" s="135" t="s">
        <v>3023</v>
      </c>
      <c r="AA407" s="135">
        <v>0</v>
      </c>
    </row>
    <row r="408" spans="1:27" ht="13" customHeight="1">
      <c r="A408" s="11">
        <v>402</v>
      </c>
      <c r="B408" s="47">
        <v>206846689</v>
      </c>
      <c r="C408" s="89" t="s">
        <v>2563</v>
      </c>
      <c r="D408" s="47" t="s">
        <v>2564</v>
      </c>
      <c r="E408" s="47" t="s">
        <v>31</v>
      </c>
      <c r="F408" s="47" t="s">
        <v>74</v>
      </c>
      <c r="G408" s="47" t="s">
        <v>64</v>
      </c>
      <c r="H408" s="47" t="str">
        <f>VLOOKUP(Table1[[#This Row],[Psoft No]],[1]Roster!$C$2:$H$1402,6,)</f>
        <v>AUH1</v>
      </c>
      <c r="I408" s="47" t="b">
        <f>Table1[[#This Row],[Building]]=Table1[[#This Row],[Column1]]</f>
        <v>1</v>
      </c>
      <c r="J408" s="47" t="s">
        <v>75</v>
      </c>
      <c r="K408" s="47">
        <v>1299</v>
      </c>
      <c r="L408" s="49" t="s">
        <v>39</v>
      </c>
      <c r="M408" s="49" t="s">
        <v>76</v>
      </c>
      <c r="N408" s="49" t="s">
        <v>84</v>
      </c>
      <c r="O408" s="49" t="s">
        <v>85</v>
      </c>
      <c r="P408" s="49" t="s">
        <v>89</v>
      </c>
      <c r="Q408" s="47" t="s">
        <v>35</v>
      </c>
      <c r="R408" s="47" t="s">
        <v>80</v>
      </c>
      <c r="S408" s="47" t="s">
        <v>90</v>
      </c>
      <c r="T408" s="11" t="s">
        <v>231</v>
      </c>
      <c r="U408" s="47" t="s">
        <v>1753</v>
      </c>
      <c r="V408" s="116" t="s">
        <v>1</v>
      </c>
      <c r="W408" s="88"/>
      <c r="X408" s="51">
        <v>46013</v>
      </c>
      <c r="Y408" s="132" t="s">
        <v>1573</v>
      </c>
      <c r="Z408" s="135" t="s">
        <v>2</v>
      </c>
      <c r="AA408" s="135">
        <v>0</v>
      </c>
    </row>
    <row r="409" spans="1:27" ht="13" customHeight="1">
      <c r="A409" s="11">
        <v>403</v>
      </c>
      <c r="B409" s="47">
        <v>206934195</v>
      </c>
      <c r="C409" s="89" t="s">
        <v>2565</v>
      </c>
      <c r="D409" s="11" t="s">
        <v>2566</v>
      </c>
      <c r="E409" s="48" t="s">
        <v>31</v>
      </c>
      <c r="F409" s="48" t="s">
        <v>74</v>
      </c>
      <c r="G409" s="48" t="s">
        <v>64</v>
      </c>
      <c r="H409" s="48" t="str">
        <f>VLOOKUP(Table1[[#This Row],[Psoft No]],[1]Roster!$C$2:$H$1402,6,)</f>
        <v>AUH1</v>
      </c>
      <c r="I409" s="48" t="b">
        <f>Table1[[#This Row],[Building]]=Table1[[#This Row],[Column1]]</f>
        <v>1</v>
      </c>
      <c r="J409" s="48" t="s">
        <v>75</v>
      </c>
      <c r="K409" s="11">
        <v>1299</v>
      </c>
      <c r="L409" s="49" t="s">
        <v>39</v>
      </c>
      <c r="M409" s="49" t="s">
        <v>76</v>
      </c>
      <c r="N409" s="49" t="s">
        <v>78</v>
      </c>
      <c r="O409" s="49" t="s">
        <v>92</v>
      </c>
      <c r="P409" s="49" t="s">
        <v>79</v>
      </c>
      <c r="Q409" s="49" t="s">
        <v>35</v>
      </c>
      <c r="R409" s="49" t="s">
        <v>80</v>
      </c>
      <c r="S409" s="11" t="s">
        <v>96</v>
      </c>
      <c r="T409" s="11" t="s">
        <v>224</v>
      </c>
      <c r="U409" s="11" t="s">
        <v>2715</v>
      </c>
      <c r="V409" s="116" t="s">
        <v>10</v>
      </c>
      <c r="W409" s="88"/>
      <c r="X409" s="51">
        <v>46041</v>
      </c>
      <c r="Y409" s="97" t="s">
        <v>1573</v>
      </c>
      <c r="Z409" s="135" t="s">
        <v>3023</v>
      </c>
      <c r="AA409" s="135">
        <v>0</v>
      </c>
    </row>
    <row r="410" spans="1:27" ht="13" customHeight="1">
      <c r="A410" s="11">
        <v>404</v>
      </c>
      <c r="B410" s="47">
        <v>206791755</v>
      </c>
      <c r="C410" s="89" t="s">
        <v>2567</v>
      </c>
      <c r="D410" s="11" t="s">
        <v>2568</v>
      </c>
      <c r="E410" s="48" t="s">
        <v>31</v>
      </c>
      <c r="F410" s="48" t="s">
        <v>74</v>
      </c>
      <c r="G410" s="11" t="s">
        <v>64</v>
      </c>
      <c r="H410" s="48" t="str">
        <f>VLOOKUP(Table1[[#This Row],[Psoft No]],[1]Roster!$C$2:$H$1402,6,)</f>
        <v>AUH1</v>
      </c>
      <c r="I410" s="48" t="b">
        <f>Table1[[#This Row],[Building]]=Table1[[#This Row],[Column1]]</f>
        <v>1</v>
      </c>
      <c r="J410" s="11" t="s">
        <v>75</v>
      </c>
      <c r="K410" s="11">
        <v>1299</v>
      </c>
      <c r="L410" s="49" t="s">
        <v>39</v>
      </c>
      <c r="M410" s="49" t="s">
        <v>76</v>
      </c>
      <c r="N410" s="49" t="s">
        <v>78</v>
      </c>
      <c r="O410" s="49" t="s">
        <v>92</v>
      </c>
      <c r="P410" s="49" t="s">
        <v>89</v>
      </c>
      <c r="Q410" s="49" t="s">
        <v>35</v>
      </c>
      <c r="R410" s="11" t="s">
        <v>80</v>
      </c>
      <c r="S410" s="11" t="s">
        <v>90</v>
      </c>
      <c r="T410" s="11" t="s">
        <v>224</v>
      </c>
      <c r="U410" s="11" t="s">
        <v>2715</v>
      </c>
      <c r="V410" s="116" t="s">
        <v>10</v>
      </c>
      <c r="W410" s="88"/>
      <c r="X410" s="51">
        <v>45999</v>
      </c>
      <c r="Y410" s="97" t="s">
        <v>1573</v>
      </c>
      <c r="Z410" s="135" t="s">
        <v>3023</v>
      </c>
      <c r="AA410" s="135">
        <v>0</v>
      </c>
    </row>
    <row r="411" spans="1:27" ht="13" customHeight="1">
      <c r="A411" s="11">
        <v>405</v>
      </c>
      <c r="B411" s="47">
        <v>203736255</v>
      </c>
      <c r="C411" s="89" t="s">
        <v>2569</v>
      </c>
      <c r="D411" s="11" t="s">
        <v>2570</v>
      </c>
      <c r="E411" s="48" t="s">
        <v>31</v>
      </c>
      <c r="F411" s="48" t="s">
        <v>74</v>
      </c>
      <c r="G411" s="11" t="s">
        <v>65</v>
      </c>
      <c r="H411" s="48" t="str">
        <f>VLOOKUP(Table1[[#This Row],[Psoft No]],[1]Roster!$C$2:$H$1402,6,)</f>
        <v>AUH3</v>
      </c>
      <c r="I411" s="48" t="b">
        <f>Table1[[#This Row],[Building]]=Table1[[#This Row],[Column1]]</f>
        <v>1</v>
      </c>
      <c r="J411" s="11" t="s">
        <v>75</v>
      </c>
      <c r="K411" s="11">
        <v>1299</v>
      </c>
      <c r="L411" s="49" t="s">
        <v>39</v>
      </c>
      <c r="M411" s="49" t="s">
        <v>76</v>
      </c>
      <c r="N411" s="49" t="s">
        <v>92</v>
      </c>
      <c r="O411" s="49" t="s">
        <v>84</v>
      </c>
      <c r="P411" s="48" t="s">
        <v>86</v>
      </c>
      <c r="Q411" s="49" t="s">
        <v>68</v>
      </c>
      <c r="R411" s="11" t="s">
        <v>80</v>
      </c>
      <c r="S411" s="11" t="s">
        <v>90</v>
      </c>
      <c r="T411" s="11" t="s">
        <v>2720</v>
      </c>
      <c r="U411" s="11" t="s">
        <v>2721</v>
      </c>
      <c r="V411" s="116" t="s">
        <v>10</v>
      </c>
      <c r="W411" s="88"/>
      <c r="X411" s="51">
        <v>45502</v>
      </c>
      <c r="Y411" s="97" t="s">
        <v>68</v>
      </c>
      <c r="Z411" s="135" t="s">
        <v>3023</v>
      </c>
      <c r="AA411" s="135">
        <v>0</v>
      </c>
    </row>
    <row r="412" spans="1:27" ht="13" customHeight="1">
      <c r="A412" s="11">
        <v>406</v>
      </c>
      <c r="B412" s="47">
        <v>204246163</v>
      </c>
      <c r="C412" s="89" t="s">
        <v>402</v>
      </c>
      <c r="D412" s="11" t="s">
        <v>403</v>
      </c>
      <c r="E412" s="48" t="s">
        <v>31</v>
      </c>
      <c r="F412" s="48" t="s">
        <v>74</v>
      </c>
      <c r="G412" s="11" t="s">
        <v>64</v>
      </c>
      <c r="H412" s="48" t="str">
        <f>VLOOKUP(Table1[[#This Row],[Psoft No]],[1]Roster!$C$2:$H$1402,6,)</f>
        <v>AUH1</v>
      </c>
      <c r="I412" s="48" t="b">
        <f>Table1[[#This Row],[Building]]=Table1[[#This Row],[Column1]]</f>
        <v>1</v>
      </c>
      <c r="J412" s="11" t="s">
        <v>75</v>
      </c>
      <c r="K412" s="11">
        <v>1299</v>
      </c>
      <c r="L412" s="49" t="s">
        <v>39</v>
      </c>
      <c r="M412" s="49" t="s">
        <v>76</v>
      </c>
      <c r="N412" s="49" t="s">
        <v>77</v>
      </c>
      <c r="O412" s="49" t="s">
        <v>78</v>
      </c>
      <c r="P412" s="48" t="s">
        <v>86</v>
      </c>
      <c r="Q412" s="49" t="s">
        <v>35</v>
      </c>
      <c r="R412" s="11" t="s">
        <v>80</v>
      </c>
      <c r="S412" s="11" t="s">
        <v>87</v>
      </c>
      <c r="T412" s="11" t="s">
        <v>224</v>
      </c>
      <c r="U412" s="11" t="s">
        <v>2715</v>
      </c>
      <c r="V412" s="116" t="s">
        <v>1</v>
      </c>
      <c r="W412" s="88"/>
      <c r="X412" s="51">
        <v>45579</v>
      </c>
      <c r="Y412" s="97" t="s">
        <v>1573</v>
      </c>
      <c r="Z412" s="135" t="s">
        <v>2</v>
      </c>
      <c r="AA412" s="135">
        <v>0</v>
      </c>
    </row>
    <row r="413" spans="1:27" ht="13" customHeight="1">
      <c r="A413" s="11">
        <v>407</v>
      </c>
      <c r="B413" s="47">
        <v>206846692</v>
      </c>
      <c r="C413" s="89" t="s">
        <v>2571</v>
      </c>
      <c r="D413" s="47" t="s">
        <v>2572</v>
      </c>
      <c r="E413" s="47" t="s">
        <v>31</v>
      </c>
      <c r="F413" s="47" t="s">
        <v>74</v>
      </c>
      <c r="G413" s="47" t="s">
        <v>64</v>
      </c>
      <c r="H413" s="47" t="str">
        <f>VLOOKUP(Table1[[#This Row],[Psoft No]],[1]Roster!$C$2:$H$1402,6,)</f>
        <v>AUH1</v>
      </c>
      <c r="I413" s="47" t="b">
        <f>Table1[[#This Row],[Building]]=Table1[[#This Row],[Column1]]</f>
        <v>1</v>
      </c>
      <c r="J413" s="47" t="s">
        <v>75</v>
      </c>
      <c r="K413" s="47">
        <v>1299</v>
      </c>
      <c r="L413" s="49" t="s">
        <v>39</v>
      </c>
      <c r="M413" s="49" t="s">
        <v>76</v>
      </c>
      <c r="N413" s="49" t="s">
        <v>78</v>
      </c>
      <c r="O413" s="49" t="s">
        <v>92</v>
      </c>
      <c r="P413" s="49" t="s">
        <v>89</v>
      </c>
      <c r="Q413" s="47" t="s">
        <v>35</v>
      </c>
      <c r="R413" s="47" t="s">
        <v>80</v>
      </c>
      <c r="S413" s="47" t="s">
        <v>90</v>
      </c>
      <c r="T413" s="11" t="s">
        <v>231</v>
      </c>
      <c r="U413" s="47" t="s">
        <v>1753</v>
      </c>
      <c r="V413" s="116" t="s">
        <v>10</v>
      </c>
      <c r="W413" s="88"/>
      <c r="X413" s="51">
        <v>46013</v>
      </c>
      <c r="Y413" s="132" t="s">
        <v>1573</v>
      </c>
      <c r="Z413" s="135" t="s">
        <v>3023</v>
      </c>
      <c r="AA413" s="135">
        <v>0</v>
      </c>
    </row>
    <row r="414" spans="1:27" ht="13" customHeight="1">
      <c r="A414" s="11">
        <v>408</v>
      </c>
      <c r="B414" s="47">
        <v>203679325</v>
      </c>
      <c r="C414" s="89" t="s">
        <v>2483</v>
      </c>
      <c r="D414" s="11" t="s">
        <v>2484</v>
      </c>
      <c r="E414" s="48" t="s">
        <v>31</v>
      </c>
      <c r="F414" s="48" t="s">
        <v>74</v>
      </c>
      <c r="G414" s="11" t="s">
        <v>64</v>
      </c>
      <c r="H414" s="48" t="str">
        <f>VLOOKUP(Table1[[#This Row],[Psoft No]],[1]Roster!$C$2:$H$1402,6,)</f>
        <v>AUH1</v>
      </c>
      <c r="I414" s="48" t="b">
        <f>Table1[[#This Row],[Building]]=Table1[[#This Row],[Column1]]</f>
        <v>1</v>
      </c>
      <c r="J414" s="11" t="s">
        <v>75</v>
      </c>
      <c r="K414" s="11">
        <v>1299</v>
      </c>
      <c r="L414" s="49" t="s">
        <v>32</v>
      </c>
      <c r="M414" s="49" t="s">
        <v>76</v>
      </c>
      <c r="N414" s="49" t="s">
        <v>92</v>
      </c>
      <c r="O414" s="49" t="s">
        <v>84</v>
      </c>
      <c r="P414" s="48" t="s">
        <v>79</v>
      </c>
      <c r="Q414" s="49" t="s">
        <v>67</v>
      </c>
      <c r="R414" s="11" t="s">
        <v>80</v>
      </c>
      <c r="S414" s="11" t="s">
        <v>81</v>
      </c>
      <c r="T414" s="11" t="s">
        <v>2711</v>
      </c>
      <c r="U414" s="11" t="s">
        <v>2712</v>
      </c>
      <c r="V414" s="116" t="s">
        <v>10</v>
      </c>
      <c r="W414" s="88"/>
      <c r="X414" s="51">
        <v>45488</v>
      </c>
      <c r="Y414" s="102" t="s">
        <v>1568</v>
      </c>
      <c r="Z414" s="135" t="s">
        <v>3023</v>
      </c>
      <c r="AA414" s="135">
        <v>0</v>
      </c>
    </row>
    <row r="415" spans="1:27" ht="13" customHeight="1">
      <c r="A415" s="11">
        <v>409</v>
      </c>
      <c r="B415" s="47">
        <v>203736329</v>
      </c>
      <c r="C415" s="89" t="s">
        <v>2573</v>
      </c>
      <c r="D415" s="11" t="s">
        <v>2574</v>
      </c>
      <c r="E415" s="48" t="s">
        <v>31</v>
      </c>
      <c r="F415" s="48" t="s">
        <v>74</v>
      </c>
      <c r="G415" s="11" t="s">
        <v>64</v>
      </c>
      <c r="H415" s="48" t="str">
        <f>VLOOKUP(Table1[[#This Row],[Psoft No]],[1]Roster!$C$2:$H$1402,6,)</f>
        <v>AUH1</v>
      </c>
      <c r="I415" s="48" t="b">
        <f>Table1[[#This Row],[Building]]=Table1[[#This Row],[Column1]]</f>
        <v>1</v>
      </c>
      <c r="J415" s="11" t="s">
        <v>75</v>
      </c>
      <c r="K415" s="11">
        <v>1299</v>
      </c>
      <c r="L415" s="49" t="s">
        <v>32</v>
      </c>
      <c r="M415" s="49" t="s">
        <v>76</v>
      </c>
      <c r="N415" s="49" t="s">
        <v>78</v>
      </c>
      <c r="O415" s="49" t="s">
        <v>92</v>
      </c>
      <c r="P415" s="48" t="s">
        <v>86</v>
      </c>
      <c r="Q415" s="49" t="s">
        <v>35</v>
      </c>
      <c r="R415" s="11" t="s">
        <v>80</v>
      </c>
      <c r="S415" s="11" t="s">
        <v>90</v>
      </c>
      <c r="T415" s="11" t="s">
        <v>224</v>
      </c>
      <c r="U415" s="11" t="s">
        <v>2715</v>
      </c>
      <c r="V415" s="116" t="s">
        <v>10</v>
      </c>
      <c r="W415" s="88"/>
      <c r="X415" s="51">
        <v>45502</v>
      </c>
      <c r="Y415" s="97" t="s">
        <v>1573</v>
      </c>
      <c r="Z415" s="135" t="s">
        <v>3023</v>
      </c>
      <c r="AA415" s="135">
        <v>0</v>
      </c>
    </row>
    <row r="416" spans="1:27" ht="13" customHeight="1">
      <c r="A416" s="11">
        <v>410</v>
      </c>
      <c r="B416" s="47">
        <v>205477624</v>
      </c>
      <c r="C416" s="89" t="s">
        <v>406</v>
      </c>
      <c r="D416" s="11" t="s">
        <v>407</v>
      </c>
      <c r="E416" s="48" t="s">
        <v>31</v>
      </c>
      <c r="F416" s="48" t="s">
        <v>74</v>
      </c>
      <c r="G416" s="11" t="s">
        <v>64</v>
      </c>
      <c r="H416" s="48" t="str">
        <f>VLOOKUP(Table1[[#This Row],[Psoft No]],[1]Roster!$C$2:$H$1402,6,)</f>
        <v>AUH1</v>
      </c>
      <c r="I416" s="48" t="b">
        <f>Table1[[#This Row],[Building]]=Table1[[#This Row],[Column1]]</f>
        <v>1</v>
      </c>
      <c r="J416" s="11" t="s">
        <v>75</v>
      </c>
      <c r="K416" s="11">
        <v>1299</v>
      </c>
      <c r="L416" s="49" t="s">
        <v>32</v>
      </c>
      <c r="M416" s="49" t="s">
        <v>76</v>
      </c>
      <c r="N416" s="49" t="s">
        <v>88</v>
      </c>
      <c r="O416" s="49" t="s">
        <v>95</v>
      </c>
      <c r="P416" s="48" t="s">
        <v>86</v>
      </c>
      <c r="Q416" s="49" t="s">
        <v>35</v>
      </c>
      <c r="R416" s="11" t="s">
        <v>80</v>
      </c>
      <c r="S416" s="11" t="s">
        <v>90</v>
      </c>
      <c r="T416" s="11" t="s">
        <v>225</v>
      </c>
      <c r="U416" s="11" t="s">
        <v>226</v>
      </c>
      <c r="V416" s="116" t="str">
        <f>VLOOKUP(Table1[[#This Row],[Psoft No]],[2]Sheet1!$A$2:$G$386,7,0)</f>
        <v>P</v>
      </c>
      <c r="W416" s="88"/>
      <c r="X416" s="51">
        <v>45831</v>
      </c>
      <c r="Y416" s="97" t="s">
        <v>1574</v>
      </c>
      <c r="Z416" s="135" t="s">
        <v>2</v>
      </c>
      <c r="AA416" s="135">
        <v>0</v>
      </c>
    </row>
    <row r="417" spans="1:27" ht="13" customHeight="1">
      <c r="A417" s="11">
        <v>411</v>
      </c>
      <c r="B417" s="47">
        <v>203599606</v>
      </c>
      <c r="C417" s="89" t="s">
        <v>408</v>
      </c>
      <c r="D417" s="11" t="s">
        <v>409</v>
      </c>
      <c r="E417" s="48" t="s">
        <v>31</v>
      </c>
      <c r="F417" s="48" t="s">
        <v>74</v>
      </c>
      <c r="G417" s="11" t="s">
        <v>64</v>
      </c>
      <c r="H417" s="48" t="str">
        <f>VLOOKUP(Table1[[#This Row],[Psoft No]],[1]Roster!$C$2:$H$1402,6,)</f>
        <v>AUH1</v>
      </c>
      <c r="I417" s="48" t="b">
        <f>Table1[[#This Row],[Building]]=Table1[[#This Row],[Column1]]</f>
        <v>1</v>
      </c>
      <c r="J417" s="11" t="s">
        <v>75</v>
      </c>
      <c r="K417" s="11">
        <v>1299</v>
      </c>
      <c r="L417" s="49" t="s">
        <v>32</v>
      </c>
      <c r="M417" s="49" t="s">
        <v>76</v>
      </c>
      <c r="N417" s="49" t="s">
        <v>88</v>
      </c>
      <c r="O417" s="49" t="s">
        <v>95</v>
      </c>
      <c r="P417" s="48" t="s">
        <v>79</v>
      </c>
      <c r="Q417" s="49" t="s">
        <v>35</v>
      </c>
      <c r="R417" s="11" t="s">
        <v>80</v>
      </c>
      <c r="S417" s="11" t="s">
        <v>81</v>
      </c>
      <c r="T417" s="11" t="s">
        <v>224</v>
      </c>
      <c r="U417" s="11" t="s">
        <v>2715</v>
      </c>
      <c r="V417" s="116" t="str">
        <f>VLOOKUP(Table1[[#This Row],[Psoft No]],[2]Sheet1!$A$2:$G$386,7,0)</f>
        <v>P</v>
      </c>
      <c r="W417" s="88"/>
      <c r="X417" s="51">
        <v>45544</v>
      </c>
      <c r="Y417" s="97" t="s">
        <v>1573</v>
      </c>
      <c r="Z417" s="135" t="s">
        <v>2</v>
      </c>
      <c r="AA417" s="135">
        <v>0</v>
      </c>
    </row>
    <row r="418" spans="1:27" ht="13" customHeight="1">
      <c r="A418" s="11">
        <v>412</v>
      </c>
      <c r="B418" s="47">
        <v>202334276</v>
      </c>
      <c r="C418" s="89" t="s">
        <v>410</v>
      </c>
      <c r="D418" s="11" t="s">
        <v>411</v>
      </c>
      <c r="E418" s="48" t="s">
        <v>31</v>
      </c>
      <c r="F418" s="48" t="s">
        <v>74</v>
      </c>
      <c r="G418" s="11" t="s">
        <v>64</v>
      </c>
      <c r="H418" s="48" t="str">
        <f>VLOOKUP(Table1[[#This Row],[Psoft No]],[1]Roster!$C$2:$H$1402,6,)</f>
        <v>AUH1</v>
      </c>
      <c r="I418" s="48" t="b">
        <f>Table1[[#This Row],[Building]]=Table1[[#This Row],[Column1]]</f>
        <v>1</v>
      </c>
      <c r="J418" s="11" t="s">
        <v>75</v>
      </c>
      <c r="K418" s="11">
        <v>1299</v>
      </c>
      <c r="L418" s="49" t="s">
        <v>32</v>
      </c>
      <c r="M418" s="49" t="s">
        <v>76</v>
      </c>
      <c r="N418" s="49" t="s">
        <v>88</v>
      </c>
      <c r="O418" s="49" t="s">
        <v>95</v>
      </c>
      <c r="P418" s="48" t="s">
        <v>86</v>
      </c>
      <c r="Q418" s="49" t="s">
        <v>35</v>
      </c>
      <c r="R418" s="11" t="s">
        <v>80</v>
      </c>
      <c r="S418" s="11" t="s">
        <v>87</v>
      </c>
      <c r="T418" s="11" t="s">
        <v>231</v>
      </c>
      <c r="U418" s="11" t="s">
        <v>1753</v>
      </c>
      <c r="V418" s="116" t="str">
        <f>VLOOKUP(Table1[[#This Row],[Psoft No]],[2]Sheet1!$A$2:$G$386,7,0)</f>
        <v>P</v>
      </c>
      <c r="W418" s="88"/>
      <c r="X418" s="51">
        <v>45581</v>
      </c>
      <c r="Y418" s="97" t="s">
        <v>1573</v>
      </c>
      <c r="Z418" s="135" t="s">
        <v>2</v>
      </c>
      <c r="AA418" s="135">
        <v>0</v>
      </c>
    </row>
    <row r="419" spans="1:27" ht="13" customHeight="1">
      <c r="A419" s="11">
        <v>413</v>
      </c>
      <c r="B419" s="47">
        <v>203521525</v>
      </c>
      <c r="C419" s="89" t="s">
        <v>412</v>
      </c>
      <c r="D419" s="11" t="s">
        <v>413</v>
      </c>
      <c r="E419" s="48" t="s">
        <v>31</v>
      </c>
      <c r="F419" s="48" t="s">
        <v>74</v>
      </c>
      <c r="G419" s="11" t="s">
        <v>64</v>
      </c>
      <c r="H419" s="48" t="str">
        <f>VLOOKUP(Table1[[#This Row],[Psoft No]],[1]Roster!$C$2:$H$1402,6,)</f>
        <v>AUH1</v>
      </c>
      <c r="I419" s="48" t="b">
        <f>Table1[[#This Row],[Building]]=Table1[[#This Row],[Column1]]</f>
        <v>1</v>
      </c>
      <c r="J419" s="11" t="s">
        <v>75</v>
      </c>
      <c r="K419" s="11">
        <v>1299</v>
      </c>
      <c r="L419" s="49" t="s">
        <v>32</v>
      </c>
      <c r="M419" s="49" t="s">
        <v>76</v>
      </c>
      <c r="N419" s="49" t="s">
        <v>88</v>
      </c>
      <c r="O419" s="49" t="s">
        <v>95</v>
      </c>
      <c r="P419" s="48" t="s">
        <v>79</v>
      </c>
      <c r="Q419" s="49" t="s">
        <v>35</v>
      </c>
      <c r="R419" s="11" t="s">
        <v>80</v>
      </c>
      <c r="S419" s="11" t="s">
        <v>81</v>
      </c>
      <c r="T419" s="11" t="s">
        <v>225</v>
      </c>
      <c r="U419" s="11" t="s">
        <v>226</v>
      </c>
      <c r="V419" s="116" t="str">
        <f>VLOOKUP(Table1[[#This Row],[Psoft No]],[2]Sheet1!$A$2:$G$386,7,0)</f>
        <v>P</v>
      </c>
      <c r="W419" s="88"/>
      <c r="X419" s="51">
        <v>45463</v>
      </c>
      <c r="Y419" s="97" t="s">
        <v>1571</v>
      </c>
      <c r="Z419" s="135" t="s">
        <v>2</v>
      </c>
      <c r="AA419" s="135">
        <v>0</v>
      </c>
    </row>
    <row r="420" spans="1:27" ht="13" customHeight="1">
      <c r="A420" s="11">
        <v>414</v>
      </c>
      <c r="B420" s="47">
        <v>203850938</v>
      </c>
      <c r="C420" s="89" t="s">
        <v>196</v>
      </c>
      <c r="D420" s="11" t="s">
        <v>197</v>
      </c>
      <c r="E420" s="48" t="s">
        <v>31</v>
      </c>
      <c r="F420" s="48" t="s">
        <v>74</v>
      </c>
      <c r="G420" s="11" t="s">
        <v>64</v>
      </c>
      <c r="H420" s="48" t="str">
        <f>VLOOKUP(Table1[[#This Row],[Psoft No]],[1]Roster!$C$2:$H$1402,6,)</f>
        <v>AUH1</v>
      </c>
      <c r="I420" s="48" t="b">
        <f>Table1[[#This Row],[Building]]=Table1[[#This Row],[Column1]]</f>
        <v>1</v>
      </c>
      <c r="J420" s="11" t="s">
        <v>75</v>
      </c>
      <c r="K420" s="11">
        <v>1299</v>
      </c>
      <c r="L420" s="49" t="s">
        <v>32</v>
      </c>
      <c r="M420" s="49" t="s">
        <v>76</v>
      </c>
      <c r="N420" s="49" t="s">
        <v>84</v>
      </c>
      <c r="O420" s="49" t="s">
        <v>85</v>
      </c>
      <c r="P420" s="48" t="s">
        <v>79</v>
      </c>
      <c r="Q420" s="49" t="s">
        <v>33</v>
      </c>
      <c r="R420" s="11" t="s">
        <v>80</v>
      </c>
      <c r="S420" s="11" t="s">
        <v>81</v>
      </c>
      <c r="T420" s="11" t="s">
        <v>159</v>
      </c>
      <c r="U420" s="11" t="s">
        <v>2714</v>
      </c>
      <c r="V420" s="116" t="str">
        <f>VLOOKUP(Table1[[#This Row],[Psoft No]],[2]Sheet1!$A$2:$G$386,7,0)</f>
        <v>P</v>
      </c>
      <c r="W420" s="88"/>
      <c r="X420" s="51">
        <v>45524</v>
      </c>
      <c r="Y420" s="97" t="s">
        <v>1569</v>
      </c>
      <c r="Z420" s="135" t="s">
        <v>2</v>
      </c>
      <c r="AA420" s="135">
        <v>0</v>
      </c>
    </row>
    <row r="421" spans="1:27" ht="13" customHeight="1">
      <c r="A421" s="11">
        <v>415</v>
      </c>
      <c r="B421" s="47">
        <v>203851007</v>
      </c>
      <c r="C421" s="89" t="s">
        <v>416</v>
      </c>
      <c r="D421" s="11" t="s">
        <v>417</v>
      </c>
      <c r="E421" s="48" t="s">
        <v>31</v>
      </c>
      <c r="F421" s="48" t="s">
        <v>74</v>
      </c>
      <c r="G421" s="11" t="s">
        <v>64</v>
      </c>
      <c r="H421" s="48" t="str">
        <f>VLOOKUP(Table1[[#This Row],[Psoft No]],[1]Roster!$C$2:$H$1402,6,)</f>
        <v>AUH1</v>
      </c>
      <c r="I421" s="48" t="b">
        <f>Table1[[#This Row],[Building]]=Table1[[#This Row],[Column1]]</f>
        <v>1</v>
      </c>
      <c r="J421" s="11" t="s">
        <v>75</v>
      </c>
      <c r="K421" s="11">
        <v>1299</v>
      </c>
      <c r="L421" s="49" t="s">
        <v>32</v>
      </c>
      <c r="M421" s="49" t="s">
        <v>76</v>
      </c>
      <c r="N421" s="49" t="s">
        <v>84</v>
      </c>
      <c r="O421" s="49" t="s">
        <v>85</v>
      </c>
      <c r="P421" s="48" t="s">
        <v>79</v>
      </c>
      <c r="Q421" s="49" t="s">
        <v>35</v>
      </c>
      <c r="R421" s="11" t="s">
        <v>80</v>
      </c>
      <c r="S421" s="11" t="s">
        <v>81</v>
      </c>
      <c r="T421" s="11" t="s">
        <v>225</v>
      </c>
      <c r="U421" s="11" t="s">
        <v>226</v>
      </c>
      <c r="V421" s="116" t="s">
        <v>4</v>
      </c>
      <c r="W421" s="88"/>
      <c r="X421" s="51">
        <v>45524</v>
      </c>
      <c r="Y421" s="97" t="s">
        <v>1572</v>
      </c>
      <c r="Z421" s="135" t="s">
        <v>3023</v>
      </c>
      <c r="AA421" s="135">
        <v>0</v>
      </c>
    </row>
    <row r="422" spans="1:27" ht="13" customHeight="1">
      <c r="A422" s="11">
        <v>416</v>
      </c>
      <c r="B422" s="47">
        <v>205608629</v>
      </c>
      <c r="C422" s="89" t="s">
        <v>2575</v>
      </c>
      <c r="D422" s="11" t="s">
        <v>2576</v>
      </c>
      <c r="E422" s="48" t="s">
        <v>31</v>
      </c>
      <c r="F422" s="48" t="s">
        <v>74</v>
      </c>
      <c r="G422" s="11" t="s">
        <v>64</v>
      </c>
      <c r="H422" s="48" t="str">
        <f>VLOOKUP(Table1[[#This Row],[Psoft No]],[1]Roster!$C$2:$H$1402,6,)</f>
        <v>AUH1</v>
      </c>
      <c r="I422" s="48" t="b">
        <f>Table1[[#This Row],[Building]]=Table1[[#This Row],[Column1]]</f>
        <v>1</v>
      </c>
      <c r="J422" s="11" t="s">
        <v>75</v>
      </c>
      <c r="K422" s="11">
        <v>1299</v>
      </c>
      <c r="L422" s="49" t="s">
        <v>39</v>
      </c>
      <c r="M422" s="49" t="s">
        <v>76</v>
      </c>
      <c r="N422" s="49" t="s">
        <v>77</v>
      </c>
      <c r="O422" s="49" t="s">
        <v>78</v>
      </c>
      <c r="P422" s="48" t="s">
        <v>86</v>
      </c>
      <c r="Q422" s="49" t="s">
        <v>35</v>
      </c>
      <c r="R422" s="11" t="s">
        <v>80</v>
      </c>
      <c r="S422" s="11" t="s">
        <v>90</v>
      </c>
      <c r="T422" s="11" t="s">
        <v>224</v>
      </c>
      <c r="U422" s="11" t="s">
        <v>2715</v>
      </c>
      <c r="V422" s="116" t="s">
        <v>1</v>
      </c>
      <c r="W422" s="88"/>
      <c r="X422" s="51">
        <v>45845</v>
      </c>
      <c r="Y422" s="97" t="s">
        <v>1573</v>
      </c>
      <c r="Z422" s="135" t="s">
        <v>2</v>
      </c>
      <c r="AA422" s="135">
        <v>0</v>
      </c>
    </row>
    <row r="423" spans="1:27" ht="13" customHeight="1">
      <c r="A423" s="11">
        <v>417</v>
      </c>
      <c r="B423" s="47">
        <v>205301874</v>
      </c>
      <c r="C423" s="89" t="s">
        <v>1657</v>
      </c>
      <c r="D423" s="11" t="s">
        <v>1968</v>
      </c>
      <c r="E423" s="48" t="s">
        <v>31</v>
      </c>
      <c r="F423" s="48" t="s">
        <v>74</v>
      </c>
      <c r="G423" s="11" t="s">
        <v>64</v>
      </c>
      <c r="H423" s="48" t="str">
        <f>VLOOKUP(Table1[[#This Row],[Psoft No]],[1]Roster!$C$2:$H$1402,6,)</f>
        <v>AUH1</v>
      </c>
      <c r="I423" s="48" t="b">
        <f>Table1[[#This Row],[Building]]=Table1[[#This Row],[Column1]]</f>
        <v>1</v>
      </c>
      <c r="J423" s="11" t="s">
        <v>75</v>
      </c>
      <c r="K423" s="11">
        <v>1299</v>
      </c>
      <c r="L423" s="49" t="s">
        <v>32</v>
      </c>
      <c r="M423" s="49" t="s">
        <v>76</v>
      </c>
      <c r="N423" s="49" t="s">
        <v>77</v>
      </c>
      <c r="O423" s="49" t="s">
        <v>78</v>
      </c>
      <c r="P423" s="48" t="s">
        <v>89</v>
      </c>
      <c r="Q423" s="49" t="s">
        <v>67</v>
      </c>
      <c r="R423" s="11" t="s">
        <v>80</v>
      </c>
      <c r="S423" s="11" t="s">
        <v>96</v>
      </c>
      <c r="T423" s="11" t="s">
        <v>2711</v>
      </c>
      <c r="U423" s="11" t="s">
        <v>2712</v>
      </c>
      <c r="V423" s="116" t="str">
        <f>VLOOKUP(Table1[[#This Row],[AMZ ID]],[2]Sheet3!$A$2:$E$50,5,0)</f>
        <v>PL</v>
      </c>
      <c r="W423" s="88" t="s">
        <v>3015</v>
      </c>
      <c r="X423" s="51">
        <v>45950</v>
      </c>
      <c r="Y423" s="102" t="s">
        <v>1568</v>
      </c>
      <c r="Z423" s="135" t="s">
        <v>3023</v>
      </c>
      <c r="AA423" s="135" t="s">
        <v>3015</v>
      </c>
    </row>
    <row r="424" spans="1:27" ht="13" customHeight="1">
      <c r="A424" s="11">
        <v>418</v>
      </c>
      <c r="B424" s="11">
        <v>206953801</v>
      </c>
      <c r="C424" s="89" t="s">
        <v>2191</v>
      </c>
      <c r="D424" s="11" t="s">
        <v>2192</v>
      </c>
      <c r="E424" s="48" t="s">
        <v>31</v>
      </c>
      <c r="F424" s="48" t="s">
        <v>74</v>
      </c>
      <c r="G424" s="11" t="s">
        <v>64</v>
      </c>
      <c r="H424" s="48" t="str">
        <f>VLOOKUP(Table1[[#This Row],[Psoft No]],[1]Roster!$C$2:$H$1402,6,)</f>
        <v>AUH1</v>
      </c>
      <c r="I424" s="48" t="b">
        <f>Table1[[#This Row],[Building]]=Table1[[#This Row],[Column1]]</f>
        <v>1</v>
      </c>
      <c r="J424" s="11" t="s">
        <v>75</v>
      </c>
      <c r="K424" s="11">
        <v>1299</v>
      </c>
      <c r="L424" s="49" t="s">
        <v>32</v>
      </c>
      <c r="M424" s="49" t="s">
        <v>76</v>
      </c>
      <c r="N424" s="49" t="s">
        <v>78</v>
      </c>
      <c r="O424" s="49" t="s">
        <v>92</v>
      </c>
      <c r="P424" s="49" t="s">
        <v>86</v>
      </c>
      <c r="Q424" s="86" t="s">
        <v>35</v>
      </c>
      <c r="R424" s="11" t="s">
        <v>80</v>
      </c>
      <c r="S424" s="83" t="s">
        <v>90</v>
      </c>
      <c r="T424" s="11" t="s">
        <v>224</v>
      </c>
      <c r="U424" s="54" t="s">
        <v>2715</v>
      </c>
      <c r="V424" s="116" t="s">
        <v>10</v>
      </c>
      <c r="W424" s="88"/>
      <c r="X424" s="51">
        <v>46051</v>
      </c>
      <c r="Y424" s="29" t="s">
        <v>1573</v>
      </c>
      <c r="Z424" s="135" t="s">
        <v>3023</v>
      </c>
      <c r="AA424" s="135">
        <v>0</v>
      </c>
    </row>
    <row r="425" spans="1:27" ht="13" customHeight="1">
      <c r="A425" s="11">
        <v>419</v>
      </c>
      <c r="B425" s="47">
        <v>204246608</v>
      </c>
      <c r="C425" s="89" t="s">
        <v>420</v>
      </c>
      <c r="D425" s="11" t="s">
        <v>421</v>
      </c>
      <c r="E425" s="48" t="s">
        <v>31</v>
      </c>
      <c r="F425" s="48" t="s">
        <v>74</v>
      </c>
      <c r="G425" s="11" t="s">
        <v>64</v>
      </c>
      <c r="H425" s="48" t="str">
        <f>VLOOKUP(Table1[[#This Row],[Psoft No]],[1]Roster!$C$2:$H$1402,6,)</f>
        <v>AUH1</v>
      </c>
      <c r="I425" s="48" t="b">
        <f>Table1[[#This Row],[Building]]=Table1[[#This Row],[Column1]]</f>
        <v>1</v>
      </c>
      <c r="J425" s="11" t="s">
        <v>75</v>
      </c>
      <c r="K425" s="11">
        <v>1299</v>
      </c>
      <c r="L425" s="49" t="s">
        <v>39</v>
      </c>
      <c r="M425" s="49" t="s">
        <v>76</v>
      </c>
      <c r="N425" s="49" t="s">
        <v>78</v>
      </c>
      <c r="O425" s="49" t="s">
        <v>92</v>
      </c>
      <c r="P425" s="48" t="s">
        <v>86</v>
      </c>
      <c r="Q425" s="49" t="s">
        <v>35</v>
      </c>
      <c r="R425" s="11" t="s">
        <v>80</v>
      </c>
      <c r="S425" s="11" t="s">
        <v>87</v>
      </c>
      <c r="T425" s="11" t="s">
        <v>225</v>
      </c>
      <c r="U425" s="11" t="s">
        <v>226</v>
      </c>
      <c r="V425" s="116" t="s">
        <v>10</v>
      </c>
      <c r="W425" s="88"/>
      <c r="X425" s="51">
        <v>45579</v>
      </c>
      <c r="Y425" s="97" t="s">
        <v>1572</v>
      </c>
      <c r="Z425" s="135" t="s">
        <v>3023</v>
      </c>
      <c r="AA425" s="135">
        <v>0</v>
      </c>
    </row>
    <row r="426" spans="1:27" ht="13" customHeight="1">
      <c r="A426" s="11">
        <v>420</v>
      </c>
      <c r="B426" s="47">
        <v>102206142</v>
      </c>
      <c r="C426" s="89" t="s">
        <v>1374</v>
      </c>
      <c r="D426" s="11" t="s">
        <v>1375</v>
      </c>
      <c r="E426" s="48" t="s">
        <v>34</v>
      </c>
      <c r="F426" s="48" t="s">
        <v>74</v>
      </c>
      <c r="G426" s="11" t="s">
        <v>65</v>
      </c>
      <c r="H426" s="48" t="str">
        <f>VLOOKUP(Table1[[#This Row],[Psoft No]],[1]Roster!$C$2:$H$1402,6,)</f>
        <v>AUH3</v>
      </c>
      <c r="I426" s="48" t="b">
        <f>Table1[[#This Row],[Building]]=Table1[[#This Row],[Column1]]</f>
        <v>1</v>
      </c>
      <c r="J426" s="11" t="s">
        <v>1332</v>
      </c>
      <c r="K426" s="11">
        <v>1182</v>
      </c>
      <c r="L426" s="49" t="s">
        <v>32</v>
      </c>
      <c r="M426" s="49" t="s">
        <v>76</v>
      </c>
      <c r="N426" s="49" t="s">
        <v>78</v>
      </c>
      <c r="O426" s="49" t="s">
        <v>92</v>
      </c>
      <c r="P426" s="49" t="s">
        <v>108</v>
      </c>
      <c r="Q426" s="49" t="s">
        <v>68</v>
      </c>
      <c r="R426" s="11" t="s">
        <v>80</v>
      </c>
      <c r="S426" s="11" t="s">
        <v>98</v>
      </c>
      <c r="T426" s="11" t="s">
        <v>1336</v>
      </c>
      <c r="U426" s="11" t="s">
        <v>1337</v>
      </c>
      <c r="V426" s="116" t="s">
        <v>10</v>
      </c>
      <c r="W426" s="88"/>
      <c r="X426" s="51">
        <v>42868</v>
      </c>
      <c r="Y426" s="97" t="s">
        <v>68</v>
      </c>
      <c r="Z426" s="135" t="s">
        <v>3023</v>
      </c>
      <c r="AA426" s="135">
        <v>0</v>
      </c>
    </row>
    <row r="427" spans="1:27" ht="13" customHeight="1">
      <c r="A427" s="11">
        <v>421</v>
      </c>
      <c r="B427" s="47">
        <v>205647828</v>
      </c>
      <c r="C427" s="89" t="s">
        <v>2309</v>
      </c>
      <c r="D427" s="11" t="s">
        <v>2310</v>
      </c>
      <c r="E427" s="48" t="s">
        <v>31</v>
      </c>
      <c r="F427" s="48" t="s">
        <v>74</v>
      </c>
      <c r="G427" s="11" t="s">
        <v>64</v>
      </c>
      <c r="H427" s="48" t="str">
        <f>VLOOKUP(Table1[[#This Row],[Psoft No]],[1]Roster!$C$2:$H$1402,6,)</f>
        <v>AUH1</v>
      </c>
      <c r="I427" s="48" t="b">
        <f>Table1[[#This Row],[Building]]=Table1[[#This Row],[Column1]]</f>
        <v>1</v>
      </c>
      <c r="J427" s="11" t="s">
        <v>75</v>
      </c>
      <c r="K427" s="11">
        <v>1299</v>
      </c>
      <c r="L427" s="49" t="s">
        <v>32</v>
      </c>
      <c r="M427" s="49" t="s">
        <v>76</v>
      </c>
      <c r="N427" s="49" t="s">
        <v>92</v>
      </c>
      <c r="O427" s="49" t="s">
        <v>84</v>
      </c>
      <c r="P427" s="49" t="s">
        <v>89</v>
      </c>
      <c r="Q427" s="49" t="s">
        <v>67</v>
      </c>
      <c r="R427" s="11" t="s">
        <v>80</v>
      </c>
      <c r="S427" s="11" t="s">
        <v>96</v>
      </c>
      <c r="T427" s="11" t="s">
        <v>2711</v>
      </c>
      <c r="U427" s="11" t="s">
        <v>2712</v>
      </c>
      <c r="V427" s="116" t="s">
        <v>10</v>
      </c>
      <c r="W427" s="88"/>
      <c r="X427" s="51">
        <v>45852</v>
      </c>
      <c r="Y427" s="102" t="s">
        <v>1568</v>
      </c>
      <c r="Z427" s="135" t="s">
        <v>3023</v>
      </c>
      <c r="AA427" s="135">
        <v>0</v>
      </c>
    </row>
    <row r="428" spans="1:27" ht="13" customHeight="1">
      <c r="A428" s="11">
        <v>422</v>
      </c>
      <c r="B428" s="47">
        <v>204246616</v>
      </c>
      <c r="C428" s="89" t="s">
        <v>426</v>
      </c>
      <c r="D428" s="11" t="s">
        <v>427</v>
      </c>
      <c r="E428" s="48" t="s">
        <v>31</v>
      </c>
      <c r="F428" s="48" t="s">
        <v>74</v>
      </c>
      <c r="G428" s="11" t="s">
        <v>64</v>
      </c>
      <c r="H428" s="48" t="str">
        <f>VLOOKUP(Table1[[#This Row],[Psoft No]],[1]Roster!$C$2:$H$1402,6,)</f>
        <v>AUH1</v>
      </c>
      <c r="I428" s="48" t="b">
        <f>Table1[[#This Row],[Building]]=Table1[[#This Row],[Column1]]</f>
        <v>1</v>
      </c>
      <c r="J428" s="11" t="s">
        <v>75</v>
      </c>
      <c r="K428" s="11">
        <v>1299</v>
      </c>
      <c r="L428" s="49" t="s">
        <v>39</v>
      </c>
      <c r="M428" s="49" t="s">
        <v>76</v>
      </c>
      <c r="N428" s="49" t="s">
        <v>78</v>
      </c>
      <c r="O428" s="49" t="s">
        <v>92</v>
      </c>
      <c r="P428" s="48" t="s">
        <v>86</v>
      </c>
      <c r="Q428" s="49" t="s">
        <v>35</v>
      </c>
      <c r="R428" s="11" t="s">
        <v>80</v>
      </c>
      <c r="S428" s="11" t="s">
        <v>87</v>
      </c>
      <c r="T428" s="11" t="s">
        <v>224</v>
      </c>
      <c r="U428" s="11" t="s">
        <v>2715</v>
      </c>
      <c r="V428" s="116" t="s">
        <v>10</v>
      </c>
      <c r="W428" s="88"/>
      <c r="X428" s="51">
        <v>45579</v>
      </c>
      <c r="Y428" s="97" t="s">
        <v>1573</v>
      </c>
      <c r="Z428" s="135" t="s">
        <v>3023</v>
      </c>
      <c r="AA428" s="135">
        <v>0</v>
      </c>
    </row>
    <row r="429" spans="1:27" ht="13" customHeight="1">
      <c r="A429" s="11">
        <v>423</v>
      </c>
      <c r="B429" s="47">
        <v>206883746</v>
      </c>
      <c r="C429" s="89" t="s">
        <v>1790</v>
      </c>
      <c r="D429" s="11" t="s">
        <v>1791</v>
      </c>
      <c r="E429" s="48" t="s">
        <v>31</v>
      </c>
      <c r="F429" s="48" t="s">
        <v>74</v>
      </c>
      <c r="G429" s="11" t="s">
        <v>64</v>
      </c>
      <c r="H429" s="48" t="str">
        <f>VLOOKUP(Table1[[#This Row],[Psoft No]],[1]Roster!$C$2:$H$1402,6,)</f>
        <v>AUH1</v>
      </c>
      <c r="I429" s="48" t="b">
        <f>Table1[[#This Row],[Building]]=Table1[[#This Row],[Column1]]</f>
        <v>1</v>
      </c>
      <c r="J429" s="11" t="s">
        <v>75</v>
      </c>
      <c r="K429" s="11">
        <v>1299</v>
      </c>
      <c r="L429" s="49" t="s">
        <v>32</v>
      </c>
      <c r="M429" s="49" t="s">
        <v>76</v>
      </c>
      <c r="N429" s="49" t="s">
        <v>78</v>
      </c>
      <c r="O429" s="49" t="s">
        <v>92</v>
      </c>
      <c r="P429" s="48" t="s">
        <v>89</v>
      </c>
      <c r="Q429" s="49" t="s">
        <v>35</v>
      </c>
      <c r="R429" s="11" t="s">
        <v>80</v>
      </c>
      <c r="S429" s="11" t="s">
        <v>96</v>
      </c>
      <c r="T429" s="11" t="s">
        <v>231</v>
      </c>
      <c r="U429" s="11" t="s">
        <v>1753</v>
      </c>
      <c r="V429" s="116" t="s">
        <v>10</v>
      </c>
      <c r="W429" s="88"/>
      <c r="X429" s="51">
        <v>46027</v>
      </c>
      <c r="Y429" s="97" t="s">
        <v>1573</v>
      </c>
      <c r="Z429" s="135" t="s">
        <v>3023</v>
      </c>
      <c r="AA429" s="135">
        <v>0</v>
      </c>
    </row>
    <row r="430" spans="1:27" ht="13" customHeight="1">
      <c r="A430" s="11">
        <v>424</v>
      </c>
      <c r="B430" s="47">
        <v>206004604</v>
      </c>
      <c r="C430" s="89" t="s">
        <v>430</v>
      </c>
      <c r="D430" s="11" t="s">
        <v>431</v>
      </c>
      <c r="E430" s="48" t="s">
        <v>31</v>
      </c>
      <c r="F430" s="48" t="s">
        <v>74</v>
      </c>
      <c r="G430" s="11" t="s">
        <v>64</v>
      </c>
      <c r="H430" s="48" t="str">
        <f>VLOOKUP(Table1[[#This Row],[Psoft No]],[1]Roster!$C$2:$H$1402,6,)</f>
        <v>AUH1</v>
      </c>
      <c r="I430" s="48" t="b">
        <f>Table1[[#This Row],[Building]]=Table1[[#This Row],[Column1]]</f>
        <v>1</v>
      </c>
      <c r="J430" s="11" t="s">
        <v>75</v>
      </c>
      <c r="K430" s="11">
        <v>1299</v>
      </c>
      <c r="L430" s="49" t="s">
        <v>32</v>
      </c>
      <c r="M430" s="49" t="s">
        <v>76</v>
      </c>
      <c r="N430" s="49" t="s">
        <v>78</v>
      </c>
      <c r="O430" s="49" t="s">
        <v>92</v>
      </c>
      <c r="P430" s="48" t="s">
        <v>79</v>
      </c>
      <c r="Q430" s="49" t="s">
        <v>35</v>
      </c>
      <c r="R430" s="11" t="s">
        <v>80</v>
      </c>
      <c r="S430" s="11" t="s">
        <v>81</v>
      </c>
      <c r="T430" s="11" t="s">
        <v>225</v>
      </c>
      <c r="U430" s="11" t="s">
        <v>226</v>
      </c>
      <c r="V430" s="116" t="s">
        <v>10</v>
      </c>
      <c r="W430" s="88"/>
      <c r="X430" s="51">
        <v>45915</v>
      </c>
      <c r="Y430" s="97" t="s">
        <v>1574</v>
      </c>
      <c r="Z430" s="135" t="s">
        <v>3023</v>
      </c>
      <c r="AA430" s="135">
        <v>0</v>
      </c>
    </row>
    <row r="431" spans="1:27" ht="13" customHeight="1">
      <c r="A431" s="11">
        <v>425</v>
      </c>
      <c r="B431" s="47">
        <v>206846703</v>
      </c>
      <c r="C431" s="89" t="s">
        <v>2577</v>
      </c>
      <c r="D431" s="11" t="s">
        <v>2578</v>
      </c>
      <c r="E431" s="48" t="s">
        <v>31</v>
      </c>
      <c r="F431" s="48" t="s">
        <v>74</v>
      </c>
      <c r="G431" s="11" t="s">
        <v>64</v>
      </c>
      <c r="H431" s="48" t="str">
        <f>VLOOKUP(Table1[[#This Row],[Psoft No]],[1]Roster!$C$2:$H$1402,6,)</f>
        <v>AUH1</v>
      </c>
      <c r="I431" s="48" t="b">
        <f>Table1[[#This Row],[Building]]=Table1[[#This Row],[Column1]]</f>
        <v>1</v>
      </c>
      <c r="J431" s="11" t="s">
        <v>75</v>
      </c>
      <c r="K431" s="11">
        <v>1299</v>
      </c>
      <c r="L431" s="49" t="s">
        <v>39</v>
      </c>
      <c r="M431" s="49" t="s">
        <v>76</v>
      </c>
      <c r="N431" s="49" t="s">
        <v>88</v>
      </c>
      <c r="O431" s="49" t="s">
        <v>95</v>
      </c>
      <c r="P431" s="48" t="s">
        <v>89</v>
      </c>
      <c r="Q431" s="49" t="s">
        <v>35</v>
      </c>
      <c r="R431" s="11" t="s">
        <v>80</v>
      </c>
      <c r="S431" s="11" t="s">
        <v>90</v>
      </c>
      <c r="T431" s="11" t="s">
        <v>231</v>
      </c>
      <c r="U431" s="11" t="s">
        <v>1753</v>
      </c>
      <c r="V431" s="116" t="s">
        <v>1</v>
      </c>
      <c r="W431" s="88"/>
      <c r="X431" s="51">
        <v>46013</v>
      </c>
      <c r="Y431" s="97" t="s">
        <v>1573</v>
      </c>
      <c r="Z431" s="135" t="s">
        <v>2</v>
      </c>
      <c r="AA431" s="135">
        <v>0</v>
      </c>
    </row>
    <row r="432" spans="1:27" ht="13" customHeight="1">
      <c r="A432" s="11">
        <v>426</v>
      </c>
      <c r="B432" s="47">
        <v>204882795</v>
      </c>
      <c r="C432" s="89" t="s">
        <v>432</v>
      </c>
      <c r="D432" s="11" t="s">
        <v>433</v>
      </c>
      <c r="E432" s="48" t="s">
        <v>31</v>
      </c>
      <c r="F432" s="48" t="s">
        <v>74</v>
      </c>
      <c r="G432" s="11" t="s">
        <v>64</v>
      </c>
      <c r="H432" s="48" t="str">
        <f>VLOOKUP(Table1[[#This Row],[Psoft No]],[1]Roster!$C$2:$H$1402,6,)</f>
        <v>AUH1</v>
      </c>
      <c r="I432" s="48" t="b">
        <f>Table1[[#This Row],[Building]]=Table1[[#This Row],[Column1]]</f>
        <v>1</v>
      </c>
      <c r="J432" s="11" t="s">
        <v>75</v>
      </c>
      <c r="K432" s="11">
        <v>1299</v>
      </c>
      <c r="L432" s="49" t="s">
        <v>39</v>
      </c>
      <c r="M432" s="49" t="s">
        <v>76</v>
      </c>
      <c r="N432" s="49" t="s">
        <v>77</v>
      </c>
      <c r="O432" s="49" t="s">
        <v>78</v>
      </c>
      <c r="P432" s="48" t="s">
        <v>86</v>
      </c>
      <c r="Q432" s="49" t="s">
        <v>35</v>
      </c>
      <c r="R432" s="11" t="s">
        <v>80</v>
      </c>
      <c r="S432" s="11" t="s">
        <v>90</v>
      </c>
      <c r="T432" s="11" t="s">
        <v>224</v>
      </c>
      <c r="U432" s="11" t="s">
        <v>2715</v>
      </c>
      <c r="V432" s="116" t="s">
        <v>1</v>
      </c>
      <c r="W432" s="88"/>
      <c r="X432" s="51">
        <v>45826</v>
      </c>
      <c r="Y432" s="97" t="s">
        <v>1573</v>
      </c>
      <c r="Z432" s="135" t="s">
        <v>2</v>
      </c>
      <c r="AA432" s="135">
        <v>0</v>
      </c>
    </row>
    <row r="433" spans="1:27" ht="13" customHeight="1">
      <c r="A433" s="11">
        <v>427</v>
      </c>
      <c r="B433" s="47">
        <v>203737144</v>
      </c>
      <c r="C433" s="89" t="s">
        <v>435</v>
      </c>
      <c r="D433" s="11" t="s">
        <v>436</v>
      </c>
      <c r="E433" s="48" t="s">
        <v>31</v>
      </c>
      <c r="F433" s="48" t="s">
        <v>74</v>
      </c>
      <c r="G433" s="11" t="s">
        <v>64</v>
      </c>
      <c r="H433" s="48" t="str">
        <f>VLOOKUP(Table1[[#This Row],[Psoft No]],[1]Roster!$C$2:$H$1402,6,)</f>
        <v>AUH1</v>
      </c>
      <c r="I433" s="48" t="b">
        <f>Table1[[#This Row],[Building]]=Table1[[#This Row],[Column1]]</f>
        <v>1</v>
      </c>
      <c r="J433" s="11" t="s">
        <v>75</v>
      </c>
      <c r="K433" s="11">
        <v>1299</v>
      </c>
      <c r="L433" s="49" t="s">
        <v>32</v>
      </c>
      <c r="M433" s="49" t="s">
        <v>76</v>
      </c>
      <c r="N433" s="49" t="s">
        <v>85</v>
      </c>
      <c r="O433" s="49" t="s">
        <v>88</v>
      </c>
      <c r="P433" s="48" t="s">
        <v>79</v>
      </c>
      <c r="Q433" s="49" t="s">
        <v>35</v>
      </c>
      <c r="R433" s="11" t="s">
        <v>80</v>
      </c>
      <c r="S433" s="11" t="s">
        <v>81</v>
      </c>
      <c r="T433" s="11" t="s">
        <v>224</v>
      </c>
      <c r="U433" s="11" t="s">
        <v>2715</v>
      </c>
      <c r="V433" s="116" t="str">
        <f>VLOOKUP(Table1[[#This Row],[Psoft No]],[2]Sheet1!$A$2:$G$386,7,0)</f>
        <v>P</v>
      </c>
      <c r="W433" s="88"/>
      <c r="X433" s="51">
        <v>45502</v>
      </c>
      <c r="Y433" s="97" t="s">
        <v>1573</v>
      </c>
      <c r="Z433" s="135" t="s">
        <v>2</v>
      </c>
      <c r="AA433" s="135">
        <v>0</v>
      </c>
    </row>
    <row r="434" spans="1:27" ht="13" customHeight="1">
      <c r="A434" s="11">
        <v>428</v>
      </c>
      <c r="B434" s="47">
        <v>102434104</v>
      </c>
      <c r="C434" s="89" t="s">
        <v>2461</v>
      </c>
      <c r="D434" s="11" t="s">
        <v>2462</v>
      </c>
      <c r="E434" s="48" t="s">
        <v>34</v>
      </c>
      <c r="F434" s="48" t="s">
        <v>74</v>
      </c>
      <c r="G434" s="11" t="s">
        <v>64</v>
      </c>
      <c r="H434" s="48" t="str">
        <f>VLOOKUP(Table1[[#This Row],[Psoft No]],[1]Roster!$C$2:$H$1402,6,)</f>
        <v>AUH1</v>
      </c>
      <c r="I434" s="48" t="b">
        <f>Table1[[#This Row],[Building]]=Table1[[#This Row],[Column1]]</f>
        <v>1</v>
      </c>
      <c r="J434" s="11" t="s">
        <v>75</v>
      </c>
      <c r="K434" s="11">
        <v>1299</v>
      </c>
      <c r="L434" s="49" t="s">
        <v>32</v>
      </c>
      <c r="M434" s="49" t="s">
        <v>76</v>
      </c>
      <c r="N434" s="49" t="s">
        <v>88</v>
      </c>
      <c r="O434" s="49" t="s">
        <v>95</v>
      </c>
      <c r="P434" s="48" t="s">
        <v>97</v>
      </c>
      <c r="Q434" s="49" t="s">
        <v>35</v>
      </c>
      <c r="R434" s="11" t="s">
        <v>80</v>
      </c>
      <c r="S434" s="11" t="s">
        <v>98</v>
      </c>
      <c r="T434" s="11" t="s">
        <v>231</v>
      </c>
      <c r="U434" s="11" t="s">
        <v>1753</v>
      </c>
      <c r="V434" s="116" t="str">
        <f>VLOOKUP(Table1[[#This Row],[Psoft No]],[2]Sheet1!$A$2:$G$386,7,0)</f>
        <v>P</v>
      </c>
      <c r="W434" s="88"/>
      <c r="X434" s="51">
        <v>42883</v>
      </c>
      <c r="Y434" s="97" t="s">
        <v>1575</v>
      </c>
      <c r="Z434" s="135" t="s">
        <v>2</v>
      </c>
      <c r="AA434" s="135">
        <v>0</v>
      </c>
    </row>
    <row r="435" spans="1:27" ht="13" customHeight="1">
      <c r="A435" s="11">
        <v>429</v>
      </c>
      <c r="B435" s="47">
        <v>204967153</v>
      </c>
      <c r="C435" s="89" t="s">
        <v>2579</v>
      </c>
      <c r="D435" s="11" t="s">
        <v>2580</v>
      </c>
      <c r="E435" s="48" t="s">
        <v>31</v>
      </c>
      <c r="F435" s="48" t="s">
        <v>74</v>
      </c>
      <c r="G435" s="11" t="s">
        <v>64</v>
      </c>
      <c r="H435" s="48" t="str">
        <f>VLOOKUP(Table1[[#This Row],[Psoft No]],[1]Roster!$C$2:$H$1402,6,)</f>
        <v>AUH1</v>
      </c>
      <c r="I435" s="48" t="b">
        <f>Table1[[#This Row],[Building]]=Table1[[#This Row],[Column1]]</f>
        <v>1</v>
      </c>
      <c r="J435" s="11" t="s">
        <v>75</v>
      </c>
      <c r="K435" s="11">
        <v>1299</v>
      </c>
      <c r="L435" s="49" t="s">
        <v>39</v>
      </c>
      <c r="M435" s="49" t="s">
        <v>76</v>
      </c>
      <c r="N435" s="49" t="s">
        <v>92</v>
      </c>
      <c r="O435" s="49" t="s">
        <v>84</v>
      </c>
      <c r="P435" s="48" t="s">
        <v>86</v>
      </c>
      <c r="Q435" s="49" t="s">
        <v>35</v>
      </c>
      <c r="R435" s="11" t="s">
        <v>80</v>
      </c>
      <c r="S435" s="11" t="s">
        <v>90</v>
      </c>
      <c r="T435" s="11" t="s">
        <v>224</v>
      </c>
      <c r="U435" s="11" t="s">
        <v>2715</v>
      </c>
      <c r="V435" s="116" t="s">
        <v>10</v>
      </c>
      <c r="W435" s="88"/>
      <c r="X435" s="51">
        <v>45826</v>
      </c>
      <c r="Y435" s="97" t="s">
        <v>1573</v>
      </c>
      <c r="Z435" s="135" t="s">
        <v>3023</v>
      </c>
      <c r="AA435" s="135">
        <v>0</v>
      </c>
    </row>
    <row r="436" spans="1:27" ht="13" customHeight="1">
      <c r="A436" s="11">
        <v>430</v>
      </c>
      <c r="B436" s="47">
        <v>206015634</v>
      </c>
      <c r="C436" s="89" t="s">
        <v>437</v>
      </c>
      <c r="D436" s="11" t="s">
        <v>438</v>
      </c>
      <c r="E436" s="48" t="s">
        <v>31</v>
      </c>
      <c r="F436" s="48" t="s">
        <v>74</v>
      </c>
      <c r="G436" s="11" t="s">
        <v>64</v>
      </c>
      <c r="H436" s="48" t="str">
        <f>VLOOKUP(Table1[[#This Row],[Psoft No]],[1]Roster!$C$2:$H$1402,6,)</f>
        <v>AUH1</v>
      </c>
      <c r="I436" s="48" t="b">
        <f>Table1[[#This Row],[Building]]=Table1[[#This Row],[Column1]]</f>
        <v>1</v>
      </c>
      <c r="J436" s="11" t="s">
        <v>75</v>
      </c>
      <c r="K436" s="11">
        <v>1299</v>
      </c>
      <c r="L436" s="49" t="s">
        <v>32</v>
      </c>
      <c r="M436" s="49" t="s">
        <v>76</v>
      </c>
      <c r="N436" s="49" t="s">
        <v>88</v>
      </c>
      <c r="O436" s="49" t="s">
        <v>95</v>
      </c>
      <c r="P436" s="48" t="s">
        <v>79</v>
      </c>
      <c r="Q436" s="49" t="s">
        <v>35</v>
      </c>
      <c r="R436" s="11" t="s">
        <v>80</v>
      </c>
      <c r="S436" s="11" t="s">
        <v>81</v>
      </c>
      <c r="T436" s="11" t="s">
        <v>231</v>
      </c>
      <c r="U436" s="11" t="s">
        <v>1753</v>
      </c>
      <c r="V436" s="116" t="s">
        <v>3</v>
      </c>
      <c r="W436" s="88"/>
      <c r="X436" s="51">
        <v>45915</v>
      </c>
      <c r="Y436" s="97" t="s">
        <v>1571</v>
      </c>
      <c r="Z436" s="135" t="s">
        <v>3023</v>
      </c>
      <c r="AA436" s="135">
        <v>0</v>
      </c>
    </row>
    <row r="437" spans="1:27" ht="13" customHeight="1">
      <c r="A437" s="11">
        <v>431</v>
      </c>
      <c r="B437" s="47">
        <v>203736757</v>
      </c>
      <c r="C437" s="89" t="s">
        <v>440</v>
      </c>
      <c r="D437" s="11" t="s">
        <v>441</v>
      </c>
      <c r="E437" s="48" t="s">
        <v>31</v>
      </c>
      <c r="F437" s="48" t="s">
        <v>74</v>
      </c>
      <c r="G437" s="11" t="s">
        <v>64</v>
      </c>
      <c r="H437" s="48" t="str">
        <f>VLOOKUP(Table1[[#This Row],[Psoft No]],[1]Roster!$C$2:$H$1402,6,)</f>
        <v>AUH1</v>
      </c>
      <c r="I437" s="48" t="b">
        <f>Table1[[#This Row],[Building]]=Table1[[#This Row],[Column1]]</f>
        <v>1</v>
      </c>
      <c r="J437" s="11" t="s">
        <v>75</v>
      </c>
      <c r="K437" s="11">
        <v>1299</v>
      </c>
      <c r="L437" s="49" t="s">
        <v>32</v>
      </c>
      <c r="M437" s="49" t="s">
        <v>76</v>
      </c>
      <c r="N437" s="49" t="s">
        <v>88</v>
      </c>
      <c r="O437" s="49" t="s">
        <v>95</v>
      </c>
      <c r="P437" s="48" t="s">
        <v>86</v>
      </c>
      <c r="Q437" s="49" t="s">
        <v>35</v>
      </c>
      <c r="R437" s="11" t="s">
        <v>80</v>
      </c>
      <c r="S437" s="11" t="s">
        <v>99</v>
      </c>
      <c r="T437" s="11" t="s">
        <v>231</v>
      </c>
      <c r="U437" s="11" t="s">
        <v>1753</v>
      </c>
      <c r="V437" s="116" t="str">
        <f>VLOOKUP(Table1[[#This Row],[Psoft No]],[2]Sheet1!$A$2:$G$386,7,0)</f>
        <v>P</v>
      </c>
      <c r="W437" s="88"/>
      <c r="X437" s="51">
        <v>45502</v>
      </c>
      <c r="Y437" s="97" t="s">
        <v>1573</v>
      </c>
      <c r="Z437" s="135" t="s">
        <v>2</v>
      </c>
      <c r="AA437" s="135">
        <v>0</v>
      </c>
    </row>
    <row r="438" spans="1:27" ht="13" customHeight="1">
      <c r="A438" s="11">
        <v>432</v>
      </c>
      <c r="B438" s="47">
        <v>206874057</v>
      </c>
      <c r="C438" s="89" t="s">
        <v>2581</v>
      </c>
      <c r="D438" s="11" t="s">
        <v>2582</v>
      </c>
      <c r="E438" s="48" t="s">
        <v>31</v>
      </c>
      <c r="F438" s="48" t="s">
        <v>74</v>
      </c>
      <c r="G438" s="48" t="s">
        <v>64</v>
      </c>
      <c r="H438" s="48" t="str">
        <f>VLOOKUP(Table1[[#This Row],[Psoft No]],[1]Roster!$C$2:$H$1402,6,)</f>
        <v>AUH1</v>
      </c>
      <c r="I438" s="48" t="b">
        <f>Table1[[#This Row],[Building]]=Table1[[#This Row],[Column1]]</f>
        <v>1</v>
      </c>
      <c r="J438" s="48" t="s">
        <v>75</v>
      </c>
      <c r="K438" s="11">
        <v>1299</v>
      </c>
      <c r="L438" s="49" t="s">
        <v>39</v>
      </c>
      <c r="M438" s="49" t="s">
        <v>76</v>
      </c>
      <c r="N438" s="49" t="s">
        <v>85</v>
      </c>
      <c r="O438" s="49" t="s">
        <v>88</v>
      </c>
      <c r="P438" s="49" t="s">
        <v>89</v>
      </c>
      <c r="Q438" s="48" t="s">
        <v>35</v>
      </c>
      <c r="R438" s="48" t="s">
        <v>80</v>
      </c>
      <c r="S438" s="11" t="s">
        <v>90</v>
      </c>
      <c r="T438" s="11" t="s">
        <v>231</v>
      </c>
      <c r="U438" s="11" t="s">
        <v>1753</v>
      </c>
      <c r="V438" s="116" t="s">
        <v>1</v>
      </c>
      <c r="W438" s="88"/>
      <c r="X438" s="51">
        <v>46020</v>
      </c>
      <c r="Y438" s="97" t="s">
        <v>1573</v>
      </c>
      <c r="Z438" s="135" t="s">
        <v>2</v>
      </c>
      <c r="AA438" s="135">
        <v>0</v>
      </c>
    </row>
    <row r="439" spans="1:27" ht="13" customHeight="1">
      <c r="A439" s="11">
        <v>433</v>
      </c>
      <c r="B439" s="47">
        <v>102207635</v>
      </c>
      <c r="C439" s="89" t="s">
        <v>1410</v>
      </c>
      <c r="D439" s="11" t="s">
        <v>1411</v>
      </c>
      <c r="E439" s="48" t="s">
        <v>34</v>
      </c>
      <c r="F439" s="48" t="s">
        <v>74</v>
      </c>
      <c r="G439" s="11" t="s">
        <v>65</v>
      </c>
      <c r="H439" s="48" t="str">
        <f>VLOOKUP(Table1[[#This Row],[Psoft No]],[1]Roster!$C$2:$H$1402,6,)</f>
        <v>AUH3</v>
      </c>
      <c r="I439" s="48" t="b">
        <f>Table1[[#This Row],[Building]]=Table1[[#This Row],[Column1]]</f>
        <v>1</v>
      </c>
      <c r="J439" s="11" t="s">
        <v>1332</v>
      </c>
      <c r="K439" s="11">
        <v>1181</v>
      </c>
      <c r="L439" s="49" t="s">
        <v>32</v>
      </c>
      <c r="M439" s="49" t="s">
        <v>76</v>
      </c>
      <c r="N439" s="49" t="s">
        <v>92</v>
      </c>
      <c r="O439" s="49" t="s">
        <v>84</v>
      </c>
      <c r="P439" s="48" t="s">
        <v>1333</v>
      </c>
      <c r="Q439" s="49" t="s">
        <v>68</v>
      </c>
      <c r="R439" s="11" t="s">
        <v>80</v>
      </c>
      <c r="S439" s="11" t="s">
        <v>98</v>
      </c>
      <c r="T439" s="11" t="s">
        <v>1336</v>
      </c>
      <c r="U439" s="11" t="s">
        <v>1337</v>
      </c>
      <c r="V439" s="116" t="s">
        <v>10</v>
      </c>
      <c r="W439" s="88"/>
      <c r="X439" s="51">
        <v>42868</v>
      </c>
      <c r="Y439" s="97" t="s">
        <v>68</v>
      </c>
      <c r="Z439" s="135" t="s">
        <v>3023</v>
      </c>
      <c r="AA439" s="135">
        <v>0</v>
      </c>
    </row>
    <row r="440" spans="1:27" ht="13" customHeight="1">
      <c r="A440" s="11">
        <v>434</v>
      </c>
      <c r="B440" s="47">
        <v>203736776</v>
      </c>
      <c r="C440" s="89" t="s">
        <v>442</v>
      </c>
      <c r="D440" s="11" t="s">
        <v>443</v>
      </c>
      <c r="E440" s="48" t="s">
        <v>31</v>
      </c>
      <c r="F440" s="48" t="s">
        <v>74</v>
      </c>
      <c r="G440" s="11" t="s">
        <v>64</v>
      </c>
      <c r="H440" s="48" t="str">
        <f>VLOOKUP(Table1[[#This Row],[Psoft No]],[1]Roster!$C$2:$H$1402,6,)</f>
        <v>AUH1</v>
      </c>
      <c r="I440" s="48" t="b">
        <f>Table1[[#This Row],[Building]]=Table1[[#This Row],[Column1]]</f>
        <v>1</v>
      </c>
      <c r="J440" s="11" t="s">
        <v>75</v>
      </c>
      <c r="K440" s="11">
        <v>1299</v>
      </c>
      <c r="L440" s="49" t="s">
        <v>39</v>
      </c>
      <c r="M440" s="49" t="s">
        <v>76</v>
      </c>
      <c r="N440" s="49" t="s">
        <v>88</v>
      </c>
      <c r="O440" s="49" t="s">
        <v>95</v>
      </c>
      <c r="P440" s="48" t="s">
        <v>86</v>
      </c>
      <c r="Q440" s="49" t="s">
        <v>35</v>
      </c>
      <c r="R440" s="11" t="s">
        <v>80</v>
      </c>
      <c r="S440" s="11" t="s">
        <v>99</v>
      </c>
      <c r="T440" s="11" t="s">
        <v>224</v>
      </c>
      <c r="U440" s="11" t="s">
        <v>2715</v>
      </c>
      <c r="V440" s="116" t="s">
        <v>1</v>
      </c>
      <c r="W440" s="88"/>
      <c r="X440" s="51">
        <v>45502</v>
      </c>
      <c r="Y440" s="97" t="s">
        <v>1573</v>
      </c>
      <c r="Z440" s="135" t="s">
        <v>2</v>
      </c>
      <c r="AA440" s="135">
        <v>0</v>
      </c>
    </row>
    <row r="441" spans="1:27" ht="13" customHeight="1">
      <c r="A441" s="11">
        <v>435</v>
      </c>
      <c r="B441" s="47">
        <v>204868850</v>
      </c>
      <c r="C441" s="89" t="s">
        <v>444</v>
      </c>
      <c r="D441" s="11" t="s">
        <v>445</v>
      </c>
      <c r="E441" s="48" t="s">
        <v>31</v>
      </c>
      <c r="F441" s="48" t="s">
        <v>74</v>
      </c>
      <c r="G441" s="11" t="s">
        <v>64</v>
      </c>
      <c r="H441" s="48" t="str">
        <f>VLOOKUP(Table1[[#This Row],[Psoft No]],[1]Roster!$C$2:$H$1402,6,)</f>
        <v>AUH1</v>
      </c>
      <c r="I441" s="48" t="b">
        <f>Table1[[#This Row],[Building]]=Table1[[#This Row],[Column1]]</f>
        <v>1</v>
      </c>
      <c r="J441" s="11" t="s">
        <v>75</v>
      </c>
      <c r="K441" s="11">
        <v>1299</v>
      </c>
      <c r="L441" s="49" t="s">
        <v>32</v>
      </c>
      <c r="M441" s="49" t="s">
        <v>76</v>
      </c>
      <c r="N441" s="49" t="s">
        <v>85</v>
      </c>
      <c r="O441" s="49" t="s">
        <v>88</v>
      </c>
      <c r="P441" s="48" t="s">
        <v>86</v>
      </c>
      <c r="Q441" s="49" t="s">
        <v>35</v>
      </c>
      <c r="R441" s="11" t="s">
        <v>80</v>
      </c>
      <c r="S441" s="11" t="s">
        <v>87</v>
      </c>
      <c r="T441" s="11" t="s">
        <v>225</v>
      </c>
      <c r="U441" s="11" t="s">
        <v>226</v>
      </c>
      <c r="V441" s="116" t="str">
        <f>VLOOKUP(Table1[[#This Row],[Psoft No]],[2]Sheet1!$A$2:$G$386,7,0)</f>
        <v>P</v>
      </c>
      <c r="W441" s="88"/>
      <c r="X441" s="51">
        <v>45691</v>
      </c>
      <c r="Y441" s="97" t="s">
        <v>1572</v>
      </c>
      <c r="Z441" s="135" t="s">
        <v>2</v>
      </c>
      <c r="AA441" s="135">
        <v>0</v>
      </c>
    </row>
    <row r="442" spans="1:27" ht="13" customHeight="1">
      <c r="A442" s="11">
        <v>436</v>
      </c>
      <c r="B442" s="47">
        <v>204246610</v>
      </c>
      <c r="C442" s="89" t="s">
        <v>446</v>
      </c>
      <c r="D442" s="11" t="s">
        <v>447</v>
      </c>
      <c r="E442" s="48" t="s">
        <v>31</v>
      </c>
      <c r="F442" s="48" t="s">
        <v>74</v>
      </c>
      <c r="G442" s="11" t="s">
        <v>65</v>
      </c>
      <c r="H442" s="48" t="str">
        <f>VLOOKUP(Table1[[#This Row],[Psoft No]],[1]Roster!$C$2:$H$1402,6,)</f>
        <v>AUH3</v>
      </c>
      <c r="I442" s="48" t="b">
        <f>Table1[[#This Row],[Building]]=Table1[[#This Row],[Column1]]</f>
        <v>1</v>
      </c>
      <c r="J442" s="11" t="s">
        <v>75</v>
      </c>
      <c r="K442" s="11">
        <v>1299</v>
      </c>
      <c r="L442" s="49" t="s">
        <v>39</v>
      </c>
      <c r="M442" s="49" t="s">
        <v>76</v>
      </c>
      <c r="N442" s="49" t="s">
        <v>78</v>
      </c>
      <c r="O442" s="49" t="s">
        <v>92</v>
      </c>
      <c r="P442" s="48" t="s">
        <v>86</v>
      </c>
      <c r="Q442" s="49" t="s">
        <v>68</v>
      </c>
      <c r="R442" s="11" t="s">
        <v>80</v>
      </c>
      <c r="S442" s="11" t="s">
        <v>87</v>
      </c>
      <c r="T442" s="11" t="s">
        <v>2720</v>
      </c>
      <c r="U442" s="11" t="s">
        <v>2721</v>
      </c>
      <c r="V442" s="116" t="s">
        <v>10</v>
      </c>
      <c r="W442" s="88"/>
      <c r="X442" s="51">
        <v>45579</v>
      </c>
      <c r="Y442" s="97" t="s">
        <v>68</v>
      </c>
      <c r="Z442" s="135" t="s">
        <v>3023</v>
      </c>
      <c r="AA442" s="135">
        <v>0</v>
      </c>
    </row>
    <row r="443" spans="1:27" ht="13" customHeight="1">
      <c r="A443" s="11">
        <v>437</v>
      </c>
      <c r="B443" s="47">
        <v>109468376</v>
      </c>
      <c r="C443" s="89" t="s">
        <v>2201</v>
      </c>
      <c r="D443" s="11" t="s">
        <v>2202</v>
      </c>
      <c r="E443" s="48" t="s">
        <v>34</v>
      </c>
      <c r="F443" s="48" t="s">
        <v>74</v>
      </c>
      <c r="G443" s="11" t="s">
        <v>64</v>
      </c>
      <c r="H443" s="48" t="str">
        <f>VLOOKUP(Table1[[#This Row],[Psoft No]],[1]Roster!$C$2:$H$1402,6,)</f>
        <v>AUH1</v>
      </c>
      <c r="I443" s="48" t="b">
        <f>Table1[[#This Row],[Building]]=Table1[[#This Row],[Column1]]</f>
        <v>1</v>
      </c>
      <c r="J443" s="11" t="s">
        <v>75</v>
      </c>
      <c r="K443" s="11">
        <v>1299</v>
      </c>
      <c r="L443" s="87" t="s">
        <v>32</v>
      </c>
      <c r="M443" s="49" t="s">
        <v>76</v>
      </c>
      <c r="N443" s="49" t="s">
        <v>78</v>
      </c>
      <c r="O443" s="49" t="s">
        <v>92</v>
      </c>
      <c r="P443" s="48" t="s">
        <v>97</v>
      </c>
      <c r="Q443" s="49" t="s">
        <v>35</v>
      </c>
      <c r="R443" s="11" t="s">
        <v>80</v>
      </c>
      <c r="S443" s="11" t="s">
        <v>98</v>
      </c>
      <c r="T443" s="11" t="s">
        <v>224</v>
      </c>
      <c r="U443" s="11" t="s">
        <v>2715</v>
      </c>
      <c r="V443" s="116" t="s">
        <v>10</v>
      </c>
      <c r="W443" s="88"/>
      <c r="X443" s="51">
        <v>44812</v>
      </c>
      <c r="Y443" s="97" t="s">
        <v>1575</v>
      </c>
      <c r="Z443" s="135" t="s">
        <v>3023</v>
      </c>
      <c r="AA443" s="135">
        <v>0</v>
      </c>
    </row>
    <row r="444" spans="1:27" ht="13" customHeight="1">
      <c r="A444" s="11">
        <v>438</v>
      </c>
      <c r="B444" s="47">
        <v>205986151</v>
      </c>
      <c r="C444" s="89" t="s">
        <v>2585</v>
      </c>
      <c r="D444" s="11" t="s">
        <v>2586</v>
      </c>
      <c r="E444" s="48" t="s">
        <v>31</v>
      </c>
      <c r="F444" s="48" t="s">
        <v>74</v>
      </c>
      <c r="G444" s="11" t="s">
        <v>64</v>
      </c>
      <c r="H444" s="48" t="str">
        <f>VLOOKUP(Table1[[#This Row],[Psoft No]],[1]Roster!$C$2:$H$1402,6,)</f>
        <v>AUH1</v>
      </c>
      <c r="I444" s="48" t="b">
        <f>Table1[[#This Row],[Building]]=Table1[[#This Row],[Column1]]</f>
        <v>1</v>
      </c>
      <c r="J444" s="11" t="s">
        <v>75</v>
      </c>
      <c r="K444" s="11">
        <v>1299</v>
      </c>
      <c r="L444" s="49" t="s">
        <v>39</v>
      </c>
      <c r="M444" s="49" t="s">
        <v>76</v>
      </c>
      <c r="N444" s="49" t="s">
        <v>88</v>
      </c>
      <c r="O444" s="49" t="s">
        <v>95</v>
      </c>
      <c r="P444" s="48" t="s">
        <v>86</v>
      </c>
      <c r="Q444" s="49" t="s">
        <v>35</v>
      </c>
      <c r="R444" s="11" t="s">
        <v>80</v>
      </c>
      <c r="S444" s="11" t="s">
        <v>90</v>
      </c>
      <c r="T444" s="11" t="s">
        <v>231</v>
      </c>
      <c r="U444" s="11" t="s">
        <v>1753</v>
      </c>
      <c r="V444" s="116" t="s">
        <v>1</v>
      </c>
      <c r="W444" s="88"/>
      <c r="X444" s="51">
        <v>45915</v>
      </c>
      <c r="Y444" s="97" t="s">
        <v>1573</v>
      </c>
      <c r="Z444" s="135" t="s">
        <v>2</v>
      </c>
      <c r="AA444" s="135">
        <v>0</v>
      </c>
    </row>
    <row r="445" spans="1:27" ht="13" customHeight="1">
      <c r="A445" s="11">
        <v>439</v>
      </c>
      <c r="B445" s="47">
        <v>204246607</v>
      </c>
      <c r="C445" s="89" t="s">
        <v>448</v>
      </c>
      <c r="D445" s="11" t="s">
        <v>449</v>
      </c>
      <c r="E445" s="48" t="s">
        <v>31</v>
      </c>
      <c r="F445" s="48" t="s">
        <v>74</v>
      </c>
      <c r="G445" s="11" t="s">
        <v>64</v>
      </c>
      <c r="H445" s="48" t="str">
        <f>VLOOKUP(Table1[[#This Row],[Psoft No]],[1]Roster!$C$2:$H$1402,6,)</f>
        <v>AUH1</v>
      </c>
      <c r="I445" s="48" t="b">
        <f>Table1[[#This Row],[Building]]=Table1[[#This Row],[Column1]]</f>
        <v>1</v>
      </c>
      <c r="J445" s="11" t="s">
        <v>75</v>
      </c>
      <c r="K445" s="11">
        <v>1299</v>
      </c>
      <c r="L445" s="49" t="s">
        <v>39</v>
      </c>
      <c r="M445" s="49" t="s">
        <v>76</v>
      </c>
      <c r="N445" s="49" t="s">
        <v>85</v>
      </c>
      <c r="O445" s="49" t="s">
        <v>88</v>
      </c>
      <c r="P445" s="48" t="s">
        <v>86</v>
      </c>
      <c r="Q445" s="49" t="s">
        <v>35</v>
      </c>
      <c r="R445" s="11" t="s">
        <v>80</v>
      </c>
      <c r="S445" s="11" t="s">
        <v>87</v>
      </c>
      <c r="T445" s="11" t="s">
        <v>224</v>
      </c>
      <c r="U445" s="11" t="s">
        <v>2715</v>
      </c>
      <c r="V445" s="116" t="s">
        <v>1</v>
      </c>
      <c r="W445" s="88"/>
      <c r="X445" s="51">
        <v>45579</v>
      </c>
      <c r="Y445" s="97" t="s">
        <v>1573</v>
      </c>
      <c r="Z445" s="135" t="s">
        <v>2</v>
      </c>
      <c r="AA445" s="135">
        <v>0</v>
      </c>
    </row>
    <row r="446" spans="1:27" ht="13" customHeight="1">
      <c r="A446" s="11">
        <v>440</v>
      </c>
      <c r="B446" s="47">
        <v>104042345</v>
      </c>
      <c r="C446" s="89" t="s">
        <v>1437</v>
      </c>
      <c r="D446" s="11" t="s">
        <v>1438</v>
      </c>
      <c r="E446" s="48" t="s">
        <v>34</v>
      </c>
      <c r="F446" s="48" t="s">
        <v>74</v>
      </c>
      <c r="G446" s="11" t="s">
        <v>65</v>
      </c>
      <c r="H446" s="48" t="str">
        <f>VLOOKUP(Table1[[#This Row],[Psoft No]],[1]Roster!$C$2:$H$1402,6,)</f>
        <v>AUH3</v>
      </c>
      <c r="I446" s="48" t="b">
        <f>Table1[[#This Row],[Building]]=Table1[[#This Row],[Column1]]</f>
        <v>1</v>
      </c>
      <c r="J446" s="11" t="s">
        <v>1332</v>
      </c>
      <c r="K446" s="11">
        <v>1182</v>
      </c>
      <c r="L446" s="49" t="s">
        <v>32</v>
      </c>
      <c r="M446" s="49" t="s">
        <v>76</v>
      </c>
      <c r="N446" s="49" t="s">
        <v>85</v>
      </c>
      <c r="O446" s="49" t="s">
        <v>88</v>
      </c>
      <c r="P446" s="48" t="s">
        <v>1333</v>
      </c>
      <c r="Q446" s="49" t="s">
        <v>68</v>
      </c>
      <c r="R446" s="11" t="s">
        <v>80</v>
      </c>
      <c r="S446" s="11" t="s">
        <v>98</v>
      </c>
      <c r="T446" s="11" t="s">
        <v>1336</v>
      </c>
      <c r="U446" s="11" t="s">
        <v>1337</v>
      </c>
      <c r="V446" s="116" t="s">
        <v>1</v>
      </c>
      <c r="W446" s="88"/>
      <c r="X446" s="51">
        <v>44724</v>
      </c>
      <c r="Y446" s="97" t="s">
        <v>68</v>
      </c>
      <c r="Z446" s="135" t="s">
        <v>2</v>
      </c>
      <c r="AA446" s="135">
        <v>0</v>
      </c>
    </row>
    <row r="447" spans="1:27" ht="13" customHeight="1">
      <c r="A447" s="11">
        <v>441</v>
      </c>
      <c r="B447" s="47">
        <v>205506107</v>
      </c>
      <c r="C447" s="89" t="s">
        <v>2589</v>
      </c>
      <c r="D447" s="11" t="s">
        <v>2590</v>
      </c>
      <c r="E447" s="48" t="s">
        <v>31</v>
      </c>
      <c r="F447" s="48" t="s">
        <v>74</v>
      </c>
      <c r="G447" s="11" t="s">
        <v>64</v>
      </c>
      <c r="H447" s="48" t="str">
        <f>VLOOKUP(Table1[[#This Row],[Psoft No]],[1]Roster!$C$2:$H$1402,6,)</f>
        <v>AUH1</v>
      </c>
      <c r="I447" s="48" t="b">
        <f>Table1[[#This Row],[Building]]=Table1[[#This Row],[Column1]]</f>
        <v>1</v>
      </c>
      <c r="J447" s="11" t="s">
        <v>75</v>
      </c>
      <c r="K447" s="11">
        <v>1299</v>
      </c>
      <c r="L447" s="49" t="s">
        <v>32</v>
      </c>
      <c r="M447" s="49" t="s">
        <v>76</v>
      </c>
      <c r="N447" s="49" t="s">
        <v>78</v>
      </c>
      <c r="O447" s="49" t="s">
        <v>92</v>
      </c>
      <c r="P447" s="49" t="s">
        <v>89</v>
      </c>
      <c r="Q447" s="49" t="s">
        <v>35</v>
      </c>
      <c r="R447" s="11" t="s">
        <v>80</v>
      </c>
      <c r="S447" s="11" t="s">
        <v>96</v>
      </c>
      <c r="T447" s="11" t="s">
        <v>224</v>
      </c>
      <c r="U447" s="11" t="s">
        <v>2715</v>
      </c>
      <c r="V447" s="116" t="s">
        <v>10</v>
      </c>
      <c r="W447" s="88"/>
      <c r="X447" s="51">
        <v>45831</v>
      </c>
      <c r="Y447" s="97" t="s">
        <v>1573</v>
      </c>
      <c r="Z447" s="135" t="s">
        <v>3023</v>
      </c>
      <c r="AA447" s="135">
        <v>0</v>
      </c>
    </row>
    <row r="448" spans="1:27" ht="13" customHeight="1">
      <c r="A448" s="11">
        <v>442</v>
      </c>
      <c r="B448" s="47">
        <v>203881600</v>
      </c>
      <c r="C448" s="89" t="s">
        <v>451</v>
      </c>
      <c r="D448" s="11" t="s">
        <v>452</v>
      </c>
      <c r="E448" s="48" t="s">
        <v>31</v>
      </c>
      <c r="F448" s="48" t="s">
        <v>74</v>
      </c>
      <c r="G448" s="11" t="s">
        <v>64</v>
      </c>
      <c r="H448" s="48" t="str">
        <f>VLOOKUP(Table1[[#This Row],[Psoft No]],[1]Roster!$C$2:$H$1402,6,)</f>
        <v>AUH1</v>
      </c>
      <c r="I448" s="48" t="b">
        <f>Table1[[#This Row],[Building]]=Table1[[#This Row],[Column1]]</f>
        <v>1</v>
      </c>
      <c r="J448" s="11" t="s">
        <v>75</v>
      </c>
      <c r="K448" s="11">
        <v>1299</v>
      </c>
      <c r="L448" s="49" t="s">
        <v>39</v>
      </c>
      <c r="M448" s="49" t="s">
        <v>76</v>
      </c>
      <c r="N448" s="49" t="s">
        <v>84</v>
      </c>
      <c r="O448" s="49" t="s">
        <v>85</v>
      </c>
      <c r="P448" s="48" t="s">
        <v>79</v>
      </c>
      <c r="Q448" s="49" t="s">
        <v>35</v>
      </c>
      <c r="R448" s="11" t="s">
        <v>80</v>
      </c>
      <c r="S448" s="11" t="s">
        <v>81</v>
      </c>
      <c r="T448" s="11" t="s">
        <v>224</v>
      </c>
      <c r="U448" s="11" t="s">
        <v>2715</v>
      </c>
      <c r="V448" s="116" t="s">
        <v>1</v>
      </c>
      <c r="W448" s="88"/>
      <c r="X448" s="51">
        <v>45530</v>
      </c>
      <c r="Y448" s="97" t="s">
        <v>1573</v>
      </c>
      <c r="Z448" s="135" t="s">
        <v>2</v>
      </c>
      <c r="AA448" s="135">
        <v>0</v>
      </c>
    </row>
    <row r="449" spans="1:27" ht="13" customHeight="1">
      <c r="A449" s="11">
        <v>443</v>
      </c>
      <c r="B449" s="47">
        <v>206073365</v>
      </c>
      <c r="C449" s="89" t="s">
        <v>453</v>
      </c>
      <c r="D449" s="11" t="s">
        <v>454</v>
      </c>
      <c r="E449" s="48" t="s">
        <v>31</v>
      </c>
      <c r="F449" s="48" t="s">
        <v>74</v>
      </c>
      <c r="G449" s="11" t="s">
        <v>64</v>
      </c>
      <c r="H449" s="48" t="str">
        <f>VLOOKUP(Table1[[#This Row],[Psoft No]],[1]Roster!$C$2:$H$1402,6,)</f>
        <v>AUH1</v>
      </c>
      <c r="I449" s="48" t="b">
        <f>Table1[[#This Row],[Building]]=Table1[[#This Row],[Column1]]</f>
        <v>1</v>
      </c>
      <c r="J449" s="11" t="s">
        <v>75</v>
      </c>
      <c r="K449" s="11">
        <v>1299</v>
      </c>
      <c r="L449" s="49" t="s">
        <v>32</v>
      </c>
      <c r="M449" s="49" t="s">
        <v>76</v>
      </c>
      <c r="N449" s="49" t="s">
        <v>84</v>
      </c>
      <c r="O449" s="49" t="s">
        <v>85</v>
      </c>
      <c r="P449" s="48" t="s">
        <v>79</v>
      </c>
      <c r="Q449" s="49" t="s">
        <v>35</v>
      </c>
      <c r="R449" s="11" t="s">
        <v>80</v>
      </c>
      <c r="S449" s="11" t="s">
        <v>81</v>
      </c>
      <c r="T449" s="11" t="s">
        <v>225</v>
      </c>
      <c r="U449" s="11" t="s">
        <v>226</v>
      </c>
      <c r="V449" s="116" t="str">
        <f>VLOOKUP(Table1[[#This Row],[Psoft No]],[2]Sheet1!$A$2:$G$386,7,0)</f>
        <v>P</v>
      </c>
      <c r="W449" s="88"/>
      <c r="X449" s="51">
        <v>45922</v>
      </c>
      <c r="Y449" s="97" t="s">
        <v>1572</v>
      </c>
      <c r="Z449" s="135" t="s">
        <v>2</v>
      </c>
      <c r="AA449" s="135">
        <v>0</v>
      </c>
    </row>
    <row r="450" spans="1:27" ht="13" customHeight="1">
      <c r="A450" s="11">
        <v>444</v>
      </c>
      <c r="B450" s="47">
        <v>206934198</v>
      </c>
      <c r="C450" s="89" t="s">
        <v>2021</v>
      </c>
      <c r="D450" s="11" t="s">
        <v>2001</v>
      </c>
      <c r="E450" s="48" t="s">
        <v>31</v>
      </c>
      <c r="F450" s="48" t="s">
        <v>74</v>
      </c>
      <c r="G450" s="11" t="s">
        <v>64</v>
      </c>
      <c r="H450" s="48" t="str">
        <f>VLOOKUP(Table1[[#This Row],[Psoft No]],[1]Roster!$C$2:$H$1402,6,)</f>
        <v>AUH1</v>
      </c>
      <c r="I450" s="48" t="b">
        <f>Table1[[#This Row],[Building]]=Table1[[#This Row],[Column1]]</f>
        <v>1</v>
      </c>
      <c r="J450" s="11" t="s">
        <v>75</v>
      </c>
      <c r="K450" s="11">
        <v>1299</v>
      </c>
      <c r="L450" s="49" t="s">
        <v>32</v>
      </c>
      <c r="M450" s="49" t="s">
        <v>76</v>
      </c>
      <c r="N450" s="49" t="s">
        <v>78</v>
      </c>
      <c r="O450" s="49" t="s">
        <v>92</v>
      </c>
      <c r="P450" s="49" t="s">
        <v>89</v>
      </c>
      <c r="Q450" s="49" t="s">
        <v>35</v>
      </c>
      <c r="R450" s="11" t="s">
        <v>80</v>
      </c>
      <c r="S450" s="11" t="s">
        <v>96</v>
      </c>
      <c r="T450" s="11" t="s">
        <v>225</v>
      </c>
      <c r="U450" s="11" t="s">
        <v>226</v>
      </c>
      <c r="V450" s="116" t="s">
        <v>10</v>
      </c>
      <c r="W450" s="88"/>
      <c r="X450" s="51">
        <v>46041</v>
      </c>
      <c r="Y450" s="102" t="s">
        <v>1574</v>
      </c>
      <c r="Z450" s="135" t="s">
        <v>3023</v>
      </c>
      <c r="AA450" s="135">
        <v>0</v>
      </c>
    </row>
    <row r="451" spans="1:27" ht="13" customHeight="1">
      <c r="A451" s="11">
        <v>445</v>
      </c>
      <c r="B451" s="47">
        <v>206874046</v>
      </c>
      <c r="C451" s="89" t="s">
        <v>2591</v>
      </c>
      <c r="D451" s="11" t="s">
        <v>2592</v>
      </c>
      <c r="E451" s="48" t="s">
        <v>31</v>
      </c>
      <c r="F451" s="48" t="s">
        <v>74</v>
      </c>
      <c r="G451" s="48" t="s">
        <v>64</v>
      </c>
      <c r="H451" s="48" t="str">
        <f>VLOOKUP(Table1[[#This Row],[Psoft No]],[1]Roster!$C$2:$H$1402,6,)</f>
        <v>AUH1</v>
      </c>
      <c r="I451" s="48" t="b">
        <f>Table1[[#This Row],[Building]]=Table1[[#This Row],[Column1]]</f>
        <v>1</v>
      </c>
      <c r="J451" s="48" t="s">
        <v>75</v>
      </c>
      <c r="K451" s="11">
        <v>1299</v>
      </c>
      <c r="L451" s="49" t="s">
        <v>32</v>
      </c>
      <c r="M451" s="49" t="s">
        <v>76</v>
      </c>
      <c r="N451" s="49" t="s">
        <v>78</v>
      </c>
      <c r="O451" s="49" t="s">
        <v>92</v>
      </c>
      <c r="P451" s="49" t="s">
        <v>89</v>
      </c>
      <c r="Q451" s="48" t="s">
        <v>35</v>
      </c>
      <c r="R451" s="48" t="s">
        <v>80</v>
      </c>
      <c r="S451" s="11" t="s">
        <v>90</v>
      </c>
      <c r="T451" s="11" t="s">
        <v>231</v>
      </c>
      <c r="U451" s="11" t="s">
        <v>1753</v>
      </c>
      <c r="V451" s="116" t="s">
        <v>10</v>
      </c>
      <c r="W451" s="88"/>
      <c r="X451" s="51">
        <v>46020</v>
      </c>
      <c r="Y451" s="97" t="s">
        <v>1573</v>
      </c>
      <c r="Z451" s="135" t="s">
        <v>3023</v>
      </c>
      <c r="AA451" s="135">
        <v>0</v>
      </c>
    </row>
    <row r="452" spans="1:27" ht="13" customHeight="1">
      <c r="A452" s="11">
        <v>446</v>
      </c>
      <c r="B452" s="47">
        <v>206873657</v>
      </c>
      <c r="C452" s="89" t="s">
        <v>1758</v>
      </c>
      <c r="D452" s="11" t="s">
        <v>1759</v>
      </c>
      <c r="E452" s="48" t="s">
        <v>31</v>
      </c>
      <c r="F452" s="48" t="s">
        <v>74</v>
      </c>
      <c r="G452" s="48" t="s">
        <v>64</v>
      </c>
      <c r="H452" s="48" t="str">
        <f>VLOOKUP(Table1[[#This Row],[Psoft No]],[1]Roster!$C$2:$H$1402,6,)</f>
        <v>AUH1</v>
      </c>
      <c r="I452" s="48" t="b">
        <f>Table1[[#This Row],[Building]]=Table1[[#This Row],[Column1]]</f>
        <v>1</v>
      </c>
      <c r="J452" s="48" t="s">
        <v>75</v>
      </c>
      <c r="K452" s="11">
        <v>1299</v>
      </c>
      <c r="L452" s="49" t="s">
        <v>32</v>
      </c>
      <c r="M452" s="49" t="s">
        <v>76</v>
      </c>
      <c r="N452" s="49" t="s">
        <v>78</v>
      </c>
      <c r="O452" s="49" t="s">
        <v>92</v>
      </c>
      <c r="P452" s="49" t="s">
        <v>89</v>
      </c>
      <c r="Q452" s="48" t="s">
        <v>35</v>
      </c>
      <c r="R452" s="48" t="s">
        <v>80</v>
      </c>
      <c r="S452" s="11" t="s">
        <v>81</v>
      </c>
      <c r="T452" s="11" t="s">
        <v>225</v>
      </c>
      <c r="U452" s="11" t="s">
        <v>226</v>
      </c>
      <c r="V452" s="116" t="s">
        <v>10</v>
      </c>
      <c r="W452" s="88"/>
      <c r="X452" s="51">
        <v>46020</v>
      </c>
      <c r="Y452" s="97" t="s">
        <v>1572</v>
      </c>
      <c r="Z452" s="135" t="s">
        <v>3023</v>
      </c>
      <c r="AA452" s="135">
        <v>0</v>
      </c>
    </row>
    <row r="453" spans="1:27" ht="13" customHeight="1">
      <c r="A453" s="11">
        <v>447</v>
      </c>
      <c r="B453" s="47">
        <v>206873651</v>
      </c>
      <c r="C453" s="89" t="s">
        <v>1754</v>
      </c>
      <c r="D453" s="11" t="s">
        <v>1755</v>
      </c>
      <c r="E453" s="48" t="s">
        <v>31</v>
      </c>
      <c r="F453" s="48" t="s">
        <v>74</v>
      </c>
      <c r="G453" s="48" t="s">
        <v>64</v>
      </c>
      <c r="H453" s="48" t="str">
        <f>VLOOKUP(Table1[[#This Row],[Psoft No]],[1]Roster!$C$2:$H$1402,6,)</f>
        <v>AUH1</v>
      </c>
      <c r="I453" s="48" t="b">
        <f>Table1[[#This Row],[Building]]=Table1[[#This Row],[Column1]]</f>
        <v>1</v>
      </c>
      <c r="J453" s="48" t="s">
        <v>75</v>
      </c>
      <c r="K453" s="11">
        <v>1299</v>
      </c>
      <c r="L453" s="49" t="s">
        <v>32</v>
      </c>
      <c r="M453" s="49" t="s">
        <v>76</v>
      </c>
      <c r="N453" s="49" t="s">
        <v>78</v>
      </c>
      <c r="O453" s="49" t="s">
        <v>92</v>
      </c>
      <c r="P453" s="49" t="s">
        <v>89</v>
      </c>
      <c r="Q453" s="48" t="s">
        <v>35</v>
      </c>
      <c r="R453" s="48" t="s">
        <v>80</v>
      </c>
      <c r="S453" s="11" t="s">
        <v>81</v>
      </c>
      <c r="T453" s="11" t="s">
        <v>225</v>
      </c>
      <c r="U453" s="11" t="s">
        <v>226</v>
      </c>
      <c r="V453" s="116" t="s">
        <v>10</v>
      </c>
      <c r="W453" s="88"/>
      <c r="X453" s="51">
        <v>46020</v>
      </c>
      <c r="Y453" s="97" t="s">
        <v>1572</v>
      </c>
      <c r="Z453" s="135" t="s">
        <v>3023</v>
      </c>
      <c r="AA453" s="135">
        <v>0</v>
      </c>
    </row>
    <row r="454" spans="1:27" ht="13" customHeight="1">
      <c r="A454" s="11">
        <v>448</v>
      </c>
      <c r="B454" s="47">
        <v>205608623</v>
      </c>
      <c r="C454" s="89" t="s">
        <v>2593</v>
      </c>
      <c r="D454" s="11" t="s">
        <v>2594</v>
      </c>
      <c r="E454" s="48" t="s">
        <v>31</v>
      </c>
      <c r="F454" s="48" t="s">
        <v>74</v>
      </c>
      <c r="G454" s="11" t="s">
        <v>64</v>
      </c>
      <c r="H454" s="48" t="str">
        <f>VLOOKUP(Table1[[#This Row],[Psoft No]],[1]Roster!$C$2:$H$1402,6,)</f>
        <v>AUH1</v>
      </c>
      <c r="I454" s="48" t="b">
        <f>Table1[[#This Row],[Building]]=Table1[[#This Row],[Column1]]</f>
        <v>1</v>
      </c>
      <c r="J454" s="11" t="s">
        <v>75</v>
      </c>
      <c r="K454" s="11">
        <v>1299</v>
      </c>
      <c r="L454" s="49" t="s">
        <v>39</v>
      </c>
      <c r="M454" s="49" t="s">
        <v>76</v>
      </c>
      <c r="N454" s="49" t="s">
        <v>78</v>
      </c>
      <c r="O454" s="49" t="s">
        <v>92</v>
      </c>
      <c r="P454" s="48" t="s">
        <v>86</v>
      </c>
      <c r="Q454" s="49" t="s">
        <v>35</v>
      </c>
      <c r="R454" s="11" t="s">
        <v>80</v>
      </c>
      <c r="S454" s="11" t="s">
        <v>90</v>
      </c>
      <c r="T454" s="11" t="s">
        <v>231</v>
      </c>
      <c r="U454" s="11" t="s">
        <v>1753</v>
      </c>
      <c r="V454" s="116" t="s">
        <v>10</v>
      </c>
      <c r="W454" s="88"/>
      <c r="X454" s="51">
        <v>45845</v>
      </c>
      <c r="Y454" s="97" t="s">
        <v>1573</v>
      </c>
      <c r="Z454" s="135" t="s">
        <v>3023</v>
      </c>
      <c r="AA454" s="135" t="s">
        <v>3024</v>
      </c>
    </row>
    <row r="455" spans="1:27" ht="13" customHeight="1">
      <c r="A455" s="11">
        <v>449</v>
      </c>
      <c r="B455" s="47">
        <v>204883236</v>
      </c>
      <c r="C455" s="89" t="s">
        <v>456</v>
      </c>
      <c r="D455" s="11" t="s">
        <v>457</v>
      </c>
      <c r="E455" s="48" t="s">
        <v>31</v>
      </c>
      <c r="F455" s="48" t="s">
        <v>74</v>
      </c>
      <c r="G455" s="11" t="s">
        <v>64</v>
      </c>
      <c r="H455" s="48" t="str">
        <f>VLOOKUP(Table1[[#This Row],[Psoft No]],[1]Roster!$C$2:$H$1402,6,)</f>
        <v>AUH1</v>
      </c>
      <c r="I455" s="48" t="b">
        <f>Table1[[#This Row],[Building]]=Table1[[#This Row],[Column1]]</f>
        <v>1</v>
      </c>
      <c r="J455" s="11" t="s">
        <v>75</v>
      </c>
      <c r="K455" s="11">
        <v>1299</v>
      </c>
      <c r="L455" s="49" t="s">
        <v>39</v>
      </c>
      <c r="M455" s="49" t="s">
        <v>76</v>
      </c>
      <c r="N455" s="49" t="s">
        <v>95</v>
      </c>
      <c r="O455" s="49" t="s">
        <v>77</v>
      </c>
      <c r="P455" s="49" t="s">
        <v>89</v>
      </c>
      <c r="Q455" s="49" t="s">
        <v>35</v>
      </c>
      <c r="R455" s="11" t="s">
        <v>80</v>
      </c>
      <c r="S455" s="11" t="s">
        <v>87</v>
      </c>
      <c r="T455" s="11" t="s">
        <v>225</v>
      </c>
      <c r="U455" s="11" t="s">
        <v>226</v>
      </c>
      <c r="V455" s="116" t="s">
        <v>1</v>
      </c>
      <c r="W455" s="88"/>
      <c r="X455" s="51">
        <v>45691</v>
      </c>
      <c r="Y455" s="97" t="s">
        <v>1572</v>
      </c>
      <c r="Z455" s="135" t="s">
        <v>2</v>
      </c>
      <c r="AA455" s="135">
        <v>0</v>
      </c>
    </row>
    <row r="456" spans="1:27" ht="13" customHeight="1">
      <c r="A456" s="11">
        <v>450</v>
      </c>
      <c r="B456" s="47">
        <v>206915008</v>
      </c>
      <c r="C456" s="89" t="s">
        <v>2595</v>
      </c>
      <c r="D456" s="11" t="s">
        <v>2596</v>
      </c>
      <c r="E456" s="11" t="s">
        <v>31</v>
      </c>
      <c r="F456" s="11" t="s">
        <v>74</v>
      </c>
      <c r="G456" s="11" t="s">
        <v>64</v>
      </c>
      <c r="H456" s="48" t="str">
        <f>VLOOKUP(Table1[[#This Row],[Psoft No]],[1]Roster!$C$2:$H$1402,6,)</f>
        <v>AUH1</v>
      </c>
      <c r="I456" s="48" t="b">
        <f>Table1[[#This Row],[Building]]=Table1[[#This Row],[Column1]]</f>
        <v>1</v>
      </c>
      <c r="J456" s="11" t="s">
        <v>75</v>
      </c>
      <c r="K456" s="11">
        <v>1299</v>
      </c>
      <c r="L456" s="49" t="s">
        <v>32</v>
      </c>
      <c r="M456" s="49" t="s">
        <v>76</v>
      </c>
      <c r="N456" s="49" t="s">
        <v>78</v>
      </c>
      <c r="O456" s="49" t="s">
        <v>92</v>
      </c>
      <c r="P456" s="49" t="s">
        <v>89</v>
      </c>
      <c r="Q456" s="11" t="s">
        <v>35</v>
      </c>
      <c r="R456" s="11" t="s">
        <v>80</v>
      </c>
      <c r="S456" s="11" t="s">
        <v>90</v>
      </c>
      <c r="T456" s="11" t="s">
        <v>225</v>
      </c>
      <c r="U456" s="11" t="s">
        <v>226</v>
      </c>
      <c r="V456" s="116" t="s">
        <v>10</v>
      </c>
      <c r="W456" s="88"/>
      <c r="X456" s="51">
        <v>46034</v>
      </c>
      <c r="Y456" s="102" t="s">
        <v>1572</v>
      </c>
      <c r="Z456" s="135" t="s">
        <v>3023</v>
      </c>
      <c r="AA456" s="135">
        <v>0</v>
      </c>
    </row>
    <row r="457" spans="1:27" ht="13" customHeight="1">
      <c r="A457" s="11">
        <v>451</v>
      </c>
      <c r="B457" s="47">
        <v>109749061</v>
      </c>
      <c r="C457" s="89" t="s">
        <v>458</v>
      </c>
      <c r="D457" s="11" t="s">
        <v>459</v>
      </c>
      <c r="E457" s="48" t="s">
        <v>34</v>
      </c>
      <c r="F457" s="48" t="s">
        <v>74</v>
      </c>
      <c r="G457" s="11" t="s">
        <v>64</v>
      </c>
      <c r="H457" s="48" t="str">
        <f>VLOOKUP(Table1[[#This Row],[Psoft No]],[1]Roster!$C$2:$H$1402,6,)</f>
        <v>AUH1</v>
      </c>
      <c r="I457" s="48" t="b">
        <f>Table1[[#This Row],[Building]]=Table1[[#This Row],[Column1]]</f>
        <v>1</v>
      </c>
      <c r="J457" s="11" t="s">
        <v>75</v>
      </c>
      <c r="K457" s="11">
        <v>1299</v>
      </c>
      <c r="L457" s="49" t="s">
        <v>32</v>
      </c>
      <c r="M457" s="49" t="s">
        <v>76</v>
      </c>
      <c r="N457" s="49" t="s">
        <v>95</v>
      </c>
      <c r="O457" s="49" t="s">
        <v>77</v>
      </c>
      <c r="P457" s="48" t="s">
        <v>108</v>
      </c>
      <c r="Q457" s="49" t="s">
        <v>35</v>
      </c>
      <c r="R457" s="11" t="s">
        <v>80</v>
      </c>
      <c r="S457" s="11" t="s">
        <v>98</v>
      </c>
      <c r="T457" s="11" t="s">
        <v>225</v>
      </c>
      <c r="U457" s="11" t="s">
        <v>226</v>
      </c>
      <c r="V457" s="116" t="str">
        <f>VLOOKUP(Table1[[#This Row],[Psoft No]],[2]Sheet1!$A$2:$G$386,7,0)</f>
        <v>P</v>
      </c>
      <c r="W457" s="88"/>
      <c r="X457" s="51">
        <v>44831</v>
      </c>
      <c r="Y457" s="97" t="s">
        <v>1574</v>
      </c>
      <c r="Z457" s="135" t="s">
        <v>2</v>
      </c>
      <c r="AA457" s="135">
        <v>0</v>
      </c>
    </row>
    <row r="458" spans="1:27" ht="13" customHeight="1">
      <c r="A458" s="11">
        <v>452</v>
      </c>
      <c r="B458" s="47">
        <v>204883085</v>
      </c>
      <c r="C458" s="89" t="s">
        <v>460</v>
      </c>
      <c r="D458" s="11" t="s">
        <v>461</v>
      </c>
      <c r="E458" s="48" t="s">
        <v>31</v>
      </c>
      <c r="F458" s="48" t="s">
        <v>74</v>
      </c>
      <c r="G458" s="11" t="s">
        <v>64</v>
      </c>
      <c r="H458" s="48" t="str">
        <f>VLOOKUP(Table1[[#This Row],[Psoft No]],[1]Roster!$C$2:$H$1402,6,)</f>
        <v>AUH1</v>
      </c>
      <c r="I458" s="48" t="b">
        <f>Table1[[#This Row],[Building]]=Table1[[#This Row],[Column1]]</f>
        <v>1</v>
      </c>
      <c r="J458" s="11" t="s">
        <v>75</v>
      </c>
      <c r="K458" s="11">
        <v>1299</v>
      </c>
      <c r="L458" s="49" t="s">
        <v>32</v>
      </c>
      <c r="M458" s="49" t="s">
        <v>76</v>
      </c>
      <c r="N458" s="49" t="s">
        <v>77</v>
      </c>
      <c r="O458" s="49" t="s">
        <v>78</v>
      </c>
      <c r="P458" s="48" t="s">
        <v>86</v>
      </c>
      <c r="Q458" s="49" t="s">
        <v>35</v>
      </c>
      <c r="R458" s="11" t="s">
        <v>80</v>
      </c>
      <c r="S458" s="11" t="s">
        <v>87</v>
      </c>
      <c r="T458" s="11" t="s">
        <v>231</v>
      </c>
      <c r="U458" s="11" t="s">
        <v>1753</v>
      </c>
      <c r="V458" s="116" t="str">
        <f>VLOOKUP(Table1[[#This Row],[Psoft No]],[2]Sheet1!$A$2:$G$386,7,0)</f>
        <v>P</v>
      </c>
      <c r="W458" s="88"/>
      <c r="X458" s="51">
        <v>45691</v>
      </c>
      <c r="Y458" s="97" t="s">
        <v>1573</v>
      </c>
      <c r="Z458" s="135" t="s">
        <v>2</v>
      </c>
      <c r="AA458" s="135">
        <v>0</v>
      </c>
    </row>
    <row r="459" spans="1:27" ht="13" customHeight="1">
      <c r="A459" s="11">
        <v>453</v>
      </c>
      <c r="B459" s="114">
        <v>102207617</v>
      </c>
      <c r="C459" s="115" t="s">
        <v>463</v>
      </c>
      <c r="D459" s="11" t="s">
        <v>464</v>
      </c>
      <c r="E459" s="109" t="s">
        <v>34</v>
      </c>
      <c r="F459" s="109" t="s">
        <v>74</v>
      </c>
      <c r="G459" s="99" t="s">
        <v>64</v>
      </c>
      <c r="H459" s="109" t="str">
        <f>VLOOKUP(Table1[[#This Row],[Psoft No]],[1]Roster!$C$2:$H$1402,6,)</f>
        <v>AUH1</v>
      </c>
      <c r="I459" s="109" t="b">
        <f>Table1[[#This Row],[Building]]=Table1[[#This Row],[Column1]]</f>
        <v>1</v>
      </c>
      <c r="J459" s="99" t="s">
        <v>75</v>
      </c>
      <c r="K459" s="11">
        <v>1299</v>
      </c>
      <c r="L459" s="49" t="s">
        <v>32</v>
      </c>
      <c r="M459" s="49" t="s">
        <v>76</v>
      </c>
      <c r="N459" s="110" t="s">
        <v>78</v>
      </c>
      <c r="O459" s="110" t="s">
        <v>92</v>
      </c>
      <c r="P459" s="48" t="s">
        <v>97</v>
      </c>
      <c r="Q459" s="49" t="s">
        <v>35</v>
      </c>
      <c r="R459" s="11" t="s">
        <v>80</v>
      </c>
      <c r="S459" s="11" t="s">
        <v>98</v>
      </c>
      <c r="T459" s="11" t="s">
        <v>225</v>
      </c>
      <c r="U459" s="11" t="s">
        <v>226</v>
      </c>
      <c r="V459" s="116" t="s">
        <v>10</v>
      </c>
      <c r="W459" s="88"/>
      <c r="X459" s="111">
        <v>42868</v>
      </c>
      <c r="Y459" s="97" t="s">
        <v>1575</v>
      </c>
      <c r="Z459" s="135" t="s">
        <v>3023</v>
      </c>
      <c r="AA459" s="135">
        <v>0</v>
      </c>
    </row>
    <row r="460" spans="1:27" ht="13" customHeight="1">
      <c r="A460" s="11">
        <v>454</v>
      </c>
      <c r="B460" s="47">
        <v>204967049</v>
      </c>
      <c r="C460" s="89" t="s">
        <v>465</v>
      </c>
      <c r="D460" s="11" t="s">
        <v>466</v>
      </c>
      <c r="E460" s="48" t="s">
        <v>31</v>
      </c>
      <c r="F460" s="48" t="s">
        <v>74</v>
      </c>
      <c r="G460" s="11" t="s">
        <v>64</v>
      </c>
      <c r="H460" s="48" t="str">
        <f>VLOOKUP(Table1[[#This Row],[Psoft No]],[1]Roster!$C$2:$H$1402,6,)</f>
        <v>AUH1</v>
      </c>
      <c r="I460" s="48" t="b">
        <f>Table1[[#This Row],[Building]]=Table1[[#This Row],[Column1]]</f>
        <v>1</v>
      </c>
      <c r="J460" s="11" t="s">
        <v>75</v>
      </c>
      <c r="K460" s="11">
        <v>1299</v>
      </c>
      <c r="L460" s="49" t="s">
        <v>32</v>
      </c>
      <c r="M460" s="49" t="s">
        <v>76</v>
      </c>
      <c r="N460" s="49" t="s">
        <v>88</v>
      </c>
      <c r="O460" s="49" t="s">
        <v>95</v>
      </c>
      <c r="P460" s="48" t="s">
        <v>86</v>
      </c>
      <c r="Q460" s="49" t="s">
        <v>35</v>
      </c>
      <c r="R460" s="11" t="s">
        <v>80</v>
      </c>
      <c r="S460" s="11" t="s">
        <v>90</v>
      </c>
      <c r="T460" s="11" t="s">
        <v>231</v>
      </c>
      <c r="U460" s="11" t="s">
        <v>1753</v>
      </c>
      <c r="V460" s="116" t="str">
        <f>VLOOKUP(Table1[[#This Row],[Psoft No]],[2]Sheet1!$A$2:$G$386,7,0)</f>
        <v>P</v>
      </c>
      <c r="W460" s="88"/>
      <c r="X460" s="51">
        <v>45826</v>
      </c>
      <c r="Y460" s="97" t="s">
        <v>1573</v>
      </c>
      <c r="Z460" s="135" t="s">
        <v>2</v>
      </c>
      <c r="AA460" s="135">
        <v>0</v>
      </c>
    </row>
    <row r="461" spans="1:27" ht="13" customHeight="1">
      <c r="A461" s="11">
        <v>455</v>
      </c>
      <c r="B461" s="47">
        <v>203881597</v>
      </c>
      <c r="C461" s="89" t="s">
        <v>467</v>
      </c>
      <c r="D461" s="11" t="s">
        <v>468</v>
      </c>
      <c r="E461" s="48" t="s">
        <v>31</v>
      </c>
      <c r="F461" s="48" t="s">
        <v>74</v>
      </c>
      <c r="G461" s="11" t="s">
        <v>64</v>
      </c>
      <c r="H461" s="48" t="str">
        <f>VLOOKUP(Table1[[#This Row],[Psoft No]],[1]Roster!$C$2:$H$1402,6,)</f>
        <v>AUH1</v>
      </c>
      <c r="I461" s="48" t="b">
        <f>Table1[[#This Row],[Building]]=Table1[[#This Row],[Column1]]</f>
        <v>1</v>
      </c>
      <c r="J461" s="11" t="s">
        <v>75</v>
      </c>
      <c r="K461" s="11">
        <v>1299</v>
      </c>
      <c r="L461" s="49" t="s">
        <v>39</v>
      </c>
      <c r="M461" s="49" t="s">
        <v>76</v>
      </c>
      <c r="N461" s="49" t="s">
        <v>84</v>
      </c>
      <c r="O461" s="49" t="s">
        <v>85</v>
      </c>
      <c r="P461" s="48" t="s">
        <v>79</v>
      </c>
      <c r="Q461" s="49" t="s">
        <v>35</v>
      </c>
      <c r="R461" s="11" t="s">
        <v>80</v>
      </c>
      <c r="S461" s="11" t="s">
        <v>81</v>
      </c>
      <c r="T461" s="11" t="s">
        <v>231</v>
      </c>
      <c r="U461" s="11" t="s">
        <v>1753</v>
      </c>
      <c r="V461" s="116" t="s">
        <v>1</v>
      </c>
      <c r="W461" s="88"/>
      <c r="X461" s="51">
        <v>45530</v>
      </c>
      <c r="Y461" s="97" t="s">
        <v>1573</v>
      </c>
      <c r="Z461" s="135" t="s">
        <v>2</v>
      </c>
      <c r="AA461" s="135">
        <v>0</v>
      </c>
    </row>
    <row r="462" spans="1:27" ht="13" customHeight="1">
      <c r="A462" s="11">
        <v>456</v>
      </c>
      <c r="B462" s="47">
        <v>203881599</v>
      </c>
      <c r="C462" s="89" t="s">
        <v>469</v>
      </c>
      <c r="D462" s="11" t="s">
        <v>470</v>
      </c>
      <c r="E462" s="48" t="s">
        <v>31</v>
      </c>
      <c r="F462" s="48" t="s">
        <v>74</v>
      </c>
      <c r="G462" s="11" t="s">
        <v>64</v>
      </c>
      <c r="H462" s="48" t="str">
        <f>VLOOKUP(Table1[[#This Row],[Psoft No]],[1]Roster!$C$2:$H$1402,6,)</f>
        <v>AUH1</v>
      </c>
      <c r="I462" s="48" t="b">
        <f>Table1[[#This Row],[Building]]=Table1[[#This Row],[Column1]]</f>
        <v>1</v>
      </c>
      <c r="J462" s="11" t="s">
        <v>75</v>
      </c>
      <c r="K462" s="11">
        <v>1299</v>
      </c>
      <c r="L462" s="49" t="s">
        <v>39</v>
      </c>
      <c r="M462" s="49" t="s">
        <v>76</v>
      </c>
      <c r="N462" s="49" t="s">
        <v>95</v>
      </c>
      <c r="O462" s="49" t="s">
        <v>77</v>
      </c>
      <c r="P462" s="48" t="s">
        <v>79</v>
      </c>
      <c r="Q462" s="49" t="s">
        <v>35</v>
      </c>
      <c r="R462" s="11" t="s">
        <v>80</v>
      </c>
      <c r="S462" s="11" t="s">
        <v>81</v>
      </c>
      <c r="T462" s="11" t="s">
        <v>231</v>
      </c>
      <c r="U462" s="11" t="s">
        <v>1753</v>
      </c>
      <c r="V462" s="116" t="s">
        <v>1</v>
      </c>
      <c r="W462" s="88"/>
      <c r="X462" s="51">
        <v>45530</v>
      </c>
      <c r="Y462" s="97" t="s">
        <v>1573</v>
      </c>
      <c r="Z462" s="135" t="s">
        <v>2</v>
      </c>
      <c r="AA462" s="135">
        <v>0</v>
      </c>
    </row>
    <row r="463" spans="1:27" ht="13" customHeight="1">
      <c r="A463" s="11">
        <v>457</v>
      </c>
      <c r="B463" s="47">
        <v>204869096</v>
      </c>
      <c r="C463" s="89" t="s">
        <v>471</v>
      </c>
      <c r="D463" s="11" t="s">
        <v>472</v>
      </c>
      <c r="E463" s="48" t="s">
        <v>31</v>
      </c>
      <c r="F463" s="48" t="s">
        <v>74</v>
      </c>
      <c r="G463" s="11" t="s">
        <v>64</v>
      </c>
      <c r="H463" s="48" t="str">
        <f>VLOOKUP(Table1[[#This Row],[Psoft No]],[1]Roster!$C$2:$H$1402,6,)</f>
        <v>AUH1</v>
      </c>
      <c r="I463" s="48" t="b">
        <f>Table1[[#This Row],[Building]]=Table1[[#This Row],[Column1]]</f>
        <v>1</v>
      </c>
      <c r="J463" s="11" t="s">
        <v>75</v>
      </c>
      <c r="K463" s="11">
        <v>1299</v>
      </c>
      <c r="L463" s="49" t="s">
        <v>32</v>
      </c>
      <c r="M463" s="49" t="s">
        <v>76</v>
      </c>
      <c r="N463" s="49" t="s">
        <v>77</v>
      </c>
      <c r="O463" s="49" t="s">
        <v>78</v>
      </c>
      <c r="P463" s="48" t="s">
        <v>86</v>
      </c>
      <c r="Q463" s="49" t="s">
        <v>35</v>
      </c>
      <c r="R463" s="11" t="s">
        <v>80</v>
      </c>
      <c r="S463" s="11" t="s">
        <v>87</v>
      </c>
      <c r="T463" s="11" t="s">
        <v>231</v>
      </c>
      <c r="U463" s="11" t="s">
        <v>1753</v>
      </c>
      <c r="V463" s="116" t="str">
        <f>VLOOKUP(Table1[[#This Row],[Psoft No]],[2]Sheet1!$A$2:$G$386,7,0)</f>
        <v>P</v>
      </c>
      <c r="W463" s="88"/>
      <c r="X463" s="51">
        <v>45691</v>
      </c>
      <c r="Y463" s="97" t="s">
        <v>1573</v>
      </c>
      <c r="Z463" s="135" t="s">
        <v>2</v>
      </c>
      <c r="AA463" s="135">
        <v>0</v>
      </c>
    </row>
    <row r="464" spans="1:27" ht="13" customHeight="1">
      <c r="A464" s="11">
        <v>458</v>
      </c>
      <c r="B464" s="47">
        <v>204869088</v>
      </c>
      <c r="C464" s="89" t="s">
        <v>473</v>
      </c>
      <c r="D464" s="11" t="s">
        <v>474</v>
      </c>
      <c r="E464" s="48" t="s">
        <v>31</v>
      </c>
      <c r="F464" s="48" t="s">
        <v>74</v>
      </c>
      <c r="G464" s="11" t="s">
        <v>64</v>
      </c>
      <c r="H464" s="48" t="str">
        <f>VLOOKUP(Table1[[#This Row],[Psoft No]],[1]Roster!$C$2:$H$1402,6,)</f>
        <v>AUH1</v>
      </c>
      <c r="I464" s="48" t="b">
        <f>Table1[[#This Row],[Building]]=Table1[[#This Row],[Column1]]</f>
        <v>1</v>
      </c>
      <c r="J464" s="11" t="s">
        <v>75</v>
      </c>
      <c r="K464" s="11">
        <v>1299</v>
      </c>
      <c r="L464" s="49" t="s">
        <v>32</v>
      </c>
      <c r="M464" s="49" t="s">
        <v>76</v>
      </c>
      <c r="N464" s="49" t="s">
        <v>88</v>
      </c>
      <c r="O464" s="49" t="s">
        <v>95</v>
      </c>
      <c r="P464" s="48" t="s">
        <v>86</v>
      </c>
      <c r="Q464" s="49" t="s">
        <v>35</v>
      </c>
      <c r="R464" s="11" t="s">
        <v>80</v>
      </c>
      <c r="S464" s="11" t="s">
        <v>87</v>
      </c>
      <c r="T464" s="11" t="s">
        <v>225</v>
      </c>
      <c r="U464" s="11" t="s">
        <v>226</v>
      </c>
      <c r="V464" s="116" t="str">
        <f>VLOOKUP(Table1[[#This Row],[Psoft No]],[2]Sheet1!$A$2:$G$386,7,0)</f>
        <v>P</v>
      </c>
      <c r="W464" s="88"/>
      <c r="X464" s="51">
        <v>45691</v>
      </c>
      <c r="Y464" s="97" t="s">
        <v>1572</v>
      </c>
      <c r="Z464" s="135" t="s">
        <v>2</v>
      </c>
      <c r="AA464" s="135">
        <v>0</v>
      </c>
    </row>
    <row r="465" spans="1:27" ht="13" customHeight="1">
      <c r="A465" s="11">
        <v>459</v>
      </c>
      <c r="B465" s="47">
        <v>203521523</v>
      </c>
      <c r="C465" s="89" t="s">
        <v>475</v>
      </c>
      <c r="D465" s="11" t="s">
        <v>476</v>
      </c>
      <c r="E465" s="48" t="s">
        <v>31</v>
      </c>
      <c r="F465" s="48" t="s">
        <v>74</v>
      </c>
      <c r="G465" s="11" t="s">
        <v>64</v>
      </c>
      <c r="H465" s="48" t="str">
        <f>VLOOKUP(Table1[[#This Row],[Psoft No]],[1]Roster!$C$2:$H$1402,6,)</f>
        <v>AUH1</v>
      </c>
      <c r="I465" s="48" t="b">
        <f>Table1[[#This Row],[Building]]=Table1[[#This Row],[Column1]]</f>
        <v>1</v>
      </c>
      <c r="J465" s="11" t="s">
        <v>75</v>
      </c>
      <c r="K465" s="11">
        <v>1299</v>
      </c>
      <c r="L465" s="49" t="s">
        <v>32</v>
      </c>
      <c r="M465" s="49" t="s">
        <v>76</v>
      </c>
      <c r="N465" s="49" t="s">
        <v>78</v>
      </c>
      <c r="O465" s="49" t="s">
        <v>92</v>
      </c>
      <c r="P465" s="48" t="s">
        <v>79</v>
      </c>
      <c r="Q465" s="49" t="s">
        <v>35</v>
      </c>
      <c r="R465" s="11" t="s">
        <v>80</v>
      </c>
      <c r="S465" s="11" t="s">
        <v>81</v>
      </c>
      <c r="T465" s="11" t="s">
        <v>225</v>
      </c>
      <c r="U465" s="11" t="s">
        <v>226</v>
      </c>
      <c r="V465" s="116" t="s">
        <v>10</v>
      </c>
      <c r="W465" s="88"/>
      <c r="X465" s="51">
        <v>45463</v>
      </c>
      <c r="Y465" s="97" t="s">
        <v>1570</v>
      </c>
      <c r="Z465" s="135" t="s">
        <v>3023</v>
      </c>
      <c r="AA465" s="135">
        <v>0</v>
      </c>
    </row>
    <row r="466" spans="1:27" ht="13" customHeight="1">
      <c r="A466" s="11">
        <v>460</v>
      </c>
      <c r="B466" s="47">
        <v>206874059</v>
      </c>
      <c r="C466" s="89" t="s">
        <v>2597</v>
      </c>
      <c r="D466" s="11" t="s">
        <v>2598</v>
      </c>
      <c r="E466" s="48" t="s">
        <v>31</v>
      </c>
      <c r="F466" s="48" t="s">
        <v>74</v>
      </c>
      <c r="G466" s="48" t="s">
        <v>64</v>
      </c>
      <c r="H466" s="48" t="str">
        <f>VLOOKUP(Table1[[#This Row],[Psoft No]],[1]Roster!$C$2:$H$1402,6,)</f>
        <v>AUH1</v>
      </c>
      <c r="I466" s="48" t="b">
        <f>Table1[[#This Row],[Building]]=Table1[[#This Row],[Column1]]</f>
        <v>1</v>
      </c>
      <c r="J466" s="48" t="s">
        <v>75</v>
      </c>
      <c r="K466" s="11">
        <v>1299</v>
      </c>
      <c r="L466" s="49" t="s">
        <v>32</v>
      </c>
      <c r="M466" s="49" t="s">
        <v>76</v>
      </c>
      <c r="N466" s="49" t="s">
        <v>78</v>
      </c>
      <c r="O466" s="49" t="s">
        <v>92</v>
      </c>
      <c r="P466" s="49" t="s">
        <v>89</v>
      </c>
      <c r="Q466" s="48" t="s">
        <v>35</v>
      </c>
      <c r="R466" s="48" t="s">
        <v>80</v>
      </c>
      <c r="S466" s="11" t="s">
        <v>90</v>
      </c>
      <c r="T466" s="11" t="s">
        <v>231</v>
      </c>
      <c r="U466" s="11" t="s">
        <v>1753</v>
      </c>
      <c r="V466" s="116" t="s">
        <v>10</v>
      </c>
      <c r="W466" s="88"/>
      <c r="X466" s="51">
        <v>46020</v>
      </c>
      <c r="Y466" s="97" t="s">
        <v>1573</v>
      </c>
      <c r="Z466" s="135" t="s">
        <v>3023</v>
      </c>
      <c r="AA466" s="135">
        <v>0</v>
      </c>
    </row>
    <row r="467" spans="1:27" ht="13" customHeight="1">
      <c r="A467" s="11">
        <v>461</v>
      </c>
      <c r="B467" s="47">
        <v>204252239</v>
      </c>
      <c r="C467" s="89" t="s">
        <v>477</v>
      </c>
      <c r="D467" s="11" t="s">
        <v>478</v>
      </c>
      <c r="E467" s="48" t="s">
        <v>31</v>
      </c>
      <c r="F467" s="48" t="s">
        <v>74</v>
      </c>
      <c r="G467" s="11" t="s">
        <v>64</v>
      </c>
      <c r="H467" s="48" t="str">
        <f>VLOOKUP(Table1[[#This Row],[Psoft No]],[1]Roster!$C$2:$H$1402,6,)</f>
        <v>AUH1</v>
      </c>
      <c r="I467" s="48" t="b">
        <f>Table1[[#This Row],[Building]]=Table1[[#This Row],[Column1]]</f>
        <v>1</v>
      </c>
      <c r="J467" s="11" t="s">
        <v>75</v>
      </c>
      <c r="K467" s="11">
        <v>1299</v>
      </c>
      <c r="L467" s="49" t="s">
        <v>32</v>
      </c>
      <c r="M467" s="49" t="s">
        <v>76</v>
      </c>
      <c r="N467" s="49" t="s">
        <v>85</v>
      </c>
      <c r="O467" s="49" t="s">
        <v>88</v>
      </c>
      <c r="P467" s="48" t="s">
        <v>86</v>
      </c>
      <c r="Q467" s="49" t="s">
        <v>35</v>
      </c>
      <c r="R467" s="11" t="s">
        <v>80</v>
      </c>
      <c r="S467" s="11" t="s">
        <v>87</v>
      </c>
      <c r="T467" s="11" t="s">
        <v>225</v>
      </c>
      <c r="U467" s="11" t="s">
        <v>226</v>
      </c>
      <c r="V467" s="116" t="str">
        <f>VLOOKUP(Table1[[#This Row],[Psoft No]],[2]Sheet1!$A$2:$G$386,7,0)</f>
        <v>P</v>
      </c>
      <c r="W467" s="88"/>
      <c r="X467" s="51">
        <v>45579</v>
      </c>
      <c r="Y467" s="97" t="s">
        <v>1573</v>
      </c>
      <c r="Z467" s="135" t="s">
        <v>2</v>
      </c>
      <c r="AA467" s="135">
        <v>0</v>
      </c>
    </row>
    <row r="468" spans="1:27" ht="13" customHeight="1">
      <c r="A468" s="11">
        <v>462</v>
      </c>
      <c r="B468" s="47">
        <v>206934437</v>
      </c>
      <c r="C468" s="89" t="s">
        <v>2022</v>
      </c>
      <c r="D468" s="11" t="s">
        <v>2002</v>
      </c>
      <c r="E468" s="48" t="s">
        <v>31</v>
      </c>
      <c r="F468" s="48" t="s">
        <v>74</v>
      </c>
      <c r="G468" s="11" t="s">
        <v>64</v>
      </c>
      <c r="H468" s="48" t="str">
        <f>VLOOKUP(Table1[[#This Row],[Psoft No]],[1]Roster!$C$2:$H$1402,6,)</f>
        <v>AUH1</v>
      </c>
      <c r="I468" s="48" t="b">
        <f>Table1[[#This Row],[Building]]=Table1[[#This Row],[Column1]]</f>
        <v>1</v>
      </c>
      <c r="J468" s="11" t="s">
        <v>75</v>
      </c>
      <c r="K468" s="11">
        <v>1299</v>
      </c>
      <c r="L468" s="49" t="s">
        <v>32</v>
      </c>
      <c r="M468" s="49" t="s">
        <v>76</v>
      </c>
      <c r="N468" s="49" t="s">
        <v>78</v>
      </c>
      <c r="O468" s="49" t="s">
        <v>92</v>
      </c>
      <c r="P468" s="49" t="s">
        <v>89</v>
      </c>
      <c r="Q468" s="49" t="s">
        <v>35</v>
      </c>
      <c r="R468" s="11" t="s">
        <v>80</v>
      </c>
      <c r="S468" s="11" t="s">
        <v>96</v>
      </c>
      <c r="T468" s="11" t="s">
        <v>224</v>
      </c>
      <c r="U468" s="11" t="s">
        <v>2715</v>
      </c>
      <c r="V468" s="116" t="s">
        <v>10</v>
      </c>
      <c r="W468" s="88"/>
      <c r="X468" s="51">
        <v>46041</v>
      </c>
      <c r="Y468" s="97" t="s">
        <v>1573</v>
      </c>
      <c r="Z468" s="135" t="s">
        <v>3023</v>
      </c>
      <c r="AA468" s="135">
        <v>0</v>
      </c>
    </row>
    <row r="469" spans="1:27" ht="13" customHeight="1">
      <c r="A469" s="11">
        <v>463</v>
      </c>
      <c r="B469" s="47">
        <v>203881596</v>
      </c>
      <c r="C469" s="89" t="s">
        <v>479</v>
      </c>
      <c r="D469" s="11" t="s">
        <v>480</v>
      </c>
      <c r="E469" s="48" t="s">
        <v>31</v>
      </c>
      <c r="F469" s="48" t="s">
        <v>74</v>
      </c>
      <c r="G469" s="11" t="s">
        <v>64</v>
      </c>
      <c r="H469" s="48" t="str">
        <f>VLOOKUP(Table1[[#This Row],[Psoft No]],[1]Roster!$C$2:$H$1402,6,)</f>
        <v>AUH1</v>
      </c>
      <c r="I469" s="48" t="b">
        <f>Table1[[#This Row],[Building]]=Table1[[#This Row],[Column1]]</f>
        <v>1</v>
      </c>
      <c r="J469" s="11" t="s">
        <v>75</v>
      </c>
      <c r="K469" s="11">
        <v>1299</v>
      </c>
      <c r="L469" s="49" t="s">
        <v>32</v>
      </c>
      <c r="M469" s="49" t="s">
        <v>76</v>
      </c>
      <c r="N469" s="49" t="s">
        <v>77</v>
      </c>
      <c r="O469" s="49" t="s">
        <v>78</v>
      </c>
      <c r="P469" s="48" t="s">
        <v>79</v>
      </c>
      <c r="Q469" s="49" t="s">
        <v>35</v>
      </c>
      <c r="R469" s="11" t="s">
        <v>80</v>
      </c>
      <c r="S469" s="11" t="s">
        <v>81</v>
      </c>
      <c r="T469" s="11" t="s">
        <v>231</v>
      </c>
      <c r="U469" s="11" t="s">
        <v>1753</v>
      </c>
      <c r="V469" s="116" t="str">
        <f>VLOOKUP(Table1[[#This Row],[Psoft No]],[2]Sheet1!$A$2:$G$386,7,0)</f>
        <v>P</v>
      </c>
      <c r="W469" s="88"/>
      <c r="X469" s="51">
        <v>45530</v>
      </c>
      <c r="Y469" s="97" t="s">
        <v>1573</v>
      </c>
      <c r="Z469" s="135" t="s">
        <v>2</v>
      </c>
      <c r="AA469" s="135">
        <v>0</v>
      </c>
    </row>
    <row r="470" spans="1:27" ht="13" customHeight="1">
      <c r="A470" s="11">
        <v>464</v>
      </c>
      <c r="B470" s="47">
        <v>204869092</v>
      </c>
      <c r="C470" s="89" t="s">
        <v>481</v>
      </c>
      <c r="D470" s="11" t="s">
        <v>482</v>
      </c>
      <c r="E470" s="48" t="s">
        <v>31</v>
      </c>
      <c r="F470" s="48" t="s">
        <v>74</v>
      </c>
      <c r="G470" s="11" t="s">
        <v>64</v>
      </c>
      <c r="H470" s="48" t="str">
        <f>VLOOKUP(Table1[[#This Row],[Psoft No]],[1]Roster!$C$2:$H$1402,6,)</f>
        <v>AUH1</v>
      </c>
      <c r="I470" s="48" t="b">
        <f>Table1[[#This Row],[Building]]=Table1[[#This Row],[Column1]]</f>
        <v>1</v>
      </c>
      <c r="J470" s="11" t="s">
        <v>75</v>
      </c>
      <c r="K470" s="11">
        <v>1299</v>
      </c>
      <c r="L470" s="49" t="s">
        <v>32</v>
      </c>
      <c r="M470" s="49" t="s">
        <v>76</v>
      </c>
      <c r="N470" s="49" t="s">
        <v>88</v>
      </c>
      <c r="O470" s="49" t="s">
        <v>95</v>
      </c>
      <c r="P470" s="48" t="s">
        <v>86</v>
      </c>
      <c r="Q470" s="49" t="s">
        <v>35</v>
      </c>
      <c r="R470" s="11" t="s">
        <v>80</v>
      </c>
      <c r="S470" s="11" t="s">
        <v>87</v>
      </c>
      <c r="T470" s="11" t="s">
        <v>225</v>
      </c>
      <c r="U470" s="11" t="s">
        <v>226</v>
      </c>
      <c r="V470" s="116" t="str">
        <f>VLOOKUP(Table1[[#This Row],[Psoft No]],[2]Sheet1!$A$2:$G$386,7,0)</f>
        <v>P</v>
      </c>
      <c r="W470" s="88"/>
      <c r="X470" s="51">
        <v>45691</v>
      </c>
      <c r="Y470" s="97" t="s">
        <v>1572</v>
      </c>
      <c r="Z470" s="135" t="s">
        <v>2</v>
      </c>
      <c r="AA470" s="135">
        <v>0</v>
      </c>
    </row>
    <row r="471" spans="1:27" ht="13" customHeight="1">
      <c r="A471" s="11">
        <v>465</v>
      </c>
      <c r="B471" s="47">
        <v>204883247</v>
      </c>
      <c r="C471" s="89" t="s">
        <v>483</v>
      </c>
      <c r="D471" s="11" t="s">
        <v>484</v>
      </c>
      <c r="E471" s="48" t="s">
        <v>31</v>
      </c>
      <c r="F471" s="48" t="s">
        <v>74</v>
      </c>
      <c r="G471" s="11" t="s">
        <v>64</v>
      </c>
      <c r="H471" s="48" t="str">
        <f>VLOOKUP(Table1[[#This Row],[Psoft No]],[1]Roster!$C$2:$H$1402,6,)</f>
        <v>AUH1</v>
      </c>
      <c r="I471" s="48" t="b">
        <f>Table1[[#This Row],[Building]]=Table1[[#This Row],[Column1]]</f>
        <v>1</v>
      </c>
      <c r="J471" s="11" t="s">
        <v>75</v>
      </c>
      <c r="K471" s="11">
        <v>1299</v>
      </c>
      <c r="L471" s="49" t="s">
        <v>32</v>
      </c>
      <c r="M471" s="49" t="s">
        <v>76</v>
      </c>
      <c r="N471" s="49" t="s">
        <v>78</v>
      </c>
      <c r="O471" s="49" t="s">
        <v>92</v>
      </c>
      <c r="P471" s="48" t="s">
        <v>86</v>
      </c>
      <c r="Q471" s="49" t="s">
        <v>35</v>
      </c>
      <c r="R471" s="11" t="s">
        <v>80</v>
      </c>
      <c r="S471" s="11" t="s">
        <v>87</v>
      </c>
      <c r="T471" s="11" t="s">
        <v>225</v>
      </c>
      <c r="U471" s="11" t="s">
        <v>226</v>
      </c>
      <c r="V471" s="116" t="s">
        <v>10</v>
      </c>
      <c r="W471" s="88"/>
      <c r="X471" s="51">
        <v>45691</v>
      </c>
      <c r="Y471" s="97" t="s">
        <v>1572</v>
      </c>
      <c r="Z471" s="135" t="s">
        <v>3023</v>
      </c>
      <c r="AA471" s="135">
        <v>0</v>
      </c>
    </row>
    <row r="472" spans="1:27" ht="13" customHeight="1">
      <c r="A472" s="11">
        <v>466</v>
      </c>
      <c r="B472" s="47">
        <v>204868854</v>
      </c>
      <c r="C472" s="89" t="s">
        <v>485</v>
      </c>
      <c r="D472" s="11" t="s">
        <v>486</v>
      </c>
      <c r="E472" s="48" t="s">
        <v>31</v>
      </c>
      <c r="F472" s="48" t="s">
        <v>74</v>
      </c>
      <c r="G472" s="11" t="s">
        <v>64</v>
      </c>
      <c r="H472" s="48" t="str">
        <f>VLOOKUP(Table1[[#This Row],[Psoft No]],[1]Roster!$C$2:$H$1402,6,)</f>
        <v>AUH1</v>
      </c>
      <c r="I472" s="48" t="b">
        <f>Table1[[#This Row],[Building]]=Table1[[#This Row],[Column1]]</f>
        <v>1</v>
      </c>
      <c r="J472" s="11" t="s">
        <v>75</v>
      </c>
      <c r="K472" s="11">
        <v>1299</v>
      </c>
      <c r="L472" s="49" t="s">
        <v>32</v>
      </c>
      <c r="M472" s="49" t="s">
        <v>76</v>
      </c>
      <c r="N472" s="49" t="s">
        <v>78</v>
      </c>
      <c r="O472" s="49" t="s">
        <v>92</v>
      </c>
      <c r="P472" s="48" t="s">
        <v>86</v>
      </c>
      <c r="Q472" s="49" t="s">
        <v>35</v>
      </c>
      <c r="R472" s="11" t="s">
        <v>80</v>
      </c>
      <c r="S472" s="11" t="s">
        <v>87</v>
      </c>
      <c r="T472" s="11" t="s">
        <v>231</v>
      </c>
      <c r="U472" s="11" t="s">
        <v>1753</v>
      </c>
      <c r="V472" s="116" t="s">
        <v>10</v>
      </c>
      <c r="W472" s="88"/>
      <c r="X472" s="51">
        <v>45691</v>
      </c>
      <c r="Y472" s="97" t="s">
        <v>1573</v>
      </c>
      <c r="Z472" s="135" t="s">
        <v>3023</v>
      </c>
      <c r="AA472" s="135">
        <v>0</v>
      </c>
    </row>
    <row r="473" spans="1:27" ht="13" customHeight="1">
      <c r="A473" s="11">
        <v>467</v>
      </c>
      <c r="B473" s="47">
        <v>203521526</v>
      </c>
      <c r="C473" s="89" t="s">
        <v>487</v>
      </c>
      <c r="D473" s="11" t="s">
        <v>488</v>
      </c>
      <c r="E473" s="48" t="s">
        <v>31</v>
      </c>
      <c r="F473" s="48" t="s">
        <v>74</v>
      </c>
      <c r="G473" s="11" t="s">
        <v>64</v>
      </c>
      <c r="H473" s="48" t="str">
        <f>VLOOKUP(Table1[[#This Row],[Psoft No]],[1]Roster!$C$2:$H$1402,6,)</f>
        <v>AUH1</v>
      </c>
      <c r="I473" s="48" t="b">
        <f>Table1[[#This Row],[Building]]=Table1[[#This Row],[Column1]]</f>
        <v>1</v>
      </c>
      <c r="J473" s="11" t="s">
        <v>75</v>
      </c>
      <c r="K473" s="11">
        <v>1299</v>
      </c>
      <c r="L473" s="49" t="s">
        <v>32</v>
      </c>
      <c r="M473" s="49" t="s">
        <v>76</v>
      </c>
      <c r="N473" s="49" t="s">
        <v>78</v>
      </c>
      <c r="O473" s="49" t="s">
        <v>92</v>
      </c>
      <c r="P473" s="48" t="s">
        <v>79</v>
      </c>
      <c r="Q473" s="49" t="s">
        <v>35</v>
      </c>
      <c r="R473" s="11" t="s">
        <v>80</v>
      </c>
      <c r="S473" s="11" t="s">
        <v>81</v>
      </c>
      <c r="T473" s="11" t="s">
        <v>225</v>
      </c>
      <c r="U473" s="11" t="s">
        <v>226</v>
      </c>
      <c r="V473" s="116" t="s">
        <v>10</v>
      </c>
      <c r="W473" s="88"/>
      <c r="X473" s="51">
        <v>45463</v>
      </c>
      <c r="Y473" s="97" t="s">
        <v>1570</v>
      </c>
      <c r="Z473" s="135" t="s">
        <v>3023</v>
      </c>
      <c r="AA473" s="135">
        <v>0</v>
      </c>
    </row>
    <row r="474" spans="1:27" ht="13" customHeight="1">
      <c r="A474" s="11">
        <v>468</v>
      </c>
      <c r="B474" s="47">
        <v>203521132</v>
      </c>
      <c r="C474" s="89" t="s">
        <v>489</v>
      </c>
      <c r="D474" s="11" t="s">
        <v>490</v>
      </c>
      <c r="E474" s="48" t="s">
        <v>31</v>
      </c>
      <c r="F474" s="48" t="s">
        <v>74</v>
      </c>
      <c r="G474" s="11" t="s">
        <v>64</v>
      </c>
      <c r="H474" s="48" t="str">
        <f>VLOOKUP(Table1[[#This Row],[Psoft No]],[1]Roster!$C$2:$H$1402,6,)</f>
        <v>AUH1</v>
      </c>
      <c r="I474" s="48" t="b">
        <f>Table1[[#This Row],[Building]]=Table1[[#This Row],[Column1]]</f>
        <v>1</v>
      </c>
      <c r="J474" s="11" t="s">
        <v>75</v>
      </c>
      <c r="K474" s="11">
        <v>1299</v>
      </c>
      <c r="L474" s="49" t="s">
        <v>32</v>
      </c>
      <c r="M474" s="49" t="s">
        <v>76</v>
      </c>
      <c r="N474" s="49" t="s">
        <v>78</v>
      </c>
      <c r="O474" s="49" t="s">
        <v>92</v>
      </c>
      <c r="P474" s="48" t="s">
        <v>79</v>
      </c>
      <c r="Q474" s="49" t="s">
        <v>35</v>
      </c>
      <c r="R474" s="11" t="s">
        <v>80</v>
      </c>
      <c r="S474" s="11" t="s">
        <v>81</v>
      </c>
      <c r="T474" s="11" t="s">
        <v>225</v>
      </c>
      <c r="U474" s="11" t="s">
        <v>226</v>
      </c>
      <c r="V474" s="116" t="s">
        <v>10</v>
      </c>
      <c r="W474" s="88"/>
      <c r="X474" s="51">
        <v>45463</v>
      </c>
      <c r="Y474" s="97" t="s">
        <v>1573</v>
      </c>
      <c r="Z474" s="135" t="s">
        <v>3023</v>
      </c>
      <c r="AA474" s="135">
        <v>0</v>
      </c>
    </row>
    <row r="475" spans="1:27" ht="13" customHeight="1">
      <c r="A475" s="11">
        <v>469</v>
      </c>
      <c r="B475" s="47">
        <v>203800381</v>
      </c>
      <c r="C475" s="89" t="s">
        <v>2599</v>
      </c>
      <c r="D475" s="11" t="s">
        <v>2600</v>
      </c>
      <c r="E475" s="48" t="s">
        <v>31</v>
      </c>
      <c r="F475" s="48" t="s">
        <v>74</v>
      </c>
      <c r="G475" s="11" t="s">
        <v>64</v>
      </c>
      <c r="H475" s="48" t="str">
        <f>VLOOKUP(Table1[[#This Row],[Psoft No]],[1]Roster!$C$2:$H$1402,6,)</f>
        <v>AUH1</v>
      </c>
      <c r="I475" s="48" t="b">
        <f>Table1[[#This Row],[Building]]=Table1[[#This Row],[Column1]]</f>
        <v>1</v>
      </c>
      <c r="J475" s="11" t="s">
        <v>75</v>
      </c>
      <c r="K475" s="11">
        <v>1299</v>
      </c>
      <c r="L475" s="49" t="s">
        <v>32</v>
      </c>
      <c r="M475" s="49" t="s">
        <v>76</v>
      </c>
      <c r="N475" s="49" t="s">
        <v>78</v>
      </c>
      <c r="O475" s="49" t="s">
        <v>92</v>
      </c>
      <c r="P475" s="48" t="s">
        <v>86</v>
      </c>
      <c r="Q475" s="49" t="s">
        <v>35</v>
      </c>
      <c r="R475" s="11" t="s">
        <v>80</v>
      </c>
      <c r="S475" s="11" t="s">
        <v>90</v>
      </c>
      <c r="T475" s="11" t="s">
        <v>225</v>
      </c>
      <c r="U475" s="11" t="s">
        <v>226</v>
      </c>
      <c r="V475" s="116" t="s">
        <v>10</v>
      </c>
      <c r="W475" s="88"/>
      <c r="X475" s="51">
        <v>45516</v>
      </c>
      <c r="Y475" s="97" t="s">
        <v>1574</v>
      </c>
      <c r="Z475" s="135" t="s">
        <v>3023</v>
      </c>
      <c r="AA475" s="135">
        <v>0</v>
      </c>
    </row>
    <row r="476" spans="1:27" ht="13" customHeight="1">
      <c r="A476" s="11">
        <v>470</v>
      </c>
      <c r="B476" s="47">
        <v>203736777</v>
      </c>
      <c r="C476" s="89" t="s">
        <v>491</v>
      </c>
      <c r="D476" s="11" t="s">
        <v>492</v>
      </c>
      <c r="E476" s="48" t="s">
        <v>31</v>
      </c>
      <c r="F476" s="48" t="s">
        <v>74</v>
      </c>
      <c r="G476" s="11" t="s">
        <v>64</v>
      </c>
      <c r="H476" s="48" t="str">
        <f>VLOOKUP(Table1[[#This Row],[Psoft No]],[1]Roster!$C$2:$H$1402,6,)</f>
        <v>AUH1</v>
      </c>
      <c r="I476" s="48" t="b">
        <f>Table1[[#This Row],[Building]]=Table1[[#This Row],[Column1]]</f>
        <v>1</v>
      </c>
      <c r="J476" s="11" t="s">
        <v>75</v>
      </c>
      <c r="K476" s="11">
        <v>1299</v>
      </c>
      <c r="L476" s="49" t="s">
        <v>39</v>
      </c>
      <c r="M476" s="49" t="s">
        <v>76</v>
      </c>
      <c r="N476" s="49" t="s">
        <v>92</v>
      </c>
      <c r="O476" s="49" t="s">
        <v>84</v>
      </c>
      <c r="P476" s="48" t="s">
        <v>86</v>
      </c>
      <c r="Q476" s="49" t="s">
        <v>35</v>
      </c>
      <c r="R476" s="11" t="s">
        <v>80</v>
      </c>
      <c r="S476" s="11" t="s">
        <v>99</v>
      </c>
      <c r="T476" s="11" t="s">
        <v>224</v>
      </c>
      <c r="U476" s="11" t="s">
        <v>2715</v>
      </c>
      <c r="V476" s="116" t="s">
        <v>10</v>
      </c>
      <c r="W476" s="88"/>
      <c r="X476" s="51">
        <v>45502</v>
      </c>
      <c r="Y476" s="97" t="s">
        <v>1573</v>
      </c>
      <c r="Z476" s="135" t="s">
        <v>3023</v>
      </c>
      <c r="AA476" s="135">
        <v>0</v>
      </c>
    </row>
    <row r="477" spans="1:27" ht="13" customHeight="1">
      <c r="A477" s="11">
        <v>471</v>
      </c>
      <c r="B477" s="11">
        <v>206953970</v>
      </c>
      <c r="C477" s="89" t="s">
        <v>2601</v>
      </c>
      <c r="D477" s="11" t="s">
        <v>2602</v>
      </c>
      <c r="E477" s="48" t="s">
        <v>31</v>
      </c>
      <c r="F477" s="48" t="s">
        <v>74</v>
      </c>
      <c r="G477" s="11" t="s">
        <v>64</v>
      </c>
      <c r="H477" s="48" t="str">
        <f>VLOOKUP(Table1[[#This Row],[Psoft No]],[1]Roster!$C$2:$H$1402,6,)</f>
        <v>AUH1</v>
      </c>
      <c r="I477" s="48" t="b">
        <f>Table1[[#This Row],[Building]]=Table1[[#This Row],[Column1]]</f>
        <v>1</v>
      </c>
      <c r="J477" s="11" t="s">
        <v>75</v>
      </c>
      <c r="K477" s="11">
        <v>1299</v>
      </c>
      <c r="L477" s="49" t="s">
        <v>39</v>
      </c>
      <c r="M477" s="49" t="s">
        <v>76</v>
      </c>
      <c r="N477" s="49" t="s">
        <v>78</v>
      </c>
      <c r="O477" s="49" t="s">
        <v>92</v>
      </c>
      <c r="P477" s="48" t="s">
        <v>86</v>
      </c>
      <c r="Q477" s="86" t="s">
        <v>35</v>
      </c>
      <c r="R477" s="11" t="s">
        <v>80</v>
      </c>
      <c r="S477" s="82" t="s">
        <v>90</v>
      </c>
      <c r="T477" s="11" t="s">
        <v>224</v>
      </c>
      <c r="U477" s="54" t="s">
        <v>2715</v>
      </c>
      <c r="V477" s="116" t="s">
        <v>10</v>
      </c>
      <c r="W477" s="88"/>
      <c r="X477" s="51">
        <v>46051</v>
      </c>
      <c r="Y477" s="29" t="s">
        <v>1573</v>
      </c>
      <c r="Z477" s="135" t="s">
        <v>3023</v>
      </c>
      <c r="AA477" s="135">
        <v>0</v>
      </c>
    </row>
    <row r="478" spans="1:27" ht="13" customHeight="1">
      <c r="A478" s="11">
        <v>472</v>
      </c>
      <c r="B478" s="47">
        <v>206873867</v>
      </c>
      <c r="C478" s="89" t="s">
        <v>2603</v>
      </c>
      <c r="D478" s="11" t="s">
        <v>2604</v>
      </c>
      <c r="E478" s="48" t="s">
        <v>31</v>
      </c>
      <c r="F478" s="48" t="s">
        <v>74</v>
      </c>
      <c r="G478" s="48" t="s">
        <v>64</v>
      </c>
      <c r="H478" s="48" t="str">
        <f>VLOOKUP(Table1[[#This Row],[Psoft No]],[1]Roster!$C$2:$H$1402,6,)</f>
        <v>AUH1</v>
      </c>
      <c r="I478" s="48" t="b">
        <f>Table1[[#This Row],[Building]]=Table1[[#This Row],[Column1]]</f>
        <v>1</v>
      </c>
      <c r="J478" s="48" t="s">
        <v>75</v>
      </c>
      <c r="K478" s="11">
        <v>1299</v>
      </c>
      <c r="L478" s="49" t="s">
        <v>39</v>
      </c>
      <c r="M478" s="49" t="s">
        <v>76</v>
      </c>
      <c r="N478" s="49" t="s">
        <v>77</v>
      </c>
      <c r="O478" s="49" t="s">
        <v>78</v>
      </c>
      <c r="P478" s="49" t="s">
        <v>89</v>
      </c>
      <c r="Q478" s="48" t="s">
        <v>35</v>
      </c>
      <c r="R478" s="48" t="s">
        <v>80</v>
      </c>
      <c r="S478" s="11" t="s">
        <v>90</v>
      </c>
      <c r="T478" s="11" t="s">
        <v>231</v>
      </c>
      <c r="U478" s="11" t="s">
        <v>1753</v>
      </c>
      <c r="V478" s="116" t="s">
        <v>1</v>
      </c>
      <c r="W478" s="88"/>
      <c r="X478" s="51">
        <v>46020</v>
      </c>
      <c r="Y478" s="97" t="s">
        <v>1573</v>
      </c>
      <c r="Z478" s="135" t="s">
        <v>2</v>
      </c>
      <c r="AA478" s="135">
        <v>0</v>
      </c>
    </row>
    <row r="479" spans="1:27" ht="13" customHeight="1">
      <c r="A479" s="11">
        <v>473</v>
      </c>
      <c r="B479" s="47">
        <v>203468399</v>
      </c>
      <c r="C479" s="89" t="s">
        <v>493</v>
      </c>
      <c r="D479" s="11" t="s">
        <v>494</v>
      </c>
      <c r="E479" s="48" t="s">
        <v>31</v>
      </c>
      <c r="F479" s="48" t="s">
        <v>74</v>
      </c>
      <c r="G479" s="11" t="s">
        <v>64</v>
      </c>
      <c r="H479" s="48" t="str">
        <f>VLOOKUP(Table1[[#This Row],[Psoft No]],[1]Roster!$C$2:$H$1402,6,)</f>
        <v>AUH1</v>
      </c>
      <c r="I479" s="48" t="b">
        <f>Table1[[#This Row],[Building]]=Table1[[#This Row],[Column1]]</f>
        <v>1</v>
      </c>
      <c r="J479" s="11" t="s">
        <v>75</v>
      </c>
      <c r="K479" s="11">
        <v>1299</v>
      </c>
      <c r="L479" s="49" t="s">
        <v>32</v>
      </c>
      <c r="M479" s="49" t="s">
        <v>76</v>
      </c>
      <c r="N479" s="49" t="s">
        <v>78</v>
      </c>
      <c r="O479" s="49" t="s">
        <v>92</v>
      </c>
      <c r="P479" s="48" t="s">
        <v>79</v>
      </c>
      <c r="Q479" s="49" t="s">
        <v>35</v>
      </c>
      <c r="R479" s="11" t="s">
        <v>80</v>
      </c>
      <c r="S479" s="11" t="s">
        <v>81</v>
      </c>
      <c r="T479" s="11" t="s">
        <v>224</v>
      </c>
      <c r="U479" s="11" t="s">
        <v>2715</v>
      </c>
      <c r="V479" s="116" t="s">
        <v>10</v>
      </c>
      <c r="W479" s="88"/>
      <c r="X479" s="51">
        <v>45456</v>
      </c>
      <c r="Y479" s="97" t="s">
        <v>1570</v>
      </c>
      <c r="Z479" s="135" t="s">
        <v>3023</v>
      </c>
      <c r="AA479" s="135">
        <v>0</v>
      </c>
    </row>
    <row r="480" spans="1:27" ht="13" customHeight="1">
      <c r="A480" s="11">
        <v>474</v>
      </c>
      <c r="B480" s="47">
        <v>203736772</v>
      </c>
      <c r="C480" s="89" t="s">
        <v>495</v>
      </c>
      <c r="D480" s="11" t="s">
        <v>496</v>
      </c>
      <c r="E480" s="48" t="s">
        <v>31</v>
      </c>
      <c r="F480" s="48" t="s">
        <v>74</v>
      </c>
      <c r="G480" s="11" t="s">
        <v>64</v>
      </c>
      <c r="H480" s="48" t="str">
        <f>VLOOKUP(Table1[[#This Row],[Psoft No]],[1]Roster!$C$2:$H$1402,6,)</f>
        <v>AUH1</v>
      </c>
      <c r="I480" s="48" t="b">
        <f>Table1[[#This Row],[Building]]=Table1[[#This Row],[Column1]]</f>
        <v>1</v>
      </c>
      <c r="J480" s="11" t="s">
        <v>75</v>
      </c>
      <c r="K480" s="11">
        <v>1299</v>
      </c>
      <c r="L480" s="49" t="s">
        <v>32</v>
      </c>
      <c r="M480" s="49" t="s">
        <v>76</v>
      </c>
      <c r="N480" s="49" t="s">
        <v>88</v>
      </c>
      <c r="O480" s="49" t="s">
        <v>95</v>
      </c>
      <c r="P480" s="48" t="s">
        <v>86</v>
      </c>
      <c r="Q480" s="49" t="s">
        <v>35</v>
      </c>
      <c r="R480" s="11" t="s">
        <v>80</v>
      </c>
      <c r="S480" s="11" t="s">
        <v>99</v>
      </c>
      <c r="T480" s="11" t="s">
        <v>231</v>
      </c>
      <c r="U480" s="11" t="s">
        <v>1753</v>
      </c>
      <c r="V480" s="116" t="str">
        <f>VLOOKUP(Table1[[#This Row],[Psoft No]],[2]Sheet1!$A$2:$G$386,7,0)</f>
        <v>P</v>
      </c>
      <c r="W480" s="88"/>
      <c r="X480" s="51">
        <v>45502</v>
      </c>
      <c r="Y480" s="97" t="s">
        <v>1573</v>
      </c>
      <c r="Z480" s="135" t="s">
        <v>2</v>
      </c>
      <c r="AA480" s="135">
        <v>0</v>
      </c>
    </row>
    <row r="481" spans="1:27" ht="13" customHeight="1">
      <c r="A481" s="11">
        <v>475</v>
      </c>
      <c r="B481" s="47">
        <v>204246604</v>
      </c>
      <c r="C481" s="89" t="s">
        <v>497</v>
      </c>
      <c r="D481" s="11" t="s">
        <v>498</v>
      </c>
      <c r="E481" s="48" t="s">
        <v>31</v>
      </c>
      <c r="F481" s="48" t="s">
        <v>74</v>
      </c>
      <c r="G481" s="11" t="s">
        <v>65</v>
      </c>
      <c r="H481" s="48" t="str">
        <f>VLOOKUP(Table1[[#This Row],[Psoft No]],[1]Roster!$C$2:$H$1402,6,)</f>
        <v>AUH3</v>
      </c>
      <c r="I481" s="48" t="b">
        <f>Table1[[#This Row],[Building]]=Table1[[#This Row],[Column1]]</f>
        <v>1</v>
      </c>
      <c r="J481" s="11" t="s">
        <v>75</v>
      </c>
      <c r="K481" s="11">
        <v>1299</v>
      </c>
      <c r="L481" s="49" t="s">
        <v>39</v>
      </c>
      <c r="M481" s="49" t="s">
        <v>76</v>
      </c>
      <c r="N481" s="49" t="s">
        <v>78</v>
      </c>
      <c r="O481" s="49" t="s">
        <v>92</v>
      </c>
      <c r="P481" s="48" t="s">
        <v>86</v>
      </c>
      <c r="Q481" s="49" t="s">
        <v>68</v>
      </c>
      <c r="R481" s="11" t="s">
        <v>80</v>
      </c>
      <c r="S481" s="11" t="s">
        <v>87</v>
      </c>
      <c r="T481" s="11" t="s">
        <v>2720</v>
      </c>
      <c r="U481" s="11" t="s">
        <v>2721</v>
      </c>
      <c r="V481" s="116" t="s">
        <v>10</v>
      </c>
      <c r="W481" s="88"/>
      <c r="X481" s="51">
        <v>45579</v>
      </c>
      <c r="Y481" s="97" t="s">
        <v>68</v>
      </c>
      <c r="Z481" s="135" t="s">
        <v>3023</v>
      </c>
      <c r="AA481" s="135">
        <v>0</v>
      </c>
    </row>
    <row r="482" spans="1:27" ht="13" customHeight="1">
      <c r="A482" s="11">
        <v>476</v>
      </c>
      <c r="B482" s="47">
        <v>203709595</v>
      </c>
      <c r="C482" s="89" t="s">
        <v>499</v>
      </c>
      <c r="D482" s="11" t="s">
        <v>500</v>
      </c>
      <c r="E482" s="48" t="s">
        <v>31</v>
      </c>
      <c r="F482" s="48" t="s">
        <v>74</v>
      </c>
      <c r="G482" s="11" t="s">
        <v>64</v>
      </c>
      <c r="H482" s="48" t="str">
        <f>VLOOKUP(Table1[[#This Row],[Psoft No]],[1]Roster!$C$2:$H$1402,6,)</f>
        <v>AUH1</v>
      </c>
      <c r="I482" s="48" t="b">
        <f>Table1[[#This Row],[Building]]=Table1[[#This Row],[Column1]]</f>
        <v>1</v>
      </c>
      <c r="J482" s="11" t="s">
        <v>75</v>
      </c>
      <c r="K482" s="11">
        <v>1299</v>
      </c>
      <c r="L482" s="49" t="s">
        <v>39</v>
      </c>
      <c r="M482" s="49" t="s">
        <v>76</v>
      </c>
      <c r="N482" s="49" t="s">
        <v>78</v>
      </c>
      <c r="O482" s="49" t="s">
        <v>92</v>
      </c>
      <c r="P482" s="48" t="s">
        <v>86</v>
      </c>
      <c r="Q482" s="49" t="s">
        <v>35</v>
      </c>
      <c r="R482" s="11" t="s">
        <v>80</v>
      </c>
      <c r="S482" s="11" t="s">
        <v>99</v>
      </c>
      <c r="T482" s="11" t="s">
        <v>231</v>
      </c>
      <c r="U482" s="11" t="s">
        <v>1753</v>
      </c>
      <c r="V482" s="116" t="s">
        <v>10</v>
      </c>
      <c r="W482" s="88"/>
      <c r="X482" s="51">
        <v>45495</v>
      </c>
      <c r="Y482" s="97" t="s">
        <v>1573</v>
      </c>
      <c r="Z482" s="135" t="s">
        <v>3023</v>
      </c>
      <c r="AA482" s="135">
        <v>0</v>
      </c>
    </row>
    <row r="483" spans="1:27" ht="13" customHeight="1">
      <c r="A483" s="11">
        <v>477</v>
      </c>
      <c r="B483" s="47">
        <v>204882806</v>
      </c>
      <c r="C483" s="89" t="s">
        <v>2605</v>
      </c>
      <c r="D483" s="11" t="s">
        <v>2606</v>
      </c>
      <c r="E483" s="48" t="s">
        <v>31</v>
      </c>
      <c r="F483" s="48" t="s">
        <v>74</v>
      </c>
      <c r="G483" s="11" t="s">
        <v>64</v>
      </c>
      <c r="H483" s="48" t="str">
        <f>VLOOKUP(Table1[[#This Row],[Psoft No]],[1]Roster!$C$2:$H$1402,6,)</f>
        <v>AUH1</v>
      </c>
      <c r="I483" s="48" t="b">
        <f>Table1[[#This Row],[Building]]=Table1[[#This Row],[Column1]]</f>
        <v>1</v>
      </c>
      <c r="J483" s="11" t="s">
        <v>75</v>
      </c>
      <c r="K483" s="11">
        <v>1299</v>
      </c>
      <c r="L483" s="49" t="s">
        <v>32</v>
      </c>
      <c r="M483" s="49" t="s">
        <v>76</v>
      </c>
      <c r="N483" s="49" t="s">
        <v>77</v>
      </c>
      <c r="O483" s="49" t="s">
        <v>78</v>
      </c>
      <c r="P483" s="48" t="s">
        <v>86</v>
      </c>
      <c r="Q483" s="49" t="s">
        <v>35</v>
      </c>
      <c r="R483" s="11" t="s">
        <v>80</v>
      </c>
      <c r="S483" s="11" t="s">
        <v>90</v>
      </c>
      <c r="T483" s="11" t="s">
        <v>231</v>
      </c>
      <c r="U483" s="11" t="s">
        <v>1753</v>
      </c>
      <c r="V483" s="116" t="str">
        <f>VLOOKUP(Table1[[#This Row],[Psoft No]],[2]Sheet1!$A$2:$G$386,7,0)</f>
        <v>P</v>
      </c>
      <c r="W483" s="88"/>
      <c r="X483" s="51">
        <v>45691</v>
      </c>
      <c r="Y483" s="97" t="s">
        <v>1573</v>
      </c>
      <c r="Z483" s="135" t="s">
        <v>2</v>
      </c>
      <c r="AA483" s="135">
        <v>0</v>
      </c>
    </row>
    <row r="484" spans="1:27" ht="13" customHeight="1">
      <c r="A484" s="11">
        <v>478</v>
      </c>
      <c r="B484" s="47">
        <v>204967150</v>
      </c>
      <c r="C484" s="89" t="s">
        <v>2607</v>
      </c>
      <c r="D484" s="11" t="s">
        <v>2608</v>
      </c>
      <c r="E484" s="48" t="s">
        <v>31</v>
      </c>
      <c r="F484" s="48" t="s">
        <v>74</v>
      </c>
      <c r="G484" s="11" t="s">
        <v>64</v>
      </c>
      <c r="H484" s="48" t="str">
        <f>VLOOKUP(Table1[[#This Row],[Psoft No]],[1]Roster!$C$2:$H$1402,6,)</f>
        <v>AUH1</v>
      </c>
      <c r="I484" s="48" t="b">
        <f>Table1[[#This Row],[Building]]=Table1[[#This Row],[Column1]]</f>
        <v>1</v>
      </c>
      <c r="J484" s="11" t="s">
        <v>75</v>
      </c>
      <c r="K484" s="11">
        <v>1299</v>
      </c>
      <c r="L484" s="49" t="s">
        <v>32</v>
      </c>
      <c r="M484" s="49" t="s">
        <v>76</v>
      </c>
      <c r="N484" s="49" t="s">
        <v>78</v>
      </c>
      <c r="O484" s="49" t="s">
        <v>92</v>
      </c>
      <c r="P484" s="48" t="s">
        <v>86</v>
      </c>
      <c r="Q484" s="49" t="s">
        <v>35</v>
      </c>
      <c r="R484" s="11" t="s">
        <v>80</v>
      </c>
      <c r="S484" s="11" t="s">
        <v>90</v>
      </c>
      <c r="T484" s="11" t="s">
        <v>231</v>
      </c>
      <c r="U484" s="11" t="s">
        <v>1753</v>
      </c>
      <c r="V484" s="116" t="s">
        <v>10</v>
      </c>
      <c r="W484" s="88"/>
      <c r="X484" s="51">
        <v>45826</v>
      </c>
      <c r="Y484" s="97" t="s">
        <v>1573</v>
      </c>
      <c r="Z484" s="135" t="s">
        <v>3023</v>
      </c>
      <c r="AA484" s="135">
        <v>0</v>
      </c>
    </row>
    <row r="485" spans="1:27" ht="13" customHeight="1">
      <c r="A485" s="11">
        <v>479</v>
      </c>
      <c r="B485" s="47">
        <v>203816300</v>
      </c>
      <c r="C485" s="89" t="s">
        <v>2609</v>
      </c>
      <c r="D485" s="11" t="s">
        <v>2610</v>
      </c>
      <c r="E485" s="48" t="s">
        <v>31</v>
      </c>
      <c r="F485" s="48" t="s">
        <v>74</v>
      </c>
      <c r="G485" s="11" t="s">
        <v>64</v>
      </c>
      <c r="H485" s="48" t="str">
        <f>VLOOKUP(Table1[[#This Row],[Psoft No]],[1]Roster!$C$2:$H$1402,6,)</f>
        <v>AUH1</v>
      </c>
      <c r="I485" s="48" t="b">
        <f>Table1[[#This Row],[Building]]=Table1[[#This Row],[Column1]]</f>
        <v>1</v>
      </c>
      <c r="J485" s="11" t="s">
        <v>75</v>
      </c>
      <c r="K485" s="11">
        <v>1299</v>
      </c>
      <c r="L485" s="49" t="s">
        <v>39</v>
      </c>
      <c r="M485" s="49" t="s">
        <v>76</v>
      </c>
      <c r="N485" s="49" t="s">
        <v>78</v>
      </c>
      <c r="O485" s="49" t="s">
        <v>92</v>
      </c>
      <c r="P485" s="49" t="s">
        <v>89</v>
      </c>
      <c r="Q485" s="49" t="s">
        <v>35</v>
      </c>
      <c r="R485" s="11" t="s">
        <v>80</v>
      </c>
      <c r="S485" s="11" t="s">
        <v>90</v>
      </c>
      <c r="T485" s="11" t="s">
        <v>225</v>
      </c>
      <c r="U485" s="11" t="s">
        <v>226</v>
      </c>
      <c r="V485" s="116" t="s">
        <v>10</v>
      </c>
      <c r="W485" s="88"/>
      <c r="X485" s="51">
        <v>45524</v>
      </c>
      <c r="Y485" s="97" t="s">
        <v>1572</v>
      </c>
      <c r="Z485" s="135" t="s">
        <v>3023</v>
      </c>
      <c r="AA485" s="135">
        <v>0</v>
      </c>
    </row>
    <row r="486" spans="1:27" ht="13" customHeight="1">
      <c r="A486" s="11">
        <v>480</v>
      </c>
      <c r="B486" s="47">
        <v>203735944</v>
      </c>
      <c r="C486" s="89" t="s">
        <v>2611</v>
      </c>
      <c r="D486" s="11" t="s">
        <v>2612</v>
      </c>
      <c r="E486" s="48" t="s">
        <v>31</v>
      </c>
      <c r="F486" s="48" t="s">
        <v>74</v>
      </c>
      <c r="G486" s="11" t="s">
        <v>64</v>
      </c>
      <c r="H486" s="48" t="str">
        <f>VLOOKUP(Table1[[#This Row],[Psoft No]],[1]Roster!$C$2:$H$1402,6,)</f>
        <v>AUH1</v>
      </c>
      <c r="I486" s="48" t="b">
        <f>Table1[[#This Row],[Building]]=Table1[[#This Row],[Column1]]</f>
        <v>1</v>
      </c>
      <c r="J486" s="11" t="s">
        <v>75</v>
      </c>
      <c r="K486" s="11">
        <v>1299</v>
      </c>
      <c r="L486" s="49" t="s">
        <v>32</v>
      </c>
      <c r="M486" s="49" t="s">
        <v>76</v>
      </c>
      <c r="N486" s="49" t="s">
        <v>95</v>
      </c>
      <c r="O486" s="49" t="s">
        <v>77</v>
      </c>
      <c r="P486" s="48" t="s">
        <v>86</v>
      </c>
      <c r="Q486" s="49" t="s">
        <v>35</v>
      </c>
      <c r="R486" s="11" t="s">
        <v>80</v>
      </c>
      <c r="S486" s="11" t="s">
        <v>90</v>
      </c>
      <c r="T486" s="11" t="s">
        <v>231</v>
      </c>
      <c r="U486" s="11" t="s">
        <v>1753</v>
      </c>
      <c r="V486" s="116" t="str">
        <f>VLOOKUP(Table1[[#This Row],[Psoft No]],[2]Sheet1!$A$2:$G$386,7,0)</f>
        <v>P</v>
      </c>
      <c r="W486" s="88"/>
      <c r="X486" s="51">
        <v>45502</v>
      </c>
      <c r="Y486" s="97" t="s">
        <v>1573</v>
      </c>
      <c r="Z486" s="135" t="s">
        <v>2</v>
      </c>
      <c r="AA486" s="135">
        <v>0</v>
      </c>
    </row>
    <row r="487" spans="1:27" ht="13" customHeight="1">
      <c r="A487" s="11">
        <v>481</v>
      </c>
      <c r="B487" s="47">
        <v>203736755</v>
      </c>
      <c r="C487" s="89" t="s">
        <v>501</v>
      </c>
      <c r="D487" s="11" t="s">
        <v>502</v>
      </c>
      <c r="E487" s="48" t="s">
        <v>31</v>
      </c>
      <c r="F487" s="48" t="s">
        <v>74</v>
      </c>
      <c r="G487" s="11" t="s">
        <v>64</v>
      </c>
      <c r="H487" s="48" t="str">
        <f>VLOOKUP(Table1[[#This Row],[Psoft No]],[1]Roster!$C$2:$H$1402,6,)</f>
        <v>AUH1</v>
      </c>
      <c r="I487" s="48" t="b">
        <f>Table1[[#This Row],[Building]]=Table1[[#This Row],[Column1]]</f>
        <v>1</v>
      </c>
      <c r="J487" s="11" t="s">
        <v>75</v>
      </c>
      <c r="K487" s="11">
        <v>1299</v>
      </c>
      <c r="L487" s="49" t="s">
        <v>32</v>
      </c>
      <c r="M487" s="49" t="s">
        <v>76</v>
      </c>
      <c r="N487" s="49" t="s">
        <v>77</v>
      </c>
      <c r="O487" s="49" t="s">
        <v>78</v>
      </c>
      <c r="P487" s="48" t="s">
        <v>86</v>
      </c>
      <c r="Q487" s="49" t="s">
        <v>35</v>
      </c>
      <c r="R487" s="11" t="s">
        <v>80</v>
      </c>
      <c r="S487" s="11" t="s">
        <v>99</v>
      </c>
      <c r="T487" s="11" t="s">
        <v>231</v>
      </c>
      <c r="U487" s="11" t="s">
        <v>1753</v>
      </c>
      <c r="V487" s="116" t="str">
        <f>VLOOKUP(Table1[[#This Row],[Psoft No]],[2]Sheet1!$A$2:$G$386,7,0)</f>
        <v>P</v>
      </c>
      <c r="W487" s="88"/>
      <c r="X487" s="51">
        <v>45502</v>
      </c>
      <c r="Y487" s="97" t="s">
        <v>1573</v>
      </c>
      <c r="Z487" s="135" t="s">
        <v>2</v>
      </c>
      <c r="AA487" s="135">
        <v>0</v>
      </c>
    </row>
    <row r="488" spans="1:27" ht="13" customHeight="1">
      <c r="A488" s="11">
        <v>482</v>
      </c>
      <c r="B488" s="47">
        <v>206873871</v>
      </c>
      <c r="C488" s="89" t="s">
        <v>1770</v>
      </c>
      <c r="D488" s="11" t="s">
        <v>1771</v>
      </c>
      <c r="E488" s="48" t="s">
        <v>31</v>
      </c>
      <c r="F488" s="48" t="s">
        <v>74</v>
      </c>
      <c r="G488" s="11" t="s">
        <v>64</v>
      </c>
      <c r="H488" s="48" t="str">
        <f>VLOOKUP(Table1[[#This Row],[Psoft No]],[1]Roster!$C$2:$H$1402,6,)</f>
        <v>AUH1</v>
      </c>
      <c r="I488" s="48" t="b">
        <f>Table1[[#This Row],[Building]]=Table1[[#This Row],[Column1]]</f>
        <v>1</v>
      </c>
      <c r="J488" s="11" t="s">
        <v>75</v>
      </c>
      <c r="K488" s="11">
        <v>1299</v>
      </c>
      <c r="L488" s="49" t="s">
        <v>32</v>
      </c>
      <c r="M488" s="49" t="s">
        <v>76</v>
      </c>
      <c r="N488" s="49" t="s">
        <v>78</v>
      </c>
      <c r="O488" s="49" t="s">
        <v>92</v>
      </c>
      <c r="P488" s="48" t="s">
        <v>89</v>
      </c>
      <c r="Q488" s="49" t="s">
        <v>35</v>
      </c>
      <c r="R488" s="11" t="s">
        <v>80</v>
      </c>
      <c r="S488" s="11" t="s">
        <v>90</v>
      </c>
      <c r="T488" s="11" t="s">
        <v>231</v>
      </c>
      <c r="U488" s="11" t="s">
        <v>1753</v>
      </c>
      <c r="V488" s="116" t="s">
        <v>10</v>
      </c>
      <c r="W488" s="88"/>
      <c r="X488" s="51">
        <v>46020</v>
      </c>
      <c r="Y488" s="97" t="s">
        <v>1573</v>
      </c>
      <c r="Z488" s="135" t="s">
        <v>3023</v>
      </c>
      <c r="AA488" s="135">
        <v>0</v>
      </c>
    </row>
    <row r="489" spans="1:27" ht="13" customHeight="1">
      <c r="A489" s="11">
        <v>483</v>
      </c>
      <c r="B489" s="47">
        <v>204890367</v>
      </c>
      <c r="C489" s="89" t="s">
        <v>503</v>
      </c>
      <c r="D489" s="11" t="s">
        <v>504</v>
      </c>
      <c r="E489" s="48" t="s">
        <v>31</v>
      </c>
      <c r="F489" s="48" t="s">
        <v>74</v>
      </c>
      <c r="G489" s="11" t="s">
        <v>64</v>
      </c>
      <c r="H489" s="48" t="str">
        <f>VLOOKUP(Table1[[#This Row],[Psoft No]],[1]Roster!$C$2:$H$1402,6,)</f>
        <v>AUH1</v>
      </c>
      <c r="I489" s="48" t="b">
        <f>Table1[[#This Row],[Building]]=Table1[[#This Row],[Column1]]</f>
        <v>1</v>
      </c>
      <c r="J489" s="11" t="s">
        <v>75</v>
      </c>
      <c r="K489" s="11">
        <v>1299</v>
      </c>
      <c r="L489" s="49" t="s">
        <v>32</v>
      </c>
      <c r="M489" s="49" t="s">
        <v>76</v>
      </c>
      <c r="N489" s="49" t="s">
        <v>85</v>
      </c>
      <c r="O489" s="49" t="s">
        <v>88</v>
      </c>
      <c r="P489" s="48" t="s">
        <v>86</v>
      </c>
      <c r="Q489" s="49" t="s">
        <v>35</v>
      </c>
      <c r="R489" s="11" t="s">
        <v>80</v>
      </c>
      <c r="S489" s="11" t="s">
        <v>90</v>
      </c>
      <c r="T489" s="11" t="s">
        <v>231</v>
      </c>
      <c r="U489" s="11" t="s">
        <v>1753</v>
      </c>
      <c r="V489" s="116" t="str">
        <f>VLOOKUP(Table1[[#This Row],[Psoft No]],[2]Sheet1!$A$2:$G$386,7,0)</f>
        <v>P</v>
      </c>
      <c r="W489" s="88"/>
      <c r="X489" s="51">
        <v>45826</v>
      </c>
      <c r="Y489" s="97" t="s">
        <v>1573</v>
      </c>
      <c r="Z489" s="135" t="s">
        <v>2</v>
      </c>
      <c r="AA489" s="135">
        <v>0</v>
      </c>
    </row>
    <row r="490" spans="1:27" ht="13" customHeight="1">
      <c r="A490" s="11">
        <v>484</v>
      </c>
      <c r="B490" s="47">
        <v>203908841</v>
      </c>
      <c r="C490" s="89" t="s">
        <v>776</v>
      </c>
      <c r="D490" s="11" t="s">
        <v>777</v>
      </c>
      <c r="E490" s="48" t="s">
        <v>31</v>
      </c>
      <c r="F490" s="48" t="s">
        <v>74</v>
      </c>
      <c r="G490" s="11" t="s">
        <v>64</v>
      </c>
      <c r="H490" s="48" t="str">
        <f>VLOOKUP(Table1[[#This Row],[Psoft No]],[1]Roster!$C$2:$H$1402,6,)</f>
        <v>AUH1</v>
      </c>
      <c r="I490" s="48" t="b">
        <f>Table1[[#This Row],[Building]]=Table1[[#This Row],[Column1]]</f>
        <v>1</v>
      </c>
      <c r="J490" s="11" t="s">
        <v>75</v>
      </c>
      <c r="K490" s="11">
        <v>1299</v>
      </c>
      <c r="L490" s="49" t="s">
        <v>32</v>
      </c>
      <c r="M490" s="49" t="s">
        <v>76</v>
      </c>
      <c r="N490" s="49" t="s">
        <v>78</v>
      </c>
      <c r="O490" s="49" t="s">
        <v>92</v>
      </c>
      <c r="P490" s="48" t="s">
        <v>79</v>
      </c>
      <c r="Q490" s="49" t="s">
        <v>37</v>
      </c>
      <c r="R490" s="11" t="s">
        <v>80</v>
      </c>
      <c r="S490" s="11" t="s">
        <v>81</v>
      </c>
      <c r="T490" s="49" t="s">
        <v>647</v>
      </c>
      <c r="U490" s="11" t="s">
        <v>1798</v>
      </c>
      <c r="V490" s="116" t="s">
        <v>10</v>
      </c>
      <c r="W490" s="88"/>
      <c r="X490" s="51">
        <v>45537</v>
      </c>
      <c r="Y490" s="97" t="s">
        <v>1577</v>
      </c>
      <c r="Z490" s="135" t="s">
        <v>3023</v>
      </c>
      <c r="AA490" s="135">
        <v>0</v>
      </c>
    </row>
    <row r="491" spans="1:27" ht="13" customHeight="1">
      <c r="A491" s="11">
        <v>485</v>
      </c>
      <c r="B491" s="47">
        <v>103986189</v>
      </c>
      <c r="C491" s="89" t="s">
        <v>507</v>
      </c>
      <c r="D491" s="11" t="s">
        <v>508</v>
      </c>
      <c r="E491" s="48" t="s">
        <v>34</v>
      </c>
      <c r="F491" s="48" t="s">
        <v>74</v>
      </c>
      <c r="G491" s="11" t="s">
        <v>64</v>
      </c>
      <c r="H491" s="48" t="str">
        <f>VLOOKUP(Table1[[#This Row],[Psoft No]],[1]Roster!$C$2:$H$1402,6,)</f>
        <v>AUH1</v>
      </c>
      <c r="I491" s="48" t="b">
        <f>Table1[[#This Row],[Building]]=Table1[[#This Row],[Column1]]</f>
        <v>1</v>
      </c>
      <c r="J491" s="11" t="s">
        <v>75</v>
      </c>
      <c r="K491" s="11">
        <v>1299</v>
      </c>
      <c r="L491" s="49" t="s">
        <v>39</v>
      </c>
      <c r="M491" s="49" t="s">
        <v>76</v>
      </c>
      <c r="N491" s="49" t="s">
        <v>95</v>
      </c>
      <c r="O491" s="49" t="s">
        <v>77</v>
      </c>
      <c r="P491" s="48" t="s">
        <v>97</v>
      </c>
      <c r="Q491" s="49" t="s">
        <v>35</v>
      </c>
      <c r="R491" s="11" t="s">
        <v>80</v>
      </c>
      <c r="S491" s="11" t="s">
        <v>98</v>
      </c>
      <c r="T491" s="11" t="s">
        <v>231</v>
      </c>
      <c r="U491" s="11" t="s">
        <v>1753</v>
      </c>
      <c r="V491" s="116" t="s">
        <v>1</v>
      </c>
      <c r="W491" s="88"/>
      <c r="X491" s="51">
        <v>44782</v>
      </c>
      <c r="Y491" s="97" t="s">
        <v>1570</v>
      </c>
      <c r="Z491" s="135" t="s">
        <v>2</v>
      </c>
      <c r="AA491" s="135">
        <v>0</v>
      </c>
    </row>
    <row r="492" spans="1:27" ht="13" customHeight="1">
      <c r="A492" s="11">
        <v>486</v>
      </c>
      <c r="B492" s="47">
        <v>204403653</v>
      </c>
      <c r="C492" s="89" t="s">
        <v>509</v>
      </c>
      <c r="D492" s="11" t="s">
        <v>510</v>
      </c>
      <c r="E492" s="48" t="s">
        <v>31</v>
      </c>
      <c r="F492" s="48" t="s">
        <v>74</v>
      </c>
      <c r="G492" s="11" t="s">
        <v>64</v>
      </c>
      <c r="H492" s="48" t="str">
        <f>VLOOKUP(Table1[[#This Row],[Psoft No]],[1]Roster!$C$2:$H$1402,6,)</f>
        <v>AUH1</v>
      </c>
      <c r="I492" s="48" t="b">
        <f>Table1[[#This Row],[Building]]=Table1[[#This Row],[Column1]]</f>
        <v>1</v>
      </c>
      <c r="J492" s="11" t="s">
        <v>75</v>
      </c>
      <c r="K492" s="11">
        <v>1299</v>
      </c>
      <c r="L492" s="49" t="s">
        <v>32</v>
      </c>
      <c r="M492" s="49" t="s">
        <v>76</v>
      </c>
      <c r="N492" s="49" t="s">
        <v>77</v>
      </c>
      <c r="O492" s="49" t="s">
        <v>78</v>
      </c>
      <c r="P492" s="48" t="s">
        <v>86</v>
      </c>
      <c r="Q492" s="49" t="s">
        <v>35</v>
      </c>
      <c r="R492" s="11" t="s">
        <v>80</v>
      </c>
      <c r="S492" s="11" t="s">
        <v>99</v>
      </c>
      <c r="T492" s="11" t="s">
        <v>231</v>
      </c>
      <c r="U492" s="11" t="s">
        <v>1753</v>
      </c>
      <c r="V492" s="116" t="str">
        <f>VLOOKUP(Table1[[#This Row],[Psoft No]],[2]Sheet1!$A$2:$G$386,7,0)</f>
        <v>P</v>
      </c>
      <c r="W492" s="88"/>
      <c r="X492" s="51">
        <v>45596</v>
      </c>
      <c r="Y492" s="97" t="s">
        <v>1573</v>
      </c>
      <c r="Z492" s="135" t="s">
        <v>2</v>
      </c>
      <c r="AA492" s="135">
        <v>0</v>
      </c>
    </row>
    <row r="493" spans="1:27" ht="13" customHeight="1">
      <c r="A493" s="11">
        <v>487</v>
      </c>
      <c r="B493" s="47">
        <v>204967148</v>
      </c>
      <c r="C493" s="89" t="s">
        <v>2613</v>
      </c>
      <c r="D493" s="11" t="s">
        <v>2614</v>
      </c>
      <c r="E493" s="48" t="s">
        <v>31</v>
      </c>
      <c r="F493" s="48" t="s">
        <v>74</v>
      </c>
      <c r="G493" s="11" t="s">
        <v>64</v>
      </c>
      <c r="H493" s="48" t="str">
        <f>VLOOKUP(Table1[[#This Row],[Psoft No]],[1]Roster!$C$2:$H$1402,6,)</f>
        <v>AUH1</v>
      </c>
      <c r="I493" s="48" t="b">
        <f>Table1[[#This Row],[Building]]=Table1[[#This Row],[Column1]]</f>
        <v>1</v>
      </c>
      <c r="J493" s="11" t="s">
        <v>75</v>
      </c>
      <c r="K493" s="11">
        <v>1299</v>
      </c>
      <c r="L493" s="49" t="s">
        <v>39</v>
      </c>
      <c r="M493" s="49" t="s">
        <v>76</v>
      </c>
      <c r="N493" s="49" t="s">
        <v>92</v>
      </c>
      <c r="O493" s="49" t="s">
        <v>84</v>
      </c>
      <c r="P493" s="49" t="s">
        <v>89</v>
      </c>
      <c r="Q493" s="49" t="s">
        <v>35</v>
      </c>
      <c r="R493" s="11" t="s">
        <v>80</v>
      </c>
      <c r="S493" s="11" t="s">
        <v>90</v>
      </c>
      <c r="T493" s="11" t="s">
        <v>231</v>
      </c>
      <c r="U493" s="11" t="s">
        <v>1753</v>
      </c>
      <c r="V493" s="116" t="s">
        <v>10</v>
      </c>
      <c r="W493" s="88"/>
      <c r="X493" s="51">
        <v>45826</v>
      </c>
      <c r="Y493" s="97" t="s">
        <v>1573</v>
      </c>
      <c r="Z493" s="135" t="s">
        <v>3023</v>
      </c>
      <c r="AA493" s="135">
        <v>0</v>
      </c>
    </row>
    <row r="494" spans="1:27" ht="13" customHeight="1">
      <c r="A494" s="11">
        <v>488</v>
      </c>
      <c r="B494" s="47">
        <v>203813080</v>
      </c>
      <c r="C494" s="89" t="s">
        <v>511</v>
      </c>
      <c r="D494" s="11" t="s">
        <v>512</v>
      </c>
      <c r="E494" s="48" t="s">
        <v>31</v>
      </c>
      <c r="F494" s="48" t="s">
        <v>74</v>
      </c>
      <c r="G494" s="11" t="s">
        <v>64</v>
      </c>
      <c r="H494" s="48" t="str">
        <f>VLOOKUP(Table1[[#This Row],[Psoft No]],[1]Roster!$C$2:$H$1402,6,)</f>
        <v>AUH1</v>
      </c>
      <c r="I494" s="48" t="b">
        <f>Table1[[#This Row],[Building]]=Table1[[#This Row],[Column1]]</f>
        <v>1</v>
      </c>
      <c r="J494" s="11" t="s">
        <v>75</v>
      </c>
      <c r="K494" s="11">
        <v>1299</v>
      </c>
      <c r="L494" s="49" t="s">
        <v>39</v>
      </c>
      <c r="M494" s="49" t="s">
        <v>76</v>
      </c>
      <c r="N494" s="49" t="s">
        <v>78</v>
      </c>
      <c r="O494" s="49" t="s">
        <v>92</v>
      </c>
      <c r="P494" s="48" t="s">
        <v>86</v>
      </c>
      <c r="Q494" s="49" t="s">
        <v>35</v>
      </c>
      <c r="R494" s="11" t="s">
        <v>80</v>
      </c>
      <c r="S494" s="11" t="s">
        <v>99</v>
      </c>
      <c r="T494" s="11" t="s">
        <v>231</v>
      </c>
      <c r="U494" s="11" t="s">
        <v>1753</v>
      </c>
      <c r="V494" s="116" t="s">
        <v>10</v>
      </c>
      <c r="W494" s="88"/>
      <c r="X494" s="51">
        <v>45517</v>
      </c>
      <c r="Y494" s="97" t="s">
        <v>1573</v>
      </c>
      <c r="Z494" s="135" t="s">
        <v>3023</v>
      </c>
      <c r="AA494" s="135">
        <v>0</v>
      </c>
    </row>
    <row r="495" spans="1:27" ht="13" customHeight="1">
      <c r="A495" s="11">
        <v>489</v>
      </c>
      <c r="B495" s="47">
        <v>206846697</v>
      </c>
      <c r="C495" s="89" t="s">
        <v>2615</v>
      </c>
      <c r="D495" s="47" t="s">
        <v>2616</v>
      </c>
      <c r="E495" s="47" t="s">
        <v>31</v>
      </c>
      <c r="F495" s="47" t="s">
        <v>74</v>
      </c>
      <c r="G495" s="47" t="s">
        <v>64</v>
      </c>
      <c r="H495" s="47" t="str">
        <f>VLOOKUP(Table1[[#This Row],[Psoft No]],[1]Roster!$C$2:$H$1402,6,)</f>
        <v>AUH1</v>
      </c>
      <c r="I495" s="47" t="b">
        <f>Table1[[#This Row],[Building]]=Table1[[#This Row],[Column1]]</f>
        <v>1</v>
      </c>
      <c r="J495" s="47" t="s">
        <v>75</v>
      </c>
      <c r="K495" s="47">
        <v>1299</v>
      </c>
      <c r="L495" s="49" t="s">
        <v>32</v>
      </c>
      <c r="M495" s="49" t="s">
        <v>76</v>
      </c>
      <c r="N495" s="49" t="s">
        <v>78</v>
      </c>
      <c r="O495" s="49" t="s">
        <v>92</v>
      </c>
      <c r="P495" s="49" t="s">
        <v>89</v>
      </c>
      <c r="Q495" s="47" t="s">
        <v>35</v>
      </c>
      <c r="R495" s="47" t="s">
        <v>80</v>
      </c>
      <c r="S495" s="47" t="s">
        <v>90</v>
      </c>
      <c r="T495" s="11" t="s">
        <v>231</v>
      </c>
      <c r="U495" s="47" t="s">
        <v>1753</v>
      </c>
      <c r="V495" s="116" t="s">
        <v>10</v>
      </c>
      <c r="W495" s="88"/>
      <c r="X495" s="51">
        <v>46013</v>
      </c>
      <c r="Y495" s="132" t="s">
        <v>1573</v>
      </c>
      <c r="Z495" s="135" t="s">
        <v>3023</v>
      </c>
      <c r="AA495" s="135">
        <v>0</v>
      </c>
    </row>
    <row r="496" spans="1:27" ht="13" customHeight="1">
      <c r="A496" s="11">
        <v>490</v>
      </c>
      <c r="B496" s="47">
        <v>204883234</v>
      </c>
      <c r="C496" s="89" t="s">
        <v>513</v>
      </c>
      <c r="D496" s="11" t="s">
        <v>514</v>
      </c>
      <c r="E496" s="48" t="s">
        <v>31</v>
      </c>
      <c r="F496" s="48" t="s">
        <v>74</v>
      </c>
      <c r="G496" s="11" t="s">
        <v>64</v>
      </c>
      <c r="H496" s="48" t="str">
        <f>VLOOKUP(Table1[[#This Row],[Psoft No]],[1]Roster!$C$2:$H$1402,6,)</f>
        <v>AUH1</v>
      </c>
      <c r="I496" s="48" t="b">
        <f>Table1[[#This Row],[Building]]=Table1[[#This Row],[Column1]]</f>
        <v>1</v>
      </c>
      <c r="J496" s="11" t="s">
        <v>75</v>
      </c>
      <c r="K496" s="11">
        <v>1299</v>
      </c>
      <c r="L496" s="49" t="s">
        <v>32</v>
      </c>
      <c r="M496" s="49" t="s">
        <v>76</v>
      </c>
      <c r="N496" s="49" t="s">
        <v>78</v>
      </c>
      <c r="O496" s="49" t="s">
        <v>92</v>
      </c>
      <c r="P496" s="48" t="s">
        <v>86</v>
      </c>
      <c r="Q496" s="49" t="s">
        <v>35</v>
      </c>
      <c r="R496" s="11" t="s">
        <v>80</v>
      </c>
      <c r="S496" s="11" t="s">
        <v>87</v>
      </c>
      <c r="T496" s="11" t="s">
        <v>225</v>
      </c>
      <c r="U496" s="11" t="s">
        <v>226</v>
      </c>
      <c r="V496" s="116" t="s">
        <v>10</v>
      </c>
      <c r="W496" s="88"/>
      <c r="X496" s="51">
        <v>45691</v>
      </c>
      <c r="Y496" s="97" t="s">
        <v>1572</v>
      </c>
      <c r="Z496" s="135" t="s">
        <v>3023</v>
      </c>
      <c r="AA496" s="135">
        <v>0</v>
      </c>
    </row>
    <row r="497" spans="1:27" ht="13" customHeight="1">
      <c r="A497" s="11">
        <v>491</v>
      </c>
      <c r="B497" s="47">
        <v>203851274</v>
      </c>
      <c r="C497" s="89" t="s">
        <v>515</v>
      </c>
      <c r="D497" s="11" t="s">
        <v>516</v>
      </c>
      <c r="E497" s="48" t="s">
        <v>31</v>
      </c>
      <c r="F497" s="48" t="s">
        <v>74</v>
      </c>
      <c r="G497" s="11" t="s">
        <v>64</v>
      </c>
      <c r="H497" s="48" t="str">
        <f>VLOOKUP(Table1[[#This Row],[Psoft No]],[1]Roster!$C$2:$H$1402,6,)</f>
        <v>AUH1</v>
      </c>
      <c r="I497" s="48" t="b">
        <f>Table1[[#This Row],[Building]]=Table1[[#This Row],[Column1]]</f>
        <v>1</v>
      </c>
      <c r="J497" s="11" t="s">
        <v>75</v>
      </c>
      <c r="K497" s="11">
        <v>1299</v>
      </c>
      <c r="L497" s="49" t="s">
        <v>32</v>
      </c>
      <c r="M497" s="49" t="s">
        <v>76</v>
      </c>
      <c r="N497" s="49" t="s">
        <v>78</v>
      </c>
      <c r="O497" s="49" t="s">
        <v>92</v>
      </c>
      <c r="P497" s="48" t="s">
        <v>517</v>
      </c>
      <c r="Q497" s="49" t="s">
        <v>35</v>
      </c>
      <c r="R497" s="11" t="s">
        <v>80</v>
      </c>
      <c r="S497" s="11" t="s">
        <v>99</v>
      </c>
      <c r="T497" s="11" t="s">
        <v>225</v>
      </c>
      <c r="U497" s="11" t="s">
        <v>226</v>
      </c>
      <c r="V497" s="116" t="s">
        <v>10</v>
      </c>
      <c r="W497" s="88"/>
      <c r="X497" s="51">
        <v>45524</v>
      </c>
      <c r="Y497" s="97" t="s">
        <v>1573</v>
      </c>
      <c r="Z497" s="135" t="s">
        <v>3023</v>
      </c>
      <c r="AA497" s="135">
        <v>0</v>
      </c>
    </row>
    <row r="498" spans="1:27" ht="13" customHeight="1">
      <c r="A498" s="11">
        <v>492</v>
      </c>
      <c r="B498" s="47">
        <v>205495599</v>
      </c>
      <c r="C498" s="89" t="s">
        <v>518</v>
      </c>
      <c r="D498" s="11" t="s">
        <v>519</v>
      </c>
      <c r="E498" s="48" t="s">
        <v>31</v>
      </c>
      <c r="F498" s="48" t="s">
        <v>74</v>
      </c>
      <c r="G498" s="11" t="s">
        <v>64</v>
      </c>
      <c r="H498" s="48" t="str">
        <f>VLOOKUP(Table1[[#This Row],[Psoft No]],[1]Roster!$C$2:$H$1402,6,)</f>
        <v>AUH1</v>
      </c>
      <c r="I498" s="48" t="b">
        <f>Table1[[#This Row],[Building]]=Table1[[#This Row],[Column1]]</f>
        <v>1</v>
      </c>
      <c r="J498" s="11" t="s">
        <v>75</v>
      </c>
      <c r="K498" s="11">
        <v>1299</v>
      </c>
      <c r="L498" s="49" t="s">
        <v>32</v>
      </c>
      <c r="M498" s="49" t="s">
        <v>76</v>
      </c>
      <c r="N498" s="49" t="s">
        <v>78</v>
      </c>
      <c r="O498" s="49" t="s">
        <v>92</v>
      </c>
      <c r="P498" s="49" t="s">
        <v>89</v>
      </c>
      <c r="Q498" s="49" t="s">
        <v>35</v>
      </c>
      <c r="R498" s="11" t="s">
        <v>80</v>
      </c>
      <c r="S498" s="11" t="s">
        <v>96</v>
      </c>
      <c r="T498" s="11" t="s">
        <v>225</v>
      </c>
      <c r="U498" s="11" t="s">
        <v>226</v>
      </c>
      <c r="V498" s="116" t="s">
        <v>10</v>
      </c>
      <c r="W498" s="88"/>
      <c r="X498" s="51">
        <v>45831</v>
      </c>
      <c r="Y498" s="97" t="s">
        <v>1574</v>
      </c>
      <c r="Z498" s="135" t="s">
        <v>3023</v>
      </c>
      <c r="AA498" s="135">
        <v>0</v>
      </c>
    </row>
    <row r="499" spans="1:27" ht="13" customHeight="1">
      <c r="A499" s="11">
        <v>493</v>
      </c>
      <c r="B499" s="47">
        <v>203737250</v>
      </c>
      <c r="C499" s="89" t="s">
        <v>2617</v>
      </c>
      <c r="D499" s="11" t="s">
        <v>2618</v>
      </c>
      <c r="E499" s="48" t="s">
        <v>31</v>
      </c>
      <c r="F499" s="48" t="s">
        <v>74</v>
      </c>
      <c r="G499" s="11" t="s">
        <v>64</v>
      </c>
      <c r="H499" s="48" t="str">
        <f>VLOOKUP(Table1[[#This Row],[Psoft No]],[1]Roster!$C$2:$H$1402,6,)</f>
        <v>AUH1</v>
      </c>
      <c r="I499" s="48" t="b">
        <f>Table1[[#This Row],[Building]]=Table1[[#This Row],[Column1]]</f>
        <v>1</v>
      </c>
      <c r="J499" s="11" t="s">
        <v>75</v>
      </c>
      <c r="K499" s="11">
        <v>1299</v>
      </c>
      <c r="L499" s="49" t="s">
        <v>32</v>
      </c>
      <c r="M499" s="49" t="s">
        <v>76</v>
      </c>
      <c r="N499" s="49" t="s">
        <v>84</v>
      </c>
      <c r="O499" s="49" t="s">
        <v>85</v>
      </c>
      <c r="P499" s="48" t="s">
        <v>86</v>
      </c>
      <c r="Q499" s="49" t="s">
        <v>35</v>
      </c>
      <c r="R499" s="11" t="s">
        <v>80</v>
      </c>
      <c r="S499" s="11" t="s">
        <v>90</v>
      </c>
      <c r="T499" s="11" t="s">
        <v>231</v>
      </c>
      <c r="U499" s="11" t="s">
        <v>1753</v>
      </c>
      <c r="V499" s="116" t="str">
        <f>VLOOKUP(Table1[[#This Row],[Psoft No]],[2]Sheet1!$A$2:$G$386,7,0)</f>
        <v>P</v>
      </c>
      <c r="W499" s="88"/>
      <c r="X499" s="51">
        <v>45502</v>
      </c>
      <c r="Y499" s="97" t="s">
        <v>1573</v>
      </c>
      <c r="Z499" s="135" t="s">
        <v>2</v>
      </c>
      <c r="AA499" s="135">
        <v>0</v>
      </c>
    </row>
    <row r="500" spans="1:27" ht="13" customHeight="1">
      <c r="A500" s="11">
        <v>494</v>
      </c>
      <c r="B500" s="47">
        <v>204967146</v>
      </c>
      <c r="C500" s="89" t="s">
        <v>2619</v>
      </c>
      <c r="D500" s="11" t="s">
        <v>2620</v>
      </c>
      <c r="E500" s="48" t="s">
        <v>31</v>
      </c>
      <c r="F500" s="48" t="s">
        <v>74</v>
      </c>
      <c r="G500" s="11" t="s">
        <v>64</v>
      </c>
      <c r="H500" s="48" t="str">
        <f>VLOOKUP(Table1[[#This Row],[Psoft No]],[1]Roster!$C$2:$H$1402,6,)</f>
        <v>AUH1</v>
      </c>
      <c r="I500" s="48" t="b">
        <f>Table1[[#This Row],[Building]]=Table1[[#This Row],[Column1]]</f>
        <v>1</v>
      </c>
      <c r="J500" s="11" t="s">
        <v>75</v>
      </c>
      <c r="K500" s="11">
        <v>1299</v>
      </c>
      <c r="L500" s="49" t="s">
        <v>32</v>
      </c>
      <c r="M500" s="49" t="s">
        <v>76</v>
      </c>
      <c r="N500" s="49" t="s">
        <v>95</v>
      </c>
      <c r="O500" s="49" t="s">
        <v>77</v>
      </c>
      <c r="P500" s="49" t="s">
        <v>89</v>
      </c>
      <c r="Q500" s="49" t="s">
        <v>35</v>
      </c>
      <c r="R500" s="11" t="s">
        <v>80</v>
      </c>
      <c r="S500" s="11" t="s">
        <v>90</v>
      </c>
      <c r="T500" s="11" t="s">
        <v>231</v>
      </c>
      <c r="U500" s="11" t="s">
        <v>1753</v>
      </c>
      <c r="V500" s="116" t="str">
        <f>VLOOKUP(Table1[[#This Row],[Psoft No]],[2]Sheet1!$A$2:$G$386,7,0)</f>
        <v>P</v>
      </c>
      <c r="W500" s="88"/>
      <c r="X500" s="51">
        <v>45826</v>
      </c>
      <c r="Y500" s="97" t="s">
        <v>1573</v>
      </c>
      <c r="Z500" s="135" t="s">
        <v>2</v>
      </c>
      <c r="AA500" s="135">
        <v>0</v>
      </c>
    </row>
    <row r="501" spans="1:27" ht="13" customHeight="1">
      <c r="A501" s="11">
        <v>495</v>
      </c>
      <c r="B501" s="47">
        <v>206791444</v>
      </c>
      <c r="C501" s="89" t="s">
        <v>2621</v>
      </c>
      <c r="D501" s="11" t="s">
        <v>2622</v>
      </c>
      <c r="E501" s="48" t="s">
        <v>31</v>
      </c>
      <c r="F501" s="48" t="s">
        <v>74</v>
      </c>
      <c r="G501" s="11" t="s">
        <v>64</v>
      </c>
      <c r="H501" s="48" t="str">
        <f>VLOOKUP(Table1[[#This Row],[Psoft No]],[1]Roster!$C$2:$H$1402,6,)</f>
        <v>AUH1</v>
      </c>
      <c r="I501" s="48" t="b">
        <f>Table1[[#This Row],[Building]]=Table1[[#This Row],[Column1]]</f>
        <v>1</v>
      </c>
      <c r="J501" s="11" t="s">
        <v>75</v>
      </c>
      <c r="K501" s="11">
        <v>1299</v>
      </c>
      <c r="L501" s="49" t="s">
        <v>32</v>
      </c>
      <c r="M501" s="49" t="s">
        <v>76</v>
      </c>
      <c r="N501" s="49" t="s">
        <v>78</v>
      </c>
      <c r="O501" s="49" t="s">
        <v>92</v>
      </c>
      <c r="P501" s="49" t="s">
        <v>89</v>
      </c>
      <c r="Q501" s="49" t="s">
        <v>35</v>
      </c>
      <c r="R501" s="11" t="s">
        <v>80</v>
      </c>
      <c r="S501" s="11" t="s">
        <v>90</v>
      </c>
      <c r="T501" s="11" t="s">
        <v>224</v>
      </c>
      <c r="U501" s="11" t="s">
        <v>2715</v>
      </c>
      <c r="V501" s="116" t="s">
        <v>10</v>
      </c>
      <c r="W501" s="88"/>
      <c r="X501" s="51">
        <v>45999</v>
      </c>
      <c r="Y501" s="97" t="s">
        <v>1573</v>
      </c>
      <c r="Z501" s="135" t="s">
        <v>3023</v>
      </c>
      <c r="AA501" s="135">
        <v>0</v>
      </c>
    </row>
    <row r="502" spans="1:27" ht="13" customHeight="1">
      <c r="A502" s="11">
        <v>496</v>
      </c>
      <c r="B502" s="11">
        <v>206953813</v>
      </c>
      <c r="C502" s="89" t="s">
        <v>2623</v>
      </c>
      <c r="D502" s="11" t="s">
        <v>2624</v>
      </c>
      <c r="E502" s="48" t="s">
        <v>31</v>
      </c>
      <c r="F502" s="48" t="s">
        <v>74</v>
      </c>
      <c r="G502" s="11" t="s">
        <v>64</v>
      </c>
      <c r="H502" s="48" t="str">
        <f>VLOOKUP(Table1[[#This Row],[Psoft No]],[1]Roster!$C$2:$H$1402,6,)</f>
        <v>AUH1</v>
      </c>
      <c r="I502" s="48" t="b">
        <f>Table1[[#This Row],[Building]]=Table1[[#This Row],[Column1]]</f>
        <v>1</v>
      </c>
      <c r="J502" s="11" t="s">
        <v>75</v>
      </c>
      <c r="K502" s="11">
        <v>1299</v>
      </c>
      <c r="L502" s="49" t="s">
        <v>39</v>
      </c>
      <c r="M502" s="49" t="s">
        <v>76</v>
      </c>
      <c r="N502" s="49" t="s">
        <v>78</v>
      </c>
      <c r="O502" s="49" t="s">
        <v>92</v>
      </c>
      <c r="P502" s="48" t="s">
        <v>86</v>
      </c>
      <c r="Q502" s="86" t="s">
        <v>35</v>
      </c>
      <c r="R502" s="11" t="s">
        <v>80</v>
      </c>
      <c r="S502" s="82" t="s">
        <v>90</v>
      </c>
      <c r="T502" s="11" t="s">
        <v>224</v>
      </c>
      <c r="U502" s="54" t="s">
        <v>2715</v>
      </c>
      <c r="V502" s="116" t="s">
        <v>10</v>
      </c>
      <c r="W502" s="88"/>
      <c r="X502" s="51">
        <v>46051</v>
      </c>
      <c r="Y502" s="29" t="s">
        <v>1573</v>
      </c>
      <c r="Z502" s="135" t="s">
        <v>3023</v>
      </c>
      <c r="AA502" s="135">
        <v>0</v>
      </c>
    </row>
    <row r="503" spans="1:27" ht="13" customHeight="1">
      <c r="A503" s="11">
        <v>497</v>
      </c>
      <c r="B503" s="47">
        <v>206873780</v>
      </c>
      <c r="C503" s="89" t="s">
        <v>2625</v>
      </c>
      <c r="D503" s="11" t="s">
        <v>2626</v>
      </c>
      <c r="E503" s="48" t="s">
        <v>31</v>
      </c>
      <c r="F503" s="48" t="s">
        <v>74</v>
      </c>
      <c r="G503" s="48" t="s">
        <v>64</v>
      </c>
      <c r="H503" s="48" t="str">
        <f>VLOOKUP(Table1[[#This Row],[Psoft No]],[1]Roster!$C$2:$H$1402,6,)</f>
        <v>AUH1</v>
      </c>
      <c r="I503" s="48" t="b">
        <f>Table1[[#This Row],[Building]]=Table1[[#This Row],[Column1]]</f>
        <v>1</v>
      </c>
      <c r="J503" s="48" t="s">
        <v>75</v>
      </c>
      <c r="K503" s="11">
        <v>1299</v>
      </c>
      <c r="L503" s="49" t="s">
        <v>39</v>
      </c>
      <c r="M503" s="49" t="s">
        <v>76</v>
      </c>
      <c r="N503" s="49" t="s">
        <v>78</v>
      </c>
      <c r="O503" s="49" t="s">
        <v>92</v>
      </c>
      <c r="P503" s="49" t="s">
        <v>89</v>
      </c>
      <c r="Q503" s="48" t="s">
        <v>35</v>
      </c>
      <c r="R503" s="48" t="s">
        <v>80</v>
      </c>
      <c r="S503" s="11" t="s">
        <v>90</v>
      </c>
      <c r="T503" s="11" t="s">
        <v>231</v>
      </c>
      <c r="U503" s="11" t="s">
        <v>1753</v>
      </c>
      <c r="V503" s="116" t="s">
        <v>10</v>
      </c>
      <c r="W503" s="88"/>
      <c r="X503" s="51">
        <v>46020</v>
      </c>
      <c r="Y503" s="97" t="s">
        <v>1573</v>
      </c>
      <c r="Z503" s="135" t="s">
        <v>3023</v>
      </c>
      <c r="AA503" s="135">
        <v>0</v>
      </c>
    </row>
    <row r="504" spans="1:27" ht="13" customHeight="1">
      <c r="A504" s="11">
        <v>498</v>
      </c>
      <c r="B504" s="47">
        <v>203800374</v>
      </c>
      <c r="C504" s="89" t="s">
        <v>2627</v>
      </c>
      <c r="D504" s="11" t="s">
        <v>2628</v>
      </c>
      <c r="E504" s="48" t="s">
        <v>31</v>
      </c>
      <c r="F504" s="48" t="s">
        <v>74</v>
      </c>
      <c r="G504" s="11" t="s">
        <v>64</v>
      </c>
      <c r="H504" s="48" t="str">
        <f>VLOOKUP(Table1[[#This Row],[Psoft No]],[1]Roster!$C$2:$H$1402,6,)</f>
        <v>AUH1</v>
      </c>
      <c r="I504" s="48" t="b">
        <f>Table1[[#This Row],[Building]]=Table1[[#This Row],[Column1]]</f>
        <v>1</v>
      </c>
      <c r="J504" s="11" t="s">
        <v>75</v>
      </c>
      <c r="K504" s="11">
        <v>1299</v>
      </c>
      <c r="L504" s="49" t="s">
        <v>32</v>
      </c>
      <c r="M504" s="49" t="s">
        <v>76</v>
      </c>
      <c r="N504" s="49" t="s">
        <v>95</v>
      </c>
      <c r="O504" s="49" t="s">
        <v>77</v>
      </c>
      <c r="P504" s="49" t="s">
        <v>89</v>
      </c>
      <c r="Q504" s="49" t="s">
        <v>35</v>
      </c>
      <c r="R504" s="11" t="s">
        <v>80</v>
      </c>
      <c r="S504" s="11" t="s">
        <v>90</v>
      </c>
      <c r="T504" s="11" t="s">
        <v>231</v>
      </c>
      <c r="U504" s="11" t="s">
        <v>1753</v>
      </c>
      <c r="V504" s="116" t="str">
        <f>VLOOKUP(Table1[[#This Row],[Psoft No]],[2]Sheet1!$A$2:$G$386,7,0)</f>
        <v>P</v>
      </c>
      <c r="W504" s="88"/>
      <c r="X504" s="51">
        <v>45516</v>
      </c>
      <c r="Y504" s="97" t="s">
        <v>1573</v>
      </c>
      <c r="Z504" s="135" t="s">
        <v>2</v>
      </c>
      <c r="AA504" s="135">
        <v>0</v>
      </c>
    </row>
    <row r="505" spans="1:27" ht="13" customHeight="1">
      <c r="A505" s="11">
        <v>499</v>
      </c>
      <c r="B505" s="47">
        <v>204883245</v>
      </c>
      <c r="C505" s="89" t="s">
        <v>520</v>
      </c>
      <c r="D505" s="11" t="s">
        <v>521</v>
      </c>
      <c r="E505" s="48" t="s">
        <v>31</v>
      </c>
      <c r="F505" s="48" t="s">
        <v>74</v>
      </c>
      <c r="G505" s="11" t="s">
        <v>64</v>
      </c>
      <c r="H505" s="48" t="str">
        <f>VLOOKUP(Table1[[#This Row],[Psoft No]],[1]Roster!$C$2:$H$1402,6,)</f>
        <v>AUH1</v>
      </c>
      <c r="I505" s="48" t="b">
        <f>Table1[[#This Row],[Building]]=Table1[[#This Row],[Column1]]</f>
        <v>1</v>
      </c>
      <c r="J505" s="11" t="s">
        <v>75</v>
      </c>
      <c r="K505" s="11">
        <v>1299</v>
      </c>
      <c r="L505" s="49" t="s">
        <v>32</v>
      </c>
      <c r="M505" s="49" t="s">
        <v>76</v>
      </c>
      <c r="N505" s="49" t="s">
        <v>84</v>
      </c>
      <c r="O505" s="49" t="s">
        <v>85</v>
      </c>
      <c r="P505" s="48" t="s">
        <v>86</v>
      </c>
      <c r="Q505" s="49" t="s">
        <v>35</v>
      </c>
      <c r="R505" s="11" t="s">
        <v>80</v>
      </c>
      <c r="S505" s="11" t="s">
        <v>87</v>
      </c>
      <c r="T505" s="11" t="s">
        <v>225</v>
      </c>
      <c r="U505" s="11" t="s">
        <v>226</v>
      </c>
      <c r="V505" s="116" t="str">
        <f>VLOOKUP(Table1[[#This Row],[Psoft No]],[2]Sheet1!$A$2:$G$386,7,0)</f>
        <v>P</v>
      </c>
      <c r="W505" s="88"/>
      <c r="X505" s="51">
        <v>45691</v>
      </c>
      <c r="Y505" s="97" t="s">
        <v>1572</v>
      </c>
      <c r="Z505" s="135" t="s">
        <v>2</v>
      </c>
      <c r="AA505" s="135">
        <v>0</v>
      </c>
    </row>
    <row r="506" spans="1:27" ht="13" customHeight="1">
      <c r="A506" s="11">
        <v>500</v>
      </c>
      <c r="B506" s="47">
        <v>205506476</v>
      </c>
      <c r="C506" s="89" t="s">
        <v>2629</v>
      </c>
      <c r="D506" s="11" t="s">
        <v>2630</v>
      </c>
      <c r="E506" s="48" t="s">
        <v>31</v>
      </c>
      <c r="F506" s="48" t="s">
        <v>74</v>
      </c>
      <c r="G506" s="11" t="s">
        <v>64</v>
      </c>
      <c r="H506" s="48" t="str">
        <f>VLOOKUP(Table1[[#This Row],[Psoft No]],[1]Roster!$C$2:$H$1402,6,)</f>
        <v>AUH1</v>
      </c>
      <c r="I506" s="48" t="b">
        <f>Table1[[#This Row],[Building]]=Table1[[#This Row],[Column1]]</f>
        <v>1</v>
      </c>
      <c r="J506" s="11" t="s">
        <v>75</v>
      </c>
      <c r="K506" s="11">
        <v>1299</v>
      </c>
      <c r="L506" s="49" t="s">
        <v>32</v>
      </c>
      <c r="M506" s="49" t="s">
        <v>76</v>
      </c>
      <c r="N506" s="49" t="s">
        <v>78</v>
      </c>
      <c r="O506" s="49" t="s">
        <v>92</v>
      </c>
      <c r="P506" s="49" t="s">
        <v>89</v>
      </c>
      <c r="Q506" s="49" t="s">
        <v>35</v>
      </c>
      <c r="R506" s="11" t="s">
        <v>80</v>
      </c>
      <c r="S506" s="11" t="s">
        <v>96</v>
      </c>
      <c r="T506" s="11" t="s">
        <v>231</v>
      </c>
      <c r="U506" s="11" t="s">
        <v>1753</v>
      </c>
      <c r="V506" s="116" t="s">
        <v>10</v>
      </c>
      <c r="W506" s="88"/>
      <c r="X506" s="51">
        <v>45831</v>
      </c>
      <c r="Y506" s="97" t="s">
        <v>1573</v>
      </c>
      <c r="Z506" s="135" t="s">
        <v>3023</v>
      </c>
      <c r="AA506" s="135">
        <v>0</v>
      </c>
    </row>
    <row r="507" spans="1:27" ht="13" customHeight="1">
      <c r="A507" s="11">
        <v>501</v>
      </c>
      <c r="B507" s="47">
        <v>204405779</v>
      </c>
      <c r="C507" s="89" t="s">
        <v>522</v>
      </c>
      <c r="D507" s="11" t="s">
        <v>523</v>
      </c>
      <c r="E507" s="48" t="s">
        <v>31</v>
      </c>
      <c r="F507" s="48" t="s">
        <v>74</v>
      </c>
      <c r="G507" s="11" t="s">
        <v>64</v>
      </c>
      <c r="H507" s="48" t="str">
        <f>VLOOKUP(Table1[[#This Row],[Psoft No]],[1]Roster!$C$2:$H$1402,6,)</f>
        <v>AUH1</v>
      </c>
      <c r="I507" s="48" t="b">
        <f>Table1[[#This Row],[Building]]=Table1[[#This Row],[Column1]]</f>
        <v>1</v>
      </c>
      <c r="J507" s="11" t="s">
        <v>75</v>
      </c>
      <c r="K507" s="11">
        <v>1299</v>
      </c>
      <c r="L507" s="49" t="s">
        <v>32</v>
      </c>
      <c r="M507" s="49" t="s">
        <v>76</v>
      </c>
      <c r="N507" s="49" t="s">
        <v>95</v>
      </c>
      <c r="O507" s="49" t="s">
        <v>77</v>
      </c>
      <c r="P507" s="48" t="s">
        <v>86</v>
      </c>
      <c r="Q507" s="49" t="s">
        <v>35</v>
      </c>
      <c r="R507" s="11" t="s">
        <v>80</v>
      </c>
      <c r="S507" s="11" t="s">
        <v>87</v>
      </c>
      <c r="T507" s="11" t="s">
        <v>225</v>
      </c>
      <c r="U507" s="11" t="s">
        <v>226</v>
      </c>
      <c r="V507" s="116" t="str">
        <f>VLOOKUP(Table1[[#This Row],[Psoft No]],[2]Sheet1!$A$2:$G$386,7,0)</f>
        <v>P</v>
      </c>
      <c r="W507" s="88"/>
      <c r="X507" s="51">
        <v>45596</v>
      </c>
      <c r="Y507" s="97" t="s">
        <v>1574</v>
      </c>
      <c r="Z507" s="135" t="s">
        <v>2</v>
      </c>
      <c r="AA507" s="135">
        <v>0</v>
      </c>
    </row>
    <row r="508" spans="1:27" ht="13" customHeight="1">
      <c r="A508" s="11">
        <v>502</v>
      </c>
      <c r="B508" s="47">
        <v>205495595</v>
      </c>
      <c r="C508" s="89" t="s">
        <v>524</v>
      </c>
      <c r="D508" s="11" t="s">
        <v>525</v>
      </c>
      <c r="E508" s="48" t="s">
        <v>31</v>
      </c>
      <c r="F508" s="48" t="s">
        <v>74</v>
      </c>
      <c r="G508" s="11" t="s">
        <v>64</v>
      </c>
      <c r="H508" s="48" t="str">
        <f>VLOOKUP(Table1[[#This Row],[Psoft No]],[1]Roster!$C$2:$H$1402,6,)</f>
        <v>AUH1</v>
      </c>
      <c r="I508" s="48" t="b">
        <f>Table1[[#This Row],[Building]]=Table1[[#This Row],[Column1]]</f>
        <v>1</v>
      </c>
      <c r="J508" s="11" t="s">
        <v>75</v>
      </c>
      <c r="K508" s="11">
        <v>1299</v>
      </c>
      <c r="L508" s="49" t="s">
        <v>32</v>
      </c>
      <c r="M508" s="49" t="s">
        <v>76</v>
      </c>
      <c r="N508" s="49" t="s">
        <v>78</v>
      </c>
      <c r="O508" s="49" t="s">
        <v>92</v>
      </c>
      <c r="P508" s="49" t="s">
        <v>89</v>
      </c>
      <c r="Q508" s="49" t="s">
        <v>35</v>
      </c>
      <c r="R508" s="11" t="s">
        <v>80</v>
      </c>
      <c r="S508" s="11" t="s">
        <v>96</v>
      </c>
      <c r="T508" s="11" t="s">
        <v>231</v>
      </c>
      <c r="U508" s="11" t="s">
        <v>1753</v>
      </c>
      <c r="V508" s="116" t="s">
        <v>10</v>
      </c>
      <c r="W508" s="88"/>
      <c r="X508" s="51">
        <v>45831</v>
      </c>
      <c r="Y508" s="97" t="s">
        <v>1573</v>
      </c>
      <c r="Z508" s="135" t="s">
        <v>3023</v>
      </c>
      <c r="AA508" s="135">
        <v>0</v>
      </c>
    </row>
    <row r="509" spans="1:27" ht="13" customHeight="1">
      <c r="A509" s="11">
        <v>503</v>
      </c>
      <c r="B509" s="47">
        <v>203850937</v>
      </c>
      <c r="C509" s="89" t="s">
        <v>527</v>
      </c>
      <c r="D509" s="11" t="s">
        <v>528</v>
      </c>
      <c r="E509" s="48" t="s">
        <v>31</v>
      </c>
      <c r="F509" s="48" t="s">
        <v>74</v>
      </c>
      <c r="G509" s="11" t="s">
        <v>64</v>
      </c>
      <c r="H509" s="48" t="str">
        <f>VLOOKUP(Table1[[#This Row],[Psoft No]],[1]Roster!$C$2:$H$1402,6,)</f>
        <v>AUH1</v>
      </c>
      <c r="I509" s="48" t="b">
        <f>Table1[[#This Row],[Building]]=Table1[[#This Row],[Column1]]</f>
        <v>1</v>
      </c>
      <c r="J509" s="11" t="s">
        <v>75</v>
      </c>
      <c r="K509" s="11">
        <v>1299</v>
      </c>
      <c r="L509" s="49" t="s">
        <v>32</v>
      </c>
      <c r="M509" s="49" t="s">
        <v>76</v>
      </c>
      <c r="N509" s="49" t="s">
        <v>78</v>
      </c>
      <c r="O509" s="49" t="s">
        <v>92</v>
      </c>
      <c r="P509" s="48" t="s">
        <v>79</v>
      </c>
      <c r="Q509" s="49" t="s">
        <v>35</v>
      </c>
      <c r="R509" s="11" t="s">
        <v>80</v>
      </c>
      <c r="S509" s="11" t="s">
        <v>81</v>
      </c>
      <c r="T509" s="11" t="s">
        <v>225</v>
      </c>
      <c r="U509" s="11" t="s">
        <v>226</v>
      </c>
      <c r="V509" s="116" t="s">
        <v>10</v>
      </c>
      <c r="W509" s="88"/>
      <c r="X509" s="51">
        <v>45524</v>
      </c>
      <c r="Y509" s="97" t="s">
        <v>1572</v>
      </c>
      <c r="Z509" s="135" t="s">
        <v>3023</v>
      </c>
      <c r="AA509" s="135">
        <v>0</v>
      </c>
    </row>
    <row r="510" spans="1:27" ht="13" customHeight="1">
      <c r="A510" s="11">
        <v>504</v>
      </c>
      <c r="B510" s="47">
        <v>206129262</v>
      </c>
      <c r="C510" s="89" t="s">
        <v>1111</v>
      </c>
      <c r="D510" s="11" t="s">
        <v>1112</v>
      </c>
      <c r="E510" s="48" t="s">
        <v>31</v>
      </c>
      <c r="F510" s="48" t="s">
        <v>74</v>
      </c>
      <c r="G510" s="11" t="s">
        <v>64</v>
      </c>
      <c r="H510" s="48" t="str">
        <f>VLOOKUP(Table1[[#This Row],[Psoft No]],[1]Roster!$C$2:$H$1402,6,)</f>
        <v>AUH1</v>
      </c>
      <c r="I510" s="48" t="b">
        <f>Table1[[#This Row],[Building]]=Table1[[#This Row],[Column1]]</f>
        <v>1</v>
      </c>
      <c r="J510" s="11" t="s">
        <v>75</v>
      </c>
      <c r="K510" s="11">
        <v>1299</v>
      </c>
      <c r="L510" s="49" t="s">
        <v>32</v>
      </c>
      <c r="M510" s="49" t="s">
        <v>76</v>
      </c>
      <c r="N510" s="49" t="s">
        <v>92</v>
      </c>
      <c r="O510" s="49" t="s">
        <v>84</v>
      </c>
      <c r="P510" s="48" t="s">
        <v>89</v>
      </c>
      <c r="Q510" s="49" t="s">
        <v>37</v>
      </c>
      <c r="R510" s="11" t="s">
        <v>80</v>
      </c>
      <c r="S510" s="11" t="s">
        <v>81</v>
      </c>
      <c r="T510" s="49" t="s">
        <v>647</v>
      </c>
      <c r="U510" s="11" t="s">
        <v>1798</v>
      </c>
      <c r="V510" s="116" t="s">
        <v>10</v>
      </c>
      <c r="W510" s="88"/>
      <c r="X510" s="51">
        <v>45929</v>
      </c>
      <c r="Y510" s="97" t="s">
        <v>1577</v>
      </c>
      <c r="Z510" s="135" t="s">
        <v>3023</v>
      </c>
      <c r="AA510" s="135">
        <v>0</v>
      </c>
    </row>
    <row r="511" spans="1:27" ht="13" customHeight="1">
      <c r="A511" s="11">
        <v>505</v>
      </c>
      <c r="B511" s="47">
        <v>204869089</v>
      </c>
      <c r="C511" s="89" t="s">
        <v>531</v>
      </c>
      <c r="D511" s="11" t="s">
        <v>532</v>
      </c>
      <c r="E511" s="48" t="s">
        <v>31</v>
      </c>
      <c r="F511" s="48" t="s">
        <v>74</v>
      </c>
      <c r="G511" s="48" t="s">
        <v>64</v>
      </c>
      <c r="H511" s="48" t="str">
        <f>VLOOKUP(Table1[[#This Row],[Psoft No]],[1]Roster!$C$2:$H$1402,6,)</f>
        <v>AUH1</v>
      </c>
      <c r="I511" s="48" t="b">
        <f>Table1[[#This Row],[Building]]=Table1[[#This Row],[Column1]]</f>
        <v>1</v>
      </c>
      <c r="J511" s="48" t="s">
        <v>75</v>
      </c>
      <c r="K511" s="11">
        <v>1299</v>
      </c>
      <c r="L511" s="49" t="s">
        <v>32</v>
      </c>
      <c r="M511" s="49" t="s">
        <v>76</v>
      </c>
      <c r="N511" s="49" t="s">
        <v>85</v>
      </c>
      <c r="O511" s="49" t="s">
        <v>88</v>
      </c>
      <c r="P511" s="49" t="s">
        <v>86</v>
      </c>
      <c r="Q511" s="48" t="s">
        <v>35</v>
      </c>
      <c r="R511" s="48" t="s">
        <v>80</v>
      </c>
      <c r="S511" s="11" t="s">
        <v>87</v>
      </c>
      <c r="T511" s="11" t="s">
        <v>231</v>
      </c>
      <c r="U511" s="11" t="s">
        <v>1753</v>
      </c>
      <c r="V511" s="116" t="str">
        <f>VLOOKUP(Table1[[#This Row],[Psoft No]],[2]Sheet1!$A$2:$G$386,7,0)</f>
        <v>P</v>
      </c>
      <c r="W511" s="88"/>
      <c r="X511" s="51">
        <v>45691</v>
      </c>
      <c r="Y511" s="97" t="s">
        <v>1573</v>
      </c>
      <c r="Z511" s="135" t="s">
        <v>2</v>
      </c>
      <c r="AA511" s="135">
        <v>0</v>
      </c>
    </row>
    <row r="512" spans="1:27" ht="13" customHeight="1">
      <c r="A512" s="11">
        <v>506</v>
      </c>
      <c r="B512" s="47">
        <v>206873793</v>
      </c>
      <c r="C512" s="89" t="s">
        <v>2631</v>
      </c>
      <c r="D512" s="11" t="s">
        <v>2632</v>
      </c>
      <c r="E512" s="48" t="s">
        <v>31</v>
      </c>
      <c r="F512" s="48" t="s">
        <v>74</v>
      </c>
      <c r="G512" s="48" t="s">
        <v>64</v>
      </c>
      <c r="H512" s="48" t="str">
        <f>VLOOKUP(Table1[[#This Row],[Psoft No]],[1]Roster!$C$2:$H$1402,6,)</f>
        <v>AUH1</v>
      </c>
      <c r="I512" s="48" t="b">
        <f>Table1[[#This Row],[Building]]=Table1[[#This Row],[Column1]]</f>
        <v>1</v>
      </c>
      <c r="J512" s="48" t="s">
        <v>75</v>
      </c>
      <c r="K512" s="11">
        <v>1299</v>
      </c>
      <c r="L512" s="49" t="s">
        <v>32</v>
      </c>
      <c r="M512" s="49" t="s">
        <v>76</v>
      </c>
      <c r="N512" s="49" t="s">
        <v>78</v>
      </c>
      <c r="O512" s="49" t="s">
        <v>92</v>
      </c>
      <c r="P512" s="49" t="s">
        <v>89</v>
      </c>
      <c r="Q512" s="48" t="s">
        <v>35</v>
      </c>
      <c r="R512" s="48" t="s">
        <v>80</v>
      </c>
      <c r="S512" s="11" t="s">
        <v>90</v>
      </c>
      <c r="T512" s="11" t="s">
        <v>231</v>
      </c>
      <c r="U512" s="11" t="s">
        <v>1753</v>
      </c>
      <c r="V512" s="116" t="s">
        <v>10</v>
      </c>
      <c r="W512" s="88"/>
      <c r="X512" s="51">
        <v>46020</v>
      </c>
      <c r="Y512" s="97" t="s">
        <v>1573</v>
      </c>
      <c r="Z512" s="135" t="s">
        <v>3023</v>
      </c>
      <c r="AA512" s="135">
        <v>0</v>
      </c>
    </row>
    <row r="513" spans="1:27" ht="13" customHeight="1">
      <c r="A513" s="11">
        <v>507</v>
      </c>
      <c r="B513" s="47">
        <v>204883081</v>
      </c>
      <c r="C513" s="89" t="s">
        <v>533</v>
      </c>
      <c r="D513" s="11" t="s">
        <v>534</v>
      </c>
      <c r="E513" s="48" t="s">
        <v>31</v>
      </c>
      <c r="F513" s="48" t="s">
        <v>74</v>
      </c>
      <c r="G513" s="11" t="s">
        <v>64</v>
      </c>
      <c r="H513" s="48" t="str">
        <f>VLOOKUP(Table1[[#This Row],[Psoft No]],[1]Roster!$C$2:$H$1402,6,)</f>
        <v>AUH1</v>
      </c>
      <c r="I513" s="48" t="b">
        <f>Table1[[#This Row],[Building]]=Table1[[#This Row],[Column1]]</f>
        <v>1</v>
      </c>
      <c r="J513" s="11" t="s">
        <v>75</v>
      </c>
      <c r="K513" s="11">
        <v>1299</v>
      </c>
      <c r="L513" s="49" t="s">
        <v>32</v>
      </c>
      <c r="M513" s="49" t="s">
        <v>76</v>
      </c>
      <c r="N513" s="49" t="s">
        <v>84</v>
      </c>
      <c r="O513" s="49" t="s">
        <v>85</v>
      </c>
      <c r="P513" s="48" t="s">
        <v>86</v>
      </c>
      <c r="Q513" s="49" t="s">
        <v>35</v>
      </c>
      <c r="R513" s="11" t="s">
        <v>80</v>
      </c>
      <c r="S513" s="11" t="s">
        <v>87</v>
      </c>
      <c r="T513" s="11" t="s">
        <v>225</v>
      </c>
      <c r="U513" s="11" t="s">
        <v>226</v>
      </c>
      <c r="V513" s="116" t="str">
        <f>VLOOKUP(Table1[[#This Row],[Psoft No]],[2]Sheet1!$A$2:$G$386,7,0)</f>
        <v>P</v>
      </c>
      <c r="W513" s="88"/>
      <c r="X513" s="51">
        <v>45691</v>
      </c>
      <c r="Y513" s="97" t="s">
        <v>1572</v>
      </c>
      <c r="Z513" s="135" t="s">
        <v>2</v>
      </c>
      <c r="AA513" s="135">
        <v>0</v>
      </c>
    </row>
    <row r="514" spans="1:27" ht="13" customHeight="1">
      <c r="A514" s="11">
        <v>508</v>
      </c>
      <c r="B514" s="47">
        <v>102718052</v>
      </c>
      <c r="C514" s="89" t="s">
        <v>535</v>
      </c>
      <c r="D514" s="11" t="s">
        <v>536</v>
      </c>
      <c r="E514" s="48" t="s">
        <v>34</v>
      </c>
      <c r="F514" s="48" t="s">
        <v>74</v>
      </c>
      <c r="G514" s="11" t="s">
        <v>64</v>
      </c>
      <c r="H514" s="48" t="str">
        <f>VLOOKUP(Table1[[#This Row],[Psoft No]],[1]Roster!$C$2:$H$1402,6,)</f>
        <v>AUH1</v>
      </c>
      <c r="I514" s="48" t="b">
        <f>Table1[[#This Row],[Building]]=Table1[[#This Row],[Column1]]</f>
        <v>1</v>
      </c>
      <c r="J514" s="11" t="s">
        <v>75</v>
      </c>
      <c r="K514" s="11">
        <v>1299</v>
      </c>
      <c r="L514" s="49" t="s">
        <v>39</v>
      </c>
      <c r="M514" s="49" t="s">
        <v>76</v>
      </c>
      <c r="N514" s="49" t="s">
        <v>95</v>
      </c>
      <c r="O514" s="49" t="s">
        <v>77</v>
      </c>
      <c r="P514" s="48" t="s">
        <v>108</v>
      </c>
      <c r="Q514" s="49" t="s">
        <v>35</v>
      </c>
      <c r="R514" s="11" t="s">
        <v>80</v>
      </c>
      <c r="S514" s="11" t="s">
        <v>98</v>
      </c>
      <c r="T514" s="11" t="s">
        <v>225</v>
      </c>
      <c r="U514" s="11" t="s">
        <v>226</v>
      </c>
      <c r="V514" s="116" t="s">
        <v>1</v>
      </c>
      <c r="W514" s="88"/>
      <c r="X514" s="51">
        <v>42990</v>
      </c>
      <c r="Y514" s="97" t="s">
        <v>1574</v>
      </c>
      <c r="Z514" s="135" t="s">
        <v>2</v>
      </c>
      <c r="AA514" s="135">
        <v>0</v>
      </c>
    </row>
    <row r="515" spans="1:27" ht="13" customHeight="1">
      <c r="A515" s="11">
        <v>509</v>
      </c>
      <c r="B515" s="47">
        <v>204882798</v>
      </c>
      <c r="C515" s="89" t="s">
        <v>537</v>
      </c>
      <c r="D515" s="11" t="s">
        <v>538</v>
      </c>
      <c r="E515" s="48" t="s">
        <v>31</v>
      </c>
      <c r="F515" s="48" t="s">
        <v>74</v>
      </c>
      <c r="G515" s="11" t="s">
        <v>64</v>
      </c>
      <c r="H515" s="48" t="str">
        <f>VLOOKUP(Table1[[#This Row],[Psoft No]],[1]Roster!$C$2:$H$1402,6,)</f>
        <v>AUH1</v>
      </c>
      <c r="I515" s="48" t="b">
        <f>Table1[[#This Row],[Building]]=Table1[[#This Row],[Column1]]</f>
        <v>1</v>
      </c>
      <c r="J515" s="11" t="s">
        <v>75</v>
      </c>
      <c r="K515" s="11">
        <v>1299</v>
      </c>
      <c r="L515" s="49" t="s">
        <v>39</v>
      </c>
      <c r="M515" s="49" t="s">
        <v>76</v>
      </c>
      <c r="N515" s="49" t="s">
        <v>95</v>
      </c>
      <c r="O515" s="49" t="s">
        <v>77</v>
      </c>
      <c r="P515" s="48" t="s">
        <v>86</v>
      </c>
      <c r="Q515" s="49" t="s">
        <v>35</v>
      </c>
      <c r="R515" s="11" t="s">
        <v>80</v>
      </c>
      <c r="S515" s="11" t="s">
        <v>90</v>
      </c>
      <c r="T515" s="11" t="s">
        <v>231</v>
      </c>
      <c r="U515" s="11" t="s">
        <v>1753</v>
      </c>
      <c r="V515" s="116" t="s">
        <v>7</v>
      </c>
      <c r="W515" s="88"/>
      <c r="X515" s="51">
        <v>45691</v>
      </c>
      <c r="Y515" s="97" t="s">
        <v>1573</v>
      </c>
      <c r="Z515" s="135" t="s">
        <v>3023</v>
      </c>
      <c r="AA515" s="135" t="s">
        <v>3024</v>
      </c>
    </row>
    <row r="516" spans="1:27" ht="13" customHeight="1">
      <c r="A516" s="11">
        <v>510</v>
      </c>
      <c r="B516" s="47">
        <v>204883239</v>
      </c>
      <c r="C516" s="89" t="s">
        <v>539</v>
      </c>
      <c r="D516" s="11" t="s">
        <v>540</v>
      </c>
      <c r="E516" s="48" t="s">
        <v>31</v>
      </c>
      <c r="F516" s="48" t="s">
        <v>74</v>
      </c>
      <c r="G516" s="11" t="s">
        <v>64</v>
      </c>
      <c r="H516" s="48" t="str">
        <f>VLOOKUP(Table1[[#This Row],[Psoft No]],[1]Roster!$C$2:$H$1402,6,)</f>
        <v>AUH1</v>
      </c>
      <c r="I516" s="48" t="b">
        <f>Table1[[#This Row],[Building]]=Table1[[#This Row],[Column1]]</f>
        <v>1</v>
      </c>
      <c r="J516" s="11" t="s">
        <v>75</v>
      </c>
      <c r="K516" s="11">
        <v>1299</v>
      </c>
      <c r="L516" s="49" t="s">
        <v>32</v>
      </c>
      <c r="M516" s="49" t="s">
        <v>76</v>
      </c>
      <c r="N516" s="49" t="s">
        <v>77</v>
      </c>
      <c r="O516" s="49" t="s">
        <v>78</v>
      </c>
      <c r="P516" s="48" t="s">
        <v>86</v>
      </c>
      <c r="Q516" s="49" t="s">
        <v>35</v>
      </c>
      <c r="R516" s="11" t="s">
        <v>80</v>
      </c>
      <c r="S516" s="11" t="s">
        <v>87</v>
      </c>
      <c r="T516" s="11" t="s">
        <v>225</v>
      </c>
      <c r="U516" s="11" t="s">
        <v>226</v>
      </c>
      <c r="V516" s="116" t="str">
        <f>VLOOKUP(Table1[[#This Row],[Psoft No]],[2]Sheet1!$A$2:$G$386,7,0)</f>
        <v>P</v>
      </c>
      <c r="W516" s="88"/>
      <c r="X516" s="51">
        <v>45691</v>
      </c>
      <c r="Y516" s="97" t="s">
        <v>1572</v>
      </c>
      <c r="Z516" s="135" t="s">
        <v>2</v>
      </c>
      <c r="AA516" s="135">
        <v>0</v>
      </c>
    </row>
    <row r="517" spans="1:27" ht="13" customHeight="1">
      <c r="A517" s="11">
        <v>511</v>
      </c>
      <c r="B517" s="47">
        <v>206851159</v>
      </c>
      <c r="C517" s="89" t="s">
        <v>1799</v>
      </c>
      <c r="D517" s="11" t="s">
        <v>1800</v>
      </c>
      <c r="E517" s="48" t="s">
        <v>31</v>
      </c>
      <c r="F517" s="48" t="s">
        <v>74</v>
      </c>
      <c r="G517" s="48" t="s">
        <v>64</v>
      </c>
      <c r="H517" s="48" t="str">
        <f>VLOOKUP(Table1[[#This Row],[Psoft No]],[1]Roster!$C$2:$H$1402,6,)</f>
        <v>AUH1</v>
      </c>
      <c r="I517" s="48" t="b">
        <f>Table1[[#This Row],[Building]]=Table1[[#This Row],[Column1]]</f>
        <v>1</v>
      </c>
      <c r="J517" s="48" t="s">
        <v>75</v>
      </c>
      <c r="K517" s="11">
        <v>1299</v>
      </c>
      <c r="L517" s="49" t="s">
        <v>32</v>
      </c>
      <c r="M517" s="49" t="s">
        <v>76</v>
      </c>
      <c r="N517" s="49" t="s">
        <v>88</v>
      </c>
      <c r="O517" s="49" t="s">
        <v>95</v>
      </c>
      <c r="P517" s="49" t="s">
        <v>89</v>
      </c>
      <c r="Q517" s="49" t="s">
        <v>37</v>
      </c>
      <c r="R517" s="49" t="s">
        <v>80</v>
      </c>
      <c r="S517" s="49" t="s">
        <v>90</v>
      </c>
      <c r="T517" s="49" t="s">
        <v>1066</v>
      </c>
      <c r="U517" s="49" t="s">
        <v>2717</v>
      </c>
      <c r="V517" s="116" t="str">
        <f>VLOOKUP(Table1[[#This Row],[Psoft No]],[2]Sheet1!$A$2:$G$386,7,0)</f>
        <v>P</v>
      </c>
      <c r="W517" s="88" t="s">
        <v>3015</v>
      </c>
      <c r="X517" s="51">
        <v>46013</v>
      </c>
      <c r="Y517" s="97" t="s">
        <v>1577</v>
      </c>
      <c r="Z517" s="135" t="s">
        <v>2</v>
      </c>
      <c r="AA517" s="135">
        <v>0</v>
      </c>
    </row>
    <row r="518" spans="1:27" ht="13" customHeight="1">
      <c r="A518" s="11">
        <v>512</v>
      </c>
      <c r="B518" s="47">
        <v>204882810</v>
      </c>
      <c r="C518" s="89" t="s">
        <v>543</v>
      </c>
      <c r="D518" s="11" t="s">
        <v>544</v>
      </c>
      <c r="E518" s="48" t="s">
        <v>31</v>
      </c>
      <c r="F518" s="48" t="s">
        <v>74</v>
      </c>
      <c r="G518" s="11" t="s">
        <v>64</v>
      </c>
      <c r="H518" s="48" t="str">
        <f>VLOOKUP(Table1[[#This Row],[Psoft No]],[1]Roster!$C$2:$H$1402,6,)</f>
        <v>AUH1</v>
      </c>
      <c r="I518" s="48" t="b">
        <f>Table1[[#This Row],[Building]]=Table1[[#This Row],[Column1]]</f>
        <v>1</v>
      </c>
      <c r="J518" s="11" t="s">
        <v>75</v>
      </c>
      <c r="K518" s="11">
        <v>1299</v>
      </c>
      <c r="L518" s="49" t="s">
        <v>32</v>
      </c>
      <c r="M518" s="49" t="s">
        <v>76</v>
      </c>
      <c r="N518" s="49" t="s">
        <v>78</v>
      </c>
      <c r="O518" s="49" t="s">
        <v>92</v>
      </c>
      <c r="P518" s="48" t="s">
        <v>86</v>
      </c>
      <c r="Q518" s="49" t="s">
        <v>35</v>
      </c>
      <c r="R518" s="11" t="s">
        <v>80</v>
      </c>
      <c r="S518" s="11" t="s">
        <v>90</v>
      </c>
      <c r="T518" s="11" t="s">
        <v>224</v>
      </c>
      <c r="U518" s="11" t="s">
        <v>2715</v>
      </c>
      <c r="V518" s="116" t="s">
        <v>10</v>
      </c>
      <c r="W518" s="88"/>
      <c r="X518" s="51">
        <v>45691</v>
      </c>
      <c r="Y518" s="97" t="s">
        <v>1573</v>
      </c>
      <c r="Z518" s="135" t="s">
        <v>3023</v>
      </c>
      <c r="AA518" s="135">
        <v>0</v>
      </c>
    </row>
    <row r="519" spans="1:27" ht="13" customHeight="1">
      <c r="A519" s="11">
        <v>513</v>
      </c>
      <c r="B519" s="11">
        <v>206873650</v>
      </c>
      <c r="C519" s="89" t="s">
        <v>1780</v>
      </c>
      <c r="D519" s="11" t="s">
        <v>1781</v>
      </c>
      <c r="E519" s="48" t="s">
        <v>31</v>
      </c>
      <c r="F519" s="48" t="s">
        <v>74</v>
      </c>
      <c r="G519" s="48" t="s">
        <v>64</v>
      </c>
      <c r="H519" s="48" t="str">
        <f>VLOOKUP(Table1[[#This Row],[Psoft No]],[1]Roster!$C$2:$H$1402,6,)</f>
        <v>AUH1</v>
      </c>
      <c r="I519" s="48" t="b">
        <f>Table1[[#This Row],[Building]]=Table1[[#This Row],[Column1]]</f>
        <v>1</v>
      </c>
      <c r="J519" s="48" t="s">
        <v>75</v>
      </c>
      <c r="K519" s="11">
        <v>1299</v>
      </c>
      <c r="L519" s="49" t="s">
        <v>32</v>
      </c>
      <c r="M519" s="49" t="s">
        <v>76</v>
      </c>
      <c r="N519" s="49" t="s">
        <v>78</v>
      </c>
      <c r="O519" s="49" t="s">
        <v>92</v>
      </c>
      <c r="P519" s="49" t="s">
        <v>89</v>
      </c>
      <c r="Q519" s="48" t="s">
        <v>35</v>
      </c>
      <c r="R519" s="48" t="s">
        <v>80</v>
      </c>
      <c r="S519" s="11" t="s">
        <v>81</v>
      </c>
      <c r="T519" s="11" t="s">
        <v>231</v>
      </c>
      <c r="U519" s="11" t="s">
        <v>1753</v>
      </c>
      <c r="V519" s="116" t="s">
        <v>10</v>
      </c>
      <c r="W519" s="88"/>
      <c r="X519" s="51">
        <v>46020</v>
      </c>
      <c r="Y519" s="102" t="s">
        <v>1573</v>
      </c>
      <c r="Z519" s="135" t="s">
        <v>3023</v>
      </c>
      <c r="AA519" s="135">
        <v>0</v>
      </c>
    </row>
    <row r="520" spans="1:27" ht="13" customHeight="1">
      <c r="A520" s="11">
        <v>514</v>
      </c>
      <c r="B520" s="47">
        <v>203800486</v>
      </c>
      <c r="C520" s="89" t="s">
        <v>2633</v>
      </c>
      <c r="D520" s="11" t="s">
        <v>2634</v>
      </c>
      <c r="E520" s="48" t="s">
        <v>31</v>
      </c>
      <c r="F520" s="48" t="s">
        <v>74</v>
      </c>
      <c r="G520" s="11" t="s">
        <v>65</v>
      </c>
      <c r="H520" s="48" t="str">
        <f>VLOOKUP(Table1[[#This Row],[Psoft No]],[1]Roster!$C$2:$H$1402,6,)</f>
        <v>AUH3</v>
      </c>
      <c r="I520" s="48" t="b">
        <f>Table1[[#This Row],[Building]]=Table1[[#This Row],[Column1]]</f>
        <v>1</v>
      </c>
      <c r="J520" s="11" t="s">
        <v>75</v>
      </c>
      <c r="K520" s="11">
        <v>1299</v>
      </c>
      <c r="L520" s="49" t="s">
        <v>39</v>
      </c>
      <c r="M520" s="49" t="s">
        <v>76</v>
      </c>
      <c r="N520" s="49" t="s">
        <v>77</v>
      </c>
      <c r="O520" s="49" t="s">
        <v>78</v>
      </c>
      <c r="P520" s="48" t="s">
        <v>86</v>
      </c>
      <c r="Q520" s="49" t="s">
        <v>68</v>
      </c>
      <c r="R520" s="11" t="s">
        <v>80</v>
      </c>
      <c r="S520" s="11" t="s">
        <v>90</v>
      </c>
      <c r="T520" s="11" t="s">
        <v>2720</v>
      </c>
      <c r="U520" s="11" t="s">
        <v>2721</v>
      </c>
      <c r="V520" s="116" t="s">
        <v>1</v>
      </c>
      <c r="W520" s="88"/>
      <c r="X520" s="51">
        <v>45516</v>
      </c>
      <c r="Y520" s="97" t="s">
        <v>68</v>
      </c>
      <c r="Z520" s="135" t="s">
        <v>2</v>
      </c>
      <c r="AA520" s="135">
        <v>0</v>
      </c>
    </row>
    <row r="521" spans="1:27" ht="13" customHeight="1">
      <c r="A521" s="11">
        <v>515</v>
      </c>
      <c r="B521" s="47">
        <v>206958286</v>
      </c>
      <c r="C521" s="89" t="s">
        <v>2120</v>
      </c>
      <c r="D521" s="11" t="s">
        <v>2043</v>
      </c>
      <c r="E521" s="48" t="s">
        <v>31</v>
      </c>
      <c r="F521" s="48" t="s">
        <v>74</v>
      </c>
      <c r="G521" s="11" t="s">
        <v>65</v>
      </c>
      <c r="H521" s="48" t="str">
        <f>VLOOKUP(Table1[[#This Row],[Psoft No]],[1]Roster!$C$2:$H$1402,6,)</f>
        <v>AUH3</v>
      </c>
      <c r="I521" s="48" t="b">
        <f>Table1[[#This Row],[Building]]=Table1[[#This Row],[Column1]]</f>
        <v>1</v>
      </c>
      <c r="J521" s="11" t="s">
        <v>1332</v>
      </c>
      <c r="K521" s="11">
        <v>1299</v>
      </c>
      <c r="L521" s="49" t="s">
        <v>32</v>
      </c>
      <c r="M521" s="49" t="s">
        <v>76</v>
      </c>
      <c r="N521" s="49" t="s">
        <v>77</v>
      </c>
      <c r="O521" s="49" t="s">
        <v>78</v>
      </c>
      <c r="P521" s="49" t="s">
        <v>89</v>
      </c>
      <c r="Q521" s="49" t="s">
        <v>68</v>
      </c>
      <c r="R521" s="11" t="s">
        <v>80</v>
      </c>
      <c r="S521" s="11" t="s">
        <v>96</v>
      </c>
      <c r="T521" s="11" t="s">
        <v>1336</v>
      </c>
      <c r="U521" s="11" t="s">
        <v>1337</v>
      </c>
      <c r="V521" s="116" t="s">
        <v>1</v>
      </c>
      <c r="W521" s="88"/>
      <c r="X521" s="51">
        <v>46048</v>
      </c>
      <c r="Y521" s="97" t="s">
        <v>68</v>
      </c>
      <c r="Z521" s="135" t="s">
        <v>2</v>
      </c>
      <c r="AA521" s="135">
        <v>0</v>
      </c>
    </row>
    <row r="522" spans="1:27" ht="13" customHeight="1">
      <c r="A522" s="11">
        <v>516</v>
      </c>
      <c r="B522" s="47">
        <v>203816295</v>
      </c>
      <c r="C522" s="89" t="s">
        <v>2637</v>
      </c>
      <c r="D522" s="11" t="s">
        <v>2638</v>
      </c>
      <c r="E522" s="48" t="s">
        <v>31</v>
      </c>
      <c r="F522" s="48" t="s">
        <v>74</v>
      </c>
      <c r="G522" s="11" t="s">
        <v>64</v>
      </c>
      <c r="H522" s="48" t="str">
        <f>VLOOKUP(Table1[[#This Row],[Psoft No]],[1]Roster!$C$2:$H$1402,6,)</f>
        <v>AUH1</v>
      </c>
      <c r="I522" s="48" t="b">
        <f>Table1[[#This Row],[Building]]=Table1[[#This Row],[Column1]]</f>
        <v>1</v>
      </c>
      <c r="J522" s="11" t="s">
        <v>75</v>
      </c>
      <c r="K522" s="11">
        <v>1299</v>
      </c>
      <c r="L522" s="49" t="s">
        <v>32</v>
      </c>
      <c r="M522" s="49" t="s">
        <v>76</v>
      </c>
      <c r="N522" s="49" t="s">
        <v>95</v>
      </c>
      <c r="O522" s="49" t="s">
        <v>77</v>
      </c>
      <c r="P522" s="48" t="s">
        <v>86</v>
      </c>
      <c r="Q522" s="49" t="s">
        <v>35</v>
      </c>
      <c r="R522" s="11" t="s">
        <v>80</v>
      </c>
      <c r="S522" s="11" t="s">
        <v>90</v>
      </c>
      <c r="T522" s="11" t="s">
        <v>225</v>
      </c>
      <c r="U522" s="11" t="s">
        <v>226</v>
      </c>
      <c r="V522" s="116" t="str">
        <f>VLOOKUP(Table1[[#This Row],[Psoft No]],[2]Sheet1!$A$2:$G$386,7,0)</f>
        <v>P</v>
      </c>
      <c r="W522" s="88"/>
      <c r="X522" s="51">
        <v>45524</v>
      </c>
      <c r="Y522" s="97" t="s">
        <v>1572</v>
      </c>
      <c r="Z522" s="135" t="s">
        <v>2</v>
      </c>
      <c r="AA522" s="135">
        <v>0</v>
      </c>
    </row>
    <row r="523" spans="1:27" ht="13" customHeight="1">
      <c r="A523" s="11">
        <v>517</v>
      </c>
      <c r="B523" s="47">
        <v>205608627</v>
      </c>
      <c r="C523" s="89" t="s">
        <v>2639</v>
      </c>
      <c r="D523" s="11" t="s">
        <v>2640</v>
      </c>
      <c r="E523" s="48" t="s">
        <v>31</v>
      </c>
      <c r="F523" s="48" t="s">
        <v>74</v>
      </c>
      <c r="G523" s="11" t="s">
        <v>64</v>
      </c>
      <c r="H523" s="48" t="str">
        <f>VLOOKUP(Table1[[#This Row],[Psoft No]],[1]Roster!$C$2:$H$1402,6,)</f>
        <v>AUH1</v>
      </c>
      <c r="I523" s="48" t="b">
        <f>Table1[[#This Row],[Building]]=Table1[[#This Row],[Column1]]</f>
        <v>1</v>
      </c>
      <c r="J523" s="11" t="s">
        <v>75</v>
      </c>
      <c r="K523" s="11">
        <v>1299</v>
      </c>
      <c r="L523" s="49" t="s">
        <v>32</v>
      </c>
      <c r="M523" s="49" t="s">
        <v>76</v>
      </c>
      <c r="N523" s="49" t="s">
        <v>88</v>
      </c>
      <c r="O523" s="49" t="s">
        <v>95</v>
      </c>
      <c r="P523" s="48" t="s">
        <v>86</v>
      </c>
      <c r="Q523" s="49" t="s">
        <v>35</v>
      </c>
      <c r="R523" s="11" t="s">
        <v>80</v>
      </c>
      <c r="S523" s="11" t="s">
        <v>90</v>
      </c>
      <c r="T523" s="11" t="s">
        <v>231</v>
      </c>
      <c r="U523" s="11" t="s">
        <v>1753</v>
      </c>
      <c r="V523" s="116" t="str">
        <f>VLOOKUP(Table1[[#This Row],[Psoft No]],[2]Sheet1!$A$2:$G$386,7,0)</f>
        <v>P</v>
      </c>
      <c r="W523" s="88"/>
      <c r="X523" s="51">
        <v>45845</v>
      </c>
      <c r="Y523" s="97" t="s">
        <v>1573</v>
      </c>
      <c r="Z523" s="135" t="s">
        <v>2</v>
      </c>
      <c r="AA523" s="135">
        <v>0</v>
      </c>
    </row>
    <row r="524" spans="1:27" ht="13" customHeight="1">
      <c r="A524" s="11">
        <v>518</v>
      </c>
      <c r="B524" s="47">
        <v>203813082</v>
      </c>
      <c r="C524" s="89" t="s">
        <v>546</v>
      </c>
      <c r="D524" s="11" t="s">
        <v>547</v>
      </c>
      <c r="E524" s="48" t="s">
        <v>31</v>
      </c>
      <c r="F524" s="48" t="s">
        <v>74</v>
      </c>
      <c r="G524" s="11" t="s">
        <v>64</v>
      </c>
      <c r="H524" s="48" t="str">
        <f>VLOOKUP(Table1[[#This Row],[Psoft No]],[1]Roster!$C$2:$H$1402,6,)</f>
        <v>AUH1</v>
      </c>
      <c r="I524" s="48" t="b">
        <f>Table1[[#This Row],[Building]]=Table1[[#This Row],[Column1]]</f>
        <v>1</v>
      </c>
      <c r="J524" s="11" t="s">
        <v>75</v>
      </c>
      <c r="K524" s="11">
        <v>1299</v>
      </c>
      <c r="L524" s="49" t="s">
        <v>39</v>
      </c>
      <c r="M524" s="49" t="s">
        <v>76</v>
      </c>
      <c r="N524" s="49" t="s">
        <v>77</v>
      </c>
      <c r="O524" s="49" t="s">
        <v>78</v>
      </c>
      <c r="P524" s="48" t="s">
        <v>86</v>
      </c>
      <c r="Q524" s="49" t="s">
        <v>35</v>
      </c>
      <c r="R524" s="11" t="s">
        <v>80</v>
      </c>
      <c r="S524" s="11" t="s">
        <v>99</v>
      </c>
      <c r="T524" s="11" t="s">
        <v>231</v>
      </c>
      <c r="U524" s="11" t="s">
        <v>1753</v>
      </c>
      <c r="V524" s="116" t="s">
        <v>1</v>
      </c>
      <c r="W524" s="88"/>
      <c r="X524" s="51">
        <v>45517</v>
      </c>
      <c r="Y524" s="97" t="s">
        <v>1573</v>
      </c>
      <c r="Z524" s="135" t="s">
        <v>2</v>
      </c>
      <c r="AA524" s="135">
        <v>0</v>
      </c>
    </row>
    <row r="525" spans="1:27" ht="13" customHeight="1">
      <c r="A525" s="11">
        <v>519</v>
      </c>
      <c r="B525" s="11">
        <v>206873561</v>
      </c>
      <c r="C525" s="89" t="s">
        <v>1774</v>
      </c>
      <c r="D525" s="11" t="s">
        <v>1775</v>
      </c>
      <c r="E525" s="48" t="s">
        <v>31</v>
      </c>
      <c r="F525" s="48" t="s">
        <v>74</v>
      </c>
      <c r="G525" s="48" t="s">
        <v>64</v>
      </c>
      <c r="H525" s="48" t="str">
        <f>VLOOKUP(Table1[[#This Row],[Psoft No]],[1]Roster!$C$2:$H$1402,6,)</f>
        <v>AUH1</v>
      </c>
      <c r="I525" s="48" t="b">
        <f>Table1[[#This Row],[Building]]=Table1[[#This Row],[Column1]]</f>
        <v>1</v>
      </c>
      <c r="J525" s="48" t="s">
        <v>75</v>
      </c>
      <c r="K525" s="11">
        <v>1299</v>
      </c>
      <c r="L525" s="49" t="s">
        <v>32</v>
      </c>
      <c r="M525" s="49" t="s">
        <v>76</v>
      </c>
      <c r="N525" s="49" t="s">
        <v>78</v>
      </c>
      <c r="O525" s="49" t="s">
        <v>92</v>
      </c>
      <c r="P525" s="49" t="s">
        <v>89</v>
      </c>
      <c r="Q525" s="48" t="s">
        <v>35</v>
      </c>
      <c r="R525" s="48" t="s">
        <v>80</v>
      </c>
      <c r="S525" s="11" t="s">
        <v>81</v>
      </c>
      <c r="T525" s="11" t="s">
        <v>225</v>
      </c>
      <c r="U525" s="11" t="s">
        <v>226</v>
      </c>
      <c r="V525" s="116" t="s">
        <v>10</v>
      </c>
      <c r="W525" s="88"/>
      <c r="X525" s="51">
        <v>46020</v>
      </c>
      <c r="Y525" s="97" t="s">
        <v>1572</v>
      </c>
      <c r="Z525" s="135" t="s">
        <v>3023</v>
      </c>
      <c r="AA525" s="135">
        <v>0</v>
      </c>
    </row>
    <row r="526" spans="1:27" ht="13" customHeight="1">
      <c r="A526" s="11">
        <v>520</v>
      </c>
      <c r="B526" s="47">
        <v>204246169</v>
      </c>
      <c r="C526" s="89" t="s">
        <v>548</v>
      </c>
      <c r="D526" s="11" t="s">
        <v>549</v>
      </c>
      <c r="E526" s="48" t="s">
        <v>31</v>
      </c>
      <c r="F526" s="48" t="s">
        <v>74</v>
      </c>
      <c r="G526" s="11" t="s">
        <v>64</v>
      </c>
      <c r="H526" s="48" t="str">
        <f>VLOOKUP(Table1[[#This Row],[Psoft No]],[1]Roster!$C$2:$H$1402,6,)</f>
        <v>AUH1</v>
      </c>
      <c r="I526" s="48" t="b">
        <f>Table1[[#This Row],[Building]]=Table1[[#This Row],[Column1]]</f>
        <v>1</v>
      </c>
      <c r="J526" s="11" t="s">
        <v>75</v>
      </c>
      <c r="K526" s="11">
        <v>1299</v>
      </c>
      <c r="L526" s="49" t="s">
        <v>32</v>
      </c>
      <c r="M526" s="49" t="s">
        <v>76</v>
      </c>
      <c r="N526" s="49" t="s">
        <v>85</v>
      </c>
      <c r="O526" s="49" t="s">
        <v>88</v>
      </c>
      <c r="P526" s="48" t="s">
        <v>86</v>
      </c>
      <c r="Q526" s="49" t="s">
        <v>35</v>
      </c>
      <c r="R526" s="11" t="s">
        <v>80</v>
      </c>
      <c r="S526" s="11" t="s">
        <v>87</v>
      </c>
      <c r="T526" s="11" t="s">
        <v>231</v>
      </c>
      <c r="U526" s="11" t="s">
        <v>1753</v>
      </c>
      <c r="V526" s="116" t="str">
        <f>VLOOKUP(Table1[[#This Row],[Psoft No]],[2]Sheet1!$A$2:$G$386,7,0)</f>
        <v>P</v>
      </c>
      <c r="W526" s="88"/>
      <c r="X526" s="51">
        <v>45579</v>
      </c>
      <c r="Y526" s="97" t="s">
        <v>1573</v>
      </c>
      <c r="Z526" s="135" t="s">
        <v>2</v>
      </c>
      <c r="AA526" s="135">
        <v>0</v>
      </c>
    </row>
    <row r="527" spans="1:27" ht="13" customHeight="1">
      <c r="A527" s="11">
        <v>521</v>
      </c>
      <c r="B527" s="47">
        <v>204967046</v>
      </c>
      <c r="C527" s="89" t="s">
        <v>550</v>
      </c>
      <c r="D527" s="11" t="s">
        <v>551</v>
      </c>
      <c r="E527" s="48" t="s">
        <v>31</v>
      </c>
      <c r="F527" s="48" t="s">
        <v>74</v>
      </c>
      <c r="G527" s="11" t="s">
        <v>64</v>
      </c>
      <c r="H527" s="48" t="str">
        <f>VLOOKUP(Table1[[#This Row],[Psoft No]],[1]Roster!$C$2:$H$1402,6,)</f>
        <v>AUH1</v>
      </c>
      <c r="I527" s="48" t="b">
        <f>Table1[[#This Row],[Building]]=Table1[[#This Row],[Column1]]</f>
        <v>1</v>
      </c>
      <c r="J527" s="11" t="s">
        <v>75</v>
      </c>
      <c r="K527" s="11">
        <v>1299</v>
      </c>
      <c r="L527" s="49" t="s">
        <v>32</v>
      </c>
      <c r="M527" s="49" t="s">
        <v>76</v>
      </c>
      <c r="N527" s="49" t="s">
        <v>78</v>
      </c>
      <c r="O527" s="49" t="s">
        <v>92</v>
      </c>
      <c r="P527" s="49" t="s">
        <v>89</v>
      </c>
      <c r="Q527" s="49" t="s">
        <v>35</v>
      </c>
      <c r="R527" s="11" t="s">
        <v>80</v>
      </c>
      <c r="S527" s="11" t="s">
        <v>90</v>
      </c>
      <c r="T527" s="11" t="s">
        <v>231</v>
      </c>
      <c r="U527" s="11" t="s">
        <v>1753</v>
      </c>
      <c r="V527" s="116" t="s">
        <v>10</v>
      </c>
      <c r="W527" s="88"/>
      <c r="X527" s="51">
        <v>45826</v>
      </c>
      <c r="Y527" s="97" t="s">
        <v>1573</v>
      </c>
      <c r="Z527" s="135" t="s">
        <v>3023</v>
      </c>
      <c r="AA527" s="135">
        <v>0</v>
      </c>
    </row>
    <row r="528" spans="1:27" ht="13" customHeight="1">
      <c r="A528" s="11">
        <v>522</v>
      </c>
      <c r="B528" s="47">
        <v>204246605</v>
      </c>
      <c r="C528" s="89" t="s">
        <v>552</v>
      </c>
      <c r="D528" s="11" t="s">
        <v>553</v>
      </c>
      <c r="E528" s="48" t="s">
        <v>31</v>
      </c>
      <c r="F528" s="48" t="s">
        <v>74</v>
      </c>
      <c r="G528" s="11" t="s">
        <v>64</v>
      </c>
      <c r="H528" s="48" t="str">
        <f>VLOOKUP(Table1[[#This Row],[Psoft No]],[1]Roster!$C$2:$H$1402,6,)</f>
        <v>AUH1</v>
      </c>
      <c r="I528" s="48" t="b">
        <f>Table1[[#This Row],[Building]]=Table1[[#This Row],[Column1]]</f>
        <v>1</v>
      </c>
      <c r="J528" s="11" t="s">
        <v>75</v>
      </c>
      <c r="K528" s="11">
        <v>1299</v>
      </c>
      <c r="L528" s="49" t="s">
        <v>32</v>
      </c>
      <c r="M528" s="49" t="s">
        <v>76</v>
      </c>
      <c r="N528" s="49" t="s">
        <v>92</v>
      </c>
      <c r="O528" s="49" t="s">
        <v>84</v>
      </c>
      <c r="P528" s="48" t="s">
        <v>86</v>
      </c>
      <c r="Q528" s="49" t="s">
        <v>35</v>
      </c>
      <c r="R528" s="11" t="s">
        <v>80</v>
      </c>
      <c r="S528" s="11" t="s">
        <v>87</v>
      </c>
      <c r="T528" s="11" t="s">
        <v>231</v>
      </c>
      <c r="U528" s="11" t="s">
        <v>1753</v>
      </c>
      <c r="V528" s="116" t="s">
        <v>10</v>
      </c>
      <c r="W528" s="88"/>
      <c r="X528" s="51">
        <v>45579</v>
      </c>
      <c r="Y528" s="97" t="s">
        <v>1573</v>
      </c>
      <c r="Z528" s="135" t="s">
        <v>3023</v>
      </c>
      <c r="AA528" s="135">
        <v>0</v>
      </c>
    </row>
    <row r="529" spans="1:27" ht="13" customHeight="1">
      <c r="A529" s="11">
        <v>523</v>
      </c>
      <c r="B529" s="47">
        <v>203965523</v>
      </c>
      <c r="C529" s="89" t="s">
        <v>554</v>
      </c>
      <c r="D529" s="11" t="s">
        <v>555</v>
      </c>
      <c r="E529" s="48" t="s">
        <v>31</v>
      </c>
      <c r="F529" s="48" t="s">
        <v>74</v>
      </c>
      <c r="G529" s="11" t="s">
        <v>64</v>
      </c>
      <c r="H529" s="48" t="str">
        <f>VLOOKUP(Table1[[#This Row],[Psoft No]],[1]Roster!$C$2:$H$1402,6,)</f>
        <v>AUH1</v>
      </c>
      <c r="I529" s="48" t="b">
        <f>Table1[[#This Row],[Building]]=Table1[[#This Row],[Column1]]</f>
        <v>1</v>
      </c>
      <c r="J529" s="11" t="s">
        <v>75</v>
      </c>
      <c r="K529" s="11">
        <v>1299</v>
      </c>
      <c r="L529" s="49" t="s">
        <v>32</v>
      </c>
      <c r="M529" s="49" t="s">
        <v>76</v>
      </c>
      <c r="N529" s="49" t="s">
        <v>77</v>
      </c>
      <c r="O529" s="49" t="s">
        <v>78</v>
      </c>
      <c r="P529" s="48" t="s">
        <v>79</v>
      </c>
      <c r="Q529" s="49" t="s">
        <v>35</v>
      </c>
      <c r="R529" s="11" t="s">
        <v>80</v>
      </c>
      <c r="S529" s="11" t="s">
        <v>81</v>
      </c>
      <c r="T529" s="11" t="s">
        <v>231</v>
      </c>
      <c r="U529" s="11" t="s">
        <v>1753</v>
      </c>
      <c r="V529" s="116" t="str">
        <f>VLOOKUP(Table1[[#This Row],[Psoft No]],[2]Sheet1!$A$2:$G$386,7,0)</f>
        <v>P</v>
      </c>
      <c r="W529" s="88"/>
      <c r="X529" s="51">
        <v>45544</v>
      </c>
      <c r="Y529" s="97" t="s">
        <v>1573</v>
      </c>
      <c r="Z529" s="135" t="s">
        <v>2</v>
      </c>
      <c r="AA529" s="135">
        <v>0</v>
      </c>
    </row>
    <row r="530" spans="1:27" ht="13" customHeight="1">
      <c r="A530" s="11">
        <v>524</v>
      </c>
      <c r="B530" s="47">
        <v>206513281</v>
      </c>
      <c r="C530" s="89" t="s">
        <v>2641</v>
      </c>
      <c r="D530" s="11" t="s">
        <v>2642</v>
      </c>
      <c r="E530" s="48" t="s">
        <v>31</v>
      </c>
      <c r="F530" s="48" t="s">
        <v>74</v>
      </c>
      <c r="G530" s="11" t="s">
        <v>64</v>
      </c>
      <c r="H530" s="48" t="str">
        <f>VLOOKUP(Table1[[#This Row],[Psoft No]],[1]Roster!$C$2:$H$1402,6,)</f>
        <v>AUH1</v>
      </c>
      <c r="I530" s="48" t="b">
        <f>Table1[[#This Row],[Building]]=Table1[[#This Row],[Column1]]</f>
        <v>1</v>
      </c>
      <c r="J530" s="11" t="s">
        <v>75</v>
      </c>
      <c r="K530" s="11">
        <v>1299</v>
      </c>
      <c r="L530" s="49" t="s">
        <v>32</v>
      </c>
      <c r="M530" s="49" t="s">
        <v>76</v>
      </c>
      <c r="N530" s="49" t="s">
        <v>78</v>
      </c>
      <c r="O530" s="49" t="s">
        <v>92</v>
      </c>
      <c r="P530" s="49" t="s">
        <v>89</v>
      </c>
      <c r="Q530" s="49" t="s">
        <v>35</v>
      </c>
      <c r="R530" s="11" t="s">
        <v>80</v>
      </c>
      <c r="S530" s="11" t="s">
        <v>90</v>
      </c>
      <c r="T530" s="11" t="s">
        <v>231</v>
      </c>
      <c r="U530" s="11" t="s">
        <v>1753</v>
      </c>
      <c r="V530" s="116" t="s">
        <v>10</v>
      </c>
      <c r="W530" s="88"/>
      <c r="X530" s="51">
        <v>45971</v>
      </c>
      <c r="Y530" s="97" t="s">
        <v>1573</v>
      </c>
      <c r="Z530" s="135" t="s">
        <v>3023</v>
      </c>
      <c r="AA530" s="135">
        <v>0</v>
      </c>
    </row>
    <row r="531" spans="1:27" ht="13" customHeight="1">
      <c r="A531" s="11">
        <v>525</v>
      </c>
      <c r="B531" s="47">
        <v>203796750</v>
      </c>
      <c r="C531" s="89" t="s">
        <v>556</v>
      </c>
      <c r="D531" s="11" t="s">
        <v>557</v>
      </c>
      <c r="E531" s="48" t="s">
        <v>31</v>
      </c>
      <c r="F531" s="48" t="s">
        <v>74</v>
      </c>
      <c r="G531" s="11" t="s">
        <v>64</v>
      </c>
      <c r="H531" s="48" t="str">
        <f>VLOOKUP(Table1[[#This Row],[Psoft No]],[1]Roster!$C$2:$H$1402,6,)</f>
        <v>AUH1</v>
      </c>
      <c r="I531" s="48" t="b">
        <f>Table1[[#This Row],[Building]]=Table1[[#This Row],[Column1]]</f>
        <v>1</v>
      </c>
      <c r="J531" s="11" t="s">
        <v>75</v>
      </c>
      <c r="K531" s="11">
        <v>1299</v>
      </c>
      <c r="L531" s="49" t="s">
        <v>32</v>
      </c>
      <c r="M531" s="49" t="s">
        <v>76</v>
      </c>
      <c r="N531" s="49" t="s">
        <v>95</v>
      </c>
      <c r="O531" s="49" t="s">
        <v>77</v>
      </c>
      <c r="P531" s="48" t="s">
        <v>79</v>
      </c>
      <c r="Q531" s="49" t="s">
        <v>35</v>
      </c>
      <c r="R531" s="11" t="s">
        <v>80</v>
      </c>
      <c r="S531" s="11" t="s">
        <v>81</v>
      </c>
      <c r="T531" s="11" t="s">
        <v>231</v>
      </c>
      <c r="U531" s="11" t="s">
        <v>1753</v>
      </c>
      <c r="V531" s="116" t="str">
        <f>VLOOKUP(Table1[[#This Row],[Psoft No]],[2]Sheet1!$A$2:$G$386,7,0)</f>
        <v>P</v>
      </c>
      <c r="W531" s="88"/>
      <c r="X531" s="51">
        <v>45516</v>
      </c>
      <c r="Y531" s="97" t="s">
        <v>1573</v>
      </c>
      <c r="Z531" s="135" t="s">
        <v>2</v>
      </c>
      <c r="AA531" s="135">
        <v>0</v>
      </c>
    </row>
    <row r="532" spans="1:27" ht="13" customHeight="1">
      <c r="A532" s="11">
        <v>526</v>
      </c>
      <c r="B532" s="47">
        <v>206073367</v>
      </c>
      <c r="C532" s="89" t="s">
        <v>558</v>
      </c>
      <c r="D532" s="11" t="s">
        <v>559</v>
      </c>
      <c r="E532" s="48" t="s">
        <v>31</v>
      </c>
      <c r="F532" s="48" t="s">
        <v>74</v>
      </c>
      <c r="G532" s="11" t="s">
        <v>64</v>
      </c>
      <c r="H532" s="48" t="str">
        <f>VLOOKUP(Table1[[#This Row],[Psoft No]],[1]Roster!$C$2:$H$1402,6,)</f>
        <v>AUH1</v>
      </c>
      <c r="I532" s="48" t="b">
        <f>Table1[[#This Row],[Building]]=Table1[[#This Row],[Column1]]</f>
        <v>1</v>
      </c>
      <c r="J532" s="11" t="s">
        <v>75</v>
      </c>
      <c r="K532" s="11">
        <v>1299</v>
      </c>
      <c r="L532" s="49" t="s">
        <v>32</v>
      </c>
      <c r="M532" s="49" t="s">
        <v>76</v>
      </c>
      <c r="N532" s="49" t="s">
        <v>78</v>
      </c>
      <c r="O532" s="49" t="s">
        <v>92</v>
      </c>
      <c r="P532" s="48" t="s">
        <v>79</v>
      </c>
      <c r="Q532" s="49" t="s">
        <v>35</v>
      </c>
      <c r="R532" s="11" t="s">
        <v>80</v>
      </c>
      <c r="S532" s="11" t="s">
        <v>81</v>
      </c>
      <c r="T532" s="11" t="s">
        <v>231</v>
      </c>
      <c r="U532" s="11" t="s">
        <v>1753</v>
      </c>
      <c r="V532" s="116" t="s">
        <v>10</v>
      </c>
      <c r="W532" s="88"/>
      <c r="X532" s="51">
        <v>45922</v>
      </c>
      <c r="Y532" s="97" t="s">
        <v>1573</v>
      </c>
      <c r="Z532" s="135" t="s">
        <v>3023</v>
      </c>
      <c r="AA532" s="135">
        <v>0</v>
      </c>
    </row>
    <row r="533" spans="1:27" ht="13" customHeight="1">
      <c r="A533" s="11">
        <v>527</v>
      </c>
      <c r="B533" s="47">
        <v>203816757</v>
      </c>
      <c r="C533" s="89" t="s">
        <v>2643</v>
      </c>
      <c r="D533" s="11" t="s">
        <v>2644</v>
      </c>
      <c r="E533" s="48" t="s">
        <v>31</v>
      </c>
      <c r="F533" s="48" t="s">
        <v>74</v>
      </c>
      <c r="G533" s="11" t="s">
        <v>64</v>
      </c>
      <c r="H533" s="48" t="str">
        <f>VLOOKUP(Table1[[#This Row],[Psoft No]],[1]Roster!$C$2:$H$1402,6,)</f>
        <v>AUH1</v>
      </c>
      <c r="I533" s="48" t="b">
        <f>Table1[[#This Row],[Building]]=Table1[[#This Row],[Column1]]</f>
        <v>1</v>
      </c>
      <c r="J533" s="11" t="s">
        <v>75</v>
      </c>
      <c r="K533" s="11">
        <v>1299</v>
      </c>
      <c r="L533" s="49" t="s">
        <v>32</v>
      </c>
      <c r="M533" s="49" t="s">
        <v>76</v>
      </c>
      <c r="N533" s="49" t="s">
        <v>78</v>
      </c>
      <c r="O533" s="49" t="s">
        <v>92</v>
      </c>
      <c r="P533" s="48" t="s">
        <v>86</v>
      </c>
      <c r="Q533" s="49" t="s">
        <v>35</v>
      </c>
      <c r="R533" s="11" t="s">
        <v>80</v>
      </c>
      <c r="S533" s="11" t="s">
        <v>90</v>
      </c>
      <c r="T533" s="11" t="s">
        <v>225</v>
      </c>
      <c r="U533" s="11" t="s">
        <v>226</v>
      </c>
      <c r="V533" s="116" t="s">
        <v>10</v>
      </c>
      <c r="W533" s="88"/>
      <c r="X533" s="51">
        <v>45518</v>
      </c>
      <c r="Y533" s="97" t="s">
        <v>1572</v>
      </c>
      <c r="Z533" s="135" t="s">
        <v>3023</v>
      </c>
      <c r="AA533" s="135">
        <v>0</v>
      </c>
    </row>
    <row r="534" spans="1:27" ht="13" customHeight="1">
      <c r="A534" s="11">
        <v>528</v>
      </c>
      <c r="B534" s="47">
        <v>205496019</v>
      </c>
      <c r="C534" s="89" t="s">
        <v>560</v>
      </c>
      <c r="D534" s="11" t="s">
        <v>561</v>
      </c>
      <c r="E534" s="48" t="s">
        <v>31</v>
      </c>
      <c r="F534" s="48" t="s">
        <v>74</v>
      </c>
      <c r="G534" s="11" t="s">
        <v>64</v>
      </c>
      <c r="H534" s="48" t="str">
        <f>VLOOKUP(Table1[[#This Row],[Psoft No]],[1]Roster!$C$2:$H$1402,6,)</f>
        <v>AUH1</v>
      </c>
      <c r="I534" s="48" t="b">
        <f>Table1[[#This Row],[Building]]=Table1[[#This Row],[Column1]]</f>
        <v>1</v>
      </c>
      <c r="J534" s="11" t="s">
        <v>75</v>
      </c>
      <c r="K534" s="11">
        <v>1299</v>
      </c>
      <c r="L534" s="49" t="s">
        <v>32</v>
      </c>
      <c r="M534" s="49" t="s">
        <v>76</v>
      </c>
      <c r="N534" s="49" t="s">
        <v>78</v>
      </c>
      <c r="O534" s="49" t="s">
        <v>92</v>
      </c>
      <c r="P534" s="49" t="s">
        <v>89</v>
      </c>
      <c r="Q534" s="49" t="s">
        <v>35</v>
      </c>
      <c r="R534" s="11" t="s">
        <v>80</v>
      </c>
      <c r="S534" s="11" t="s">
        <v>96</v>
      </c>
      <c r="T534" s="11" t="s">
        <v>231</v>
      </c>
      <c r="U534" s="11" t="s">
        <v>1753</v>
      </c>
      <c r="V534" s="116" t="s">
        <v>10</v>
      </c>
      <c r="W534" s="88"/>
      <c r="X534" s="51">
        <v>45831</v>
      </c>
      <c r="Y534" s="97" t="s">
        <v>1573</v>
      </c>
      <c r="Z534" s="135" t="s">
        <v>3023</v>
      </c>
      <c r="AA534" s="135">
        <v>0</v>
      </c>
    </row>
    <row r="535" spans="1:27" ht="13" customHeight="1">
      <c r="A535" s="11">
        <v>529</v>
      </c>
      <c r="B535" s="47">
        <v>206513285</v>
      </c>
      <c r="C535" s="89" t="s">
        <v>2645</v>
      </c>
      <c r="D535" s="11" t="s">
        <v>2646</v>
      </c>
      <c r="E535" s="48" t="s">
        <v>31</v>
      </c>
      <c r="F535" s="48" t="s">
        <v>74</v>
      </c>
      <c r="G535" s="11" t="s">
        <v>64</v>
      </c>
      <c r="H535" s="48" t="str">
        <f>VLOOKUP(Table1[[#This Row],[Psoft No]],[1]Roster!$C$2:$H$1402,6,)</f>
        <v>AUH1</v>
      </c>
      <c r="I535" s="48" t="b">
        <f>Table1[[#This Row],[Building]]=Table1[[#This Row],[Column1]]</f>
        <v>1</v>
      </c>
      <c r="J535" s="11" t="s">
        <v>75</v>
      </c>
      <c r="K535" s="11">
        <v>1299</v>
      </c>
      <c r="L535" s="49" t="s">
        <v>39</v>
      </c>
      <c r="M535" s="49" t="s">
        <v>76</v>
      </c>
      <c r="N535" s="49" t="s">
        <v>84</v>
      </c>
      <c r="O535" s="49" t="s">
        <v>85</v>
      </c>
      <c r="P535" s="49" t="s">
        <v>89</v>
      </c>
      <c r="Q535" s="49" t="s">
        <v>35</v>
      </c>
      <c r="R535" s="11" t="s">
        <v>80</v>
      </c>
      <c r="S535" s="11" t="s">
        <v>90</v>
      </c>
      <c r="T535" s="11" t="s">
        <v>224</v>
      </c>
      <c r="U535" s="11" t="s">
        <v>2715</v>
      </c>
      <c r="V535" s="116" t="s">
        <v>1</v>
      </c>
      <c r="W535" s="88"/>
      <c r="X535" s="51">
        <v>45971</v>
      </c>
      <c r="Y535" s="97" t="s">
        <v>1573</v>
      </c>
      <c r="Z535" s="135" t="s">
        <v>2</v>
      </c>
      <c r="AA535" s="135">
        <v>0</v>
      </c>
    </row>
    <row r="536" spans="1:27" ht="13" customHeight="1">
      <c r="A536" s="11">
        <v>530</v>
      </c>
      <c r="B536" s="47">
        <v>206004608</v>
      </c>
      <c r="C536" s="89" t="s">
        <v>562</v>
      </c>
      <c r="D536" s="11" t="s">
        <v>563</v>
      </c>
      <c r="E536" s="48" t="s">
        <v>31</v>
      </c>
      <c r="F536" s="48" t="s">
        <v>74</v>
      </c>
      <c r="G536" s="11" t="s">
        <v>64</v>
      </c>
      <c r="H536" s="48" t="str">
        <f>VLOOKUP(Table1[[#This Row],[Psoft No]],[1]Roster!$C$2:$H$1402,6,)</f>
        <v>AUH1</v>
      </c>
      <c r="I536" s="48" t="b">
        <f>Table1[[#This Row],[Building]]=Table1[[#This Row],[Column1]]</f>
        <v>1</v>
      </c>
      <c r="J536" s="11" t="s">
        <v>75</v>
      </c>
      <c r="K536" s="11">
        <v>1299</v>
      </c>
      <c r="L536" s="49" t="s">
        <v>32</v>
      </c>
      <c r="M536" s="49" t="s">
        <v>76</v>
      </c>
      <c r="N536" s="49" t="s">
        <v>78</v>
      </c>
      <c r="O536" s="49" t="s">
        <v>92</v>
      </c>
      <c r="P536" s="49" t="s">
        <v>89</v>
      </c>
      <c r="Q536" s="49" t="s">
        <v>35</v>
      </c>
      <c r="R536" s="11" t="s">
        <v>80</v>
      </c>
      <c r="S536" s="11" t="s">
        <v>81</v>
      </c>
      <c r="T536" s="11" t="s">
        <v>225</v>
      </c>
      <c r="U536" s="11" t="s">
        <v>226</v>
      </c>
      <c r="V536" s="116" t="s">
        <v>10</v>
      </c>
      <c r="W536" s="88"/>
      <c r="X536" s="51">
        <v>45915</v>
      </c>
      <c r="Y536" s="97" t="s">
        <v>1574</v>
      </c>
      <c r="Z536" s="135" t="s">
        <v>3023</v>
      </c>
      <c r="AA536" s="135">
        <v>0</v>
      </c>
    </row>
    <row r="537" spans="1:27" ht="13" customHeight="1">
      <c r="A537" s="11">
        <v>531</v>
      </c>
      <c r="B537" s="47">
        <v>206873879</v>
      </c>
      <c r="C537" s="89" t="s">
        <v>1768</v>
      </c>
      <c r="D537" s="11" t="s">
        <v>1769</v>
      </c>
      <c r="E537" s="48" t="s">
        <v>31</v>
      </c>
      <c r="F537" s="48" t="s">
        <v>74</v>
      </c>
      <c r="G537" s="48" t="s">
        <v>64</v>
      </c>
      <c r="H537" s="48" t="str">
        <f>VLOOKUP(Table1[[#This Row],[Psoft No]],[1]Roster!$C$2:$H$1402,6,)</f>
        <v>AUH1</v>
      </c>
      <c r="I537" s="48" t="b">
        <f>Table1[[#This Row],[Building]]=Table1[[#This Row],[Column1]]</f>
        <v>1</v>
      </c>
      <c r="J537" s="48" t="s">
        <v>75</v>
      </c>
      <c r="K537" s="11">
        <v>1299</v>
      </c>
      <c r="L537" s="49" t="s">
        <v>32</v>
      </c>
      <c r="M537" s="49" t="s">
        <v>76</v>
      </c>
      <c r="N537" s="49" t="s">
        <v>78</v>
      </c>
      <c r="O537" s="49" t="s">
        <v>92</v>
      </c>
      <c r="P537" s="49" t="s">
        <v>89</v>
      </c>
      <c r="Q537" s="48" t="s">
        <v>35</v>
      </c>
      <c r="R537" s="48" t="s">
        <v>80</v>
      </c>
      <c r="S537" s="11" t="s">
        <v>90</v>
      </c>
      <c r="T537" s="11" t="s">
        <v>231</v>
      </c>
      <c r="U537" s="11" t="s">
        <v>1753</v>
      </c>
      <c r="V537" s="116" t="s">
        <v>10</v>
      </c>
      <c r="W537" s="88"/>
      <c r="X537" s="51">
        <v>46020</v>
      </c>
      <c r="Y537" s="97" t="s">
        <v>1573</v>
      </c>
      <c r="Z537" s="135" t="s">
        <v>3023</v>
      </c>
      <c r="AA537" s="135">
        <v>0</v>
      </c>
    </row>
    <row r="538" spans="1:27" ht="13" customHeight="1">
      <c r="A538" s="11">
        <v>532</v>
      </c>
      <c r="B538" s="47">
        <v>203736258</v>
      </c>
      <c r="C538" s="89" t="s">
        <v>2647</v>
      </c>
      <c r="D538" s="11" t="s">
        <v>2648</v>
      </c>
      <c r="E538" s="48" t="s">
        <v>31</v>
      </c>
      <c r="F538" s="48" t="s">
        <v>74</v>
      </c>
      <c r="G538" s="11" t="s">
        <v>64</v>
      </c>
      <c r="H538" s="48" t="str">
        <f>VLOOKUP(Table1[[#This Row],[Psoft No]],[1]Roster!$C$2:$H$1402,6,)</f>
        <v>AUH1</v>
      </c>
      <c r="I538" s="48" t="b">
        <f>Table1[[#This Row],[Building]]=Table1[[#This Row],[Column1]]</f>
        <v>1</v>
      </c>
      <c r="J538" s="11" t="s">
        <v>75</v>
      </c>
      <c r="K538" s="11">
        <v>1299</v>
      </c>
      <c r="L538" s="49" t="s">
        <v>39</v>
      </c>
      <c r="M538" s="49" t="s">
        <v>76</v>
      </c>
      <c r="N538" s="49" t="s">
        <v>77</v>
      </c>
      <c r="O538" s="49" t="s">
        <v>78</v>
      </c>
      <c r="P538" s="48" t="s">
        <v>86</v>
      </c>
      <c r="Q538" s="49" t="s">
        <v>35</v>
      </c>
      <c r="R538" s="11" t="s">
        <v>80</v>
      </c>
      <c r="S538" s="11" t="s">
        <v>90</v>
      </c>
      <c r="T538" s="11" t="s">
        <v>231</v>
      </c>
      <c r="U538" s="11" t="s">
        <v>1753</v>
      </c>
      <c r="V538" s="116" t="s">
        <v>1</v>
      </c>
      <c r="W538" s="88"/>
      <c r="X538" s="51">
        <v>45502</v>
      </c>
      <c r="Y538" s="97" t="s">
        <v>1573</v>
      </c>
      <c r="Z538" s="135" t="s">
        <v>2</v>
      </c>
      <c r="AA538" s="135" t="s">
        <v>3024</v>
      </c>
    </row>
    <row r="539" spans="1:27" ht="13" customHeight="1">
      <c r="A539" s="11">
        <v>533</v>
      </c>
      <c r="B539" s="47">
        <v>203468402</v>
      </c>
      <c r="C539" s="89" t="s">
        <v>564</v>
      </c>
      <c r="D539" s="11" t="s">
        <v>565</v>
      </c>
      <c r="E539" s="48" t="s">
        <v>31</v>
      </c>
      <c r="F539" s="48" t="s">
        <v>74</v>
      </c>
      <c r="G539" s="11" t="s">
        <v>64</v>
      </c>
      <c r="H539" s="48" t="str">
        <f>VLOOKUP(Table1[[#This Row],[Psoft No]],[1]Roster!$C$2:$H$1402,6,)</f>
        <v>AUH1</v>
      </c>
      <c r="I539" s="48" t="b">
        <f>Table1[[#This Row],[Building]]=Table1[[#This Row],[Column1]]</f>
        <v>1</v>
      </c>
      <c r="J539" s="11" t="s">
        <v>75</v>
      </c>
      <c r="K539" s="11">
        <v>1299</v>
      </c>
      <c r="L539" s="49" t="s">
        <v>32</v>
      </c>
      <c r="M539" s="49" t="s">
        <v>76</v>
      </c>
      <c r="N539" s="49" t="s">
        <v>88</v>
      </c>
      <c r="O539" s="49" t="s">
        <v>95</v>
      </c>
      <c r="P539" s="48" t="s">
        <v>79</v>
      </c>
      <c r="Q539" s="49" t="s">
        <v>35</v>
      </c>
      <c r="R539" s="11" t="s">
        <v>80</v>
      </c>
      <c r="S539" s="11" t="s">
        <v>81</v>
      </c>
      <c r="T539" s="11" t="s">
        <v>231</v>
      </c>
      <c r="U539" s="11" t="s">
        <v>1753</v>
      </c>
      <c r="V539" s="116" t="str">
        <f>VLOOKUP(Table1[[#This Row],[Psoft No]],[2]Sheet1!$A$2:$G$386,7,0)</f>
        <v>P</v>
      </c>
      <c r="W539" s="88"/>
      <c r="X539" s="51">
        <v>45456</v>
      </c>
      <c r="Y539" s="97" t="s">
        <v>1570</v>
      </c>
      <c r="Z539" s="135" t="s">
        <v>2</v>
      </c>
      <c r="AA539" s="135">
        <v>0</v>
      </c>
    </row>
    <row r="540" spans="1:27" ht="13" customHeight="1">
      <c r="A540" s="11">
        <v>534</v>
      </c>
      <c r="B540" s="47">
        <v>203635601</v>
      </c>
      <c r="C540" s="89" t="s">
        <v>1362</v>
      </c>
      <c r="D540" s="11" t="s">
        <v>2697</v>
      </c>
      <c r="E540" s="48" t="s">
        <v>31</v>
      </c>
      <c r="F540" s="48" t="s">
        <v>74</v>
      </c>
      <c r="G540" s="11" t="s">
        <v>64</v>
      </c>
      <c r="H540" s="48" t="str">
        <f>VLOOKUP(Table1[[#This Row],[Psoft No]],[1]Roster!$C$2:$H$1402,6,)</f>
        <v>AUH1</v>
      </c>
      <c r="I540" s="48" t="b">
        <f>Table1[[#This Row],[Building]]=Table1[[#This Row],[Column1]]</f>
        <v>1</v>
      </c>
      <c r="J540" s="11" t="s">
        <v>75</v>
      </c>
      <c r="K540" s="11">
        <v>1181</v>
      </c>
      <c r="L540" s="49" t="s">
        <v>32</v>
      </c>
      <c r="M540" s="49" t="s">
        <v>76</v>
      </c>
      <c r="N540" s="49" t="s">
        <v>84</v>
      </c>
      <c r="O540" s="49" t="s">
        <v>85</v>
      </c>
      <c r="P540" s="48" t="s">
        <v>79</v>
      </c>
      <c r="Q540" s="49" t="s">
        <v>67</v>
      </c>
      <c r="R540" s="11" t="s">
        <v>80</v>
      </c>
      <c r="S540" s="11" t="s">
        <v>81</v>
      </c>
      <c r="T540" s="11" t="s">
        <v>82</v>
      </c>
      <c r="U540" s="11" t="s">
        <v>2713</v>
      </c>
      <c r="V540" s="116" t="str">
        <f>VLOOKUP(Table1[[#This Row],[Psoft No]],[2]Sheet1!$A$2:$G$386,7,0)</f>
        <v>P</v>
      </c>
      <c r="W540" s="88"/>
      <c r="X540" s="51">
        <v>45481</v>
      </c>
      <c r="Y540" s="102" t="s">
        <v>1568</v>
      </c>
      <c r="Z540" s="135" t="s">
        <v>2</v>
      </c>
      <c r="AA540" s="135">
        <v>0</v>
      </c>
    </row>
    <row r="541" spans="1:27" ht="13" customHeight="1">
      <c r="A541" s="11">
        <v>535</v>
      </c>
      <c r="B541" s="47">
        <v>202444409</v>
      </c>
      <c r="C541" s="89" t="s">
        <v>568</v>
      </c>
      <c r="D541" s="11" t="s">
        <v>569</v>
      </c>
      <c r="E541" s="48" t="s">
        <v>31</v>
      </c>
      <c r="F541" s="48" t="s">
        <v>74</v>
      </c>
      <c r="G541" s="11" t="s">
        <v>65</v>
      </c>
      <c r="H541" s="48" t="str">
        <f>VLOOKUP(Table1[[#This Row],[Psoft No]],[1]Roster!$C$2:$H$1402,6,)</f>
        <v>AUH3</v>
      </c>
      <c r="I541" s="48" t="b">
        <f>Table1[[#This Row],[Building]]=Table1[[#This Row],[Column1]]</f>
        <v>1</v>
      </c>
      <c r="J541" s="11" t="s">
        <v>75</v>
      </c>
      <c r="K541" s="11">
        <v>1299</v>
      </c>
      <c r="L541" s="49" t="s">
        <v>39</v>
      </c>
      <c r="M541" s="49" t="s">
        <v>76</v>
      </c>
      <c r="N541" s="49" t="s">
        <v>78</v>
      </c>
      <c r="O541" s="49" t="s">
        <v>92</v>
      </c>
      <c r="P541" s="48" t="s">
        <v>86</v>
      </c>
      <c r="Q541" s="49" t="s">
        <v>68</v>
      </c>
      <c r="R541" s="11" t="s">
        <v>80</v>
      </c>
      <c r="S541" s="11" t="s">
        <v>87</v>
      </c>
      <c r="T541" s="11" t="s">
        <v>2720</v>
      </c>
      <c r="U541" s="11" t="s">
        <v>2721</v>
      </c>
      <c r="V541" s="116" t="s">
        <v>10</v>
      </c>
      <c r="W541" s="88"/>
      <c r="X541" s="51">
        <v>45579</v>
      </c>
      <c r="Y541" s="97" t="s">
        <v>68</v>
      </c>
      <c r="Z541" s="135" t="s">
        <v>3023</v>
      </c>
      <c r="AA541" s="135">
        <v>0</v>
      </c>
    </row>
    <row r="542" spans="1:27" ht="13" customHeight="1">
      <c r="A542" s="11">
        <v>536</v>
      </c>
      <c r="B542" s="47">
        <v>204246606</v>
      </c>
      <c r="C542" s="89" t="s">
        <v>570</v>
      </c>
      <c r="D542" s="11" t="s">
        <v>571</v>
      </c>
      <c r="E542" s="48" t="s">
        <v>31</v>
      </c>
      <c r="F542" s="48" t="s">
        <v>74</v>
      </c>
      <c r="G542" s="11" t="s">
        <v>64</v>
      </c>
      <c r="H542" s="48" t="str">
        <f>VLOOKUP(Table1[[#This Row],[Psoft No]],[1]Roster!$C$2:$H$1402,6,)</f>
        <v>AUH1</v>
      </c>
      <c r="I542" s="48" t="b">
        <f>Table1[[#This Row],[Building]]=Table1[[#This Row],[Column1]]</f>
        <v>1</v>
      </c>
      <c r="J542" s="11" t="s">
        <v>75</v>
      </c>
      <c r="K542" s="11">
        <v>1299</v>
      </c>
      <c r="L542" s="49" t="s">
        <v>32</v>
      </c>
      <c r="M542" s="49" t="s">
        <v>76</v>
      </c>
      <c r="N542" s="49" t="s">
        <v>77</v>
      </c>
      <c r="O542" s="49" t="s">
        <v>78</v>
      </c>
      <c r="P542" s="48" t="s">
        <v>86</v>
      </c>
      <c r="Q542" s="49" t="s">
        <v>35</v>
      </c>
      <c r="R542" s="11" t="s">
        <v>80</v>
      </c>
      <c r="S542" s="11" t="s">
        <v>87</v>
      </c>
      <c r="T542" s="11" t="s">
        <v>231</v>
      </c>
      <c r="U542" s="11" t="s">
        <v>1753</v>
      </c>
      <c r="V542" s="116" t="str">
        <f>VLOOKUP(Table1[[#This Row],[Psoft No]],[2]Sheet1!$A$2:$G$386,7,0)</f>
        <v>P</v>
      </c>
      <c r="W542" s="88"/>
      <c r="X542" s="51">
        <v>45579</v>
      </c>
      <c r="Y542" s="97" t="s">
        <v>1572</v>
      </c>
      <c r="Z542" s="135" t="s">
        <v>2</v>
      </c>
      <c r="AA542" s="135">
        <v>0</v>
      </c>
    </row>
    <row r="543" spans="1:27" ht="13" customHeight="1">
      <c r="A543" s="11">
        <v>537</v>
      </c>
      <c r="B543" s="47">
        <v>203521426</v>
      </c>
      <c r="C543" s="89" t="s">
        <v>572</v>
      </c>
      <c r="D543" s="11" t="s">
        <v>573</v>
      </c>
      <c r="E543" s="48" t="s">
        <v>31</v>
      </c>
      <c r="F543" s="48" t="s">
        <v>74</v>
      </c>
      <c r="G543" s="11" t="s">
        <v>64</v>
      </c>
      <c r="H543" s="48" t="str">
        <f>VLOOKUP(Table1[[#This Row],[Psoft No]],[1]Roster!$C$2:$H$1402,6,)</f>
        <v>AUH1</v>
      </c>
      <c r="I543" s="48" t="b">
        <f>Table1[[#This Row],[Building]]=Table1[[#This Row],[Column1]]</f>
        <v>1</v>
      </c>
      <c r="J543" s="11" t="s">
        <v>75</v>
      </c>
      <c r="K543" s="11">
        <v>1299</v>
      </c>
      <c r="L543" s="49" t="s">
        <v>32</v>
      </c>
      <c r="M543" s="49" t="s">
        <v>76</v>
      </c>
      <c r="N543" s="49" t="s">
        <v>78</v>
      </c>
      <c r="O543" s="49" t="s">
        <v>92</v>
      </c>
      <c r="P543" s="48" t="s">
        <v>79</v>
      </c>
      <c r="Q543" s="49" t="s">
        <v>35</v>
      </c>
      <c r="R543" s="11" t="s">
        <v>80</v>
      </c>
      <c r="S543" s="11" t="s">
        <v>81</v>
      </c>
      <c r="T543" s="11" t="s">
        <v>225</v>
      </c>
      <c r="U543" s="11" t="s">
        <v>226</v>
      </c>
      <c r="V543" s="116" t="s">
        <v>10</v>
      </c>
      <c r="W543" s="88"/>
      <c r="X543" s="51">
        <v>45463</v>
      </c>
      <c r="Y543" s="97" t="s">
        <v>1574</v>
      </c>
      <c r="Z543" s="135" t="s">
        <v>3023</v>
      </c>
      <c r="AA543" s="135">
        <v>0</v>
      </c>
    </row>
    <row r="544" spans="1:27" ht="13" customHeight="1">
      <c r="A544" s="11">
        <v>538</v>
      </c>
      <c r="B544" s="47">
        <v>203736781</v>
      </c>
      <c r="C544" s="89" t="s">
        <v>574</v>
      </c>
      <c r="D544" s="11" t="s">
        <v>575</v>
      </c>
      <c r="E544" s="48" t="s">
        <v>31</v>
      </c>
      <c r="F544" s="48" t="s">
        <v>74</v>
      </c>
      <c r="G544" s="11" t="s">
        <v>64</v>
      </c>
      <c r="H544" s="48" t="str">
        <f>VLOOKUP(Table1[[#This Row],[Psoft No]],[1]Roster!$C$2:$H$1402,6,)</f>
        <v>AUH1</v>
      </c>
      <c r="I544" s="48" t="b">
        <f>Table1[[#This Row],[Building]]=Table1[[#This Row],[Column1]]</f>
        <v>1</v>
      </c>
      <c r="J544" s="11" t="s">
        <v>75</v>
      </c>
      <c r="K544" s="11">
        <v>1299</v>
      </c>
      <c r="L544" s="49" t="s">
        <v>39</v>
      </c>
      <c r="M544" s="49" t="s">
        <v>76</v>
      </c>
      <c r="N544" s="49" t="s">
        <v>92</v>
      </c>
      <c r="O544" s="49" t="s">
        <v>84</v>
      </c>
      <c r="P544" s="48" t="s">
        <v>86</v>
      </c>
      <c r="Q544" s="49" t="s">
        <v>35</v>
      </c>
      <c r="R544" s="11" t="s">
        <v>80</v>
      </c>
      <c r="S544" s="11" t="s">
        <v>99</v>
      </c>
      <c r="T544" s="11" t="s">
        <v>231</v>
      </c>
      <c r="U544" s="11" t="s">
        <v>1753</v>
      </c>
      <c r="V544" s="116" t="s">
        <v>10</v>
      </c>
      <c r="W544" s="88"/>
      <c r="X544" s="51">
        <v>45502</v>
      </c>
      <c r="Y544" s="97" t="s">
        <v>1573</v>
      </c>
      <c r="Z544" s="135" t="s">
        <v>3023</v>
      </c>
      <c r="AA544" s="135">
        <v>0</v>
      </c>
    </row>
    <row r="545" spans="1:27" ht="13" customHeight="1">
      <c r="A545" s="11">
        <v>539</v>
      </c>
      <c r="B545" s="47">
        <v>203965521</v>
      </c>
      <c r="C545" s="89" t="s">
        <v>576</v>
      </c>
      <c r="D545" s="11" t="s">
        <v>577</v>
      </c>
      <c r="E545" s="48" t="s">
        <v>31</v>
      </c>
      <c r="F545" s="48" t="s">
        <v>74</v>
      </c>
      <c r="G545" s="11" t="s">
        <v>65</v>
      </c>
      <c r="H545" s="48" t="str">
        <f>VLOOKUP(Table1[[#This Row],[Psoft No]],[1]Roster!$C$2:$H$1402,6,)</f>
        <v>AUH3</v>
      </c>
      <c r="I545" s="48" t="b">
        <f>Table1[[#This Row],[Building]]=Table1[[#This Row],[Column1]]</f>
        <v>1</v>
      </c>
      <c r="J545" s="11" t="s">
        <v>75</v>
      </c>
      <c r="K545" s="11">
        <v>1299</v>
      </c>
      <c r="L545" s="49" t="s">
        <v>39</v>
      </c>
      <c r="M545" s="49" t="s">
        <v>76</v>
      </c>
      <c r="N545" s="49" t="s">
        <v>78</v>
      </c>
      <c r="O545" s="49" t="s">
        <v>92</v>
      </c>
      <c r="P545" s="48" t="s">
        <v>79</v>
      </c>
      <c r="Q545" s="49" t="s">
        <v>68</v>
      </c>
      <c r="R545" s="11" t="s">
        <v>80</v>
      </c>
      <c r="S545" s="11" t="s">
        <v>81</v>
      </c>
      <c r="T545" s="11" t="s">
        <v>2720</v>
      </c>
      <c r="U545" s="11" t="s">
        <v>2721</v>
      </c>
      <c r="V545" s="116" t="s">
        <v>10</v>
      </c>
      <c r="W545" s="88"/>
      <c r="X545" s="51">
        <v>45544</v>
      </c>
      <c r="Y545" s="97" t="s">
        <v>68</v>
      </c>
      <c r="Z545" s="135" t="s">
        <v>3023</v>
      </c>
      <c r="AA545" s="135">
        <v>0</v>
      </c>
    </row>
    <row r="546" spans="1:27" ht="13" customHeight="1">
      <c r="A546" s="11">
        <v>540</v>
      </c>
      <c r="B546" s="47">
        <v>204864420</v>
      </c>
      <c r="C546" s="89" t="s">
        <v>2649</v>
      </c>
      <c r="D546" s="11" t="s">
        <v>2650</v>
      </c>
      <c r="E546" s="48" t="s">
        <v>31</v>
      </c>
      <c r="F546" s="48" t="s">
        <v>74</v>
      </c>
      <c r="G546" s="11" t="s">
        <v>64</v>
      </c>
      <c r="H546" s="48" t="str">
        <f>VLOOKUP(Table1[[#This Row],[Psoft No]],[1]Roster!$C$2:$H$1402,6,)</f>
        <v>AUH1</v>
      </c>
      <c r="I546" s="48" t="b">
        <f>Table1[[#This Row],[Building]]=Table1[[#This Row],[Column1]]</f>
        <v>1</v>
      </c>
      <c r="J546" s="11" t="s">
        <v>75</v>
      </c>
      <c r="K546" s="11">
        <v>1299</v>
      </c>
      <c r="L546" s="49" t="s">
        <v>39</v>
      </c>
      <c r="M546" s="49" t="s">
        <v>76</v>
      </c>
      <c r="N546" s="49" t="s">
        <v>77</v>
      </c>
      <c r="O546" s="49" t="s">
        <v>78</v>
      </c>
      <c r="P546" s="49" t="s">
        <v>89</v>
      </c>
      <c r="Q546" s="49" t="s">
        <v>35</v>
      </c>
      <c r="R546" s="11" t="s">
        <v>80</v>
      </c>
      <c r="S546" s="11" t="s">
        <v>90</v>
      </c>
      <c r="T546" s="11" t="s">
        <v>231</v>
      </c>
      <c r="U546" s="11" t="s">
        <v>1753</v>
      </c>
      <c r="V546" s="116" t="s">
        <v>1</v>
      </c>
      <c r="W546" s="88"/>
      <c r="X546" s="51">
        <v>45684</v>
      </c>
      <c r="Y546" s="97" t="s">
        <v>1573</v>
      </c>
      <c r="Z546" s="135" t="s">
        <v>2</v>
      </c>
      <c r="AA546" s="135">
        <v>0</v>
      </c>
    </row>
    <row r="547" spans="1:27" ht="13" customHeight="1">
      <c r="A547" s="11">
        <v>541</v>
      </c>
      <c r="B547" s="47">
        <v>206873658</v>
      </c>
      <c r="C547" s="89" t="s">
        <v>1764</v>
      </c>
      <c r="D547" s="11" t="s">
        <v>1765</v>
      </c>
      <c r="E547" s="48" t="s">
        <v>31</v>
      </c>
      <c r="F547" s="48" t="s">
        <v>74</v>
      </c>
      <c r="G547" s="48" t="s">
        <v>64</v>
      </c>
      <c r="H547" s="48" t="str">
        <f>VLOOKUP(Table1[[#This Row],[Psoft No]],[1]Roster!$C$2:$H$1402,6,)</f>
        <v>AUH1</v>
      </c>
      <c r="I547" s="48" t="b">
        <f>Table1[[#This Row],[Building]]=Table1[[#This Row],[Column1]]</f>
        <v>1</v>
      </c>
      <c r="J547" s="48" t="s">
        <v>75</v>
      </c>
      <c r="K547" s="11">
        <v>1299</v>
      </c>
      <c r="L547" s="49" t="s">
        <v>32</v>
      </c>
      <c r="M547" s="49" t="s">
        <v>76</v>
      </c>
      <c r="N547" s="49" t="s">
        <v>95</v>
      </c>
      <c r="O547" s="49" t="s">
        <v>77</v>
      </c>
      <c r="P547" s="49" t="s">
        <v>89</v>
      </c>
      <c r="Q547" s="48" t="s">
        <v>35</v>
      </c>
      <c r="R547" s="48" t="s">
        <v>80</v>
      </c>
      <c r="S547" s="11" t="s">
        <v>81</v>
      </c>
      <c r="T547" s="11" t="s">
        <v>231</v>
      </c>
      <c r="U547" s="11" t="s">
        <v>1753</v>
      </c>
      <c r="V547" s="116" t="str">
        <f>VLOOKUP(Table1[[#This Row],[Psoft No]],[2]Sheet1!$A$2:$G$386,7,0)</f>
        <v>P</v>
      </c>
      <c r="W547" s="88"/>
      <c r="X547" s="51">
        <v>46020</v>
      </c>
      <c r="Y547" s="97" t="s">
        <v>1573</v>
      </c>
      <c r="Z547" s="135" t="s">
        <v>2</v>
      </c>
      <c r="AA547" s="135">
        <v>0</v>
      </c>
    </row>
    <row r="548" spans="1:27" ht="13" customHeight="1">
      <c r="A548" s="11">
        <v>542</v>
      </c>
      <c r="B548" s="47">
        <v>203736780</v>
      </c>
      <c r="C548" s="89" t="s">
        <v>578</v>
      </c>
      <c r="D548" s="11" t="s">
        <v>579</v>
      </c>
      <c r="E548" s="48" t="s">
        <v>31</v>
      </c>
      <c r="F548" s="48" t="s">
        <v>74</v>
      </c>
      <c r="G548" s="11" t="s">
        <v>64</v>
      </c>
      <c r="H548" s="48" t="str">
        <f>VLOOKUP(Table1[[#This Row],[Psoft No]],[1]Roster!$C$2:$H$1402,6,)</f>
        <v>AUH1</v>
      </c>
      <c r="I548" s="48" t="b">
        <f>Table1[[#This Row],[Building]]=Table1[[#This Row],[Column1]]</f>
        <v>1</v>
      </c>
      <c r="J548" s="11" t="s">
        <v>75</v>
      </c>
      <c r="K548" s="11">
        <v>1299</v>
      </c>
      <c r="L548" s="49" t="s">
        <v>39</v>
      </c>
      <c r="M548" s="49" t="s">
        <v>76</v>
      </c>
      <c r="N548" s="49" t="s">
        <v>85</v>
      </c>
      <c r="O548" s="49" t="s">
        <v>88</v>
      </c>
      <c r="P548" s="48" t="s">
        <v>86</v>
      </c>
      <c r="Q548" s="49" t="s">
        <v>35</v>
      </c>
      <c r="R548" s="11" t="s">
        <v>80</v>
      </c>
      <c r="S548" s="11" t="s">
        <v>99</v>
      </c>
      <c r="T548" s="11" t="s">
        <v>231</v>
      </c>
      <c r="U548" s="11" t="s">
        <v>1753</v>
      </c>
      <c r="V548" s="116" t="s">
        <v>1</v>
      </c>
      <c r="W548" s="88"/>
      <c r="X548" s="51">
        <v>45502</v>
      </c>
      <c r="Y548" s="97" t="s">
        <v>1573</v>
      </c>
      <c r="Z548" s="135" t="s">
        <v>2</v>
      </c>
      <c r="AA548" s="135">
        <v>0</v>
      </c>
    </row>
    <row r="549" spans="1:27" ht="13" customHeight="1">
      <c r="A549" s="11">
        <v>543</v>
      </c>
      <c r="B549" s="47">
        <v>206873654</v>
      </c>
      <c r="C549" s="89" t="s">
        <v>1756</v>
      </c>
      <c r="D549" s="11" t="s">
        <v>1757</v>
      </c>
      <c r="E549" s="48" t="s">
        <v>31</v>
      </c>
      <c r="F549" s="48" t="s">
        <v>74</v>
      </c>
      <c r="G549" s="11" t="s">
        <v>64</v>
      </c>
      <c r="H549" s="48" t="str">
        <f>VLOOKUP(Table1[[#This Row],[Psoft No]],[1]Roster!$C$2:$H$1402,6,)</f>
        <v>AUH1</v>
      </c>
      <c r="I549" s="48" t="b">
        <f>Table1[[#This Row],[Building]]=Table1[[#This Row],[Column1]]</f>
        <v>1</v>
      </c>
      <c r="J549" s="11" t="s">
        <v>75</v>
      </c>
      <c r="K549" s="11">
        <v>1299</v>
      </c>
      <c r="L549" s="49" t="s">
        <v>32</v>
      </c>
      <c r="M549" s="49" t="s">
        <v>76</v>
      </c>
      <c r="N549" s="49" t="s">
        <v>78</v>
      </c>
      <c r="O549" s="49" t="s">
        <v>92</v>
      </c>
      <c r="P549" s="48" t="s">
        <v>89</v>
      </c>
      <c r="Q549" s="49" t="s">
        <v>35</v>
      </c>
      <c r="R549" s="11" t="s">
        <v>80</v>
      </c>
      <c r="S549" s="11" t="s">
        <v>81</v>
      </c>
      <c r="T549" s="11" t="s">
        <v>225</v>
      </c>
      <c r="U549" s="11" t="s">
        <v>226</v>
      </c>
      <c r="V549" s="116" t="s">
        <v>10</v>
      </c>
      <c r="W549" s="88"/>
      <c r="X549" s="51">
        <v>46020</v>
      </c>
      <c r="Y549" s="97" t="s">
        <v>1572</v>
      </c>
      <c r="Z549" s="135" t="s">
        <v>3023</v>
      </c>
      <c r="AA549" s="135">
        <v>0</v>
      </c>
    </row>
    <row r="550" spans="1:27" ht="13" customHeight="1">
      <c r="A550" s="11">
        <v>544</v>
      </c>
      <c r="B550" s="47">
        <v>206016554</v>
      </c>
      <c r="C550" s="89" t="s">
        <v>580</v>
      </c>
      <c r="D550" s="11" t="s">
        <v>581</v>
      </c>
      <c r="E550" s="48" t="s">
        <v>31</v>
      </c>
      <c r="F550" s="48" t="s">
        <v>74</v>
      </c>
      <c r="G550" s="11" t="s">
        <v>64</v>
      </c>
      <c r="H550" s="48" t="str">
        <f>VLOOKUP(Table1[[#This Row],[Psoft No]],[1]Roster!$C$2:$H$1402,6,)</f>
        <v>AUH1</v>
      </c>
      <c r="I550" s="48" t="b">
        <f>Table1[[#This Row],[Building]]=Table1[[#This Row],[Column1]]</f>
        <v>1</v>
      </c>
      <c r="J550" s="11" t="s">
        <v>75</v>
      </c>
      <c r="K550" s="11">
        <v>1299</v>
      </c>
      <c r="L550" s="49" t="s">
        <v>32</v>
      </c>
      <c r="M550" s="49" t="s">
        <v>76</v>
      </c>
      <c r="N550" s="49" t="s">
        <v>77</v>
      </c>
      <c r="O550" s="49" t="s">
        <v>78</v>
      </c>
      <c r="P550" s="48" t="s">
        <v>79</v>
      </c>
      <c r="Q550" s="49" t="s">
        <v>35</v>
      </c>
      <c r="R550" s="11" t="s">
        <v>80</v>
      </c>
      <c r="S550" s="11" t="s">
        <v>81</v>
      </c>
      <c r="T550" s="11" t="s">
        <v>225</v>
      </c>
      <c r="U550" s="11" t="s">
        <v>226</v>
      </c>
      <c r="V550" s="116" t="str">
        <f>VLOOKUP(Table1[[#This Row],[Psoft No]],[2]Sheet1!$A$2:$G$386,7,0)</f>
        <v>P</v>
      </c>
      <c r="W550" s="88"/>
      <c r="X550" s="51">
        <v>45915</v>
      </c>
      <c r="Y550" s="97" t="s">
        <v>1574</v>
      </c>
      <c r="Z550" s="135" t="s">
        <v>2</v>
      </c>
      <c r="AA550" s="135">
        <v>0</v>
      </c>
    </row>
    <row r="551" spans="1:27" ht="13" customHeight="1">
      <c r="A551" s="11">
        <v>545</v>
      </c>
      <c r="B551" s="47">
        <v>206348020</v>
      </c>
      <c r="C551" s="89" t="s">
        <v>1668</v>
      </c>
      <c r="D551" s="11" t="s">
        <v>1669</v>
      </c>
      <c r="E551" s="48" t="s">
        <v>31</v>
      </c>
      <c r="F551" s="48" t="s">
        <v>74</v>
      </c>
      <c r="G551" s="11" t="s">
        <v>65</v>
      </c>
      <c r="H551" s="48" t="str">
        <f>VLOOKUP(Table1[[#This Row],[Psoft No]],[1]Roster!$C$2:$H$1402,6,)</f>
        <v>AUH3</v>
      </c>
      <c r="I551" s="48" t="b">
        <f>Table1[[#This Row],[Building]]=Table1[[#This Row],[Column1]]</f>
        <v>1</v>
      </c>
      <c r="J551" s="11" t="s">
        <v>1332</v>
      </c>
      <c r="K551" s="11">
        <v>1181</v>
      </c>
      <c r="L551" s="49" t="s">
        <v>32</v>
      </c>
      <c r="M551" s="49" t="s">
        <v>76</v>
      </c>
      <c r="N551" s="49" t="s">
        <v>78</v>
      </c>
      <c r="O551" s="49" t="s">
        <v>92</v>
      </c>
      <c r="P551" s="48" t="s">
        <v>89</v>
      </c>
      <c r="Q551" s="49" t="s">
        <v>68</v>
      </c>
      <c r="R551" s="11" t="s">
        <v>80</v>
      </c>
      <c r="S551" s="11" t="s">
        <v>90</v>
      </c>
      <c r="T551" s="11" t="s">
        <v>1336</v>
      </c>
      <c r="U551" s="11" t="s">
        <v>1337</v>
      </c>
      <c r="V551" s="116" t="s">
        <v>10</v>
      </c>
      <c r="W551" s="88"/>
      <c r="X551" s="51">
        <v>45957</v>
      </c>
      <c r="Y551" s="97" t="s">
        <v>68</v>
      </c>
      <c r="Z551" s="135" t="s">
        <v>3023</v>
      </c>
      <c r="AA551" s="135">
        <v>0</v>
      </c>
    </row>
    <row r="552" spans="1:27" ht="13" customHeight="1">
      <c r="A552" s="11">
        <v>546</v>
      </c>
      <c r="B552" s="47">
        <v>206008709</v>
      </c>
      <c r="C552" s="89" t="s">
        <v>584</v>
      </c>
      <c r="D552" s="11" t="s">
        <v>585</v>
      </c>
      <c r="E552" s="48" t="s">
        <v>31</v>
      </c>
      <c r="F552" s="48" t="s">
        <v>74</v>
      </c>
      <c r="G552" s="11" t="s">
        <v>64</v>
      </c>
      <c r="H552" s="48" t="str">
        <f>VLOOKUP(Table1[[#This Row],[Psoft No]],[1]Roster!$C$2:$H$1402,6,)</f>
        <v>AUH1</v>
      </c>
      <c r="I552" s="48" t="b">
        <f>Table1[[#This Row],[Building]]=Table1[[#This Row],[Column1]]</f>
        <v>1</v>
      </c>
      <c r="J552" s="11" t="s">
        <v>75</v>
      </c>
      <c r="K552" s="11">
        <v>1299</v>
      </c>
      <c r="L552" s="49" t="s">
        <v>32</v>
      </c>
      <c r="M552" s="49" t="s">
        <v>76</v>
      </c>
      <c r="N552" s="49" t="s">
        <v>78</v>
      </c>
      <c r="O552" s="49" t="s">
        <v>92</v>
      </c>
      <c r="P552" s="48" t="s">
        <v>79</v>
      </c>
      <c r="Q552" s="49" t="s">
        <v>35</v>
      </c>
      <c r="R552" s="11" t="s">
        <v>80</v>
      </c>
      <c r="S552" s="11" t="s">
        <v>81</v>
      </c>
      <c r="T552" s="11" t="s">
        <v>231</v>
      </c>
      <c r="U552" s="11" t="s">
        <v>1753</v>
      </c>
      <c r="V552" s="116" t="s">
        <v>10</v>
      </c>
      <c r="W552" s="88"/>
      <c r="X552" s="51">
        <v>45915</v>
      </c>
      <c r="Y552" s="97" t="s">
        <v>1573</v>
      </c>
      <c r="Z552" s="135" t="s">
        <v>3023</v>
      </c>
      <c r="AA552" s="135">
        <v>0</v>
      </c>
    </row>
    <row r="553" spans="1:27" ht="13" customHeight="1">
      <c r="A553" s="11">
        <v>547</v>
      </c>
      <c r="B553" s="47">
        <v>203850776</v>
      </c>
      <c r="C553" s="89" t="s">
        <v>2489</v>
      </c>
      <c r="D553" s="11" t="s">
        <v>2490</v>
      </c>
      <c r="E553" s="48" t="s">
        <v>31</v>
      </c>
      <c r="F553" s="48" t="s">
        <v>74</v>
      </c>
      <c r="G553" s="11" t="s">
        <v>64</v>
      </c>
      <c r="H553" s="48" t="str">
        <f>VLOOKUP(Table1[[#This Row],[Psoft No]],[1]Roster!$C$2:$H$1402,6,)</f>
        <v>AUH1</v>
      </c>
      <c r="I553" s="48" t="b">
        <f>Table1[[#This Row],[Building]]=Table1[[#This Row],[Column1]]</f>
        <v>1</v>
      </c>
      <c r="J553" s="11" t="s">
        <v>75</v>
      </c>
      <c r="K553" s="11">
        <v>1299</v>
      </c>
      <c r="L553" s="49" t="s">
        <v>32</v>
      </c>
      <c r="M553" s="49" t="s">
        <v>76</v>
      </c>
      <c r="N553" s="49" t="s">
        <v>77</v>
      </c>
      <c r="O553" s="49" t="s">
        <v>78</v>
      </c>
      <c r="P553" s="49" t="s">
        <v>79</v>
      </c>
      <c r="Q553" s="49" t="s">
        <v>67</v>
      </c>
      <c r="R553" s="11" t="s">
        <v>80</v>
      </c>
      <c r="S553" s="11" t="s">
        <v>81</v>
      </c>
      <c r="T553" s="11" t="s">
        <v>2711</v>
      </c>
      <c r="U553" s="11" t="s">
        <v>2712</v>
      </c>
      <c r="V553" s="116" t="s">
        <v>3</v>
      </c>
      <c r="W553" s="88"/>
      <c r="X553" s="51">
        <v>45524</v>
      </c>
      <c r="Y553" s="102" t="s">
        <v>1568</v>
      </c>
      <c r="Z553" s="135" t="s">
        <v>3023</v>
      </c>
      <c r="AA553" s="135">
        <v>0</v>
      </c>
    </row>
    <row r="554" spans="1:27" ht="13" customHeight="1">
      <c r="A554" s="11">
        <v>548</v>
      </c>
      <c r="B554" s="47">
        <v>206348033</v>
      </c>
      <c r="C554" s="89" t="s">
        <v>1662</v>
      </c>
      <c r="D554" s="11" t="s">
        <v>1663</v>
      </c>
      <c r="E554" s="48" t="s">
        <v>31</v>
      </c>
      <c r="F554" s="48" t="s">
        <v>74</v>
      </c>
      <c r="G554" s="11" t="s">
        <v>64</v>
      </c>
      <c r="H554" s="48" t="str">
        <f>VLOOKUP(Table1[[#This Row],[Psoft No]],[1]Roster!$C$2:$H$1402,6,)</f>
        <v>AUH1</v>
      </c>
      <c r="I554" s="48" t="b">
        <f>Table1[[#This Row],[Building]]=Table1[[#This Row],[Column1]]</f>
        <v>1</v>
      </c>
      <c r="J554" s="11" t="s">
        <v>75</v>
      </c>
      <c r="K554" s="11">
        <v>1299</v>
      </c>
      <c r="L554" s="49" t="s">
        <v>32</v>
      </c>
      <c r="M554" s="49" t="s">
        <v>76</v>
      </c>
      <c r="N554" s="49" t="s">
        <v>77</v>
      </c>
      <c r="O554" s="49" t="s">
        <v>78</v>
      </c>
      <c r="P554" s="49" t="s">
        <v>79</v>
      </c>
      <c r="Q554" s="49" t="s">
        <v>33</v>
      </c>
      <c r="R554" s="11" t="s">
        <v>80</v>
      </c>
      <c r="S554" s="11" t="s">
        <v>81</v>
      </c>
      <c r="T554" s="11" t="s">
        <v>159</v>
      </c>
      <c r="U554" s="11" t="s">
        <v>2714</v>
      </c>
      <c r="V554" s="116" t="str">
        <f>VLOOKUP(Table1[[#This Row],[Psoft No]],[2]Sheet1!$A$2:$G$386,7,0)</f>
        <v>P</v>
      </c>
      <c r="W554" s="88"/>
      <c r="X554" s="51">
        <v>45957</v>
      </c>
      <c r="Y554" s="97" t="s">
        <v>1569</v>
      </c>
      <c r="Z554" s="135" t="s">
        <v>2</v>
      </c>
      <c r="AA554" s="135">
        <v>0</v>
      </c>
    </row>
    <row r="555" spans="1:27" ht="13" customHeight="1">
      <c r="A555" s="11">
        <v>549</v>
      </c>
      <c r="B555" s="47">
        <v>204967051</v>
      </c>
      <c r="C555" s="89" t="s">
        <v>2651</v>
      </c>
      <c r="D555" s="11" t="s">
        <v>2652</v>
      </c>
      <c r="E555" s="48" t="s">
        <v>31</v>
      </c>
      <c r="F555" s="48" t="s">
        <v>74</v>
      </c>
      <c r="G555" s="11" t="s">
        <v>64</v>
      </c>
      <c r="H555" s="48" t="str">
        <f>VLOOKUP(Table1[[#This Row],[Psoft No]],[1]Roster!$C$2:$H$1402,6,)</f>
        <v>AUH1</v>
      </c>
      <c r="I555" s="48" t="b">
        <f>Table1[[#This Row],[Building]]=Table1[[#This Row],[Column1]]</f>
        <v>1</v>
      </c>
      <c r="J555" s="11" t="s">
        <v>75</v>
      </c>
      <c r="K555" s="11">
        <v>1299</v>
      </c>
      <c r="L555" s="49" t="s">
        <v>39</v>
      </c>
      <c r="M555" s="49" t="s">
        <v>76</v>
      </c>
      <c r="N555" s="49" t="s">
        <v>78</v>
      </c>
      <c r="O555" s="49" t="s">
        <v>92</v>
      </c>
      <c r="P555" s="49" t="s">
        <v>89</v>
      </c>
      <c r="Q555" s="49" t="s">
        <v>35</v>
      </c>
      <c r="R555" s="11" t="s">
        <v>80</v>
      </c>
      <c r="S555" s="11" t="s">
        <v>90</v>
      </c>
      <c r="T555" s="11" t="s">
        <v>231</v>
      </c>
      <c r="U555" s="11" t="s">
        <v>1753</v>
      </c>
      <c r="V555" s="116" t="s">
        <v>10</v>
      </c>
      <c r="W555" s="88"/>
      <c r="X555" s="51">
        <v>45826</v>
      </c>
      <c r="Y555" s="97" t="s">
        <v>1573</v>
      </c>
      <c r="Z555" s="135" t="s">
        <v>3023</v>
      </c>
      <c r="AA555" s="135">
        <v>0</v>
      </c>
    </row>
    <row r="556" spans="1:27" ht="13" customHeight="1">
      <c r="A556" s="11">
        <v>550</v>
      </c>
      <c r="B556" s="47">
        <v>203737252</v>
      </c>
      <c r="C556" s="89" t="s">
        <v>2653</v>
      </c>
      <c r="D556" s="11" t="s">
        <v>2654</v>
      </c>
      <c r="E556" s="48" t="s">
        <v>31</v>
      </c>
      <c r="F556" s="48" t="s">
        <v>74</v>
      </c>
      <c r="G556" s="11" t="s">
        <v>64</v>
      </c>
      <c r="H556" s="48" t="str">
        <f>VLOOKUP(Table1[[#This Row],[Psoft No]],[1]Roster!$C$2:$H$1402,6,)</f>
        <v>AUH1</v>
      </c>
      <c r="I556" s="48" t="b">
        <f>Table1[[#This Row],[Building]]=Table1[[#This Row],[Column1]]</f>
        <v>1</v>
      </c>
      <c r="J556" s="11" t="s">
        <v>75</v>
      </c>
      <c r="K556" s="11">
        <v>1299</v>
      </c>
      <c r="L556" s="49" t="s">
        <v>32</v>
      </c>
      <c r="M556" s="49" t="s">
        <v>76</v>
      </c>
      <c r="N556" s="49" t="s">
        <v>88</v>
      </c>
      <c r="O556" s="49" t="s">
        <v>95</v>
      </c>
      <c r="P556" s="48" t="s">
        <v>86</v>
      </c>
      <c r="Q556" s="49" t="s">
        <v>35</v>
      </c>
      <c r="R556" s="11" t="s">
        <v>80</v>
      </c>
      <c r="S556" s="11" t="s">
        <v>90</v>
      </c>
      <c r="T556" s="11" t="s">
        <v>231</v>
      </c>
      <c r="U556" s="11" t="s">
        <v>1753</v>
      </c>
      <c r="V556" s="116" t="str">
        <f>VLOOKUP(Table1[[#This Row],[Psoft No]],[2]Sheet1!$A$2:$G$386,7,0)</f>
        <v>P</v>
      </c>
      <c r="W556" s="88"/>
      <c r="X556" s="51">
        <v>45502</v>
      </c>
      <c r="Y556" s="97" t="s">
        <v>1573</v>
      </c>
      <c r="Z556" s="135" t="s">
        <v>2</v>
      </c>
      <c r="AA556" s="135">
        <v>0</v>
      </c>
    </row>
    <row r="557" spans="1:27" ht="13" customHeight="1">
      <c r="A557" s="11">
        <v>551</v>
      </c>
      <c r="B557" s="47">
        <v>203737015</v>
      </c>
      <c r="C557" s="89" t="s">
        <v>590</v>
      </c>
      <c r="D557" s="11" t="s">
        <v>591</v>
      </c>
      <c r="E557" s="48" t="s">
        <v>31</v>
      </c>
      <c r="F557" s="48" t="s">
        <v>74</v>
      </c>
      <c r="G557" s="11" t="s">
        <v>64</v>
      </c>
      <c r="H557" s="48" t="str">
        <f>VLOOKUP(Table1[[#This Row],[Psoft No]],[1]Roster!$C$2:$H$1402,6,)</f>
        <v>AUH1</v>
      </c>
      <c r="I557" s="48" t="b">
        <f>Table1[[#This Row],[Building]]=Table1[[#This Row],[Column1]]</f>
        <v>1</v>
      </c>
      <c r="J557" s="11" t="s">
        <v>75</v>
      </c>
      <c r="K557" s="11">
        <v>1299</v>
      </c>
      <c r="L557" s="49" t="s">
        <v>32</v>
      </c>
      <c r="M557" s="49" t="s">
        <v>76</v>
      </c>
      <c r="N557" s="49" t="s">
        <v>92</v>
      </c>
      <c r="O557" s="49" t="s">
        <v>84</v>
      </c>
      <c r="P557" s="48" t="s">
        <v>79</v>
      </c>
      <c r="Q557" s="49" t="s">
        <v>35</v>
      </c>
      <c r="R557" s="11" t="s">
        <v>80</v>
      </c>
      <c r="S557" s="11" t="s">
        <v>81</v>
      </c>
      <c r="T557" s="11" t="s">
        <v>231</v>
      </c>
      <c r="U557" s="11" t="s">
        <v>1753</v>
      </c>
      <c r="V557" s="116" t="s">
        <v>10</v>
      </c>
      <c r="W557" s="88"/>
      <c r="X557" s="51">
        <v>45502</v>
      </c>
      <c r="Y557" s="97" t="s">
        <v>1573</v>
      </c>
      <c r="Z557" s="135" t="s">
        <v>3023</v>
      </c>
      <c r="AA557" s="135">
        <v>0</v>
      </c>
    </row>
    <row r="558" spans="1:27" ht="13" customHeight="1">
      <c r="A558" s="11">
        <v>552</v>
      </c>
      <c r="B558" s="47">
        <v>204883095</v>
      </c>
      <c r="C558" s="89" t="s">
        <v>2655</v>
      </c>
      <c r="D558" s="11" t="s">
        <v>2656</v>
      </c>
      <c r="E558" s="48" t="s">
        <v>31</v>
      </c>
      <c r="F558" s="48" t="s">
        <v>74</v>
      </c>
      <c r="G558" s="11" t="s">
        <v>64</v>
      </c>
      <c r="H558" s="48" t="str">
        <f>VLOOKUP(Table1[[#This Row],[Psoft No]],[1]Roster!$C$2:$H$1402,6,)</f>
        <v>AUH1</v>
      </c>
      <c r="I558" s="48" t="b">
        <f>Table1[[#This Row],[Building]]=Table1[[#This Row],[Column1]]</f>
        <v>1</v>
      </c>
      <c r="J558" s="11" t="s">
        <v>75</v>
      </c>
      <c r="K558" s="11">
        <v>1299</v>
      </c>
      <c r="L558" s="49" t="s">
        <v>32</v>
      </c>
      <c r="M558" s="49" t="s">
        <v>76</v>
      </c>
      <c r="N558" s="49" t="s">
        <v>78</v>
      </c>
      <c r="O558" s="49" t="s">
        <v>92</v>
      </c>
      <c r="P558" s="49" t="s">
        <v>89</v>
      </c>
      <c r="Q558" s="49" t="s">
        <v>35</v>
      </c>
      <c r="R558" s="11" t="s">
        <v>80</v>
      </c>
      <c r="S558" s="11" t="s">
        <v>90</v>
      </c>
      <c r="T558" s="11" t="s">
        <v>231</v>
      </c>
      <c r="U558" s="11" t="s">
        <v>1753</v>
      </c>
      <c r="V558" s="116" t="s">
        <v>10</v>
      </c>
      <c r="W558" s="88"/>
      <c r="X558" s="51">
        <v>45826</v>
      </c>
      <c r="Y558" s="97" t="s">
        <v>1573</v>
      </c>
      <c r="Z558" s="135" t="s">
        <v>3023</v>
      </c>
      <c r="AA558" s="135">
        <v>0</v>
      </c>
    </row>
    <row r="559" spans="1:27" ht="13" customHeight="1">
      <c r="A559" s="11">
        <v>553</v>
      </c>
      <c r="B559" s="47">
        <v>204967558</v>
      </c>
      <c r="C559" s="89" t="s">
        <v>2657</v>
      </c>
      <c r="D559" s="11" t="s">
        <v>2658</v>
      </c>
      <c r="E559" s="48" t="s">
        <v>31</v>
      </c>
      <c r="F559" s="48" t="s">
        <v>74</v>
      </c>
      <c r="G559" s="11" t="s">
        <v>64</v>
      </c>
      <c r="H559" s="48" t="str">
        <f>VLOOKUP(Table1[[#This Row],[Psoft No]],[1]Roster!$C$2:$H$1402,6,)</f>
        <v>AUH1</v>
      </c>
      <c r="I559" s="48" t="b">
        <f>Table1[[#This Row],[Building]]=Table1[[#This Row],[Column1]]</f>
        <v>1</v>
      </c>
      <c r="J559" s="11" t="s">
        <v>75</v>
      </c>
      <c r="K559" s="11">
        <v>1299</v>
      </c>
      <c r="L559" s="49" t="s">
        <v>39</v>
      </c>
      <c r="M559" s="49" t="s">
        <v>76</v>
      </c>
      <c r="N559" s="49" t="s">
        <v>78</v>
      </c>
      <c r="O559" s="49" t="s">
        <v>92</v>
      </c>
      <c r="P559" s="48" t="s">
        <v>86</v>
      </c>
      <c r="Q559" s="49" t="s">
        <v>35</v>
      </c>
      <c r="R559" s="11" t="s">
        <v>80</v>
      </c>
      <c r="S559" s="11" t="s">
        <v>90</v>
      </c>
      <c r="T559" s="11" t="s">
        <v>231</v>
      </c>
      <c r="U559" s="11" t="s">
        <v>1753</v>
      </c>
      <c r="V559" s="116" t="s">
        <v>10</v>
      </c>
      <c r="W559" s="88"/>
      <c r="X559" s="51">
        <v>45826</v>
      </c>
      <c r="Y559" s="97" t="s">
        <v>1573</v>
      </c>
      <c r="Z559" s="135" t="s">
        <v>3023</v>
      </c>
      <c r="AA559" s="135">
        <v>0</v>
      </c>
    </row>
    <row r="560" spans="1:27" ht="13" customHeight="1">
      <c r="A560" s="11">
        <v>554</v>
      </c>
      <c r="B560" s="47">
        <v>112648320</v>
      </c>
      <c r="C560" s="89" t="s">
        <v>2206</v>
      </c>
      <c r="D560" s="11" t="s">
        <v>2359</v>
      </c>
      <c r="E560" s="48" t="s">
        <v>34</v>
      </c>
      <c r="F560" s="48" t="s">
        <v>74</v>
      </c>
      <c r="G560" s="11" t="s">
        <v>64</v>
      </c>
      <c r="H560" s="48" t="str">
        <f>VLOOKUP(Table1[[#This Row],[Psoft No]],[1]Roster!$C$2:$H$1402,6,)</f>
        <v>AUH1</v>
      </c>
      <c r="I560" s="48" t="b">
        <f>Table1[[#This Row],[Building]]=Table1[[#This Row],[Column1]]</f>
        <v>1</v>
      </c>
      <c r="J560" s="11" t="s">
        <v>75</v>
      </c>
      <c r="K560" s="11">
        <v>1299</v>
      </c>
      <c r="L560" s="49" t="s">
        <v>32</v>
      </c>
      <c r="M560" s="49" t="s">
        <v>76</v>
      </c>
      <c r="N560" s="49" t="s">
        <v>95</v>
      </c>
      <c r="O560" s="49" t="s">
        <v>77</v>
      </c>
      <c r="P560" s="48" t="s">
        <v>97</v>
      </c>
      <c r="Q560" s="49" t="s">
        <v>35</v>
      </c>
      <c r="R560" s="11" t="s">
        <v>80</v>
      </c>
      <c r="S560" s="11" t="s">
        <v>98</v>
      </c>
      <c r="T560" s="11" t="s">
        <v>225</v>
      </c>
      <c r="U560" s="11" t="s">
        <v>226</v>
      </c>
      <c r="V560" s="116" t="str">
        <f>VLOOKUP(Table1[[#This Row],[Psoft No]],[2]Sheet1!$A$2:$G$386,7,0)</f>
        <v>P</v>
      </c>
      <c r="W560" s="88"/>
      <c r="X560" s="51">
        <v>46132</v>
      </c>
      <c r="Y560" s="97" t="s">
        <v>1575</v>
      </c>
      <c r="Z560" s="135" t="s">
        <v>2</v>
      </c>
      <c r="AA560" s="135">
        <v>0</v>
      </c>
    </row>
    <row r="561" spans="1:27" ht="13" customHeight="1">
      <c r="A561" s="11">
        <v>555</v>
      </c>
      <c r="B561" s="47">
        <v>203813083</v>
      </c>
      <c r="C561" s="89" t="s">
        <v>592</v>
      </c>
      <c r="D561" s="11" t="s">
        <v>593</v>
      </c>
      <c r="E561" s="48" t="s">
        <v>31</v>
      </c>
      <c r="F561" s="48" t="s">
        <v>74</v>
      </c>
      <c r="G561" s="11" t="s">
        <v>65</v>
      </c>
      <c r="H561" s="48" t="str">
        <f>VLOOKUP(Table1[[#This Row],[Psoft No]],[1]Roster!$C$2:$H$1402,6,)</f>
        <v>AUH3</v>
      </c>
      <c r="I561" s="48" t="b">
        <f>Table1[[#This Row],[Building]]=Table1[[#This Row],[Column1]]</f>
        <v>1</v>
      </c>
      <c r="J561" s="11" t="s">
        <v>75</v>
      </c>
      <c r="K561" s="11">
        <v>1299</v>
      </c>
      <c r="L561" s="49" t="s">
        <v>39</v>
      </c>
      <c r="M561" s="49" t="s">
        <v>76</v>
      </c>
      <c r="N561" s="49" t="s">
        <v>78</v>
      </c>
      <c r="O561" s="49" t="s">
        <v>92</v>
      </c>
      <c r="P561" s="48" t="s">
        <v>86</v>
      </c>
      <c r="Q561" s="49" t="s">
        <v>68</v>
      </c>
      <c r="R561" s="11" t="s">
        <v>80</v>
      </c>
      <c r="S561" s="11" t="s">
        <v>99</v>
      </c>
      <c r="T561" s="11" t="s">
        <v>2720</v>
      </c>
      <c r="U561" s="11" t="s">
        <v>2721</v>
      </c>
      <c r="V561" s="116" t="s">
        <v>10</v>
      </c>
      <c r="W561" s="88"/>
      <c r="X561" s="51">
        <v>45517</v>
      </c>
      <c r="Y561" s="97" t="s">
        <v>68</v>
      </c>
      <c r="Z561" s="135" t="s">
        <v>3023</v>
      </c>
      <c r="AA561" s="135">
        <v>0</v>
      </c>
    </row>
    <row r="562" spans="1:27" ht="13" customHeight="1">
      <c r="A562" s="11">
        <v>556</v>
      </c>
      <c r="B562" s="47">
        <v>206791445</v>
      </c>
      <c r="C562" s="89" t="s">
        <v>2659</v>
      </c>
      <c r="D562" s="11" t="s">
        <v>2660</v>
      </c>
      <c r="E562" s="48" t="s">
        <v>31</v>
      </c>
      <c r="F562" s="48" t="s">
        <v>74</v>
      </c>
      <c r="G562" s="11" t="s">
        <v>64</v>
      </c>
      <c r="H562" s="48" t="str">
        <f>VLOOKUP(Table1[[#This Row],[Psoft No]],[1]Roster!$C$2:$H$1402,6,)</f>
        <v>AUH1</v>
      </c>
      <c r="I562" s="48" t="b">
        <f>Table1[[#This Row],[Building]]=Table1[[#This Row],[Column1]]</f>
        <v>1</v>
      </c>
      <c r="J562" s="11" t="s">
        <v>75</v>
      </c>
      <c r="K562" s="11">
        <v>1299</v>
      </c>
      <c r="L562" s="49" t="s">
        <v>32</v>
      </c>
      <c r="M562" s="49" t="s">
        <v>76</v>
      </c>
      <c r="N562" s="49" t="s">
        <v>78</v>
      </c>
      <c r="O562" s="49" t="s">
        <v>92</v>
      </c>
      <c r="P562" s="49" t="s">
        <v>89</v>
      </c>
      <c r="Q562" s="49" t="s">
        <v>35</v>
      </c>
      <c r="R562" s="11" t="s">
        <v>80</v>
      </c>
      <c r="S562" s="11" t="s">
        <v>90</v>
      </c>
      <c r="T562" s="11" t="s">
        <v>231</v>
      </c>
      <c r="U562" s="11" t="s">
        <v>1753</v>
      </c>
      <c r="V562" s="116" t="s">
        <v>10</v>
      </c>
      <c r="W562" s="88"/>
      <c r="X562" s="51">
        <v>45999</v>
      </c>
      <c r="Y562" s="97" t="s">
        <v>1573</v>
      </c>
      <c r="Z562" s="135" t="s">
        <v>3023</v>
      </c>
      <c r="AA562" s="135">
        <v>0</v>
      </c>
    </row>
    <row r="563" spans="1:27" ht="13" customHeight="1">
      <c r="A563" s="11">
        <v>557</v>
      </c>
      <c r="B563" s="47">
        <v>206072878</v>
      </c>
      <c r="C563" s="89" t="s">
        <v>595</v>
      </c>
      <c r="D563" s="11" t="s">
        <v>596</v>
      </c>
      <c r="E563" s="48" t="s">
        <v>31</v>
      </c>
      <c r="F563" s="48" t="s">
        <v>74</v>
      </c>
      <c r="G563" s="11" t="s">
        <v>64</v>
      </c>
      <c r="H563" s="48" t="str">
        <f>VLOOKUP(Table1[[#This Row],[Psoft No]],[1]Roster!$C$2:$H$1402,6,)</f>
        <v>AUH1</v>
      </c>
      <c r="I563" s="48" t="b">
        <f>Table1[[#This Row],[Building]]=Table1[[#This Row],[Column1]]</f>
        <v>1</v>
      </c>
      <c r="J563" s="11" t="s">
        <v>75</v>
      </c>
      <c r="K563" s="11">
        <v>1299</v>
      </c>
      <c r="L563" s="49" t="s">
        <v>32</v>
      </c>
      <c r="M563" s="49" t="s">
        <v>76</v>
      </c>
      <c r="N563" s="49" t="s">
        <v>78</v>
      </c>
      <c r="O563" s="49" t="s">
        <v>92</v>
      </c>
      <c r="P563" s="48" t="s">
        <v>79</v>
      </c>
      <c r="Q563" s="49" t="s">
        <v>35</v>
      </c>
      <c r="R563" s="11" t="s">
        <v>80</v>
      </c>
      <c r="S563" s="11" t="s">
        <v>81</v>
      </c>
      <c r="T563" s="11" t="s">
        <v>231</v>
      </c>
      <c r="U563" s="11" t="s">
        <v>1753</v>
      </c>
      <c r="V563" s="116" t="s">
        <v>10</v>
      </c>
      <c r="W563" s="88"/>
      <c r="X563" s="51">
        <v>45922</v>
      </c>
      <c r="Y563" s="97" t="s">
        <v>1573</v>
      </c>
      <c r="Z563" s="135" t="s">
        <v>3023</v>
      </c>
      <c r="AA563" s="135">
        <v>0</v>
      </c>
    </row>
    <row r="564" spans="1:27" ht="13" customHeight="1">
      <c r="A564" s="11">
        <v>558</v>
      </c>
      <c r="B564" s="47">
        <v>206915156</v>
      </c>
      <c r="C564" s="89" t="s">
        <v>1908</v>
      </c>
      <c r="D564" s="11" t="s">
        <v>1914</v>
      </c>
      <c r="E564" s="48" t="s">
        <v>31</v>
      </c>
      <c r="F564" s="48" t="s">
        <v>74</v>
      </c>
      <c r="G564" s="11" t="s">
        <v>64</v>
      </c>
      <c r="H564" s="48" t="str">
        <f>VLOOKUP(Table1[[#This Row],[Psoft No]],[1]Roster!$C$2:$H$1402,6,)</f>
        <v>AUH1</v>
      </c>
      <c r="I564" s="48" t="b">
        <f>Table1[[#This Row],[Building]]=Table1[[#This Row],[Column1]]</f>
        <v>1</v>
      </c>
      <c r="J564" s="11" t="s">
        <v>75</v>
      </c>
      <c r="K564" s="11">
        <v>1299</v>
      </c>
      <c r="L564" s="49" t="s">
        <v>39</v>
      </c>
      <c r="M564" s="49" t="s">
        <v>76</v>
      </c>
      <c r="N564" s="49" t="s">
        <v>77</v>
      </c>
      <c r="O564" s="49" t="s">
        <v>78</v>
      </c>
      <c r="P564" s="49" t="s">
        <v>89</v>
      </c>
      <c r="Q564" s="49" t="s">
        <v>35</v>
      </c>
      <c r="R564" s="49" t="s">
        <v>80</v>
      </c>
      <c r="S564" s="49" t="s">
        <v>90</v>
      </c>
      <c r="T564" s="11" t="s">
        <v>225</v>
      </c>
      <c r="U564" s="49" t="s">
        <v>226</v>
      </c>
      <c r="V564" s="116" t="s">
        <v>1</v>
      </c>
      <c r="W564" s="88"/>
      <c r="X564" s="51">
        <v>46034</v>
      </c>
      <c r="Y564" s="97" t="s">
        <v>1573</v>
      </c>
      <c r="Z564" s="135" t="s">
        <v>2</v>
      </c>
      <c r="AA564" s="135">
        <v>0</v>
      </c>
    </row>
    <row r="565" spans="1:27" ht="13" customHeight="1">
      <c r="A565" s="11">
        <v>559</v>
      </c>
      <c r="B565" s="47">
        <v>206348019</v>
      </c>
      <c r="C565" s="89" t="s">
        <v>2438</v>
      </c>
      <c r="D565" s="11" t="s">
        <v>2439</v>
      </c>
      <c r="E565" s="48" t="s">
        <v>31</v>
      </c>
      <c r="F565" s="48" t="s">
        <v>74</v>
      </c>
      <c r="G565" s="11" t="s">
        <v>65</v>
      </c>
      <c r="H565" s="48" t="str">
        <f>VLOOKUP(Table1[[#This Row],[Psoft No]],[1]Roster!$C$2:$H$1402,6,)</f>
        <v>AUH3</v>
      </c>
      <c r="I565" s="48" t="b">
        <f>Table1[[#This Row],[Building]]=Table1[[#This Row],[Column1]]</f>
        <v>1</v>
      </c>
      <c r="J565" s="11" t="s">
        <v>1332</v>
      </c>
      <c r="K565" s="11">
        <v>1181</v>
      </c>
      <c r="L565" s="49" t="s">
        <v>32</v>
      </c>
      <c r="M565" s="49" t="s">
        <v>76</v>
      </c>
      <c r="N565" s="49" t="s">
        <v>92</v>
      </c>
      <c r="O565" s="49" t="s">
        <v>84</v>
      </c>
      <c r="P565" s="48" t="s">
        <v>89</v>
      </c>
      <c r="Q565" s="49" t="s">
        <v>68</v>
      </c>
      <c r="R565" s="11" t="s">
        <v>80</v>
      </c>
      <c r="S565" s="11" t="s">
        <v>90</v>
      </c>
      <c r="T565" s="11" t="s">
        <v>1336</v>
      </c>
      <c r="U565" s="11" t="s">
        <v>1337</v>
      </c>
      <c r="V565" s="116" t="s">
        <v>10</v>
      </c>
      <c r="W565" s="88"/>
      <c r="X565" s="51">
        <v>45957</v>
      </c>
      <c r="Y565" s="97" t="s">
        <v>68</v>
      </c>
      <c r="Z565" s="135" t="s">
        <v>3023</v>
      </c>
      <c r="AA565" s="135">
        <v>0</v>
      </c>
    </row>
    <row r="566" spans="1:27" ht="13" customHeight="1">
      <c r="A566" s="11">
        <v>560</v>
      </c>
      <c r="B566" s="47">
        <v>206873878</v>
      </c>
      <c r="C566" s="89" t="s">
        <v>2663</v>
      </c>
      <c r="D566" s="11" t="s">
        <v>2664</v>
      </c>
      <c r="E566" s="48" t="s">
        <v>31</v>
      </c>
      <c r="F566" s="48" t="s">
        <v>74</v>
      </c>
      <c r="G566" s="48" t="s">
        <v>64</v>
      </c>
      <c r="H566" s="48" t="str">
        <f>VLOOKUP(Table1[[#This Row],[Psoft No]],[1]Roster!$C$2:$H$1402,6,)</f>
        <v>AUH1</v>
      </c>
      <c r="I566" s="48" t="b">
        <f>Table1[[#This Row],[Building]]=Table1[[#This Row],[Column1]]</f>
        <v>1</v>
      </c>
      <c r="J566" s="48" t="s">
        <v>75</v>
      </c>
      <c r="K566" s="11">
        <v>1299</v>
      </c>
      <c r="L566" s="49" t="s">
        <v>32</v>
      </c>
      <c r="M566" s="49" t="s">
        <v>76</v>
      </c>
      <c r="N566" s="49" t="s">
        <v>78</v>
      </c>
      <c r="O566" s="49" t="s">
        <v>92</v>
      </c>
      <c r="P566" s="49" t="s">
        <v>89</v>
      </c>
      <c r="Q566" s="48" t="s">
        <v>35</v>
      </c>
      <c r="R566" s="48" t="s">
        <v>80</v>
      </c>
      <c r="S566" s="11" t="s">
        <v>90</v>
      </c>
      <c r="T566" s="11" t="s">
        <v>231</v>
      </c>
      <c r="U566" s="11" t="s">
        <v>1753</v>
      </c>
      <c r="V566" s="116" t="s">
        <v>10</v>
      </c>
      <c r="W566" s="88"/>
      <c r="X566" s="51">
        <v>46020</v>
      </c>
      <c r="Y566" s="97" t="s">
        <v>1573</v>
      </c>
      <c r="Z566" s="135" t="s">
        <v>3023</v>
      </c>
      <c r="AA566" s="135">
        <v>0</v>
      </c>
    </row>
    <row r="567" spans="1:27" ht="13" customHeight="1">
      <c r="A567" s="11">
        <v>561</v>
      </c>
      <c r="B567" s="47">
        <v>203800482</v>
      </c>
      <c r="C567" s="89" t="s">
        <v>597</v>
      </c>
      <c r="D567" s="11" t="s">
        <v>598</v>
      </c>
      <c r="E567" s="48" t="s">
        <v>31</v>
      </c>
      <c r="F567" s="48" t="s">
        <v>74</v>
      </c>
      <c r="G567" s="11" t="s">
        <v>64</v>
      </c>
      <c r="H567" s="48" t="str">
        <f>VLOOKUP(Table1[[#This Row],[Psoft No]],[1]Roster!$C$2:$H$1402,6,)</f>
        <v>AUH1</v>
      </c>
      <c r="I567" s="48" t="b">
        <f>Table1[[#This Row],[Building]]=Table1[[#This Row],[Column1]]</f>
        <v>1</v>
      </c>
      <c r="J567" s="11" t="s">
        <v>75</v>
      </c>
      <c r="K567" s="11">
        <v>1299</v>
      </c>
      <c r="L567" s="49" t="s">
        <v>39</v>
      </c>
      <c r="M567" s="49" t="s">
        <v>76</v>
      </c>
      <c r="N567" s="49" t="s">
        <v>85</v>
      </c>
      <c r="O567" s="49" t="s">
        <v>88</v>
      </c>
      <c r="P567" s="48" t="s">
        <v>86</v>
      </c>
      <c r="Q567" s="48" t="s">
        <v>35</v>
      </c>
      <c r="R567" s="11" t="s">
        <v>80</v>
      </c>
      <c r="S567" s="11" t="s">
        <v>90</v>
      </c>
      <c r="T567" s="11" t="s">
        <v>231</v>
      </c>
      <c r="U567" s="11" t="s">
        <v>1753</v>
      </c>
      <c r="V567" s="116" t="s">
        <v>1</v>
      </c>
      <c r="W567" s="88"/>
      <c r="X567" s="51">
        <v>45516</v>
      </c>
      <c r="Y567" s="97" t="s">
        <v>1573</v>
      </c>
      <c r="Z567" s="135" t="s">
        <v>2</v>
      </c>
      <c r="AA567" s="135">
        <v>0</v>
      </c>
    </row>
    <row r="568" spans="1:27" ht="13" customHeight="1">
      <c r="A568" s="11">
        <v>562</v>
      </c>
      <c r="B568" s="11">
        <v>206953817</v>
      </c>
      <c r="C568" s="89" t="s">
        <v>2665</v>
      </c>
      <c r="D568" s="11" t="s">
        <v>2666</v>
      </c>
      <c r="E568" s="48" t="s">
        <v>31</v>
      </c>
      <c r="F568" s="48" t="s">
        <v>74</v>
      </c>
      <c r="G568" s="11" t="s">
        <v>64</v>
      </c>
      <c r="H568" s="48" t="str">
        <f>VLOOKUP(Table1[[#This Row],[Psoft No]],[1]Roster!$C$2:$H$1402,6,)</f>
        <v>AUH1</v>
      </c>
      <c r="I568" s="48" t="b">
        <f>Table1[[#This Row],[Building]]=Table1[[#This Row],[Column1]]</f>
        <v>1</v>
      </c>
      <c r="J568" s="11" t="s">
        <v>75</v>
      </c>
      <c r="K568" s="11">
        <v>1299</v>
      </c>
      <c r="L568" s="49" t="s">
        <v>32</v>
      </c>
      <c r="M568" s="49" t="s">
        <v>76</v>
      </c>
      <c r="N568" s="49" t="s">
        <v>78</v>
      </c>
      <c r="O568" s="49" t="s">
        <v>92</v>
      </c>
      <c r="P568" s="49" t="s">
        <v>86</v>
      </c>
      <c r="Q568" s="48" t="s">
        <v>35</v>
      </c>
      <c r="R568" s="11" t="s">
        <v>80</v>
      </c>
      <c r="S568" s="83" t="s">
        <v>90</v>
      </c>
      <c r="T568" s="11" t="s">
        <v>224</v>
      </c>
      <c r="U568" s="54" t="s">
        <v>2715</v>
      </c>
      <c r="V568" s="116" t="s">
        <v>10</v>
      </c>
      <c r="W568" s="88"/>
      <c r="X568" s="51">
        <v>46051</v>
      </c>
      <c r="Y568" s="29" t="s">
        <v>1573</v>
      </c>
      <c r="Z568" s="135" t="s">
        <v>3023</v>
      </c>
      <c r="AA568" s="135">
        <v>0</v>
      </c>
    </row>
    <row r="569" spans="1:27" ht="13" customHeight="1">
      <c r="A569" s="11">
        <v>563</v>
      </c>
      <c r="B569" s="47">
        <v>106262694</v>
      </c>
      <c r="C569" s="89" t="s">
        <v>2364</v>
      </c>
      <c r="D569" s="11" t="s">
        <v>2365</v>
      </c>
      <c r="E569" s="48" t="s">
        <v>34</v>
      </c>
      <c r="F569" s="48" t="s">
        <v>74</v>
      </c>
      <c r="G569" s="11" t="s">
        <v>64</v>
      </c>
      <c r="H569" s="48" t="str">
        <f>VLOOKUP(Table1[[#This Row],[Psoft No]],[1]Roster!$C$2:$H$1402,6,)</f>
        <v>AUH1</v>
      </c>
      <c r="I569" s="48" t="b">
        <f>Table1[[#This Row],[Building]]=Table1[[#This Row],[Column1]]</f>
        <v>1</v>
      </c>
      <c r="J569" s="11" t="s">
        <v>75</v>
      </c>
      <c r="K569" s="11">
        <v>1299</v>
      </c>
      <c r="L569" s="49" t="s">
        <v>32</v>
      </c>
      <c r="M569" s="49" t="s">
        <v>76</v>
      </c>
      <c r="N569" s="49" t="s">
        <v>84</v>
      </c>
      <c r="O569" s="49" t="s">
        <v>85</v>
      </c>
      <c r="P569" s="48" t="s">
        <v>108</v>
      </c>
      <c r="Q569" s="48" t="s">
        <v>35</v>
      </c>
      <c r="R569" s="11" t="s">
        <v>80</v>
      </c>
      <c r="S569" s="11" t="s">
        <v>98</v>
      </c>
      <c r="T569" s="11" t="s">
        <v>231</v>
      </c>
      <c r="U569" s="11" t="s">
        <v>1753</v>
      </c>
      <c r="V569" s="116" t="str">
        <f>VLOOKUP(Table1[[#This Row],[Psoft No]],[2]Sheet1!$A$2:$G$386,7,0)</f>
        <v>P</v>
      </c>
      <c r="W569" s="88"/>
      <c r="X569" s="51">
        <v>44757</v>
      </c>
      <c r="Y569" s="97" t="s">
        <v>1570</v>
      </c>
      <c r="Z569" s="135" t="s">
        <v>2</v>
      </c>
      <c r="AA569" s="135">
        <v>0</v>
      </c>
    </row>
    <row r="570" spans="1:27" ht="13" customHeight="1">
      <c r="A570" s="11">
        <v>564</v>
      </c>
      <c r="B570" s="47">
        <v>205506109</v>
      </c>
      <c r="C570" s="89" t="s">
        <v>599</v>
      </c>
      <c r="D570" s="11" t="s">
        <v>600</v>
      </c>
      <c r="E570" s="48" t="s">
        <v>31</v>
      </c>
      <c r="F570" s="48" t="s">
        <v>74</v>
      </c>
      <c r="G570" s="11" t="s">
        <v>64</v>
      </c>
      <c r="H570" s="48" t="str">
        <f>VLOOKUP(Table1[[#This Row],[Psoft No]],[1]Roster!$C$2:$H$1402,6,)</f>
        <v>AUH1</v>
      </c>
      <c r="I570" s="48" t="b">
        <f>Table1[[#This Row],[Building]]=Table1[[#This Row],[Column1]]</f>
        <v>1</v>
      </c>
      <c r="J570" s="11" t="s">
        <v>75</v>
      </c>
      <c r="K570" s="11">
        <v>1299</v>
      </c>
      <c r="L570" s="49" t="s">
        <v>32</v>
      </c>
      <c r="M570" s="49" t="s">
        <v>76</v>
      </c>
      <c r="N570" s="49" t="s">
        <v>77</v>
      </c>
      <c r="O570" s="49" t="s">
        <v>78</v>
      </c>
      <c r="P570" s="49" t="s">
        <v>89</v>
      </c>
      <c r="Q570" s="49" t="s">
        <v>35</v>
      </c>
      <c r="R570" s="11" t="s">
        <v>80</v>
      </c>
      <c r="S570" s="11" t="s">
        <v>96</v>
      </c>
      <c r="T570" s="11" t="s">
        <v>231</v>
      </c>
      <c r="U570" s="11" t="s">
        <v>1753</v>
      </c>
      <c r="V570" s="116" t="str">
        <f>VLOOKUP(Table1[[#This Row],[Psoft No]],[2]Sheet1!$A$2:$G$386,7,0)</f>
        <v>P</v>
      </c>
      <c r="W570" s="88"/>
      <c r="X570" s="51">
        <v>45831</v>
      </c>
      <c r="Y570" s="97" t="s">
        <v>1573</v>
      </c>
      <c r="Z570" s="135" t="s">
        <v>2</v>
      </c>
      <c r="AA570" s="135">
        <v>0</v>
      </c>
    </row>
    <row r="571" spans="1:27" ht="13" customHeight="1">
      <c r="A571" s="11">
        <v>565</v>
      </c>
      <c r="B571" s="47">
        <v>204967149</v>
      </c>
      <c r="C571" s="89" t="s">
        <v>2667</v>
      </c>
      <c r="D571" s="11" t="s">
        <v>2668</v>
      </c>
      <c r="E571" s="48" t="s">
        <v>31</v>
      </c>
      <c r="F571" s="48" t="s">
        <v>74</v>
      </c>
      <c r="G571" s="11" t="s">
        <v>64</v>
      </c>
      <c r="H571" s="48" t="str">
        <f>VLOOKUP(Table1[[#This Row],[Psoft No]],[1]Roster!$C$2:$H$1402,6,)</f>
        <v>AUH1</v>
      </c>
      <c r="I571" s="48" t="b">
        <f>Table1[[#This Row],[Building]]=Table1[[#This Row],[Column1]]</f>
        <v>1</v>
      </c>
      <c r="J571" s="11" t="s">
        <v>75</v>
      </c>
      <c r="K571" s="11">
        <v>1299</v>
      </c>
      <c r="L571" s="49" t="s">
        <v>39</v>
      </c>
      <c r="M571" s="49" t="s">
        <v>76</v>
      </c>
      <c r="N571" s="49" t="s">
        <v>78</v>
      </c>
      <c r="O571" s="49" t="s">
        <v>92</v>
      </c>
      <c r="P571" s="48" t="s">
        <v>86</v>
      </c>
      <c r="Q571" s="49" t="s">
        <v>35</v>
      </c>
      <c r="R571" s="11" t="s">
        <v>80</v>
      </c>
      <c r="S571" s="11" t="s">
        <v>90</v>
      </c>
      <c r="T571" s="11" t="s">
        <v>231</v>
      </c>
      <c r="U571" s="11" t="s">
        <v>1753</v>
      </c>
      <c r="V571" s="116" t="s">
        <v>10</v>
      </c>
      <c r="W571" s="88"/>
      <c r="X571" s="51">
        <v>45826</v>
      </c>
      <c r="Y571" s="97" t="s">
        <v>1573</v>
      </c>
      <c r="Z571" s="135" t="s">
        <v>3023</v>
      </c>
      <c r="AA571" s="135">
        <v>0</v>
      </c>
    </row>
    <row r="572" spans="1:27" ht="13" customHeight="1">
      <c r="A572" s="11">
        <v>566</v>
      </c>
      <c r="B572" s="47">
        <v>205496022</v>
      </c>
      <c r="C572" s="89" t="s">
        <v>601</v>
      </c>
      <c r="D572" s="11" t="s">
        <v>602</v>
      </c>
      <c r="E572" s="48" t="s">
        <v>31</v>
      </c>
      <c r="F572" s="48" t="s">
        <v>74</v>
      </c>
      <c r="G572" s="11" t="s">
        <v>64</v>
      </c>
      <c r="H572" s="48" t="str">
        <f>VLOOKUP(Table1[[#This Row],[Psoft No]],[1]Roster!$C$2:$H$1402,6,)</f>
        <v>AUH1</v>
      </c>
      <c r="I572" s="48" t="b">
        <f>Table1[[#This Row],[Building]]=Table1[[#This Row],[Column1]]</f>
        <v>1</v>
      </c>
      <c r="J572" s="11" t="s">
        <v>75</v>
      </c>
      <c r="K572" s="11">
        <v>1299</v>
      </c>
      <c r="L572" s="49" t="s">
        <v>32</v>
      </c>
      <c r="M572" s="49" t="s">
        <v>76</v>
      </c>
      <c r="N572" s="49" t="s">
        <v>78</v>
      </c>
      <c r="O572" s="49" t="s">
        <v>92</v>
      </c>
      <c r="P572" s="49" t="s">
        <v>89</v>
      </c>
      <c r="Q572" s="49" t="s">
        <v>35</v>
      </c>
      <c r="R572" s="11" t="s">
        <v>80</v>
      </c>
      <c r="S572" s="11" t="s">
        <v>96</v>
      </c>
      <c r="T572" s="11" t="s">
        <v>231</v>
      </c>
      <c r="U572" s="11" t="s">
        <v>1753</v>
      </c>
      <c r="V572" s="116" t="s">
        <v>10</v>
      </c>
      <c r="W572" s="88"/>
      <c r="X572" s="51">
        <v>45831</v>
      </c>
      <c r="Y572" s="97" t="s">
        <v>1573</v>
      </c>
      <c r="Z572" s="135" t="s">
        <v>3023</v>
      </c>
      <c r="AA572" s="135">
        <v>0</v>
      </c>
    </row>
    <row r="573" spans="1:27" ht="13" customHeight="1">
      <c r="A573" s="11">
        <v>567</v>
      </c>
      <c r="B573" s="47">
        <v>206504596</v>
      </c>
      <c r="C573" s="89" t="s">
        <v>2669</v>
      </c>
      <c r="D573" s="11" t="s">
        <v>2670</v>
      </c>
      <c r="E573" s="48" t="s">
        <v>31</v>
      </c>
      <c r="F573" s="48" t="s">
        <v>74</v>
      </c>
      <c r="G573" s="11" t="s">
        <v>64</v>
      </c>
      <c r="H573" s="48" t="str">
        <f>VLOOKUP(Table1[[#This Row],[Psoft No]],[1]Roster!$C$2:$H$1402,6,)</f>
        <v>AUH1</v>
      </c>
      <c r="I573" s="48" t="b">
        <f>Table1[[#This Row],[Building]]=Table1[[#This Row],[Column1]]</f>
        <v>1</v>
      </c>
      <c r="J573" s="11" t="s">
        <v>75</v>
      </c>
      <c r="K573" s="11">
        <v>1299</v>
      </c>
      <c r="L573" s="49" t="s">
        <v>32</v>
      </c>
      <c r="M573" s="49" t="s">
        <v>76</v>
      </c>
      <c r="N573" s="49" t="s">
        <v>78</v>
      </c>
      <c r="O573" s="49" t="s">
        <v>92</v>
      </c>
      <c r="P573" s="49" t="s">
        <v>89</v>
      </c>
      <c r="Q573" s="49" t="s">
        <v>35</v>
      </c>
      <c r="R573" s="11" t="s">
        <v>80</v>
      </c>
      <c r="S573" s="11" t="s">
        <v>90</v>
      </c>
      <c r="T573" s="11" t="s">
        <v>231</v>
      </c>
      <c r="U573" s="11" t="s">
        <v>1753</v>
      </c>
      <c r="V573" s="116" t="s">
        <v>10</v>
      </c>
      <c r="W573" s="88"/>
      <c r="X573" s="51">
        <v>45971</v>
      </c>
      <c r="Y573" s="97" t="s">
        <v>1573</v>
      </c>
      <c r="Z573" s="135" t="s">
        <v>3023</v>
      </c>
      <c r="AA573" s="135">
        <v>0</v>
      </c>
    </row>
    <row r="574" spans="1:27" ht="13" customHeight="1">
      <c r="A574" s="11">
        <v>568</v>
      </c>
      <c r="B574" s="47">
        <v>205275768</v>
      </c>
      <c r="C574" s="89" t="s">
        <v>1354</v>
      </c>
      <c r="D574" s="11" t="s">
        <v>1355</v>
      </c>
      <c r="E574" s="48" t="s">
        <v>31</v>
      </c>
      <c r="F574" s="48" t="s">
        <v>74</v>
      </c>
      <c r="G574" s="11" t="s">
        <v>65</v>
      </c>
      <c r="H574" s="48" t="str">
        <f>VLOOKUP(Table1[[#This Row],[Psoft No]],[1]Roster!$C$2:$H$1402,6,)</f>
        <v>AUH3</v>
      </c>
      <c r="I574" s="48" t="b">
        <f>Table1[[#This Row],[Building]]=Table1[[#This Row],[Column1]]</f>
        <v>1</v>
      </c>
      <c r="J574" s="11" t="s">
        <v>1332</v>
      </c>
      <c r="K574" s="11">
        <v>1181</v>
      </c>
      <c r="L574" s="49" t="s">
        <v>32</v>
      </c>
      <c r="M574" s="49" t="s">
        <v>76</v>
      </c>
      <c r="N574" s="49" t="s">
        <v>84</v>
      </c>
      <c r="O574" s="49" t="s">
        <v>85</v>
      </c>
      <c r="P574" s="48" t="s">
        <v>89</v>
      </c>
      <c r="Q574" s="49" t="s">
        <v>68</v>
      </c>
      <c r="R574" s="11" t="s">
        <v>80</v>
      </c>
      <c r="S574" s="11" t="s">
        <v>90</v>
      </c>
      <c r="T574" s="11" t="s">
        <v>1336</v>
      </c>
      <c r="U574" s="11" t="s">
        <v>1337</v>
      </c>
      <c r="V574" s="116" t="s">
        <v>1</v>
      </c>
      <c r="W574" s="88"/>
      <c r="X574" s="51">
        <v>45796</v>
      </c>
      <c r="Y574" s="97" t="s">
        <v>68</v>
      </c>
      <c r="Z574" s="135" t="s">
        <v>2</v>
      </c>
      <c r="AA574" s="135">
        <v>0</v>
      </c>
    </row>
    <row r="575" spans="1:27" ht="13" customHeight="1">
      <c r="A575" s="11">
        <v>569</v>
      </c>
      <c r="B575" s="47">
        <v>206015633</v>
      </c>
      <c r="C575" s="89" t="s">
        <v>605</v>
      </c>
      <c r="D575" s="11" t="s">
        <v>606</v>
      </c>
      <c r="E575" s="48" t="s">
        <v>31</v>
      </c>
      <c r="F575" s="48" t="s">
        <v>74</v>
      </c>
      <c r="G575" s="11" t="s">
        <v>64</v>
      </c>
      <c r="H575" s="48" t="str">
        <f>VLOOKUP(Table1[[#This Row],[Psoft No]],[1]Roster!$C$2:$H$1402,6,)</f>
        <v>AUH1</v>
      </c>
      <c r="I575" s="48" t="b">
        <f>Table1[[#This Row],[Building]]=Table1[[#This Row],[Column1]]</f>
        <v>1</v>
      </c>
      <c r="J575" s="11" t="s">
        <v>75</v>
      </c>
      <c r="K575" s="11">
        <v>1299</v>
      </c>
      <c r="L575" s="49" t="s">
        <v>32</v>
      </c>
      <c r="M575" s="49" t="s">
        <v>76</v>
      </c>
      <c r="N575" s="49" t="s">
        <v>78</v>
      </c>
      <c r="O575" s="49" t="s">
        <v>92</v>
      </c>
      <c r="P575" s="48" t="s">
        <v>79</v>
      </c>
      <c r="Q575" s="49" t="s">
        <v>35</v>
      </c>
      <c r="R575" s="11" t="s">
        <v>80</v>
      </c>
      <c r="S575" s="11" t="s">
        <v>81</v>
      </c>
      <c r="T575" s="11" t="s">
        <v>225</v>
      </c>
      <c r="U575" s="11" t="s">
        <v>226</v>
      </c>
      <c r="V575" s="116" t="s">
        <v>10</v>
      </c>
      <c r="W575" s="88"/>
      <c r="X575" s="51">
        <v>45915</v>
      </c>
      <c r="Y575" s="97" t="s">
        <v>1574</v>
      </c>
      <c r="Z575" s="135" t="s">
        <v>3023</v>
      </c>
      <c r="AA575" s="135">
        <v>0</v>
      </c>
    </row>
    <row r="576" spans="1:27" ht="13" customHeight="1">
      <c r="A576" s="11">
        <v>570</v>
      </c>
      <c r="B576" s="11">
        <v>206875751</v>
      </c>
      <c r="C576" s="89" t="s">
        <v>1786</v>
      </c>
      <c r="D576" s="11" t="s">
        <v>1787</v>
      </c>
      <c r="E576" s="48" t="s">
        <v>31</v>
      </c>
      <c r="F576" s="48" t="s">
        <v>74</v>
      </c>
      <c r="G576" s="48" t="s">
        <v>64</v>
      </c>
      <c r="H576" s="48" t="str">
        <f>VLOOKUP(Table1[[#This Row],[Psoft No]],[1]Roster!$C$2:$H$1402,6,)</f>
        <v>AUH1</v>
      </c>
      <c r="I576" s="48" t="b">
        <f>Table1[[#This Row],[Building]]=Table1[[#This Row],[Column1]]</f>
        <v>1</v>
      </c>
      <c r="J576" s="48" t="s">
        <v>75</v>
      </c>
      <c r="K576" s="11">
        <v>1299</v>
      </c>
      <c r="L576" s="49" t="s">
        <v>32</v>
      </c>
      <c r="M576" s="49" t="s">
        <v>76</v>
      </c>
      <c r="N576" s="49" t="s">
        <v>78</v>
      </c>
      <c r="O576" s="49" t="s">
        <v>92</v>
      </c>
      <c r="P576" s="49" t="s">
        <v>89</v>
      </c>
      <c r="Q576" s="48" t="s">
        <v>35</v>
      </c>
      <c r="R576" s="48" t="s">
        <v>80</v>
      </c>
      <c r="S576" s="11" t="s">
        <v>81</v>
      </c>
      <c r="T576" s="11" t="s">
        <v>231</v>
      </c>
      <c r="U576" s="11" t="s">
        <v>1753</v>
      </c>
      <c r="V576" s="116" t="s">
        <v>10</v>
      </c>
      <c r="W576" s="88"/>
      <c r="X576" s="51">
        <v>46020</v>
      </c>
      <c r="Y576" s="102" t="s">
        <v>1573</v>
      </c>
      <c r="Z576" s="135" t="s">
        <v>3023</v>
      </c>
      <c r="AA576" s="135">
        <v>0</v>
      </c>
    </row>
    <row r="577" spans="1:27" ht="13" customHeight="1">
      <c r="A577" s="11">
        <v>571</v>
      </c>
      <c r="B577" s="47">
        <v>204246612</v>
      </c>
      <c r="C577" s="89" t="s">
        <v>607</v>
      </c>
      <c r="D577" s="11" t="s">
        <v>608</v>
      </c>
      <c r="E577" s="48" t="s">
        <v>31</v>
      </c>
      <c r="F577" s="48" t="s">
        <v>74</v>
      </c>
      <c r="G577" s="11" t="s">
        <v>64</v>
      </c>
      <c r="H577" s="48" t="str">
        <f>VLOOKUP(Table1[[#This Row],[Psoft No]],[1]Roster!$C$2:$H$1402,6,)</f>
        <v>AUH1</v>
      </c>
      <c r="I577" s="48" t="b">
        <f>Table1[[#This Row],[Building]]=Table1[[#This Row],[Column1]]</f>
        <v>1</v>
      </c>
      <c r="J577" s="11" t="s">
        <v>75</v>
      </c>
      <c r="K577" s="11">
        <v>1299</v>
      </c>
      <c r="L577" s="49" t="s">
        <v>32</v>
      </c>
      <c r="M577" s="49" t="s">
        <v>76</v>
      </c>
      <c r="N577" s="49" t="s">
        <v>95</v>
      </c>
      <c r="O577" s="49" t="s">
        <v>77</v>
      </c>
      <c r="P577" s="48" t="s">
        <v>86</v>
      </c>
      <c r="Q577" s="49" t="s">
        <v>35</v>
      </c>
      <c r="R577" s="11" t="s">
        <v>80</v>
      </c>
      <c r="S577" s="11" t="s">
        <v>87</v>
      </c>
      <c r="T577" s="11" t="s">
        <v>231</v>
      </c>
      <c r="U577" s="11" t="s">
        <v>1753</v>
      </c>
      <c r="V577" s="116" t="s">
        <v>4</v>
      </c>
      <c r="W577" s="88"/>
      <c r="X577" s="51">
        <v>45579</v>
      </c>
      <c r="Y577" s="97" t="s">
        <v>1573</v>
      </c>
      <c r="Z577" s="135" t="s">
        <v>3023</v>
      </c>
      <c r="AA577" s="135">
        <v>0</v>
      </c>
    </row>
    <row r="578" spans="1:27" ht="13" customHeight="1">
      <c r="A578" s="11">
        <v>572</v>
      </c>
      <c r="B578" s="47">
        <v>206933423</v>
      </c>
      <c r="C578" s="89" t="s">
        <v>2023</v>
      </c>
      <c r="D578" s="11" t="s">
        <v>2003</v>
      </c>
      <c r="E578" s="48" t="s">
        <v>31</v>
      </c>
      <c r="F578" s="48" t="s">
        <v>74</v>
      </c>
      <c r="G578" s="11" t="s">
        <v>64</v>
      </c>
      <c r="H578" s="48" t="str">
        <f>VLOOKUP(Table1[[#This Row],[Psoft No]],[1]Roster!$C$2:$H$1402,6,)</f>
        <v>AUH1</v>
      </c>
      <c r="I578" s="48" t="b">
        <f>Table1[[#This Row],[Building]]=Table1[[#This Row],[Column1]]</f>
        <v>1</v>
      </c>
      <c r="J578" s="11" t="s">
        <v>75</v>
      </c>
      <c r="K578" s="11">
        <v>1299</v>
      </c>
      <c r="L578" s="49" t="s">
        <v>32</v>
      </c>
      <c r="M578" s="49" t="s">
        <v>76</v>
      </c>
      <c r="N578" s="49" t="s">
        <v>78</v>
      </c>
      <c r="O578" s="49" t="s">
        <v>92</v>
      </c>
      <c r="P578" s="49" t="s">
        <v>79</v>
      </c>
      <c r="Q578" s="49" t="s">
        <v>35</v>
      </c>
      <c r="R578" s="11" t="s">
        <v>80</v>
      </c>
      <c r="S578" s="11" t="s">
        <v>96</v>
      </c>
      <c r="T578" s="11" t="s">
        <v>224</v>
      </c>
      <c r="U578" s="11" t="s">
        <v>2715</v>
      </c>
      <c r="V578" s="116" t="s">
        <v>10</v>
      </c>
      <c r="W578" s="88"/>
      <c r="X578" s="51">
        <v>46041</v>
      </c>
      <c r="Y578" s="97" t="s">
        <v>1573</v>
      </c>
      <c r="Z578" s="135" t="s">
        <v>3023</v>
      </c>
      <c r="AA578" s="135">
        <v>0</v>
      </c>
    </row>
    <row r="579" spans="1:27" ht="13" customHeight="1">
      <c r="A579" s="11">
        <v>573</v>
      </c>
      <c r="B579" s="47">
        <v>206513292</v>
      </c>
      <c r="C579" s="89" t="s">
        <v>2671</v>
      </c>
      <c r="D579" s="11" t="s">
        <v>2672</v>
      </c>
      <c r="E579" s="48" t="s">
        <v>31</v>
      </c>
      <c r="F579" s="48" t="s">
        <v>74</v>
      </c>
      <c r="G579" s="11" t="s">
        <v>64</v>
      </c>
      <c r="H579" s="48" t="str">
        <f>VLOOKUP(Table1[[#This Row],[Psoft No]],[1]Roster!$C$2:$H$1402,6,)</f>
        <v>AUH1</v>
      </c>
      <c r="I579" s="48" t="b">
        <f>Table1[[#This Row],[Building]]=Table1[[#This Row],[Column1]]</f>
        <v>1</v>
      </c>
      <c r="J579" s="11" t="s">
        <v>75</v>
      </c>
      <c r="K579" s="11">
        <v>1299</v>
      </c>
      <c r="L579" s="49" t="s">
        <v>32</v>
      </c>
      <c r="M579" s="49" t="s">
        <v>76</v>
      </c>
      <c r="N579" s="49" t="s">
        <v>78</v>
      </c>
      <c r="O579" s="49" t="s">
        <v>92</v>
      </c>
      <c r="P579" s="48" t="s">
        <v>86</v>
      </c>
      <c r="Q579" s="49" t="s">
        <v>35</v>
      </c>
      <c r="R579" s="11" t="s">
        <v>80</v>
      </c>
      <c r="S579" s="11" t="s">
        <v>90</v>
      </c>
      <c r="T579" s="11" t="s">
        <v>231</v>
      </c>
      <c r="U579" s="11" t="s">
        <v>1753</v>
      </c>
      <c r="V579" s="116" t="s">
        <v>10</v>
      </c>
      <c r="W579" s="88"/>
      <c r="X579" s="51">
        <v>45971</v>
      </c>
      <c r="Y579" s="97" t="s">
        <v>1573</v>
      </c>
      <c r="Z579" s="135" t="s">
        <v>3023</v>
      </c>
      <c r="AA579" s="135">
        <v>0</v>
      </c>
    </row>
    <row r="580" spans="1:27" ht="13" customHeight="1">
      <c r="A580" s="11">
        <v>574</v>
      </c>
      <c r="B580" s="47">
        <v>206791438</v>
      </c>
      <c r="C580" s="89" t="s">
        <v>2673</v>
      </c>
      <c r="D580" s="11" t="s">
        <v>2674</v>
      </c>
      <c r="E580" s="48" t="s">
        <v>31</v>
      </c>
      <c r="F580" s="48" t="s">
        <v>74</v>
      </c>
      <c r="G580" s="11" t="s">
        <v>64</v>
      </c>
      <c r="H580" s="48" t="str">
        <f>VLOOKUP(Table1[[#This Row],[Psoft No]],[1]Roster!$C$2:$H$1402,6,)</f>
        <v>AUH1</v>
      </c>
      <c r="I580" s="48" t="b">
        <f>Table1[[#This Row],[Building]]=Table1[[#This Row],[Column1]]</f>
        <v>1</v>
      </c>
      <c r="J580" s="11" t="s">
        <v>75</v>
      </c>
      <c r="K580" s="11">
        <v>1299</v>
      </c>
      <c r="L580" s="49" t="s">
        <v>32</v>
      </c>
      <c r="M580" s="49" t="s">
        <v>76</v>
      </c>
      <c r="N580" s="49" t="s">
        <v>78</v>
      </c>
      <c r="O580" s="49" t="s">
        <v>92</v>
      </c>
      <c r="P580" s="48" t="s">
        <v>89</v>
      </c>
      <c r="Q580" s="49" t="s">
        <v>35</v>
      </c>
      <c r="R580" s="11" t="s">
        <v>80</v>
      </c>
      <c r="S580" s="11" t="s">
        <v>90</v>
      </c>
      <c r="T580" s="11" t="s">
        <v>231</v>
      </c>
      <c r="U580" s="11" t="s">
        <v>1753</v>
      </c>
      <c r="V580" s="116" t="s">
        <v>10</v>
      </c>
      <c r="W580" s="88"/>
      <c r="X580" s="51">
        <v>45999</v>
      </c>
      <c r="Y580" s="97" t="s">
        <v>1573</v>
      </c>
      <c r="Z580" s="135" t="s">
        <v>3023</v>
      </c>
      <c r="AA580" s="135">
        <v>0</v>
      </c>
    </row>
    <row r="581" spans="1:27" ht="13" customHeight="1">
      <c r="A581" s="11">
        <v>575</v>
      </c>
      <c r="B581" s="47">
        <v>203736259</v>
      </c>
      <c r="C581" s="89" t="s">
        <v>2675</v>
      </c>
      <c r="D581" s="11" t="s">
        <v>2676</v>
      </c>
      <c r="E581" s="48" t="s">
        <v>31</v>
      </c>
      <c r="F581" s="48" t="s">
        <v>74</v>
      </c>
      <c r="G581" s="11" t="s">
        <v>64</v>
      </c>
      <c r="H581" s="48" t="str">
        <f>VLOOKUP(Table1[[#This Row],[Psoft No]],[1]Roster!$C$2:$H$1402,6,)</f>
        <v>AUH1</v>
      </c>
      <c r="I581" s="48" t="b">
        <f>Table1[[#This Row],[Building]]=Table1[[#This Row],[Column1]]</f>
        <v>1</v>
      </c>
      <c r="J581" s="11" t="s">
        <v>75</v>
      </c>
      <c r="K581" s="11">
        <v>1299</v>
      </c>
      <c r="L581" s="49" t="s">
        <v>39</v>
      </c>
      <c r="M581" s="49" t="s">
        <v>76</v>
      </c>
      <c r="N581" s="49" t="s">
        <v>78</v>
      </c>
      <c r="O581" s="49" t="s">
        <v>92</v>
      </c>
      <c r="P581" s="48" t="s">
        <v>86</v>
      </c>
      <c r="Q581" s="49" t="s">
        <v>35</v>
      </c>
      <c r="R581" s="11" t="s">
        <v>80</v>
      </c>
      <c r="S581" s="11" t="s">
        <v>90</v>
      </c>
      <c r="T581" s="11" t="s">
        <v>231</v>
      </c>
      <c r="U581" s="11" t="s">
        <v>1753</v>
      </c>
      <c r="V581" s="116" t="s">
        <v>10</v>
      </c>
      <c r="W581" s="88"/>
      <c r="X581" s="51">
        <v>45502</v>
      </c>
      <c r="Y581" s="97" t="s">
        <v>1573</v>
      </c>
      <c r="Z581" s="135" t="s">
        <v>3023</v>
      </c>
      <c r="AA581" s="135">
        <v>0</v>
      </c>
    </row>
    <row r="582" spans="1:27" ht="13" customHeight="1">
      <c r="A582" s="11">
        <v>576</v>
      </c>
      <c r="B582" s="11">
        <v>206873645</v>
      </c>
      <c r="C582" s="89" t="s">
        <v>1778</v>
      </c>
      <c r="D582" s="11" t="s">
        <v>1779</v>
      </c>
      <c r="E582" s="48" t="s">
        <v>31</v>
      </c>
      <c r="F582" s="48" t="s">
        <v>74</v>
      </c>
      <c r="G582" s="48" t="s">
        <v>64</v>
      </c>
      <c r="H582" s="48" t="str">
        <f>VLOOKUP(Table1[[#This Row],[Psoft No]],[1]Roster!$C$2:$H$1402,6,)</f>
        <v>AUH1</v>
      </c>
      <c r="I582" s="48" t="b">
        <f>Table1[[#This Row],[Building]]=Table1[[#This Row],[Column1]]</f>
        <v>1</v>
      </c>
      <c r="J582" s="48" t="s">
        <v>75</v>
      </c>
      <c r="K582" s="11">
        <v>1299</v>
      </c>
      <c r="L582" s="49" t="s">
        <v>32</v>
      </c>
      <c r="M582" s="49" t="s">
        <v>76</v>
      </c>
      <c r="N582" s="49" t="s">
        <v>78</v>
      </c>
      <c r="O582" s="49" t="s">
        <v>92</v>
      </c>
      <c r="P582" s="49" t="s">
        <v>89</v>
      </c>
      <c r="Q582" s="48" t="s">
        <v>35</v>
      </c>
      <c r="R582" s="48" t="s">
        <v>80</v>
      </c>
      <c r="S582" s="11" t="s">
        <v>81</v>
      </c>
      <c r="T582" s="11" t="s">
        <v>231</v>
      </c>
      <c r="U582" s="11" t="s">
        <v>1753</v>
      </c>
      <c r="V582" s="116" t="s">
        <v>10</v>
      </c>
      <c r="W582" s="88"/>
      <c r="X582" s="51">
        <v>46020</v>
      </c>
      <c r="Y582" s="102" t="s">
        <v>1573</v>
      </c>
      <c r="Z582" s="135" t="s">
        <v>3023</v>
      </c>
      <c r="AA582" s="135">
        <v>0</v>
      </c>
    </row>
    <row r="583" spans="1:27" ht="13" customHeight="1">
      <c r="A583" s="11">
        <v>577</v>
      </c>
      <c r="B583" s="47">
        <v>203813134</v>
      </c>
      <c r="C583" s="89" t="s">
        <v>611</v>
      </c>
      <c r="D583" s="11" t="s">
        <v>612</v>
      </c>
      <c r="E583" s="48" t="s">
        <v>31</v>
      </c>
      <c r="F583" s="48" t="s">
        <v>74</v>
      </c>
      <c r="G583" s="11" t="s">
        <v>64</v>
      </c>
      <c r="H583" s="48" t="str">
        <f>VLOOKUP(Table1[[#This Row],[Psoft No]],[1]Roster!$C$2:$H$1402,6,)</f>
        <v>AUH1</v>
      </c>
      <c r="I583" s="48" t="b">
        <f>Table1[[#This Row],[Building]]=Table1[[#This Row],[Column1]]</f>
        <v>1</v>
      </c>
      <c r="J583" s="11" t="s">
        <v>75</v>
      </c>
      <c r="K583" s="11">
        <v>1299</v>
      </c>
      <c r="L583" s="49" t="s">
        <v>39</v>
      </c>
      <c r="M583" s="49" t="s">
        <v>76</v>
      </c>
      <c r="N583" s="49" t="s">
        <v>78</v>
      </c>
      <c r="O583" s="49" t="s">
        <v>92</v>
      </c>
      <c r="P583" s="48" t="s">
        <v>86</v>
      </c>
      <c r="Q583" s="49" t="s">
        <v>35</v>
      </c>
      <c r="R583" s="11" t="s">
        <v>80</v>
      </c>
      <c r="S583" s="11" t="s">
        <v>99</v>
      </c>
      <c r="T583" s="11" t="s">
        <v>231</v>
      </c>
      <c r="U583" s="11" t="s">
        <v>1753</v>
      </c>
      <c r="V583" s="116" t="s">
        <v>10</v>
      </c>
      <c r="W583" s="88"/>
      <c r="X583" s="51">
        <v>45517</v>
      </c>
      <c r="Y583" s="97" t="s">
        <v>1573</v>
      </c>
      <c r="Z583" s="135" t="s">
        <v>3023</v>
      </c>
      <c r="AA583" s="135">
        <v>0</v>
      </c>
    </row>
    <row r="584" spans="1:27" ht="13" customHeight="1">
      <c r="A584" s="11">
        <v>578</v>
      </c>
      <c r="B584" s="47">
        <v>112911448</v>
      </c>
      <c r="C584" s="89" t="s">
        <v>1704</v>
      </c>
      <c r="D584" s="11" t="s">
        <v>1705</v>
      </c>
      <c r="E584" s="48" t="s">
        <v>34</v>
      </c>
      <c r="F584" s="48" t="s">
        <v>74</v>
      </c>
      <c r="G584" s="11" t="s">
        <v>64</v>
      </c>
      <c r="H584" s="48" t="str">
        <f>VLOOKUP(Table1[[#This Row],[Psoft No]],[1]Roster!$C$2:$H$1402,6,)</f>
        <v>AUH1</v>
      </c>
      <c r="I584" s="48" t="b">
        <f>Table1[[#This Row],[Building]]=Table1[[#This Row],[Column1]]</f>
        <v>1</v>
      </c>
      <c r="J584" s="11" t="s">
        <v>75</v>
      </c>
      <c r="K584" s="11">
        <v>1299</v>
      </c>
      <c r="L584" s="49" t="s">
        <v>32</v>
      </c>
      <c r="M584" s="49" t="s">
        <v>76</v>
      </c>
      <c r="N584" s="49" t="s">
        <v>78</v>
      </c>
      <c r="O584" s="49" t="s">
        <v>92</v>
      </c>
      <c r="P584" s="48" t="s">
        <v>97</v>
      </c>
      <c r="Q584" s="49" t="s">
        <v>35</v>
      </c>
      <c r="R584" s="11" t="s">
        <v>80</v>
      </c>
      <c r="S584" s="11" t="s">
        <v>98</v>
      </c>
      <c r="T584" s="11" t="s">
        <v>224</v>
      </c>
      <c r="U584" s="11" t="s">
        <v>2715</v>
      </c>
      <c r="V584" s="116" t="s">
        <v>10</v>
      </c>
      <c r="W584" s="88"/>
      <c r="X584" s="51">
        <v>46013</v>
      </c>
      <c r="Y584" s="97" t="s">
        <v>1575</v>
      </c>
      <c r="Z584" s="135" t="s">
        <v>3023</v>
      </c>
      <c r="AA584" s="135">
        <v>0</v>
      </c>
    </row>
    <row r="585" spans="1:27" ht="13" customHeight="1">
      <c r="A585" s="11">
        <v>579</v>
      </c>
      <c r="B585" s="47">
        <v>104147044</v>
      </c>
      <c r="C585" s="89" t="s">
        <v>613</v>
      </c>
      <c r="D585" s="11" t="s">
        <v>614</v>
      </c>
      <c r="E585" s="48" t="s">
        <v>34</v>
      </c>
      <c r="F585" s="48" t="s">
        <v>74</v>
      </c>
      <c r="G585" s="11" t="s">
        <v>64</v>
      </c>
      <c r="H585" s="48" t="str">
        <f>VLOOKUP(Table1[[#This Row],[Psoft No]],[1]Roster!$C$2:$H$1402,6,)</f>
        <v>AUH1</v>
      </c>
      <c r="I585" s="48" t="b">
        <f>Table1[[#This Row],[Building]]=Table1[[#This Row],[Column1]]</f>
        <v>1</v>
      </c>
      <c r="J585" s="11" t="s">
        <v>75</v>
      </c>
      <c r="K585" s="11">
        <v>1299</v>
      </c>
      <c r="L585" s="49" t="s">
        <v>39</v>
      </c>
      <c r="M585" s="49" t="s">
        <v>76</v>
      </c>
      <c r="N585" s="49" t="s">
        <v>95</v>
      </c>
      <c r="O585" s="49" t="s">
        <v>77</v>
      </c>
      <c r="P585" s="48" t="s">
        <v>108</v>
      </c>
      <c r="Q585" s="49" t="s">
        <v>35</v>
      </c>
      <c r="R585" s="11" t="s">
        <v>80</v>
      </c>
      <c r="S585" s="11" t="s">
        <v>98</v>
      </c>
      <c r="T585" s="11" t="s">
        <v>231</v>
      </c>
      <c r="U585" s="11" t="s">
        <v>1753</v>
      </c>
      <c r="V585" s="116" t="s">
        <v>1</v>
      </c>
      <c r="W585" s="88"/>
      <c r="X585" s="51">
        <v>44861</v>
      </c>
      <c r="Y585" s="97" t="s">
        <v>1573</v>
      </c>
      <c r="Z585" s="135" t="s">
        <v>2</v>
      </c>
      <c r="AA585" s="135">
        <v>0</v>
      </c>
    </row>
    <row r="586" spans="1:27" ht="13" customHeight="1">
      <c r="A586" s="11">
        <v>580</v>
      </c>
      <c r="B586" s="47">
        <v>203687852</v>
      </c>
      <c r="C586" s="89" t="s">
        <v>615</v>
      </c>
      <c r="D586" s="11" t="s">
        <v>616</v>
      </c>
      <c r="E586" s="48" t="s">
        <v>31</v>
      </c>
      <c r="F586" s="48" t="s">
        <v>74</v>
      </c>
      <c r="G586" s="11" t="s">
        <v>64</v>
      </c>
      <c r="H586" s="48" t="str">
        <f>VLOOKUP(Table1[[#This Row],[Psoft No]],[1]Roster!$C$2:$H$1402,6,)</f>
        <v>AUH1</v>
      </c>
      <c r="I586" s="48" t="b">
        <f>Table1[[#This Row],[Building]]=Table1[[#This Row],[Column1]]</f>
        <v>1</v>
      </c>
      <c r="J586" s="11" t="s">
        <v>75</v>
      </c>
      <c r="K586" s="11">
        <v>1299</v>
      </c>
      <c r="L586" s="49" t="s">
        <v>39</v>
      </c>
      <c r="M586" s="49" t="s">
        <v>76</v>
      </c>
      <c r="N586" s="49" t="s">
        <v>84</v>
      </c>
      <c r="O586" s="49" t="s">
        <v>85</v>
      </c>
      <c r="P586" s="48" t="s">
        <v>86</v>
      </c>
      <c r="Q586" s="49" t="s">
        <v>35</v>
      </c>
      <c r="R586" s="11" t="s">
        <v>80</v>
      </c>
      <c r="S586" s="11" t="s">
        <v>99</v>
      </c>
      <c r="T586" s="11" t="s">
        <v>231</v>
      </c>
      <c r="U586" s="11" t="s">
        <v>1753</v>
      </c>
      <c r="V586" s="116" t="s">
        <v>7</v>
      </c>
      <c r="W586" s="88"/>
      <c r="X586" s="51">
        <v>45495</v>
      </c>
      <c r="Y586" s="97" t="s">
        <v>1573</v>
      </c>
      <c r="Z586" s="135" t="s">
        <v>3023</v>
      </c>
      <c r="AA586" s="135" t="s">
        <v>3015</v>
      </c>
    </row>
    <row r="587" spans="1:27" ht="13" customHeight="1">
      <c r="A587" s="11">
        <v>581</v>
      </c>
      <c r="B587" s="47">
        <v>206934652</v>
      </c>
      <c r="C587" s="89" t="s">
        <v>2024</v>
      </c>
      <c r="D587" s="11" t="s">
        <v>2004</v>
      </c>
      <c r="E587" s="48" t="s">
        <v>31</v>
      </c>
      <c r="F587" s="48" t="s">
        <v>74</v>
      </c>
      <c r="G587" s="11" t="s">
        <v>64</v>
      </c>
      <c r="H587" s="48" t="str">
        <f>VLOOKUP(Table1[[#This Row],[Psoft No]],[1]Roster!$C$2:$H$1402,6,)</f>
        <v>AUH1</v>
      </c>
      <c r="I587" s="48" t="b">
        <f>Table1[[#This Row],[Building]]=Table1[[#This Row],[Column1]]</f>
        <v>1</v>
      </c>
      <c r="J587" s="11" t="s">
        <v>75</v>
      </c>
      <c r="K587" s="11">
        <v>1299</v>
      </c>
      <c r="L587" s="49" t="s">
        <v>32</v>
      </c>
      <c r="M587" s="49" t="s">
        <v>76</v>
      </c>
      <c r="N587" s="49" t="s">
        <v>78</v>
      </c>
      <c r="O587" s="49" t="s">
        <v>92</v>
      </c>
      <c r="P587" s="49" t="s">
        <v>89</v>
      </c>
      <c r="Q587" s="49" t="s">
        <v>35</v>
      </c>
      <c r="R587" s="11" t="s">
        <v>80</v>
      </c>
      <c r="S587" s="11" t="s">
        <v>96</v>
      </c>
      <c r="T587" s="11" t="s">
        <v>224</v>
      </c>
      <c r="U587" s="11" t="s">
        <v>2715</v>
      </c>
      <c r="V587" s="116" t="s">
        <v>10</v>
      </c>
      <c r="W587" s="88"/>
      <c r="X587" s="51">
        <v>46041</v>
      </c>
      <c r="Y587" s="97" t="s">
        <v>1573</v>
      </c>
      <c r="Z587" s="135" t="s">
        <v>3023</v>
      </c>
      <c r="AA587" s="135">
        <v>0</v>
      </c>
    </row>
    <row r="588" spans="1:27" ht="13" customHeight="1">
      <c r="A588" s="11">
        <v>582</v>
      </c>
      <c r="B588" s="47">
        <v>202435289</v>
      </c>
      <c r="C588" s="89" t="s">
        <v>617</v>
      </c>
      <c r="D588" s="11" t="s">
        <v>618</v>
      </c>
      <c r="E588" s="48" t="s">
        <v>31</v>
      </c>
      <c r="F588" s="48" t="s">
        <v>74</v>
      </c>
      <c r="G588" s="11" t="s">
        <v>64</v>
      </c>
      <c r="H588" s="48" t="str">
        <f>VLOOKUP(Table1[[#This Row],[Psoft No]],[1]Roster!$C$2:$H$1402,6,)</f>
        <v>AUH1</v>
      </c>
      <c r="I588" s="48" t="b">
        <f>Table1[[#This Row],[Building]]=Table1[[#This Row],[Column1]]</f>
        <v>1</v>
      </c>
      <c r="J588" s="11" t="s">
        <v>75</v>
      </c>
      <c r="K588" s="11">
        <v>1299</v>
      </c>
      <c r="L588" s="49" t="s">
        <v>39</v>
      </c>
      <c r="M588" s="49" t="s">
        <v>76</v>
      </c>
      <c r="N588" s="49" t="s">
        <v>78</v>
      </c>
      <c r="O588" s="49" t="s">
        <v>92</v>
      </c>
      <c r="P588" s="48" t="s">
        <v>86</v>
      </c>
      <c r="Q588" s="49" t="s">
        <v>35</v>
      </c>
      <c r="R588" s="11" t="s">
        <v>80</v>
      </c>
      <c r="S588" s="11" t="s">
        <v>87</v>
      </c>
      <c r="T588" s="11" t="s">
        <v>231</v>
      </c>
      <c r="U588" s="11" t="s">
        <v>1753</v>
      </c>
      <c r="V588" s="116" t="s">
        <v>10</v>
      </c>
      <c r="W588" s="88"/>
      <c r="X588" s="51">
        <v>45581</v>
      </c>
      <c r="Y588" s="97" t="s">
        <v>1573</v>
      </c>
      <c r="Z588" s="135" t="s">
        <v>3023</v>
      </c>
      <c r="AA588" s="135">
        <v>0</v>
      </c>
    </row>
    <row r="589" spans="1:27" ht="13" customHeight="1">
      <c r="A589" s="11">
        <v>583</v>
      </c>
      <c r="B589" s="47">
        <v>203813135</v>
      </c>
      <c r="C589" s="89" t="s">
        <v>619</v>
      </c>
      <c r="D589" s="11" t="s">
        <v>620</v>
      </c>
      <c r="E589" s="48" t="s">
        <v>31</v>
      </c>
      <c r="F589" s="48" t="s">
        <v>74</v>
      </c>
      <c r="G589" s="11" t="s">
        <v>64</v>
      </c>
      <c r="H589" s="48" t="str">
        <f>VLOOKUP(Table1[[#This Row],[Psoft No]],[1]Roster!$C$2:$H$1402,6,)</f>
        <v>AUH1</v>
      </c>
      <c r="I589" s="48" t="b">
        <f>Table1[[#This Row],[Building]]=Table1[[#This Row],[Column1]]</f>
        <v>1</v>
      </c>
      <c r="J589" s="11" t="s">
        <v>75</v>
      </c>
      <c r="K589" s="11">
        <v>1299</v>
      </c>
      <c r="L589" s="49" t="s">
        <v>39</v>
      </c>
      <c r="M589" s="49" t="s">
        <v>76</v>
      </c>
      <c r="N589" s="49" t="s">
        <v>78</v>
      </c>
      <c r="O589" s="49" t="s">
        <v>92</v>
      </c>
      <c r="P589" s="48" t="s">
        <v>86</v>
      </c>
      <c r="Q589" s="49" t="s">
        <v>35</v>
      </c>
      <c r="R589" s="11" t="s">
        <v>80</v>
      </c>
      <c r="S589" s="11" t="s">
        <v>99</v>
      </c>
      <c r="T589" s="11" t="s">
        <v>231</v>
      </c>
      <c r="U589" s="11" t="s">
        <v>1753</v>
      </c>
      <c r="V589" s="116" t="s">
        <v>10</v>
      </c>
      <c r="W589" s="88"/>
      <c r="X589" s="51">
        <v>45517</v>
      </c>
      <c r="Y589" s="97" t="s">
        <v>1573</v>
      </c>
      <c r="Z589" s="135" t="s">
        <v>3023</v>
      </c>
      <c r="AA589" s="135">
        <v>0</v>
      </c>
    </row>
    <row r="590" spans="1:27" ht="13" customHeight="1">
      <c r="A590" s="11">
        <v>584</v>
      </c>
      <c r="B590" s="47">
        <v>203965526</v>
      </c>
      <c r="C590" s="89" t="s">
        <v>621</v>
      </c>
      <c r="D590" s="11" t="s">
        <v>622</v>
      </c>
      <c r="E590" s="48" t="s">
        <v>31</v>
      </c>
      <c r="F590" s="48" t="s">
        <v>74</v>
      </c>
      <c r="G590" s="11" t="s">
        <v>65</v>
      </c>
      <c r="H590" s="48" t="str">
        <f>VLOOKUP(Table1[[#This Row],[Psoft No]],[1]Roster!$C$2:$H$1402,6,)</f>
        <v>AUH3</v>
      </c>
      <c r="I590" s="48" t="b">
        <f>Table1[[#This Row],[Building]]=Table1[[#This Row],[Column1]]</f>
        <v>1</v>
      </c>
      <c r="J590" s="11" t="s">
        <v>75</v>
      </c>
      <c r="K590" s="11">
        <v>1299</v>
      </c>
      <c r="L590" s="49" t="s">
        <v>32</v>
      </c>
      <c r="M590" s="49" t="s">
        <v>76</v>
      </c>
      <c r="N590" s="49" t="s">
        <v>78</v>
      </c>
      <c r="O590" s="49" t="s">
        <v>92</v>
      </c>
      <c r="P590" s="48" t="s">
        <v>79</v>
      </c>
      <c r="Q590" s="49" t="s">
        <v>68</v>
      </c>
      <c r="R590" s="11" t="s">
        <v>80</v>
      </c>
      <c r="S590" s="11" t="s">
        <v>81</v>
      </c>
      <c r="T590" s="11" t="s">
        <v>2720</v>
      </c>
      <c r="U590" s="11" t="s">
        <v>2721</v>
      </c>
      <c r="V590" s="116" t="s">
        <v>10</v>
      </c>
      <c r="W590" s="88"/>
      <c r="X590" s="51">
        <v>45544</v>
      </c>
      <c r="Y590" s="97" t="s">
        <v>68</v>
      </c>
      <c r="Z590" s="135" t="s">
        <v>3023</v>
      </c>
      <c r="AA590" s="135">
        <v>0</v>
      </c>
    </row>
    <row r="591" spans="1:27" ht="13" customHeight="1">
      <c r="A591" s="11">
        <v>585</v>
      </c>
      <c r="B591" s="47">
        <v>206006412</v>
      </c>
      <c r="C591" s="89" t="s">
        <v>296</v>
      </c>
      <c r="D591" s="11" t="s">
        <v>1752</v>
      </c>
      <c r="E591" s="48" t="s">
        <v>31</v>
      </c>
      <c r="F591" s="48" t="s">
        <v>74</v>
      </c>
      <c r="G591" s="11" t="s">
        <v>64</v>
      </c>
      <c r="H591" s="48" t="str">
        <f>VLOOKUP(Table1[[#This Row],[Psoft No]],[1]Roster!$C$2:$H$1402,6,)</f>
        <v>AUH1</v>
      </c>
      <c r="I591" s="48" t="b">
        <f>Table1[[#This Row],[Building]]=Table1[[#This Row],[Column1]]</f>
        <v>1</v>
      </c>
      <c r="J591" s="11" t="s">
        <v>75</v>
      </c>
      <c r="K591" s="11">
        <v>1299</v>
      </c>
      <c r="L591" s="49" t="s">
        <v>32</v>
      </c>
      <c r="M591" s="49" t="s">
        <v>76</v>
      </c>
      <c r="N591" s="49" t="s">
        <v>77</v>
      </c>
      <c r="O591" s="49" t="s">
        <v>78</v>
      </c>
      <c r="P591" s="48" t="s">
        <v>79</v>
      </c>
      <c r="Q591" s="49" t="s">
        <v>35</v>
      </c>
      <c r="R591" s="11" t="s">
        <v>80</v>
      </c>
      <c r="S591" s="11" t="s">
        <v>81</v>
      </c>
      <c r="T591" s="11" t="s">
        <v>224</v>
      </c>
      <c r="U591" s="11" t="s">
        <v>2715</v>
      </c>
      <c r="V591" s="116" t="str">
        <f>VLOOKUP(Table1[[#This Row],[Psoft No]],[2]Sheet1!$A$2:$G$386,7,0)</f>
        <v>P</v>
      </c>
      <c r="W591" s="88"/>
      <c r="X591" s="51">
        <v>45915</v>
      </c>
      <c r="Y591" s="97" t="s">
        <v>1573</v>
      </c>
      <c r="Z591" s="135" t="s">
        <v>2</v>
      </c>
      <c r="AA591" s="135">
        <v>0</v>
      </c>
    </row>
    <row r="592" spans="1:27" ht="13" customHeight="1">
      <c r="A592" s="11">
        <v>586</v>
      </c>
      <c r="B592" s="47">
        <v>203741319</v>
      </c>
      <c r="C592" s="89" t="s">
        <v>623</v>
      </c>
      <c r="D592" s="11" t="s">
        <v>624</v>
      </c>
      <c r="E592" s="48" t="s">
        <v>31</v>
      </c>
      <c r="F592" s="48" t="s">
        <v>74</v>
      </c>
      <c r="G592" s="11" t="s">
        <v>64</v>
      </c>
      <c r="H592" s="48" t="str">
        <f>VLOOKUP(Table1[[#This Row],[Psoft No]],[1]Roster!$C$2:$H$1402,6,)</f>
        <v>AUH1</v>
      </c>
      <c r="I592" s="48" t="b">
        <f>Table1[[#This Row],[Building]]=Table1[[#This Row],[Column1]]</f>
        <v>1</v>
      </c>
      <c r="J592" s="11" t="s">
        <v>75</v>
      </c>
      <c r="K592" s="11">
        <v>1299</v>
      </c>
      <c r="L592" s="49" t="s">
        <v>39</v>
      </c>
      <c r="M592" s="49" t="s">
        <v>76</v>
      </c>
      <c r="N592" s="49" t="s">
        <v>85</v>
      </c>
      <c r="O592" s="49" t="s">
        <v>88</v>
      </c>
      <c r="P592" s="48" t="s">
        <v>79</v>
      </c>
      <c r="Q592" s="49" t="s">
        <v>35</v>
      </c>
      <c r="R592" s="11" t="s">
        <v>80</v>
      </c>
      <c r="S592" s="11" t="s">
        <v>81</v>
      </c>
      <c r="T592" s="11" t="s">
        <v>231</v>
      </c>
      <c r="U592" s="11" t="s">
        <v>1753</v>
      </c>
      <c r="V592" s="116" t="s">
        <v>1</v>
      </c>
      <c r="W592" s="88"/>
      <c r="X592" s="51">
        <v>45502</v>
      </c>
      <c r="Y592" s="97" t="s">
        <v>1573</v>
      </c>
      <c r="Z592" s="135" t="s">
        <v>2</v>
      </c>
      <c r="AA592" s="135">
        <v>0</v>
      </c>
    </row>
    <row r="593" spans="1:27" ht="13" customHeight="1">
      <c r="A593" s="11">
        <v>587</v>
      </c>
      <c r="B593" s="47">
        <v>206858475</v>
      </c>
      <c r="C593" s="89" t="s">
        <v>2677</v>
      </c>
      <c r="D593" s="47" t="s">
        <v>2678</v>
      </c>
      <c r="E593" s="47" t="s">
        <v>31</v>
      </c>
      <c r="F593" s="47" t="s">
        <v>74</v>
      </c>
      <c r="G593" s="47" t="s">
        <v>64</v>
      </c>
      <c r="H593" s="47" t="str">
        <f>VLOOKUP(Table1[[#This Row],[Psoft No]],[1]Roster!$C$2:$H$1402,6,)</f>
        <v>AUH1</v>
      </c>
      <c r="I593" s="47" t="b">
        <f>Table1[[#This Row],[Building]]=Table1[[#This Row],[Column1]]</f>
        <v>1</v>
      </c>
      <c r="J593" s="47" t="s">
        <v>75</v>
      </c>
      <c r="K593" s="47">
        <v>1299</v>
      </c>
      <c r="L593" s="49" t="s">
        <v>32</v>
      </c>
      <c r="M593" s="49" t="s">
        <v>76</v>
      </c>
      <c r="N593" s="49" t="s">
        <v>78</v>
      </c>
      <c r="O593" s="49" t="s">
        <v>92</v>
      </c>
      <c r="P593" s="49" t="s">
        <v>89</v>
      </c>
      <c r="Q593" s="47" t="s">
        <v>35</v>
      </c>
      <c r="R593" s="47" t="s">
        <v>80</v>
      </c>
      <c r="S593" s="47" t="s">
        <v>90</v>
      </c>
      <c r="T593" s="11" t="s">
        <v>231</v>
      </c>
      <c r="U593" s="47" t="s">
        <v>1753</v>
      </c>
      <c r="V593" s="116" t="s">
        <v>10</v>
      </c>
      <c r="W593" s="88"/>
      <c r="X593" s="51">
        <v>46013</v>
      </c>
      <c r="Y593" s="132" t="s">
        <v>1573</v>
      </c>
      <c r="Z593" s="135" t="s">
        <v>3023</v>
      </c>
      <c r="AA593" s="135">
        <v>0</v>
      </c>
    </row>
    <row r="594" spans="1:27" ht="13" customHeight="1">
      <c r="A594" s="11">
        <v>588</v>
      </c>
      <c r="B594" s="47">
        <v>203737198</v>
      </c>
      <c r="C594" s="89" t="s">
        <v>625</v>
      </c>
      <c r="D594" s="11" t="s">
        <v>626</v>
      </c>
      <c r="E594" s="48" t="s">
        <v>31</v>
      </c>
      <c r="F594" s="48" t="s">
        <v>74</v>
      </c>
      <c r="G594" s="11" t="s">
        <v>64</v>
      </c>
      <c r="H594" s="48" t="str">
        <f>VLOOKUP(Table1[[#This Row],[Psoft No]],[1]Roster!$C$2:$H$1402,6,)</f>
        <v>AUH1</v>
      </c>
      <c r="I594" s="48" t="b">
        <f>Table1[[#This Row],[Building]]=Table1[[#This Row],[Column1]]</f>
        <v>1</v>
      </c>
      <c r="J594" s="11" t="s">
        <v>75</v>
      </c>
      <c r="K594" s="11">
        <v>1299</v>
      </c>
      <c r="L594" s="49" t="s">
        <v>39</v>
      </c>
      <c r="M594" s="49" t="s">
        <v>76</v>
      </c>
      <c r="N594" s="49" t="s">
        <v>78</v>
      </c>
      <c r="O594" s="49" t="s">
        <v>92</v>
      </c>
      <c r="P594" s="48" t="s">
        <v>86</v>
      </c>
      <c r="Q594" s="49" t="s">
        <v>35</v>
      </c>
      <c r="R594" s="11" t="s">
        <v>80</v>
      </c>
      <c r="S594" s="11" t="s">
        <v>90</v>
      </c>
      <c r="T594" s="11" t="s">
        <v>231</v>
      </c>
      <c r="U594" s="11" t="s">
        <v>1753</v>
      </c>
      <c r="V594" s="116" t="s">
        <v>10</v>
      </c>
      <c r="W594" s="88"/>
      <c r="X594" s="51">
        <v>45502</v>
      </c>
      <c r="Y594" s="97" t="s">
        <v>1573</v>
      </c>
      <c r="Z594" s="135" t="s">
        <v>3023</v>
      </c>
      <c r="AA594" s="135">
        <v>0</v>
      </c>
    </row>
    <row r="595" spans="1:27" ht="13" customHeight="1">
      <c r="A595" s="11">
        <v>589</v>
      </c>
      <c r="B595" s="47">
        <v>203800379</v>
      </c>
      <c r="C595" s="89" t="s">
        <v>2679</v>
      </c>
      <c r="D595" s="11" t="s">
        <v>2680</v>
      </c>
      <c r="E595" s="48" t="s">
        <v>31</v>
      </c>
      <c r="F595" s="48" t="s">
        <v>74</v>
      </c>
      <c r="G595" s="11" t="s">
        <v>64</v>
      </c>
      <c r="H595" s="48" t="str">
        <f>VLOOKUP(Table1[[#This Row],[Psoft No]],[1]Roster!$C$2:$H$1402,6,)</f>
        <v>AUH1</v>
      </c>
      <c r="I595" s="48" t="b">
        <f>Table1[[#This Row],[Building]]=Table1[[#This Row],[Column1]]</f>
        <v>1</v>
      </c>
      <c r="J595" s="11" t="s">
        <v>75</v>
      </c>
      <c r="K595" s="11">
        <v>1299</v>
      </c>
      <c r="L595" s="49" t="s">
        <v>32</v>
      </c>
      <c r="M595" s="49" t="s">
        <v>76</v>
      </c>
      <c r="N595" s="49" t="s">
        <v>95</v>
      </c>
      <c r="O595" s="49" t="s">
        <v>77</v>
      </c>
      <c r="P595" s="48" t="s">
        <v>86</v>
      </c>
      <c r="Q595" s="49" t="s">
        <v>35</v>
      </c>
      <c r="R595" s="11" t="s">
        <v>80</v>
      </c>
      <c r="S595" s="11" t="s">
        <v>90</v>
      </c>
      <c r="T595" s="11" t="s">
        <v>231</v>
      </c>
      <c r="U595" s="11" t="s">
        <v>1753</v>
      </c>
      <c r="V595" s="116" t="str">
        <f>VLOOKUP(Table1[[#This Row],[Psoft No]],[2]Sheet1!$A$2:$G$386,7,0)</f>
        <v>P</v>
      </c>
      <c r="W595" s="88"/>
      <c r="X595" s="51">
        <v>45516</v>
      </c>
      <c r="Y595" s="97" t="s">
        <v>1573</v>
      </c>
      <c r="Z595" s="135" t="s">
        <v>2</v>
      </c>
      <c r="AA595" s="135">
        <v>0</v>
      </c>
    </row>
    <row r="596" spans="1:27" ht="13" customHeight="1">
      <c r="A596" s="11">
        <v>590</v>
      </c>
      <c r="B596" s="47">
        <v>203521128</v>
      </c>
      <c r="C596" s="89" t="s">
        <v>2455</v>
      </c>
      <c r="D596" s="11" t="s">
        <v>2456</v>
      </c>
      <c r="E596" s="48" t="s">
        <v>34</v>
      </c>
      <c r="F596" s="48" t="s">
        <v>74</v>
      </c>
      <c r="G596" s="11" t="s">
        <v>64</v>
      </c>
      <c r="H596" s="48" t="str">
        <f>VLOOKUP(Table1[[#This Row],[Psoft No]],[1]Roster!$C$2:$H$1402,6,)</f>
        <v>AUH1</v>
      </c>
      <c r="I596" s="48" t="b">
        <f>Table1[[#This Row],[Building]]=Table1[[#This Row],[Column1]]</f>
        <v>1</v>
      </c>
      <c r="J596" s="11" t="s">
        <v>75</v>
      </c>
      <c r="K596" s="11">
        <v>1299</v>
      </c>
      <c r="L596" s="49" t="s">
        <v>32</v>
      </c>
      <c r="M596" s="49" t="s">
        <v>76</v>
      </c>
      <c r="N596" s="49" t="s">
        <v>85</v>
      </c>
      <c r="O596" s="49" t="s">
        <v>88</v>
      </c>
      <c r="P596" s="48" t="s">
        <v>97</v>
      </c>
      <c r="Q596" s="49" t="s">
        <v>35</v>
      </c>
      <c r="R596" s="11" t="s">
        <v>80</v>
      </c>
      <c r="S596" s="11" t="s">
        <v>98</v>
      </c>
      <c r="T596" s="11" t="s">
        <v>231</v>
      </c>
      <c r="U596" s="11" t="s">
        <v>1753</v>
      </c>
      <c r="V596" s="116" t="s">
        <v>1</v>
      </c>
      <c r="W596" s="88" t="s">
        <v>3021</v>
      </c>
      <c r="X596" s="51">
        <v>45463</v>
      </c>
      <c r="Y596" s="97" t="s">
        <v>1570</v>
      </c>
      <c r="Z596" s="135" t="s">
        <v>2</v>
      </c>
      <c r="AA596" s="135">
        <v>0</v>
      </c>
    </row>
    <row r="597" spans="1:27" ht="13" customHeight="1">
      <c r="A597" s="11">
        <v>591</v>
      </c>
      <c r="B597" s="47">
        <v>206137330</v>
      </c>
      <c r="C597" s="89" t="s">
        <v>629</v>
      </c>
      <c r="D597" s="11" t="s">
        <v>630</v>
      </c>
      <c r="E597" s="48" t="s">
        <v>31</v>
      </c>
      <c r="F597" s="48" t="s">
        <v>74</v>
      </c>
      <c r="G597" s="11" t="s">
        <v>64</v>
      </c>
      <c r="H597" s="48" t="str">
        <f>VLOOKUP(Table1[[#This Row],[Psoft No]],[1]Roster!$C$2:$H$1402,6,)</f>
        <v>AUH1</v>
      </c>
      <c r="I597" s="48" t="b">
        <f>Table1[[#This Row],[Building]]=Table1[[#This Row],[Column1]]</f>
        <v>1</v>
      </c>
      <c r="J597" s="11" t="s">
        <v>75</v>
      </c>
      <c r="K597" s="11">
        <v>1299</v>
      </c>
      <c r="L597" s="49" t="s">
        <v>39</v>
      </c>
      <c r="M597" s="49" t="s">
        <v>76</v>
      </c>
      <c r="N597" s="49" t="s">
        <v>88</v>
      </c>
      <c r="O597" s="49" t="s">
        <v>95</v>
      </c>
      <c r="P597" s="49" t="s">
        <v>89</v>
      </c>
      <c r="Q597" s="49" t="s">
        <v>37</v>
      </c>
      <c r="R597" s="11" t="s">
        <v>80</v>
      </c>
      <c r="S597" s="11" t="s">
        <v>81</v>
      </c>
      <c r="T597" s="11" t="s">
        <v>631</v>
      </c>
      <c r="U597" s="11" t="s">
        <v>632</v>
      </c>
      <c r="V597" s="116" t="s">
        <v>1</v>
      </c>
      <c r="W597" s="88"/>
      <c r="X597" s="51">
        <v>45929</v>
      </c>
      <c r="Y597" s="97" t="s">
        <v>1577</v>
      </c>
      <c r="Z597" s="135" t="s">
        <v>2</v>
      </c>
      <c r="AA597" s="135">
        <v>0</v>
      </c>
    </row>
    <row r="598" spans="1:27" ht="13" customHeight="1">
      <c r="A598" s="11">
        <v>592</v>
      </c>
      <c r="B598" s="47">
        <v>205256720</v>
      </c>
      <c r="C598" s="89" t="s">
        <v>2134</v>
      </c>
      <c r="D598" s="11" t="s">
        <v>2135</v>
      </c>
      <c r="E598" s="103" t="s">
        <v>31</v>
      </c>
      <c r="F598" s="48" t="s">
        <v>74</v>
      </c>
      <c r="G598" s="11" t="s">
        <v>64</v>
      </c>
      <c r="H598" s="48" t="str">
        <f>VLOOKUP(Table1[[#This Row],[Psoft No]],[1]Roster!$C$2:$H$1402,6,)</f>
        <v>AUH1</v>
      </c>
      <c r="I598" s="48" t="b">
        <f>Table1[[#This Row],[Building]]=Table1[[#This Row],[Column1]]</f>
        <v>1</v>
      </c>
      <c r="J598" s="11" t="s">
        <v>75</v>
      </c>
      <c r="K598" s="11">
        <v>1299</v>
      </c>
      <c r="L598" s="49" t="s">
        <v>2471</v>
      </c>
      <c r="M598" s="49" t="s">
        <v>76</v>
      </c>
      <c r="N598" s="49" t="s">
        <v>78</v>
      </c>
      <c r="O598" s="49" t="s">
        <v>92</v>
      </c>
      <c r="P598" s="49" t="s">
        <v>79</v>
      </c>
      <c r="Q598" s="49" t="s">
        <v>37</v>
      </c>
      <c r="R598" s="49" t="s">
        <v>80</v>
      </c>
      <c r="S598" s="49" t="s">
        <v>96</v>
      </c>
      <c r="T598" s="49" t="s">
        <v>647</v>
      </c>
      <c r="U598" s="49" t="s">
        <v>1798</v>
      </c>
      <c r="V598" s="116" t="s">
        <v>10</v>
      </c>
      <c r="W598" s="88"/>
      <c r="X598" s="51">
        <v>46048</v>
      </c>
      <c r="Y598" s="97" t="s">
        <v>1577</v>
      </c>
      <c r="Z598" s="135" t="s">
        <v>3023</v>
      </c>
      <c r="AA598" s="135">
        <v>0</v>
      </c>
    </row>
    <row r="599" spans="1:27" ht="13" customHeight="1">
      <c r="A599" s="11">
        <v>593</v>
      </c>
      <c r="B599" s="47">
        <v>200061207</v>
      </c>
      <c r="C599" s="89" t="s">
        <v>633</v>
      </c>
      <c r="D599" s="11" t="s">
        <v>634</v>
      </c>
      <c r="E599" s="48" t="s">
        <v>31</v>
      </c>
      <c r="F599" s="48" t="s">
        <v>74</v>
      </c>
      <c r="G599" s="11" t="s">
        <v>64</v>
      </c>
      <c r="H599" s="48" t="str">
        <f>VLOOKUP(Table1[[#This Row],[Psoft No]],[1]Roster!$C$2:$H$1402,6,)</f>
        <v>AUH1</v>
      </c>
      <c r="I599" s="48" t="b">
        <f>Table1[[#This Row],[Building]]=Table1[[#This Row],[Column1]]</f>
        <v>1</v>
      </c>
      <c r="J599" s="11" t="s">
        <v>75</v>
      </c>
      <c r="K599" s="11">
        <v>1299</v>
      </c>
      <c r="L599" s="49" t="s">
        <v>39</v>
      </c>
      <c r="M599" s="49" t="s">
        <v>76</v>
      </c>
      <c r="N599" s="49" t="s">
        <v>78</v>
      </c>
      <c r="O599" s="49" t="s">
        <v>92</v>
      </c>
      <c r="P599" s="48" t="s">
        <v>79</v>
      </c>
      <c r="Q599" s="49" t="s">
        <v>37</v>
      </c>
      <c r="R599" s="11" t="s">
        <v>80</v>
      </c>
      <c r="S599" s="11" t="s">
        <v>81</v>
      </c>
      <c r="T599" s="11" t="s">
        <v>631</v>
      </c>
      <c r="U599" s="11" t="s">
        <v>632</v>
      </c>
      <c r="V599" s="116" t="s">
        <v>10</v>
      </c>
      <c r="W599" s="88"/>
      <c r="X599" s="51">
        <v>45537</v>
      </c>
      <c r="Y599" s="97" t="s">
        <v>1578</v>
      </c>
      <c r="Z599" s="135" t="s">
        <v>3023</v>
      </c>
      <c r="AA599" s="135">
        <v>0</v>
      </c>
    </row>
    <row r="600" spans="1:27" ht="13" customHeight="1">
      <c r="A600" s="11">
        <v>594</v>
      </c>
      <c r="B600" s="47">
        <v>204117189</v>
      </c>
      <c r="C600" s="89" t="s">
        <v>635</v>
      </c>
      <c r="D600" s="11" t="s">
        <v>636</v>
      </c>
      <c r="E600" s="48" t="s">
        <v>31</v>
      </c>
      <c r="F600" s="48" t="s">
        <v>74</v>
      </c>
      <c r="G600" s="11" t="s">
        <v>64</v>
      </c>
      <c r="H600" s="48" t="str">
        <f>VLOOKUP(Table1[[#This Row],[Psoft No]],[1]Roster!$C$2:$H$1402,6,)</f>
        <v>AUH1</v>
      </c>
      <c r="I600" s="48" t="b">
        <f>Table1[[#This Row],[Building]]=Table1[[#This Row],[Column1]]</f>
        <v>1</v>
      </c>
      <c r="J600" s="11" t="s">
        <v>75</v>
      </c>
      <c r="K600" s="11">
        <v>1299</v>
      </c>
      <c r="L600" s="49" t="s">
        <v>39</v>
      </c>
      <c r="M600" s="49" t="s">
        <v>76</v>
      </c>
      <c r="N600" s="49" t="s">
        <v>95</v>
      </c>
      <c r="O600" s="49" t="s">
        <v>77</v>
      </c>
      <c r="P600" s="48" t="s">
        <v>86</v>
      </c>
      <c r="Q600" s="49" t="s">
        <v>37</v>
      </c>
      <c r="R600" s="11" t="s">
        <v>80</v>
      </c>
      <c r="S600" s="11" t="s">
        <v>87</v>
      </c>
      <c r="T600" s="49" t="s">
        <v>627</v>
      </c>
      <c r="U600" s="11" t="s">
        <v>628</v>
      </c>
      <c r="V600" s="116" t="s">
        <v>7</v>
      </c>
      <c r="W600" s="88"/>
      <c r="X600" s="51">
        <v>45561</v>
      </c>
      <c r="Y600" s="97" t="s">
        <v>1577</v>
      </c>
      <c r="Z600" s="135" t="s">
        <v>3023</v>
      </c>
      <c r="AA600" s="135" t="s">
        <v>3015</v>
      </c>
    </row>
    <row r="601" spans="1:27" ht="13" customHeight="1">
      <c r="A601" s="11">
        <v>595</v>
      </c>
      <c r="B601" s="47">
        <v>204172240</v>
      </c>
      <c r="C601" s="89" t="s">
        <v>2345</v>
      </c>
      <c r="D601" s="11" t="s">
        <v>2346</v>
      </c>
      <c r="E601" s="48" t="s">
        <v>31</v>
      </c>
      <c r="F601" s="48" t="s">
        <v>74</v>
      </c>
      <c r="G601" s="11" t="s">
        <v>64</v>
      </c>
      <c r="H601" s="48" t="str">
        <f>VLOOKUP(Table1[[#This Row],[Psoft No]],[1]Roster!$C$2:$H$1402,6,)</f>
        <v>AUH1</v>
      </c>
      <c r="I601" s="48" t="b">
        <f>Table1[[#This Row],[Building]]=Table1[[#This Row],[Column1]]</f>
        <v>1</v>
      </c>
      <c r="J601" s="11" t="s">
        <v>75</v>
      </c>
      <c r="K601" s="11">
        <v>1299</v>
      </c>
      <c r="L601" s="49" t="s">
        <v>39</v>
      </c>
      <c r="M601" s="49" t="s">
        <v>76</v>
      </c>
      <c r="N601" s="49" t="s">
        <v>85</v>
      </c>
      <c r="O601" s="49" t="s">
        <v>88</v>
      </c>
      <c r="P601" s="48" t="s">
        <v>86</v>
      </c>
      <c r="Q601" s="49" t="s">
        <v>37</v>
      </c>
      <c r="R601" s="11" t="s">
        <v>80</v>
      </c>
      <c r="S601" s="11" t="s">
        <v>90</v>
      </c>
      <c r="T601" s="11" t="s">
        <v>1066</v>
      </c>
      <c r="U601" s="11" t="s">
        <v>2717</v>
      </c>
      <c r="V601" s="116" t="s">
        <v>1</v>
      </c>
      <c r="W601" s="88"/>
      <c r="X601" s="51">
        <v>45568</v>
      </c>
      <c r="Y601" s="97" t="s">
        <v>1578</v>
      </c>
      <c r="Z601" s="135" t="s">
        <v>2</v>
      </c>
      <c r="AA601" s="135">
        <v>0</v>
      </c>
    </row>
    <row r="602" spans="1:27" ht="13" customHeight="1">
      <c r="A602" s="11">
        <v>596</v>
      </c>
      <c r="B602" s="47">
        <v>206129609</v>
      </c>
      <c r="C602" s="89" t="s">
        <v>637</v>
      </c>
      <c r="D602" s="11" t="s">
        <v>638</v>
      </c>
      <c r="E602" s="48" t="s">
        <v>31</v>
      </c>
      <c r="F602" s="48" t="s">
        <v>74</v>
      </c>
      <c r="G602" s="11" t="s">
        <v>64</v>
      </c>
      <c r="H602" s="48" t="str">
        <f>VLOOKUP(Table1[[#This Row],[Psoft No]],[1]Roster!$C$2:$H$1402,6,)</f>
        <v>AUH1</v>
      </c>
      <c r="I602" s="48" t="b">
        <f>Table1[[#This Row],[Building]]=Table1[[#This Row],[Column1]]</f>
        <v>1</v>
      </c>
      <c r="J602" s="11" t="s">
        <v>75</v>
      </c>
      <c r="K602" s="11">
        <v>1299</v>
      </c>
      <c r="L602" s="49" t="s">
        <v>32</v>
      </c>
      <c r="M602" s="49" t="s">
        <v>76</v>
      </c>
      <c r="N602" s="49" t="s">
        <v>88</v>
      </c>
      <c r="O602" s="49" t="s">
        <v>95</v>
      </c>
      <c r="P602" s="48" t="s">
        <v>79</v>
      </c>
      <c r="Q602" s="49" t="s">
        <v>37</v>
      </c>
      <c r="R602" s="11" t="s">
        <v>80</v>
      </c>
      <c r="S602" s="11" t="s">
        <v>81</v>
      </c>
      <c r="T602" s="11" t="s">
        <v>2845</v>
      </c>
      <c r="U602" s="11" t="s">
        <v>2846</v>
      </c>
      <c r="V602" s="116" t="str">
        <f>VLOOKUP(Table1[[#This Row],[Psoft No]],[2]Sheet1!$A$2:$G$386,7,0)</f>
        <v>P</v>
      </c>
      <c r="W602" s="88"/>
      <c r="X602" s="51">
        <v>45929</v>
      </c>
      <c r="Y602" s="97" t="s">
        <v>1577</v>
      </c>
      <c r="Z602" s="135" t="s">
        <v>2</v>
      </c>
      <c r="AA602" s="135">
        <v>0</v>
      </c>
    </row>
    <row r="603" spans="1:27" ht="13" customHeight="1">
      <c r="A603" s="11">
        <v>597</v>
      </c>
      <c r="B603" s="47">
        <v>203908320</v>
      </c>
      <c r="C603" s="89" t="s">
        <v>2368</v>
      </c>
      <c r="D603" s="11" t="s">
        <v>2369</v>
      </c>
      <c r="E603" s="48" t="s">
        <v>31</v>
      </c>
      <c r="F603" s="48" t="s">
        <v>74</v>
      </c>
      <c r="G603" s="11" t="s">
        <v>64</v>
      </c>
      <c r="H603" s="48" t="str">
        <f>VLOOKUP(Table1[[#This Row],[Psoft No]],[1]Roster!$C$2:$H$1402,6,)</f>
        <v>AUH1</v>
      </c>
      <c r="I603" s="48" t="b">
        <f>Table1[[#This Row],[Building]]=Table1[[#This Row],[Column1]]</f>
        <v>1</v>
      </c>
      <c r="J603" s="11" t="s">
        <v>75</v>
      </c>
      <c r="K603" s="11">
        <v>1299</v>
      </c>
      <c r="L603" s="49" t="s">
        <v>39</v>
      </c>
      <c r="M603" s="49" t="s">
        <v>76</v>
      </c>
      <c r="N603" s="49" t="s">
        <v>92</v>
      </c>
      <c r="O603" s="49" t="s">
        <v>84</v>
      </c>
      <c r="P603" s="48" t="s">
        <v>86</v>
      </c>
      <c r="Q603" s="49" t="s">
        <v>37</v>
      </c>
      <c r="R603" s="11" t="s">
        <v>80</v>
      </c>
      <c r="S603" s="11" t="s">
        <v>90</v>
      </c>
      <c r="T603" s="49" t="s">
        <v>647</v>
      </c>
      <c r="U603" s="11" t="s">
        <v>1798</v>
      </c>
      <c r="V603" s="116" t="s">
        <v>10</v>
      </c>
      <c r="W603" s="88"/>
      <c r="X603" s="51">
        <v>45537</v>
      </c>
      <c r="Y603" s="97" t="s">
        <v>1577</v>
      </c>
      <c r="Z603" s="135" t="s">
        <v>3023</v>
      </c>
      <c r="AA603" s="135">
        <v>0</v>
      </c>
    </row>
    <row r="604" spans="1:27" ht="13" customHeight="1">
      <c r="A604" s="11">
        <v>598</v>
      </c>
      <c r="B604" s="47">
        <v>206137331</v>
      </c>
      <c r="C604" s="89" t="s">
        <v>640</v>
      </c>
      <c r="D604" s="11" t="s">
        <v>641</v>
      </c>
      <c r="E604" s="48" t="s">
        <v>31</v>
      </c>
      <c r="F604" s="48" t="s">
        <v>74</v>
      </c>
      <c r="G604" s="11" t="s">
        <v>64</v>
      </c>
      <c r="H604" s="48" t="str">
        <f>VLOOKUP(Table1[[#This Row],[Psoft No]],[1]Roster!$C$2:$H$1402,6,)</f>
        <v>AUH1</v>
      </c>
      <c r="I604" s="48" t="b">
        <f>Table1[[#This Row],[Building]]=Table1[[#This Row],[Column1]]</f>
        <v>1</v>
      </c>
      <c r="J604" s="11" t="s">
        <v>75</v>
      </c>
      <c r="K604" s="11">
        <v>1299</v>
      </c>
      <c r="L604" s="49" t="s">
        <v>39</v>
      </c>
      <c r="M604" s="49" t="s">
        <v>76</v>
      </c>
      <c r="N604" s="49" t="s">
        <v>95</v>
      </c>
      <c r="O604" s="49" t="s">
        <v>77</v>
      </c>
      <c r="P604" s="48" t="s">
        <v>79</v>
      </c>
      <c r="Q604" s="49" t="s">
        <v>37</v>
      </c>
      <c r="R604" s="11" t="s">
        <v>80</v>
      </c>
      <c r="S604" s="11" t="s">
        <v>81</v>
      </c>
      <c r="T604" s="11" t="s">
        <v>631</v>
      </c>
      <c r="U604" s="11" t="s">
        <v>632</v>
      </c>
      <c r="V604" s="116" t="s">
        <v>1</v>
      </c>
      <c r="W604" s="88"/>
      <c r="X604" s="51">
        <v>45929</v>
      </c>
      <c r="Y604" s="97" t="s">
        <v>1577</v>
      </c>
      <c r="Z604" s="135" t="s">
        <v>2</v>
      </c>
      <c r="AA604" s="135">
        <v>0</v>
      </c>
    </row>
    <row r="605" spans="1:27" ht="13" customHeight="1">
      <c r="A605" s="11">
        <v>599</v>
      </c>
      <c r="B605" s="47">
        <v>204373723</v>
      </c>
      <c r="C605" s="89" t="s">
        <v>643</v>
      </c>
      <c r="D605" s="11" t="s">
        <v>644</v>
      </c>
      <c r="E605" s="48" t="s">
        <v>31</v>
      </c>
      <c r="F605" s="48" t="s">
        <v>74</v>
      </c>
      <c r="G605" s="11" t="s">
        <v>64</v>
      </c>
      <c r="H605" s="48" t="str">
        <f>VLOOKUP(Table1[[#This Row],[Psoft No]],[1]Roster!$C$2:$H$1402,6,)</f>
        <v>AUH1</v>
      </c>
      <c r="I605" s="48" t="b">
        <f>Table1[[#This Row],[Building]]=Table1[[#This Row],[Column1]]</f>
        <v>1</v>
      </c>
      <c r="J605" s="11" t="s">
        <v>75</v>
      </c>
      <c r="K605" s="11">
        <v>1299</v>
      </c>
      <c r="L605" s="49" t="s">
        <v>39</v>
      </c>
      <c r="M605" s="49" t="s">
        <v>76</v>
      </c>
      <c r="N605" s="49" t="s">
        <v>88</v>
      </c>
      <c r="O605" s="49" t="s">
        <v>95</v>
      </c>
      <c r="P605" s="48" t="s">
        <v>86</v>
      </c>
      <c r="Q605" s="49" t="s">
        <v>37</v>
      </c>
      <c r="R605" s="11" t="s">
        <v>80</v>
      </c>
      <c r="S605" s="11" t="s">
        <v>99</v>
      </c>
      <c r="T605" s="49" t="s">
        <v>647</v>
      </c>
      <c r="U605" s="11" t="s">
        <v>1798</v>
      </c>
      <c r="V605" s="116" t="s">
        <v>1</v>
      </c>
      <c r="W605" s="88"/>
      <c r="X605" s="51">
        <v>45593</v>
      </c>
      <c r="Y605" s="97" t="s">
        <v>1577</v>
      </c>
      <c r="Z605" s="135" t="s">
        <v>2</v>
      </c>
      <c r="AA605" s="135">
        <v>0</v>
      </c>
    </row>
    <row r="606" spans="1:27" ht="13" customHeight="1">
      <c r="A606" s="11">
        <v>600</v>
      </c>
      <c r="B606" s="47">
        <v>206239522</v>
      </c>
      <c r="C606" s="89" t="s">
        <v>2370</v>
      </c>
      <c r="D606" s="11" t="s">
        <v>2371</v>
      </c>
      <c r="E606" s="48" t="s">
        <v>31</v>
      </c>
      <c r="F606" s="48" t="s">
        <v>74</v>
      </c>
      <c r="G606" s="11" t="s">
        <v>64</v>
      </c>
      <c r="H606" s="48" t="str">
        <f>VLOOKUP(Table1[[#This Row],[Psoft No]],[1]Roster!$C$2:$H$1402,6,)</f>
        <v>AUH1</v>
      </c>
      <c r="I606" s="48" t="b">
        <f>Table1[[#This Row],[Building]]=Table1[[#This Row],[Column1]]</f>
        <v>1</v>
      </c>
      <c r="J606" s="11" t="s">
        <v>75</v>
      </c>
      <c r="K606" s="11">
        <v>1299</v>
      </c>
      <c r="L606" s="49" t="s">
        <v>39</v>
      </c>
      <c r="M606" s="49" t="s">
        <v>76</v>
      </c>
      <c r="N606" s="49" t="s">
        <v>85</v>
      </c>
      <c r="O606" s="49" t="s">
        <v>88</v>
      </c>
      <c r="P606" s="49" t="s">
        <v>89</v>
      </c>
      <c r="Q606" s="49" t="s">
        <v>37</v>
      </c>
      <c r="R606" s="11" t="s">
        <v>80</v>
      </c>
      <c r="S606" s="11" t="s">
        <v>90</v>
      </c>
      <c r="T606" s="11" t="s">
        <v>631</v>
      </c>
      <c r="U606" s="11" t="s">
        <v>632</v>
      </c>
      <c r="V606" s="116" t="s">
        <v>1</v>
      </c>
      <c r="W606" s="88"/>
      <c r="X606" s="51">
        <v>45943</v>
      </c>
      <c r="Y606" s="97" t="s">
        <v>1578</v>
      </c>
      <c r="Z606" s="135" t="s">
        <v>2</v>
      </c>
      <c r="AA606" s="135">
        <v>0</v>
      </c>
    </row>
    <row r="607" spans="1:27" ht="13" customHeight="1">
      <c r="A607" s="11">
        <v>601</v>
      </c>
      <c r="B607" s="47">
        <v>203965455</v>
      </c>
      <c r="C607" s="89" t="s">
        <v>645</v>
      </c>
      <c r="D607" s="11" t="s">
        <v>646</v>
      </c>
      <c r="E607" s="48" t="s">
        <v>31</v>
      </c>
      <c r="F607" s="48" t="s">
        <v>74</v>
      </c>
      <c r="G607" s="11" t="s">
        <v>64</v>
      </c>
      <c r="H607" s="48" t="str">
        <f>VLOOKUP(Table1[[#This Row],[Psoft No]],[1]Roster!$C$2:$H$1402,6,)</f>
        <v>AUH1</v>
      </c>
      <c r="I607" s="48" t="b">
        <f>Table1[[#This Row],[Building]]=Table1[[#This Row],[Column1]]</f>
        <v>1</v>
      </c>
      <c r="J607" s="11" t="s">
        <v>75</v>
      </c>
      <c r="K607" s="11">
        <v>1299</v>
      </c>
      <c r="L607" s="49" t="s">
        <v>39</v>
      </c>
      <c r="M607" s="49" t="s">
        <v>76</v>
      </c>
      <c r="N607" s="49" t="s">
        <v>88</v>
      </c>
      <c r="O607" s="49" t="s">
        <v>95</v>
      </c>
      <c r="P607" s="48" t="s">
        <v>79</v>
      </c>
      <c r="Q607" s="49" t="s">
        <v>37</v>
      </c>
      <c r="R607" s="11" t="s">
        <v>80</v>
      </c>
      <c r="S607" s="11" t="s">
        <v>81</v>
      </c>
      <c r="T607" s="11" t="s">
        <v>1066</v>
      </c>
      <c r="U607" s="11" t="s">
        <v>2717</v>
      </c>
      <c r="V607" s="116" t="s">
        <v>1</v>
      </c>
      <c r="W607" s="88"/>
      <c r="X607" s="51">
        <v>45544</v>
      </c>
      <c r="Y607" s="97" t="s">
        <v>1578</v>
      </c>
      <c r="Z607" s="135" t="s">
        <v>2</v>
      </c>
      <c r="AA607" s="135">
        <v>0</v>
      </c>
    </row>
    <row r="608" spans="1:27" ht="13" customHeight="1">
      <c r="A608" s="11">
        <v>602</v>
      </c>
      <c r="B608" s="47">
        <v>203468743</v>
      </c>
      <c r="C608" s="89" t="s">
        <v>648</v>
      </c>
      <c r="D608" s="11" t="s">
        <v>649</v>
      </c>
      <c r="E608" s="48" t="s">
        <v>31</v>
      </c>
      <c r="F608" s="48" t="s">
        <v>74</v>
      </c>
      <c r="G608" s="11" t="s">
        <v>64</v>
      </c>
      <c r="H608" s="48" t="str">
        <f>VLOOKUP(Table1[[#This Row],[Psoft No]],[1]Roster!$C$2:$H$1402,6,)</f>
        <v>AUH1</v>
      </c>
      <c r="I608" s="48" t="b">
        <f>Table1[[#This Row],[Building]]=Table1[[#This Row],[Column1]]</f>
        <v>1</v>
      </c>
      <c r="J608" s="11" t="s">
        <v>75</v>
      </c>
      <c r="K608" s="11">
        <v>1299</v>
      </c>
      <c r="L608" s="49" t="s">
        <v>39</v>
      </c>
      <c r="M608" s="49" t="s">
        <v>76</v>
      </c>
      <c r="N608" s="49" t="s">
        <v>84</v>
      </c>
      <c r="O608" s="49" t="s">
        <v>85</v>
      </c>
      <c r="P608" s="48" t="s">
        <v>79</v>
      </c>
      <c r="Q608" s="49" t="s">
        <v>37</v>
      </c>
      <c r="R608" s="11" t="s">
        <v>80</v>
      </c>
      <c r="S608" s="11" t="s">
        <v>81</v>
      </c>
      <c r="T608" s="49" t="s">
        <v>627</v>
      </c>
      <c r="U608" s="11" t="s">
        <v>628</v>
      </c>
      <c r="V608" s="116" t="s">
        <v>1</v>
      </c>
      <c r="W608" s="88"/>
      <c r="X608" s="51">
        <v>45456</v>
      </c>
      <c r="Y608" s="97" t="s">
        <v>1579</v>
      </c>
      <c r="Z608" s="135" t="s">
        <v>2</v>
      </c>
      <c r="AA608" s="135">
        <v>0</v>
      </c>
    </row>
    <row r="609" spans="1:27" ht="13" customHeight="1">
      <c r="A609" s="11">
        <v>603</v>
      </c>
      <c r="B609" s="47">
        <v>206897640</v>
      </c>
      <c r="C609" s="89" t="s">
        <v>2853</v>
      </c>
      <c r="D609" s="11" t="s">
        <v>2854</v>
      </c>
      <c r="E609" s="48" t="s">
        <v>31</v>
      </c>
      <c r="F609" s="48" t="s">
        <v>74</v>
      </c>
      <c r="G609" s="11" t="s">
        <v>64</v>
      </c>
      <c r="H609" s="48" t="str">
        <f>VLOOKUP(Table1[[#This Row],[Psoft No]],[1]Roster!$C$2:$H$1402,6,)</f>
        <v>AUH1</v>
      </c>
      <c r="I609" s="48" t="b">
        <f>Table1[[#This Row],[Building]]=Table1[[#This Row],[Column1]]</f>
        <v>1</v>
      </c>
      <c r="J609" s="11" t="s">
        <v>75</v>
      </c>
      <c r="K609" s="11">
        <v>1299</v>
      </c>
      <c r="L609" s="49" t="s">
        <v>39</v>
      </c>
      <c r="M609" s="49" t="s">
        <v>76</v>
      </c>
      <c r="N609" s="49" t="s">
        <v>78</v>
      </c>
      <c r="O609" s="49" t="s">
        <v>92</v>
      </c>
      <c r="P609" s="48" t="s">
        <v>89</v>
      </c>
      <c r="Q609" s="49" t="s">
        <v>37</v>
      </c>
      <c r="R609" s="11" t="s">
        <v>80</v>
      </c>
      <c r="S609" s="11" t="s">
        <v>81</v>
      </c>
      <c r="T609" s="11" t="s">
        <v>631</v>
      </c>
      <c r="U609" s="11" t="s">
        <v>632</v>
      </c>
      <c r="V609" s="116" t="s">
        <v>10</v>
      </c>
      <c r="W609" s="88"/>
      <c r="X609" s="51">
        <v>46238</v>
      </c>
      <c r="Y609" s="97" t="s">
        <v>1579</v>
      </c>
      <c r="Z609" s="135" t="s">
        <v>3023</v>
      </c>
      <c r="AA609" s="135">
        <v>0</v>
      </c>
    </row>
    <row r="610" spans="1:27" ht="13" customHeight="1">
      <c r="A610" s="11">
        <v>604</v>
      </c>
      <c r="B610" s="92">
        <v>203908861</v>
      </c>
      <c r="C610" s="47" t="s">
        <v>2372</v>
      </c>
      <c r="D610" s="89" t="s">
        <v>2373</v>
      </c>
      <c r="E610" s="48" t="s">
        <v>31</v>
      </c>
      <c r="F610" s="48" t="s">
        <v>74</v>
      </c>
      <c r="G610" s="11" t="s">
        <v>64</v>
      </c>
      <c r="H610" s="48" t="str">
        <f>VLOOKUP(Table1[[#This Row],[Psoft No]],[1]Roster!$C$2:$H$1402,6,)</f>
        <v>AUH1</v>
      </c>
      <c r="I610" s="48" t="b">
        <f>Table1[[#This Row],[Building]]=Table1[[#This Row],[Column1]]</f>
        <v>1</v>
      </c>
      <c r="J610" s="11" t="s">
        <v>75</v>
      </c>
      <c r="K610" s="11">
        <v>1299</v>
      </c>
      <c r="L610" s="49" t="s">
        <v>32</v>
      </c>
      <c r="M610" s="49" t="s">
        <v>76</v>
      </c>
      <c r="N610" s="49" t="s">
        <v>88</v>
      </c>
      <c r="O610" s="49" t="s">
        <v>95</v>
      </c>
      <c r="P610" s="49" t="s">
        <v>86</v>
      </c>
      <c r="Q610" s="49" t="s">
        <v>37</v>
      </c>
      <c r="R610" s="11" t="s">
        <v>80</v>
      </c>
      <c r="S610" s="11" t="s">
        <v>90</v>
      </c>
      <c r="T610" s="11" t="s">
        <v>2845</v>
      </c>
      <c r="U610" s="11" t="s">
        <v>2846</v>
      </c>
      <c r="V610" s="116" t="str">
        <f>VLOOKUP(Table1[[#This Row],[Psoft No]],[2]Sheet1!$A$2:$G$386,7,0)</f>
        <v>P</v>
      </c>
      <c r="W610" s="88"/>
      <c r="X610" s="51">
        <v>45537</v>
      </c>
      <c r="Y610" s="97" t="s">
        <v>1578</v>
      </c>
      <c r="Z610" s="135" t="s">
        <v>2</v>
      </c>
      <c r="AA610" s="135">
        <v>0</v>
      </c>
    </row>
    <row r="611" spans="1:27" ht="13" customHeight="1">
      <c r="A611" s="11">
        <v>605</v>
      </c>
      <c r="B611" s="47">
        <v>205275762</v>
      </c>
      <c r="C611" s="89" t="s">
        <v>1356</v>
      </c>
      <c r="D611" s="11" t="s">
        <v>1987</v>
      </c>
      <c r="E611" s="48" t="s">
        <v>31</v>
      </c>
      <c r="F611" s="48" t="s">
        <v>74</v>
      </c>
      <c r="G611" s="11" t="s">
        <v>65</v>
      </c>
      <c r="H611" s="48" t="str">
        <f>VLOOKUP(Table1[[#This Row],[Psoft No]],[1]Roster!$C$2:$H$1402,6,)</f>
        <v>AUH3</v>
      </c>
      <c r="I611" s="48" t="b">
        <f>Table1[[#This Row],[Building]]=Table1[[#This Row],[Column1]]</f>
        <v>1</v>
      </c>
      <c r="J611" s="11" t="s">
        <v>1332</v>
      </c>
      <c r="K611" s="11">
        <v>1299</v>
      </c>
      <c r="L611" s="49" t="s">
        <v>32</v>
      </c>
      <c r="M611" s="49" t="s">
        <v>76</v>
      </c>
      <c r="N611" s="49" t="s">
        <v>84</v>
      </c>
      <c r="O611" s="49" t="s">
        <v>85</v>
      </c>
      <c r="P611" s="49" t="s">
        <v>89</v>
      </c>
      <c r="Q611" s="49" t="s">
        <v>68</v>
      </c>
      <c r="R611" s="11" t="s">
        <v>80</v>
      </c>
      <c r="S611" s="11" t="s">
        <v>90</v>
      </c>
      <c r="T611" s="11" t="s">
        <v>1336</v>
      </c>
      <c r="U611" s="11" t="s">
        <v>1337</v>
      </c>
      <c r="V611" s="116" t="s">
        <v>1</v>
      </c>
      <c r="W611" s="88"/>
      <c r="X611" s="51">
        <v>45796</v>
      </c>
      <c r="Y611" s="97" t="s">
        <v>68</v>
      </c>
      <c r="Z611" s="135" t="s">
        <v>2</v>
      </c>
      <c r="AA611" s="135">
        <v>0</v>
      </c>
    </row>
    <row r="612" spans="1:27" ht="13" customHeight="1">
      <c r="A612" s="11">
        <v>606</v>
      </c>
      <c r="B612" s="47">
        <v>204013729</v>
      </c>
      <c r="C612" s="89" t="s">
        <v>1363</v>
      </c>
      <c r="D612" s="11" t="s">
        <v>1364</v>
      </c>
      <c r="E612" s="48" t="s">
        <v>31</v>
      </c>
      <c r="F612" s="48" t="s">
        <v>74</v>
      </c>
      <c r="G612" s="11" t="s">
        <v>65</v>
      </c>
      <c r="H612" s="48" t="str">
        <f>VLOOKUP(Table1[[#This Row],[Psoft No]],[1]Roster!$C$2:$H$1402,6,)</f>
        <v>AUH3</v>
      </c>
      <c r="I612" s="48" t="b">
        <f>Table1[[#This Row],[Building]]=Table1[[#This Row],[Column1]]</f>
        <v>1</v>
      </c>
      <c r="J612" s="11" t="s">
        <v>1332</v>
      </c>
      <c r="K612" s="11">
        <v>1181</v>
      </c>
      <c r="L612" s="49" t="s">
        <v>32</v>
      </c>
      <c r="M612" s="49" t="s">
        <v>76</v>
      </c>
      <c r="N612" s="49" t="s">
        <v>88</v>
      </c>
      <c r="O612" s="49" t="s">
        <v>95</v>
      </c>
      <c r="P612" s="48" t="s">
        <v>79</v>
      </c>
      <c r="Q612" s="49" t="s">
        <v>68</v>
      </c>
      <c r="R612" s="11" t="s">
        <v>80</v>
      </c>
      <c r="S612" s="11" t="s">
        <v>81</v>
      </c>
      <c r="T612" s="11" t="s">
        <v>1336</v>
      </c>
      <c r="U612" s="11" t="s">
        <v>1337</v>
      </c>
      <c r="V612" s="116" t="s">
        <v>1</v>
      </c>
      <c r="W612" s="88"/>
      <c r="X612" s="51">
        <v>45551</v>
      </c>
      <c r="Y612" s="97" t="s">
        <v>68</v>
      </c>
      <c r="Z612" s="135" t="s">
        <v>2</v>
      </c>
      <c r="AA612" s="135">
        <v>0</v>
      </c>
    </row>
    <row r="613" spans="1:27" ht="13" customHeight="1">
      <c r="A613" s="11">
        <v>607</v>
      </c>
      <c r="B613" s="11">
        <v>206503618</v>
      </c>
      <c r="C613" s="89" t="s">
        <v>2187</v>
      </c>
      <c r="D613" s="48" t="s">
        <v>2188</v>
      </c>
      <c r="E613" s="48" t="s">
        <v>31</v>
      </c>
      <c r="F613" s="48" t="s">
        <v>74</v>
      </c>
      <c r="G613" s="11" t="s">
        <v>64</v>
      </c>
      <c r="H613" s="48" t="str">
        <f>VLOOKUP(Table1[[#This Row],[Psoft No]],[1]Roster!$C$2:$H$1402,6,)</f>
        <v>AUH1</v>
      </c>
      <c r="I613" s="48" t="b">
        <f>Table1[[#This Row],[Building]]=Table1[[#This Row],[Column1]]</f>
        <v>1</v>
      </c>
      <c r="J613" s="11" t="s">
        <v>75</v>
      </c>
      <c r="K613" s="11">
        <v>1299</v>
      </c>
      <c r="L613" s="49" t="s">
        <v>39</v>
      </c>
      <c r="M613" s="49" t="s">
        <v>76</v>
      </c>
      <c r="N613" s="49" t="s">
        <v>95</v>
      </c>
      <c r="O613" s="49" t="s">
        <v>77</v>
      </c>
      <c r="P613" s="48" t="s">
        <v>89</v>
      </c>
      <c r="Q613" s="49" t="s">
        <v>37</v>
      </c>
      <c r="R613" s="11" t="s">
        <v>80</v>
      </c>
      <c r="S613" s="11" t="s">
        <v>96</v>
      </c>
      <c r="T613" s="11" t="s">
        <v>647</v>
      </c>
      <c r="U613" s="11" t="s">
        <v>1798</v>
      </c>
      <c r="V613" s="116" t="s">
        <v>1</v>
      </c>
      <c r="W613" s="88"/>
      <c r="X613" s="51">
        <v>46048</v>
      </c>
      <c r="Y613" s="97" t="s">
        <v>1577</v>
      </c>
      <c r="Z613" s="135" t="s">
        <v>2</v>
      </c>
      <c r="AA613" s="135">
        <v>0</v>
      </c>
    </row>
    <row r="614" spans="1:27" ht="13" customHeight="1">
      <c r="A614" s="11">
        <v>608</v>
      </c>
      <c r="B614" s="92">
        <v>110804937</v>
      </c>
      <c r="C614" s="47" t="s">
        <v>1859</v>
      </c>
      <c r="D614" s="89" t="s">
        <v>1860</v>
      </c>
      <c r="E614" s="48" t="s">
        <v>34</v>
      </c>
      <c r="F614" s="48" t="s">
        <v>74</v>
      </c>
      <c r="G614" s="11" t="s">
        <v>64</v>
      </c>
      <c r="H614" s="48" t="str">
        <f>VLOOKUP(Table1[[#This Row],[Psoft No]],[1]Roster!$C$2:$H$1402,6,)</f>
        <v>AUH1</v>
      </c>
      <c r="I614" s="48" t="b">
        <f>Table1[[#This Row],[Building]]=Table1[[#This Row],[Column1]]</f>
        <v>1</v>
      </c>
      <c r="J614" s="11" t="s">
        <v>75</v>
      </c>
      <c r="K614" s="11">
        <v>1299</v>
      </c>
      <c r="L614" s="49" t="s">
        <v>39</v>
      </c>
      <c r="M614" s="49" t="s">
        <v>76</v>
      </c>
      <c r="N614" s="49" t="s">
        <v>85</v>
      </c>
      <c r="O614" s="49" t="s">
        <v>88</v>
      </c>
      <c r="P614" s="48" t="s">
        <v>97</v>
      </c>
      <c r="Q614" s="49" t="s">
        <v>37</v>
      </c>
      <c r="R614" s="11" t="s">
        <v>80</v>
      </c>
      <c r="S614" s="11" t="s">
        <v>98</v>
      </c>
      <c r="T614" s="11" t="s">
        <v>2844</v>
      </c>
      <c r="U614" s="11" t="s">
        <v>2716</v>
      </c>
      <c r="V614" s="116" t="s">
        <v>1</v>
      </c>
      <c r="W614" s="88"/>
      <c r="X614" s="51">
        <v>44800</v>
      </c>
      <c r="Y614" s="97" t="s">
        <v>1581</v>
      </c>
      <c r="Z614" s="135" t="s">
        <v>2</v>
      </c>
      <c r="AA614" s="135">
        <v>0</v>
      </c>
    </row>
    <row r="615" spans="1:27" ht="13" customHeight="1">
      <c r="A615" s="11">
        <v>609</v>
      </c>
      <c r="B615" s="47">
        <v>205236906</v>
      </c>
      <c r="C615" s="89" t="s">
        <v>2737</v>
      </c>
      <c r="D615" s="11" t="s">
        <v>2738</v>
      </c>
      <c r="E615" s="48" t="s">
        <v>31</v>
      </c>
      <c r="F615" s="48" t="s">
        <v>74</v>
      </c>
      <c r="G615" s="11" t="s">
        <v>64</v>
      </c>
      <c r="H615" s="48" t="str">
        <f>VLOOKUP(Table1[[#This Row],[Psoft No]],[1]Roster!$C$2:$H$1402,6,)</f>
        <v>AUH1</v>
      </c>
      <c r="I615" s="48" t="b">
        <f>Table1[[#This Row],[Building]]=Table1[[#This Row],[Column1]]</f>
        <v>1</v>
      </c>
      <c r="J615" s="11" t="s">
        <v>75</v>
      </c>
      <c r="K615" s="11">
        <v>1299</v>
      </c>
      <c r="L615" s="49" t="s">
        <v>32</v>
      </c>
      <c r="M615" s="49" t="s">
        <v>76</v>
      </c>
      <c r="N615" s="49" t="s">
        <v>95</v>
      </c>
      <c r="O615" s="49" t="s">
        <v>77</v>
      </c>
      <c r="P615" s="48" t="s">
        <v>86</v>
      </c>
      <c r="Q615" s="49" t="s">
        <v>37</v>
      </c>
      <c r="R615" s="11" t="s">
        <v>80</v>
      </c>
      <c r="S615" s="11" t="s">
        <v>90</v>
      </c>
      <c r="T615" s="11" t="s">
        <v>647</v>
      </c>
      <c r="U615" s="11" t="s">
        <v>2739</v>
      </c>
      <c r="V615" s="116" t="str">
        <f>VLOOKUP(Table1[[#This Row],[Psoft No]],[2]Sheet1!$A$2:$G$386,7,0)</f>
        <v>P</v>
      </c>
      <c r="W615" s="88"/>
      <c r="X615" s="51">
        <v>45789</v>
      </c>
      <c r="Y615" s="97" t="s">
        <v>1577</v>
      </c>
      <c r="Z615" s="135" t="s">
        <v>2</v>
      </c>
      <c r="AA615" s="135">
        <v>0</v>
      </c>
    </row>
    <row r="616" spans="1:27" ht="13" customHeight="1">
      <c r="A616" s="11">
        <v>610</v>
      </c>
      <c r="B616" s="47">
        <v>204299070</v>
      </c>
      <c r="C616" s="89" t="s">
        <v>652</v>
      </c>
      <c r="D616" s="11" t="s">
        <v>653</v>
      </c>
      <c r="E616" s="48" t="s">
        <v>31</v>
      </c>
      <c r="F616" s="48" t="s">
        <v>74</v>
      </c>
      <c r="G616" s="11" t="s">
        <v>64</v>
      </c>
      <c r="H616" s="48" t="str">
        <f>VLOOKUP(Table1[[#This Row],[Psoft No]],[1]Roster!$C$2:$H$1402,6,)</f>
        <v>AUH1</v>
      </c>
      <c r="I616" s="48" t="b">
        <f>Table1[[#This Row],[Building]]=Table1[[#This Row],[Column1]]</f>
        <v>1</v>
      </c>
      <c r="J616" s="11" t="s">
        <v>75</v>
      </c>
      <c r="K616" s="11">
        <v>1299</v>
      </c>
      <c r="L616" s="49" t="s">
        <v>39</v>
      </c>
      <c r="M616" s="49" t="s">
        <v>76</v>
      </c>
      <c r="N616" s="49" t="s">
        <v>84</v>
      </c>
      <c r="O616" s="49" t="s">
        <v>85</v>
      </c>
      <c r="P616" s="48" t="s">
        <v>86</v>
      </c>
      <c r="Q616" s="49" t="s">
        <v>37</v>
      </c>
      <c r="R616" s="11" t="s">
        <v>80</v>
      </c>
      <c r="S616" s="11" t="s">
        <v>87</v>
      </c>
      <c r="T616" s="49" t="s">
        <v>631</v>
      </c>
      <c r="U616" s="11" t="s">
        <v>632</v>
      </c>
      <c r="V616" s="116" t="s">
        <v>1</v>
      </c>
      <c r="W616" s="88"/>
      <c r="X616" s="51">
        <v>45586</v>
      </c>
      <c r="Y616" s="97" t="s">
        <v>1578</v>
      </c>
      <c r="Z616" s="135" t="s">
        <v>2</v>
      </c>
      <c r="AA616" s="135">
        <v>0</v>
      </c>
    </row>
    <row r="617" spans="1:27" ht="13" customHeight="1">
      <c r="A617" s="11">
        <v>611</v>
      </c>
      <c r="B617" s="47">
        <v>203522193</v>
      </c>
      <c r="C617" s="89" t="s">
        <v>654</v>
      </c>
      <c r="D617" s="11" t="s">
        <v>655</v>
      </c>
      <c r="E617" s="48" t="s">
        <v>31</v>
      </c>
      <c r="F617" s="48" t="s">
        <v>74</v>
      </c>
      <c r="G617" s="11" t="s">
        <v>64</v>
      </c>
      <c r="H617" s="48" t="str">
        <f>VLOOKUP(Table1[[#This Row],[Psoft No]],[1]Roster!$C$2:$H$1402,6,)</f>
        <v>AUH1</v>
      </c>
      <c r="I617" s="48" t="b">
        <f>Table1[[#This Row],[Building]]=Table1[[#This Row],[Column1]]</f>
        <v>1</v>
      </c>
      <c r="J617" s="11" t="s">
        <v>75</v>
      </c>
      <c r="K617" s="11">
        <v>1299</v>
      </c>
      <c r="L617" s="49" t="s">
        <v>39</v>
      </c>
      <c r="M617" s="49" t="s">
        <v>76</v>
      </c>
      <c r="N617" s="49" t="s">
        <v>85</v>
      </c>
      <c r="O617" s="49" t="s">
        <v>88</v>
      </c>
      <c r="P617" s="48" t="s">
        <v>86</v>
      </c>
      <c r="Q617" s="49" t="s">
        <v>37</v>
      </c>
      <c r="R617" s="11" t="s">
        <v>80</v>
      </c>
      <c r="S617" s="11" t="s">
        <v>99</v>
      </c>
      <c r="T617" s="49" t="s">
        <v>627</v>
      </c>
      <c r="U617" s="11" t="s">
        <v>628</v>
      </c>
      <c r="V617" s="116" t="s">
        <v>1</v>
      </c>
      <c r="W617" s="88"/>
      <c r="X617" s="51">
        <v>45463</v>
      </c>
      <c r="Y617" s="97" t="s">
        <v>1579</v>
      </c>
      <c r="Z617" s="135" t="s">
        <v>2</v>
      </c>
      <c r="AA617" s="135">
        <v>0</v>
      </c>
    </row>
    <row r="618" spans="1:27" ht="13" customHeight="1">
      <c r="A618" s="11">
        <v>612</v>
      </c>
      <c r="B618" s="47">
        <v>203851103</v>
      </c>
      <c r="C618" s="89" t="s">
        <v>656</v>
      </c>
      <c r="D618" s="47" t="s">
        <v>657</v>
      </c>
      <c r="E618" s="47" t="s">
        <v>31</v>
      </c>
      <c r="F618" s="48" t="s">
        <v>74</v>
      </c>
      <c r="G618" s="11" t="s">
        <v>64</v>
      </c>
      <c r="H618" s="48" t="str">
        <f>VLOOKUP(Table1[[#This Row],[Psoft No]],[1]Roster!$C$2:$H$1402,6,)</f>
        <v>AUH1</v>
      </c>
      <c r="I618" s="48" t="b">
        <f>Table1[[#This Row],[Building]]=Table1[[#This Row],[Column1]]</f>
        <v>1</v>
      </c>
      <c r="J618" s="11" t="s">
        <v>75</v>
      </c>
      <c r="K618" s="47">
        <v>1299</v>
      </c>
      <c r="L618" s="49" t="s">
        <v>32</v>
      </c>
      <c r="M618" s="49" t="s">
        <v>76</v>
      </c>
      <c r="N618" s="49" t="s">
        <v>84</v>
      </c>
      <c r="O618" s="49" t="s">
        <v>85</v>
      </c>
      <c r="P618" s="49" t="s">
        <v>79</v>
      </c>
      <c r="Q618" s="49" t="s">
        <v>37</v>
      </c>
      <c r="R618" s="11" t="s">
        <v>80</v>
      </c>
      <c r="S618" s="47" t="s">
        <v>81</v>
      </c>
      <c r="T618" s="49" t="s">
        <v>647</v>
      </c>
      <c r="U618" s="47" t="s">
        <v>1798</v>
      </c>
      <c r="V618" s="116" t="str">
        <f>VLOOKUP(Table1[[#This Row],[Psoft No]],[2]Sheet1!$A$2:$G$386,7,0)</f>
        <v>P</v>
      </c>
      <c r="W618" s="88"/>
      <c r="X618" s="51">
        <v>45524</v>
      </c>
      <c r="Y618" s="97" t="s">
        <v>1579</v>
      </c>
      <c r="Z618" s="135" t="s">
        <v>2</v>
      </c>
      <c r="AA618" s="135">
        <v>0</v>
      </c>
    </row>
    <row r="619" spans="1:27" ht="13" customHeight="1">
      <c r="A619" s="11">
        <v>613</v>
      </c>
      <c r="B619" s="47">
        <v>206850851</v>
      </c>
      <c r="C619" s="89" t="s">
        <v>2374</v>
      </c>
      <c r="D619" s="11" t="s">
        <v>2375</v>
      </c>
      <c r="E619" s="48" t="s">
        <v>31</v>
      </c>
      <c r="F619" s="48" t="s">
        <v>74</v>
      </c>
      <c r="G619" s="11" t="s">
        <v>64</v>
      </c>
      <c r="H619" s="48" t="str">
        <f>VLOOKUP(Table1[[#This Row],[Psoft No]],[1]Roster!$C$2:$H$1402,6,)</f>
        <v>AUH1</v>
      </c>
      <c r="I619" s="48" t="b">
        <f>Table1[[#This Row],[Building]]=Table1[[#This Row],[Column1]]</f>
        <v>1</v>
      </c>
      <c r="J619" s="11" t="s">
        <v>75</v>
      </c>
      <c r="K619" s="11">
        <v>1299</v>
      </c>
      <c r="L619" s="49" t="s">
        <v>32</v>
      </c>
      <c r="M619" s="49" t="s">
        <v>76</v>
      </c>
      <c r="N619" s="49" t="s">
        <v>84</v>
      </c>
      <c r="O619" s="49" t="s">
        <v>85</v>
      </c>
      <c r="P619" s="48" t="s">
        <v>89</v>
      </c>
      <c r="Q619" s="49" t="s">
        <v>37</v>
      </c>
      <c r="R619" s="11" t="s">
        <v>80</v>
      </c>
      <c r="S619" s="11" t="s">
        <v>90</v>
      </c>
      <c r="T619" s="49" t="s">
        <v>647</v>
      </c>
      <c r="U619" s="11" t="s">
        <v>1798</v>
      </c>
      <c r="V619" s="116" t="str">
        <f>VLOOKUP(Table1[[#This Row],[Psoft No]],[2]Sheet1!$A$2:$G$386,7,0)</f>
        <v>P</v>
      </c>
      <c r="W619" s="88"/>
      <c r="X619" s="51">
        <v>46013</v>
      </c>
      <c r="Y619" s="97" t="s">
        <v>1577</v>
      </c>
      <c r="Z619" s="135" t="s">
        <v>2</v>
      </c>
      <c r="AA619" s="135">
        <v>0</v>
      </c>
    </row>
    <row r="620" spans="1:27" ht="13" customHeight="1">
      <c r="A620" s="11">
        <v>614</v>
      </c>
      <c r="B620" s="92">
        <v>203965006</v>
      </c>
      <c r="C620" s="47" t="s">
        <v>658</v>
      </c>
      <c r="D620" s="89" t="s">
        <v>659</v>
      </c>
      <c r="E620" s="48" t="s">
        <v>31</v>
      </c>
      <c r="F620" s="48" t="s">
        <v>74</v>
      </c>
      <c r="G620" s="11" t="s">
        <v>64</v>
      </c>
      <c r="H620" s="48" t="str">
        <f>VLOOKUP(Table1[[#This Row],[Psoft No]],[1]Roster!$C$2:$H$1402,6,)</f>
        <v>AUH1</v>
      </c>
      <c r="I620" s="48" t="b">
        <f>Table1[[#This Row],[Building]]=Table1[[#This Row],[Column1]]</f>
        <v>1</v>
      </c>
      <c r="J620" s="11" t="s">
        <v>75</v>
      </c>
      <c r="K620" s="11">
        <v>1299</v>
      </c>
      <c r="L620" s="49" t="s">
        <v>39</v>
      </c>
      <c r="M620" s="49" t="s">
        <v>76</v>
      </c>
      <c r="N620" s="49" t="s">
        <v>92</v>
      </c>
      <c r="O620" s="49" t="s">
        <v>84</v>
      </c>
      <c r="P620" s="48" t="s">
        <v>86</v>
      </c>
      <c r="Q620" s="49" t="s">
        <v>37</v>
      </c>
      <c r="R620" s="11" t="s">
        <v>80</v>
      </c>
      <c r="S620" s="11" t="s">
        <v>99</v>
      </c>
      <c r="T620" s="11" t="s">
        <v>627</v>
      </c>
      <c r="U620" s="11" t="s">
        <v>628</v>
      </c>
      <c r="V620" s="116" t="s">
        <v>10</v>
      </c>
      <c r="W620" s="88"/>
      <c r="X620" s="51">
        <v>45544</v>
      </c>
      <c r="Y620" s="97" t="s">
        <v>1577</v>
      </c>
      <c r="Z620" s="135" t="s">
        <v>3023</v>
      </c>
      <c r="AA620" s="135">
        <v>0</v>
      </c>
    </row>
    <row r="621" spans="1:27" ht="13" customHeight="1">
      <c r="A621" s="11">
        <v>615</v>
      </c>
      <c r="B621" s="47">
        <v>204864796</v>
      </c>
      <c r="C621" s="89" t="s">
        <v>2740</v>
      </c>
      <c r="D621" s="11" t="s">
        <v>2741</v>
      </c>
      <c r="E621" s="48" t="s">
        <v>31</v>
      </c>
      <c r="F621" s="48" t="s">
        <v>74</v>
      </c>
      <c r="G621" s="11" t="s">
        <v>64</v>
      </c>
      <c r="H621" s="48" t="str">
        <f>VLOOKUP(Table1[[#This Row],[Psoft No]],[1]Roster!$C$2:$H$1402,6,)</f>
        <v>AUH1</v>
      </c>
      <c r="I621" s="48" t="b">
        <f>Table1[[#This Row],[Building]]=Table1[[#This Row],[Column1]]</f>
        <v>1</v>
      </c>
      <c r="J621" s="11" t="s">
        <v>75</v>
      </c>
      <c r="K621" s="11">
        <v>1299</v>
      </c>
      <c r="L621" s="49" t="s">
        <v>32</v>
      </c>
      <c r="M621" s="49" t="s">
        <v>76</v>
      </c>
      <c r="N621" s="49" t="s">
        <v>84</v>
      </c>
      <c r="O621" s="49" t="s">
        <v>85</v>
      </c>
      <c r="P621" s="48" t="s">
        <v>2742</v>
      </c>
      <c r="Q621" s="49" t="s">
        <v>37</v>
      </c>
      <c r="R621" s="11" t="s">
        <v>80</v>
      </c>
      <c r="S621" s="11" t="s">
        <v>90</v>
      </c>
      <c r="T621" s="11" t="s">
        <v>2845</v>
      </c>
      <c r="U621" s="11" t="s">
        <v>2846</v>
      </c>
      <c r="V621" s="116" t="str">
        <f>VLOOKUP(Table1[[#This Row],[Psoft No]],[2]Sheet1!$A$2:$G$386,7,0)</f>
        <v>P</v>
      </c>
      <c r="W621" s="88"/>
      <c r="X621" s="51">
        <v>45789</v>
      </c>
      <c r="Y621" s="97" t="s">
        <v>1577</v>
      </c>
      <c r="Z621" s="135" t="s">
        <v>2</v>
      </c>
      <c r="AA621" s="135">
        <v>0</v>
      </c>
    </row>
    <row r="622" spans="1:27" ht="13" customHeight="1">
      <c r="A622" s="11">
        <v>616</v>
      </c>
      <c r="B622" s="47">
        <v>203477173</v>
      </c>
      <c r="C622" s="89" t="s">
        <v>660</v>
      </c>
      <c r="D622" s="11" t="s">
        <v>661</v>
      </c>
      <c r="E622" s="48" t="s">
        <v>31</v>
      </c>
      <c r="F622" s="48" t="s">
        <v>74</v>
      </c>
      <c r="G622" s="11" t="s">
        <v>64</v>
      </c>
      <c r="H622" s="48" t="str">
        <f>VLOOKUP(Table1[[#This Row],[Psoft No]],[1]Roster!$C$2:$H$1402,6,)</f>
        <v>AUH1</v>
      </c>
      <c r="I622" s="48" t="b">
        <f>Table1[[#This Row],[Building]]=Table1[[#This Row],[Column1]]</f>
        <v>1</v>
      </c>
      <c r="J622" s="11" t="s">
        <v>75</v>
      </c>
      <c r="K622" s="11">
        <v>1299</v>
      </c>
      <c r="L622" s="49" t="s">
        <v>39</v>
      </c>
      <c r="M622" s="49" t="s">
        <v>76</v>
      </c>
      <c r="N622" s="49" t="s">
        <v>92</v>
      </c>
      <c r="O622" s="49" t="s">
        <v>84</v>
      </c>
      <c r="P622" s="49" t="s">
        <v>86</v>
      </c>
      <c r="Q622" s="49" t="s">
        <v>37</v>
      </c>
      <c r="R622" s="49" t="s">
        <v>80</v>
      </c>
      <c r="S622" s="49" t="s">
        <v>99</v>
      </c>
      <c r="T622" s="49" t="s">
        <v>627</v>
      </c>
      <c r="U622" s="49" t="s">
        <v>628</v>
      </c>
      <c r="V622" s="116" t="s">
        <v>10</v>
      </c>
      <c r="W622" s="88"/>
      <c r="X622" s="51">
        <v>45456</v>
      </c>
      <c r="Y622" s="97" t="s">
        <v>1579</v>
      </c>
      <c r="Z622" s="135" t="s">
        <v>3023</v>
      </c>
      <c r="AA622" s="135">
        <v>0</v>
      </c>
    </row>
    <row r="623" spans="1:27" ht="13" customHeight="1">
      <c r="A623" s="11">
        <v>617</v>
      </c>
      <c r="B623" s="47">
        <v>206915466</v>
      </c>
      <c r="C623" s="89" t="s">
        <v>1911</v>
      </c>
      <c r="D623" s="11" t="s">
        <v>1917</v>
      </c>
      <c r="E623" s="48" t="s">
        <v>31</v>
      </c>
      <c r="F623" s="48" t="s">
        <v>74</v>
      </c>
      <c r="G623" s="11" t="s">
        <v>64</v>
      </c>
      <c r="H623" s="48" t="str">
        <f>VLOOKUP(Table1[[#This Row],[Psoft No]],[1]Roster!$C$2:$H$1402,6,)</f>
        <v>AUH1</v>
      </c>
      <c r="I623" s="48" t="b">
        <f>Table1[[#This Row],[Building]]=Table1[[#This Row],[Column1]]</f>
        <v>1</v>
      </c>
      <c r="J623" s="11" t="s">
        <v>75</v>
      </c>
      <c r="K623" s="11">
        <v>1299</v>
      </c>
      <c r="L623" s="49" t="s">
        <v>39</v>
      </c>
      <c r="M623" s="49" t="s">
        <v>76</v>
      </c>
      <c r="N623" s="49" t="s">
        <v>92</v>
      </c>
      <c r="O623" s="49" t="s">
        <v>84</v>
      </c>
      <c r="P623" s="48" t="s">
        <v>89</v>
      </c>
      <c r="Q623" s="49" t="s">
        <v>37</v>
      </c>
      <c r="R623" s="11" t="s">
        <v>80</v>
      </c>
      <c r="S623" s="11" t="s">
        <v>90</v>
      </c>
      <c r="T623" s="49" t="s">
        <v>647</v>
      </c>
      <c r="U623" s="11" t="s">
        <v>1798</v>
      </c>
      <c r="V623" s="116" t="s">
        <v>10</v>
      </c>
      <c r="W623" s="88"/>
      <c r="X623" s="51">
        <v>46034</v>
      </c>
      <c r="Y623" s="97" t="s">
        <v>1576</v>
      </c>
      <c r="Z623" s="135" t="s">
        <v>3023</v>
      </c>
      <c r="AA623" s="135">
        <v>0</v>
      </c>
    </row>
    <row r="624" spans="1:27" ht="13" customHeight="1">
      <c r="A624" s="11">
        <v>618</v>
      </c>
      <c r="B624" s="47">
        <v>203850770</v>
      </c>
      <c r="C624" s="89" t="s">
        <v>662</v>
      </c>
      <c r="D624" s="11" t="s">
        <v>663</v>
      </c>
      <c r="E624" s="48" t="s">
        <v>31</v>
      </c>
      <c r="F624" s="48" t="s">
        <v>74</v>
      </c>
      <c r="G624" s="11" t="s">
        <v>64</v>
      </c>
      <c r="H624" s="48" t="str">
        <f>VLOOKUP(Table1[[#This Row],[Psoft No]],[1]Roster!$C$2:$H$1402,6,)</f>
        <v>AUH1</v>
      </c>
      <c r="I624" s="48" t="b">
        <f>Table1[[#This Row],[Building]]=Table1[[#This Row],[Column1]]</f>
        <v>1</v>
      </c>
      <c r="J624" s="11" t="s">
        <v>75</v>
      </c>
      <c r="K624" s="11">
        <v>1299</v>
      </c>
      <c r="L624" s="49" t="s">
        <v>39</v>
      </c>
      <c r="M624" s="49" t="s">
        <v>76</v>
      </c>
      <c r="N624" s="49" t="s">
        <v>84</v>
      </c>
      <c r="O624" s="49" t="s">
        <v>85</v>
      </c>
      <c r="P624" s="48" t="s">
        <v>86</v>
      </c>
      <c r="Q624" s="49" t="s">
        <v>37</v>
      </c>
      <c r="R624" s="11" t="s">
        <v>80</v>
      </c>
      <c r="S624" s="11" t="s">
        <v>90</v>
      </c>
      <c r="T624" s="49" t="s">
        <v>647</v>
      </c>
      <c r="U624" s="11" t="s">
        <v>1798</v>
      </c>
      <c r="V624" s="116" t="s">
        <v>1</v>
      </c>
      <c r="W624" s="88"/>
      <c r="X624" s="51">
        <v>45524</v>
      </c>
      <c r="Y624" s="97" t="s">
        <v>1577</v>
      </c>
      <c r="Z624" s="135" t="s">
        <v>2</v>
      </c>
      <c r="AA624" s="135">
        <v>0</v>
      </c>
    </row>
    <row r="625" spans="1:27" ht="13" customHeight="1">
      <c r="A625" s="11">
        <v>619</v>
      </c>
      <c r="B625" s="47">
        <v>204116439</v>
      </c>
      <c r="C625" s="89" t="s">
        <v>664</v>
      </c>
      <c r="D625" s="11" t="s">
        <v>665</v>
      </c>
      <c r="E625" s="48" t="s">
        <v>31</v>
      </c>
      <c r="F625" s="48" t="s">
        <v>74</v>
      </c>
      <c r="G625" s="11" t="s">
        <v>64</v>
      </c>
      <c r="H625" s="48" t="str">
        <f>VLOOKUP(Table1[[#This Row],[Psoft No]],[1]Roster!$C$2:$H$1402,6,)</f>
        <v>AUH1</v>
      </c>
      <c r="I625" s="48" t="b">
        <f>Table1[[#This Row],[Building]]=Table1[[#This Row],[Column1]]</f>
        <v>1</v>
      </c>
      <c r="J625" s="11" t="s">
        <v>75</v>
      </c>
      <c r="K625" s="11">
        <v>1299</v>
      </c>
      <c r="L625" s="49" t="s">
        <v>39</v>
      </c>
      <c r="M625" s="49" t="s">
        <v>76</v>
      </c>
      <c r="N625" s="49" t="s">
        <v>78</v>
      </c>
      <c r="O625" s="49" t="s">
        <v>92</v>
      </c>
      <c r="P625" s="48" t="s">
        <v>86</v>
      </c>
      <c r="Q625" s="49" t="s">
        <v>37</v>
      </c>
      <c r="R625" s="11" t="s">
        <v>80</v>
      </c>
      <c r="S625" s="11" t="s">
        <v>87</v>
      </c>
      <c r="T625" s="11" t="s">
        <v>647</v>
      </c>
      <c r="U625" s="11" t="s">
        <v>1798</v>
      </c>
      <c r="V625" s="116" t="s">
        <v>10</v>
      </c>
      <c r="W625" s="88"/>
      <c r="X625" s="51">
        <v>45561</v>
      </c>
      <c r="Y625" s="97" t="s">
        <v>1576</v>
      </c>
      <c r="Z625" s="135" t="s">
        <v>3023</v>
      </c>
      <c r="AA625" s="135">
        <v>0</v>
      </c>
    </row>
    <row r="626" spans="1:27" ht="13" customHeight="1">
      <c r="A626" s="11">
        <v>620</v>
      </c>
      <c r="B626" s="47">
        <v>112649477</v>
      </c>
      <c r="C626" s="89" t="s">
        <v>666</v>
      </c>
      <c r="D626" s="11" t="s">
        <v>667</v>
      </c>
      <c r="E626" s="48" t="s">
        <v>31</v>
      </c>
      <c r="F626" s="48" t="s">
        <v>74</v>
      </c>
      <c r="G626" s="11" t="s">
        <v>64</v>
      </c>
      <c r="H626" s="48" t="str">
        <f>VLOOKUP(Table1[[#This Row],[Psoft No]],[1]Roster!$C$2:$H$1402,6,)</f>
        <v>AUH1</v>
      </c>
      <c r="I626" s="48" t="b">
        <f>Table1[[#This Row],[Building]]=Table1[[#This Row],[Column1]]</f>
        <v>1</v>
      </c>
      <c r="J626" s="11" t="s">
        <v>75</v>
      </c>
      <c r="K626" s="11">
        <v>1299</v>
      </c>
      <c r="L626" s="49" t="s">
        <v>39</v>
      </c>
      <c r="M626" s="49" t="s">
        <v>76</v>
      </c>
      <c r="N626" s="49" t="s">
        <v>78</v>
      </c>
      <c r="O626" s="49" t="s">
        <v>92</v>
      </c>
      <c r="P626" s="49" t="s">
        <v>86</v>
      </c>
      <c r="Q626" s="49" t="s">
        <v>37</v>
      </c>
      <c r="R626" s="11" t="s">
        <v>80</v>
      </c>
      <c r="S626" s="11" t="s">
        <v>87</v>
      </c>
      <c r="T626" s="11" t="s">
        <v>1066</v>
      </c>
      <c r="U626" s="11" t="s">
        <v>2717</v>
      </c>
      <c r="V626" s="116" t="s">
        <v>10</v>
      </c>
      <c r="W626" s="88"/>
      <c r="X626" s="51">
        <v>45568</v>
      </c>
      <c r="Y626" s="97" t="s">
        <v>1578</v>
      </c>
      <c r="Z626" s="135" t="s">
        <v>3023</v>
      </c>
      <c r="AA626" s="135">
        <v>0</v>
      </c>
    </row>
    <row r="627" spans="1:27" ht="13" customHeight="1">
      <c r="A627" s="11">
        <v>621</v>
      </c>
      <c r="B627" s="47">
        <v>205846579</v>
      </c>
      <c r="C627" s="89" t="s">
        <v>668</v>
      </c>
      <c r="D627" s="11" t="s">
        <v>669</v>
      </c>
      <c r="E627" s="48" t="s">
        <v>31</v>
      </c>
      <c r="F627" s="48" t="s">
        <v>74</v>
      </c>
      <c r="G627" s="11" t="s">
        <v>64</v>
      </c>
      <c r="H627" s="48" t="str">
        <f>VLOOKUP(Table1[[#This Row],[Psoft No]],[1]Roster!$C$2:$H$1402,6,)</f>
        <v>AUH1</v>
      </c>
      <c r="I627" s="48" t="b">
        <f>Table1[[#This Row],[Building]]=Table1[[#This Row],[Column1]]</f>
        <v>1</v>
      </c>
      <c r="J627" s="11" t="s">
        <v>75</v>
      </c>
      <c r="K627" s="11">
        <v>1299</v>
      </c>
      <c r="L627" s="49" t="s">
        <v>39</v>
      </c>
      <c r="M627" s="49" t="s">
        <v>76</v>
      </c>
      <c r="N627" s="49" t="s">
        <v>88</v>
      </c>
      <c r="O627" s="49" t="s">
        <v>95</v>
      </c>
      <c r="P627" s="48" t="s">
        <v>89</v>
      </c>
      <c r="Q627" s="49" t="s">
        <v>37</v>
      </c>
      <c r="R627" s="11" t="s">
        <v>80</v>
      </c>
      <c r="S627" s="11" t="s">
        <v>96</v>
      </c>
      <c r="T627" s="11" t="s">
        <v>631</v>
      </c>
      <c r="U627" s="11" t="s">
        <v>632</v>
      </c>
      <c r="V627" s="116" t="s">
        <v>1</v>
      </c>
      <c r="W627" s="88"/>
      <c r="X627" s="51">
        <v>45894</v>
      </c>
      <c r="Y627" s="97" t="s">
        <v>1577</v>
      </c>
      <c r="Z627" s="135" t="s">
        <v>2</v>
      </c>
      <c r="AA627" s="135">
        <v>0</v>
      </c>
    </row>
    <row r="628" spans="1:27" ht="13" customHeight="1">
      <c r="A628" s="11">
        <v>622</v>
      </c>
      <c r="B628" s="47">
        <v>203555843</v>
      </c>
      <c r="C628" s="89" t="s">
        <v>670</v>
      </c>
      <c r="D628" s="11" t="s">
        <v>671</v>
      </c>
      <c r="E628" s="48" t="s">
        <v>31</v>
      </c>
      <c r="F628" s="48" t="s">
        <v>74</v>
      </c>
      <c r="G628" s="11" t="s">
        <v>64</v>
      </c>
      <c r="H628" s="48" t="str">
        <f>VLOOKUP(Table1[[#This Row],[Psoft No]],[1]Roster!$C$2:$H$1402,6,)</f>
        <v>AUH1</v>
      </c>
      <c r="I628" s="48" t="b">
        <f>Table1[[#This Row],[Building]]=Table1[[#This Row],[Column1]]</f>
        <v>1</v>
      </c>
      <c r="J628" s="11" t="s">
        <v>75</v>
      </c>
      <c r="K628" s="11">
        <v>1299</v>
      </c>
      <c r="L628" s="49" t="s">
        <v>32</v>
      </c>
      <c r="M628" s="49" t="s">
        <v>76</v>
      </c>
      <c r="N628" s="49" t="s">
        <v>77</v>
      </c>
      <c r="O628" s="49" t="s">
        <v>78</v>
      </c>
      <c r="P628" s="48" t="s">
        <v>86</v>
      </c>
      <c r="Q628" s="49" t="s">
        <v>37</v>
      </c>
      <c r="R628" s="11" t="s">
        <v>80</v>
      </c>
      <c r="S628" s="11" t="s">
        <v>99</v>
      </c>
      <c r="T628" s="49" t="s">
        <v>1066</v>
      </c>
      <c r="U628" s="11" t="s">
        <v>2717</v>
      </c>
      <c r="V628" s="116" t="str">
        <f>VLOOKUP(Table1[[#This Row],[Psoft No]],[2]Sheet1!$A$2:$G$386,7,0)</f>
        <v>P</v>
      </c>
      <c r="W628" s="88"/>
      <c r="X628" s="51">
        <v>45470</v>
      </c>
      <c r="Y628" s="97" t="s">
        <v>1577</v>
      </c>
      <c r="Z628" s="135" t="s">
        <v>2</v>
      </c>
      <c r="AA628" s="135">
        <v>0</v>
      </c>
    </row>
    <row r="629" spans="1:27" ht="13" customHeight="1">
      <c r="A629" s="11">
        <v>623</v>
      </c>
      <c r="B629" s="47">
        <v>205852635</v>
      </c>
      <c r="C629" s="89" t="s">
        <v>2884</v>
      </c>
      <c r="D629" s="11" t="s">
        <v>2885</v>
      </c>
      <c r="E629" s="48" t="s">
        <v>31</v>
      </c>
      <c r="F629" s="48" t="s">
        <v>74</v>
      </c>
      <c r="G629" s="11" t="s">
        <v>64</v>
      </c>
      <c r="H629" s="48" t="str">
        <f>VLOOKUP(Table1[[#This Row],[Psoft No]],[1]Roster!$C$2:$H$1402,6,)</f>
        <v>AUH1</v>
      </c>
      <c r="I629" s="48" t="b">
        <f>Table1[[#This Row],[Building]]=Table1[[#This Row],[Column1]]</f>
        <v>1</v>
      </c>
      <c r="J629" s="11" t="s">
        <v>75</v>
      </c>
      <c r="K629" s="11">
        <v>1299</v>
      </c>
      <c r="L629" s="49" t="s">
        <v>39</v>
      </c>
      <c r="M629" s="49" t="s">
        <v>76</v>
      </c>
      <c r="N629" s="49" t="s">
        <v>85</v>
      </c>
      <c r="O629" s="49" t="s">
        <v>88</v>
      </c>
      <c r="P629" s="49" t="s">
        <v>89</v>
      </c>
      <c r="Q629" s="49" t="s">
        <v>37</v>
      </c>
      <c r="R629" s="11" t="s">
        <v>80</v>
      </c>
      <c r="S629" s="11" t="s">
        <v>96</v>
      </c>
      <c r="T629" s="49" t="s">
        <v>1066</v>
      </c>
      <c r="U629" s="11" t="s">
        <v>2717</v>
      </c>
      <c r="V629" s="116" t="s">
        <v>1</v>
      </c>
      <c r="W629" s="88"/>
      <c r="X629" s="51">
        <v>46239</v>
      </c>
      <c r="Y629" s="97" t="s">
        <v>1579</v>
      </c>
      <c r="Z629" s="135" t="s">
        <v>2</v>
      </c>
      <c r="AA629" s="135">
        <v>0</v>
      </c>
    </row>
    <row r="630" spans="1:27" ht="13" customHeight="1">
      <c r="A630" s="11">
        <v>624</v>
      </c>
      <c r="B630" s="92">
        <v>203992092</v>
      </c>
      <c r="C630" s="47" t="s">
        <v>672</v>
      </c>
      <c r="D630" s="89" t="s">
        <v>673</v>
      </c>
      <c r="E630" s="48" t="s">
        <v>31</v>
      </c>
      <c r="F630" s="48" t="s">
        <v>74</v>
      </c>
      <c r="G630" s="11" t="s">
        <v>64</v>
      </c>
      <c r="H630" s="48" t="str">
        <f>VLOOKUP(Table1[[#This Row],[Psoft No]],[1]Roster!$C$2:$H$1402,6,)</f>
        <v>AUH1</v>
      </c>
      <c r="I630" s="48" t="b">
        <f>Table1[[#This Row],[Building]]=Table1[[#This Row],[Column1]]</f>
        <v>1</v>
      </c>
      <c r="J630" s="11" t="s">
        <v>75</v>
      </c>
      <c r="K630" s="11">
        <v>1299</v>
      </c>
      <c r="L630" s="49" t="s">
        <v>39</v>
      </c>
      <c r="M630" s="49" t="s">
        <v>76</v>
      </c>
      <c r="N630" s="49" t="s">
        <v>95</v>
      </c>
      <c r="O630" s="49" t="s">
        <v>77</v>
      </c>
      <c r="P630" s="49" t="s">
        <v>79</v>
      </c>
      <c r="Q630" s="49" t="s">
        <v>37</v>
      </c>
      <c r="R630" s="11" t="s">
        <v>80</v>
      </c>
      <c r="S630" s="11" t="s">
        <v>81</v>
      </c>
      <c r="T630" s="11" t="s">
        <v>627</v>
      </c>
      <c r="U630" s="11" t="s">
        <v>628</v>
      </c>
      <c r="V630" s="116" t="s">
        <v>1</v>
      </c>
      <c r="W630" s="88"/>
      <c r="X630" s="51">
        <v>45547</v>
      </c>
      <c r="Y630" s="97" t="s">
        <v>1577</v>
      </c>
      <c r="Z630" s="135" t="s">
        <v>2</v>
      </c>
      <c r="AA630" s="135">
        <v>0</v>
      </c>
    </row>
    <row r="631" spans="1:27" ht="13" customHeight="1">
      <c r="A631" s="11">
        <v>625</v>
      </c>
      <c r="B631" s="92">
        <v>205839289</v>
      </c>
      <c r="C631" s="47" t="s">
        <v>674</v>
      </c>
      <c r="D631" s="89" t="s">
        <v>675</v>
      </c>
      <c r="E631" s="48" t="s">
        <v>31</v>
      </c>
      <c r="F631" s="48" t="s">
        <v>74</v>
      </c>
      <c r="G631" s="11" t="s">
        <v>64</v>
      </c>
      <c r="H631" s="48" t="str">
        <f>VLOOKUP(Table1[[#This Row],[Psoft No]],[1]Roster!$C$2:$H$1402,6,)</f>
        <v>AUH1</v>
      </c>
      <c r="I631" s="48" t="b">
        <f>Table1[[#This Row],[Building]]=Table1[[#This Row],[Column1]]</f>
        <v>1</v>
      </c>
      <c r="J631" s="11" t="s">
        <v>75</v>
      </c>
      <c r="K631" s="11">
        <v>1299</v>
      </c>
      <c r="L631" s="49" t="s">
        <v>32</v>
      </c>
      <c r="M631" s="49" t="s">
        <v>76</v>
      </c>
      <c r="N631" s="49" t="s">
        <v>92</v>
      </c>
      <c r="O631" s="49" t="s">
        <v>84</v>
      </c>
      <c r="P631" s="48" t="s">
        <v>89</v>
      </c>
      <c r="Q631" s="49" t="s">
        <v>37</v>
      </c>
      <c r="R631" s="11" t="s">
        <v>80</v>
      </c>
      <c r="S631" s="11" t="s">
        <v>90</v>
      </c>
      <c r="T631" s="11" t="s">
        <v>627</v>
      </c>
      <c r="U631" s="11" t="s">
        <v>628</v>
      </c>
      <c r="V631" s="116" t="s">
        <v>10</v>
      </c>
      <c r="W631" s="88"/>
      <c r="X631" s="51">
        <v>45894</v>
      </c>
      <c r="Y631" s="97" t="s">
        <v>1576</v>
      </c>
      <c r="Z631" s="135" t="s">
        <v>3023</v>
      </c>
      <c r="AA631" s="135">
        <v>0</v>
      </c>
    </row>
    <row r="632" spans="1:27" ht="13" customHeight="1">
      <c r="A632" s="11">
        <v>626</v>
      </c>
      <c r="B632" s="47">
        <v>203850772</v>
      </c>
      <c r="C632" s="89" t="s">
        <v>2743</v>
      </c>
      <c r="D632" s="11" t="s">
        <v>2744</v>
      </c>
      <c r="E632" s="48" t="s">
        <v>31</v>
      </c>
      <c r="F632" s="48" t="s">
        <v>74</v>
      </c>
      <c r="G632" s="11" t="s">
        <v>64</v>
      </c>
      <c r="H632" s="48" t="str">
        <f>VLOOKUP(Table1[[#This Row],[Psoft No]],[1]Roster!$C$2:$H$1402,6,)</f>
        <v>AUH1</v>
      </c>
      <c r="I632" s="48" t="b">
        <f>Table1[[#This Row],[Building]]=Table1[[#This Row],[Column1]]</f>
        <v>1</v>
      </c>
      <c r="J632" s="11" t="s">
        <v>75</v>
      </c>
      <c r="K632" s="11">
        <v>1299</v>
      </c>
      <c r="L632" s="49" t="s">
        <v>39</v>
      </c>
      <c r="M632" s="49" t="s">
        <v>76</v>
      </c>
      <c r="N632" s="49" t="s">
        <v>85</v>
      </c>
      <c r="O632" s="49" t="s">
        <v>88</v>
      </c>
      <c r="P632" s="48" t="s">
        <v>89</v>
      </c>
      <c r="Q632" s="49" t="s">
        <v>37</v>
      </c>
      <c r="R632" s="11" t="s">
        <v>80</v>
      </c>
      <c r="S632" s="11" t="s">
        <v>90</v>
      </c>
      <c r="T632" s="11" t="s">
        <v>2845</v>
      </c>
      <c r="U632" s="11" t="s">
        <v>2846</v>
      </c>
      <c r="V632" s="116" t="s">
        <v>1</v>
      </c>
      <c r="W632" s="88"/>
      <c r="X632" s="51">
        <v>45524</v>
      </c>
      <c r="Y632" s="97" t="s">
        <v>1577</v>
      </c>
      <c r="Z632" s="135" t="s">
        <v>2</v>
      </c>
      <c r="AA632" s="135">
        <v>0</v>
      </c>
    </row>
    <row r="633" spans="1:27" ht="13" customHeight="1">
      <c r="A633" s="11">
        <v>627</v>
      </c>
      <c r="B633" s="47">
        <v>205977116</v>
      </c>
      <c r="C633" s="89" t="s">
        <v>2745</v>
      </c>
      <c r="D633" s="11" t="s">
        <v>2746</v>
      </c>
      <c r="E633" s="48" t="s">
        <v>31</v>
      </c>
      <c r="F633" s="48" t="s">
        <v>74</v>
      </c>
      <c r="G633" s="11" t="s">
        <v>64</v>
      </c>
      <c r="H633" s="48" t="str">
        <f>VLOOKUP(Table1[[#This Row],[Psoft No]],[1]Roster!$C$2:$H$1402,6,)</f>
        <v>AUH1</v>
      </c>
      <c r="I633" s="48" t="b">
        <f>Table1[[#This Row],[Building]]=Table1[[#This Row],[Column1]]</f>
        <v>1</v>
      </c>
      <c r="J633" s="11" t="s">
        <v>75</v>
      </c>
      <c r="K633" s="11">
        <v>1299</v>
      </c>
      <c r="L633" s="49" t="s">
        <v>32</v>
      </c>
      <c r="M633" s="49" t="s">
        <v>76</v>
      </c>
      <c r="N633" s="49" t="s">
        <v>92</v>
      </c>
      <c r="O633" s="49" t="s">
        <v>84</v>
      </c>
      <c r="P633" s="49" t="s">
        <v>86</v>
      </c>
      <c r="Q633" s="48" t="s">
        <v>37</v>
      </c>
      <c r="R633" s="48" t="s">
        <v>80</v>
      </c>
      <c r="S633" s="11" t="s">
        <v>90</v>
      </c>
      <c r="T633" s="11" t="s">
        <v>627</v>
      </c>
      <c r="U633" s="11" t="s">
        <v>628</v>
      </c>
      <c r="V633" s="116" t="s">
        <v>10</v>
      </c>
      <c r="W633" s="88"/>
      <c r="X633" s="51">
        <v>45915</v>
      </c>
      <c r="Y633" s="97" t="s">
        <v>1577</v>
      </c>
      <c r="Z633" s="135" t="s">
        <v>3023</v>
      </c>
      <c r="AA633" s="135">
        <v>0</v>
      </c>
    </row>
    <row r="634" spans="1:27" ht="13" customHeight="1">
      <c r="A634" s="11">
        <v>628</v>
      </c>
      <c r="B634" s="47">
        <v>203850778</v>
      </c>
      <c r="C634" s="89" t="s">
        <v>676</v>
      </c>
      <c r="D634" s="11" t="s">
        <v>677</v>
      </c>
      <c r="E634" s="48" t="s">
        <v>31</v>
      </c>
      <c r="F634" s="48" t="s">
        <v>74</v>
      </c>
      <c r="G634" s="11" t="s">
        <v>64</v>
      </c>
      <c r="H634" s="48" t="str">
        <f>VLOOKUP(Table1[[#This Row],[Psoft No]],[1]Roster!$C$2:$H$1402,6,)</f>
        <v>AUH1</v>
      </c>
      <c r="I634" s="48" t="b">
        <f>Table1[[#This Row],[Building]]=Table1[[#This Row],[Column1]]</f>
        <v>1</v>
      </c>
      <c r="J634" s="11" t="s">
        <v>75</v>
      </c>
      <c r="K634" s="11">
        <v>1299</v>
      </c>
      <c r="L634" s="49" t="s">
        <v>32</v>
      </c>
      <c r="M634" s="49" t="s">
        <v>76</v>
      </c>
      <c r="N634" s="49" t="s">
        <v>85</v>
      </c>
      <c r="O634" s="49" t="s">
        <v>88</v>
      </c>
      <c r="P634" s="48" t="s">
        <v>86</v>
      </c>
      <c r="Q634" s="49" t="s">
        <v>37</v>
      </c>
      <c r="R634" s="11" t="s">
        <v>80</v>
      </c>
      <c r="S634" s="11" t="s">
        <v>90</v>
      </c>
      <c r="T634" s="11" t="s">
        <v>647</v>
      </c>
      <c r="U634" s="11" t="s">
        <v>1798</v>
      </c>
      <c r="V634" s="116" t="str">
        <f>VLOOKUP(Table1[[#This Row],[Psoft No]],[2]Sheet1!$A$2:$G$386,7,0)</f>
        <v>P</v>
      </c>
      <c r="W634" s="88"/>
      <c r="X634" s="51">
        <v>45524</v>
      </c>
      <c r="Y634" s="97" t="s">
        <v>1577</v>
      </c>
      <c r="Z634" s="135" t="s">
        <v>2</v>
      </c>
      <c r="AA634" s="135">
        <v>0</v>
      </c>
    </row>
    <row r="635" spans="1:27" ht="13" customHeight="1">
      <c r="A635" s="11">
        <v>629</v>
      </c>
      <c r="B635" s="47">
        <v>206897550</v>
      </c>
      <c r="C635" s="89" t="s">
        <v>1889</v>
      </c>
      <c r="D635" s="11" t="s">
        <v>1890</v>
      </c>
      <c r="E635" s="48" t="s">
        <v>31</v>
      </c>
      <c r="F635" s="48" t="s">
        <v>74</v>
      </c>
      <c r="G635" s="11" t="s">
        <v>64</v>
      </c>
      <c r="H635" s="48" t="str">
        <f>VLOOKUP(Table1[[#This Row],[Psoft No]],[1]Roster!$C$2:$H$1402,6,)</f>
        <v>AUH1</v>
      </c>
      <c r="I635" s="48" t="b">
        <f>Table1[[#This Row],[Building]]=Table1[[#This Row],[Column1]]</f>
        <v>1</v>
      </c>
      <c r="J635" s="11" t="s">
        <v>75</v>
      </c>
      <c r="K635" s="11">
        <v>1290</v>
      </c>
      <c r="L635" s="49" t="s">
        <v>39</v>
      </c>
      <c r="M635" s="49" t="s">
        <v>76</v>
      </c>
      <c r="N635" s="49" t="s">
        <v>77</v>
      </c>
      <c r="O635" s="49" t="s">
        <v>78</v>
      </c>
      <c r="P635" s="48" t="s">
        <v>89</v>
      </c>
      <c r="Q635" s="49" t="s">
        <v>37</v>
      </c>
      <c r="R635" s="11" t="s">
        <v>80</v>
      </c>
      <c r="S635" s="11" t="s">
        <v>81</v>
      </c>
      <c r="T635" s="49" t="s">
        <v>1066</v>
      </c>
      <c r="U635" s="11" t="s">
        <v>2717</v>
      </c>
      <c r="V635" s="116" t="s">
        <v>1</v>
      </c>
      <c r="W635" s="88"/>
      <c r="X635" s="51">
        <v>46030</v>
      </c>
      <c r="Y635" s="97" t="s">
        <v>1577</v>
      </c>
      <c r="Z635" s="135" t="s">
        <v>2</v>
      </c>
      <c r="AA635" s="135">
        <v>0</v>
      </c>
    </row>
    <row r="636" spans="1:27" ht="13" customHeight="1">
      <c r="A636" s="11">
        <v>630</v>
      </c>
      <c r="B636" s="47">
        <v>102865830</v>
      </c>
      <c r="C636" s="89" t="s">
        <v>678</v>
      </c>
      <c r="D636" s="11" t="s">
        <v>679</v>
      </c>
      <c r="E636" s="48" t="s">
        <v>34</v>
      </c>
      <c r="F636" s="48" t="s">
        <v>74</v>
      </c>
      <c r="G636" s="11" t="s">
        <v>64</v>
      </c>
      <c r="H636" s="48" t="str">
        <f>VLOOKUP(Table1[[#This Row],[Psoft No]],[1]Roster!$C$2:$H$1402,6,)</f>
        <v>AUH1</v>
      </c>
      <c r="I636" s="48" t="b">
        <f>Table1[[#This Row],[Building]]=Table1[[#This Row],[Column1]]</f>
        <v>1</v>
      </c>
      <c r="J636" s="11" t="s">
        <v>75</v>
      </c>
      <c r="K636" s="11">
        <v>1299</v>
      </c>
      <c r="L636" s="49" t="s">
        <v>39</v>
      </c>
      <c r="M636" s="49" t="s">
        <v>76</v>
      </c>
      <c r="N636" s="49" t="s">
        <v>84</v>
      </c>
      <c r="O636" s="49" t="s">
        <v>85</v>
      </c>
      <c r="P636" s="49" t="s">
        <v>108</v>
      </c>
      <c r="Q636" s="49" t="s">
        <v>37</v>
      </c>
      <c r="R636" s="11" t="s">
        <v>80</v>
      </c>
      <c r="S636" s="11" t="s">
        <v>98</v>
      </c>
      <c r="T636" s="11" t="s">
        <v>1066</v>
      </c>
      <c r="U636" s="11" t="s">
        <v>2717</v>
      </c>
      <c r="V636" s="116" t="s">
        <v>1</v>
      </c>
      <c r="W636" s="88"/>
      <c r="X636" s="51">
        <v>43012</v>
      </c>
      <c r="Y636" s="97" t="s">
        <v>1580</v>
      </c>
      <c r="Z636" s="135" t="s">
        <v>2</v>
      </c>
      <c r="AA636" s="135">
        <v>0</v>
      </c>
    </row>
    <row r="637" spans="1:27" ht="13" customHeight="1">
      <c r="A637" s="11">
        <v>631</v>
      </c>
      <c r="B637" s="92">
        <v>111164491</v>
      </c>
      <c r="C637" s="47" t="s">
        <v>680</v>
      </c>
      <c r="D637" s="89" t="s">
        <v>681</v>
      </c>
      <c r="E637" s="48" t="s">
        <v>34</v>
      </c>
      <c r="F637" s="48" t="s">
        <v>74</v>
      </c>
      <c r="G637" s="11" t="s">
        <v>64</v>
      </c>
      <c r="H637" s="48" t="str">
        <f>VLOOKUP(Table1[[#This Row],[Psoft No]],[1]Roster!$C$2:$H$1402,6,)</f>
        <v>AUH1</v>
      </c>
      <c r="I637" s="48" t="b">
        <f>Table1[[#This Row],[Building]]=Table1[[#This Row],[Column1]]</f>
        <v>1</v>
      </c>
      <c r="J637" s="11" t="s">
        <v>75</v>
      </c>
      <c r="K637" s="11">
        <v>1299</v>
      </c>
      <c r="L637" s="49" t="s">
        <v>39</v>
      </c>
      <c r="M637" s="49" t="s">
        <v>76</v>
      </c>
      <c r="N637" s="49" t="s">
        <v>78</v>
      </c>
      <c r="O637" s="49" t="s">
        <v>92</v>
      </c>
      <c r="P637" s="48" t="s">
        <v>108</v>
      </c>
      <c r="Q637" s="49" t="s">
        <v>37</v>
      </c>
      <c r="R637" s="11" t="s">
        <v>80</v>
      </c>
      <c r="S637" s="11" t="s">
        <v>98</v>
      </c>
      <c r="T637" s="11" t="s">
        <v>647</v>
      </c>
      <c r="U637" s="11" t="s">
        <v>1798</v>
      </c>
      <c r="V637" s="116" t="s">
        <v>10</v>
      </c>
      <c r="W637" s="88"/>
      <c r="X637" s="51">
        <v>44797</v>
      </c>
      <c r="Y637" s="97" t="s">
        <v>1577</v>
      </c>
      <c r="Z637" s="135" t="s">
        <v>3023</v>
      </c>
      <c r="AA637" s="135">
        <v>0</v>
      </c>
    </row>
    <row r="638" spans="1:27" ht="13" customHeight="1">
      <c r="A638" s="11">
        <v>632</v>
      </c>
      <c r="B638" s="47">
        <v>203468317</v>
      </c>
      <c r="C638" s="89" t="s">
        <v>320</v>
      </c>
      <c r="D638" s="11" t="s">
        <v>321</v>
      </c>
      <c r="E638" s="48" t="s">
        <v>31</v>
      </c>
      <c r="F638" s="48" t="s">
        <v>74</v>
      </c>
      <c r="G638" s="11" t="s">
        <v>64</v>
      </c>
      <c r="H638" s="48" t="str">
        <f>VLOOKUP(Table1[[#This Row],[Psoft No]],[1]Roster!$C$2:$H$1402,6,)</f>
        <v>AUH1</v>
      </c>
      <c r="I638" s="48" t="b">
        <f>Table1[[#This Row],[Building]]=Table1[[#This Row],[Column1]]</f>
        <v>1</v>
      </c>
      <c r="J638" s="11" t="s">
        <v>75</v>
      </c>
      <c r="K638" s="11">
        <v>1299</v>
      </c>
      <c r="L638" s="49" t="s">
        <v>32</v>
      </c>
      <c r="M638" s="49" t="s">
        <v>76</v>
      </c>
      <c r="N638" s="49" t="s">
        <v>84</v>
      </c>
      <c r="O638" s="49" t="s">
        <v>85</v>
      </c>
      <c r="P638" s="48" t="s">
        <v>79</v>
      </c>
      <c r="Q638" s="49" t="s">
        <v>35</v>
      </c>
      <c r="R638" s="11" t="s">
        <v>80</v>
      </c>
      <c r="S638" s="11" t="s">
        <v>81</v>
      </c>
      <c r="T638" s="11" t="s">
        <v>225</v>
      </c>
      <c r="U638" s="11" t="s">
        <v>226</v>
      </c>
      <c r="V638" s="116" t="str">
        <f>VLOOKUP(Table1[[#This Row],[Psoft No]],[2]Sheet1!$A$2:$G$386,7,0)</f>
        <v>P</v>
      </c>
      <c r="W638" s="88"/>
      <c r="X638" s="51">
        <v>45456</v>
      </c>
      <c r="Y638" s="97" t="s">
        <v>1570</v>
      </c>
      <c r="Z638" s="135" t="s">
        <v>2</v>
      </c>
      <c r="AA638" s="135">
        <v>0</v>
      </c>
    </row>
    <row r="639" spans="1:27" ht="13" customHeight="1">
      <c r="A639" s="11">
        <v>633</v>
      </c>
      <c r="B639" s="47">
        <v>204009672</v>
      </c>
      <c r="C639" s="89" t="s">
        <v>2747</v>
      </c>
      <c r="D639" s="11" t="s">
        <v>2748</v>
      </c>
      <c r="E639" s="48" t="s">
        <v>31</v>
      </c>
      <c r="F639" s="48" t="s">
        <v>74</v>
      </c>
      <c r="G639" s="11" t="s">
        <v>64</v>
      </c>
      <c r="H639" s="48" t="str">
        <f>VLOOKUP(Table1[[#This Row],[Psoft No]],[1]Roster!$C$2:$H$1402,6,)</f>
        <v>AUH1</v>
      </c>
      <c r="I639" s="48" t="b">
        <f>Table1[[#This Row],[Building]]=Table1[[#This Row],[Column1]]</f>
        <v>1</v>
      </c>
      <c r="J639" s="11" t="s">
        <v>75</v>
      </c>
      <c r="K639" s="11">
        <v>1299</v>
      </c>
      <c r="L639" s="49" t="s">
        <v>32</v>
      </c>
      <c r="M639" s="49" t="s">
        <v>76</v>
      </c>
      <c r="N639" s="49" t="s">
        <v>95</v>
      </c>
      <c r="O639" s="49" t="s">
        <v>77</v>
      </c>
      <c r="P639" s="49" t="s">
        <v>86</v>
      </c>
      <c r="Q639" s="49" t="s">
        <v>37</v>
      </c>
      <c r="R639" s="11" t="s">
        <v>80</v>
      </c>
      <c r="S639" s="11" t="s">
        <v>90</v>
      </c>
      <c r="T639" s="11" t="s">
        <v>1066</v>
      </c>
      <c r="U639" s="11" t="s">
        <v>2749</v>
      </c>
      <c r="V639" s="116" t="str">
        <f>VLOOKUP(Table1[[#This Row],[Psoft No]],[2]Sheet1!$A$2:$G$386,7,0)</f>
        <v>P</v>
      </c>
      <c r="W639" s="88"/>
      <c r="X639" s="51">
        <v>45551</v>
      </c>
      <c r="Y639" s="97" t="s">
        <v>1577</v>
      </c>
      <c r="Z639" s="135" t="s">
        <v>2</v>
      </c>
      <c r="AA639" s="135">
        <v>0</v>
      </c>
    </row>
    <row r="640" spans="1:27" ht="13" customHeight="1">
      <c r="A640" s="11">
        <v>634</v>
      </c>
      <c r="B640" s="47">
        <v>206239523</v>
      </c>
      <c r="C640" s="89" t="s">
        <v>1642</v>
      </c>
      <c r="D640" s="11" t="s">
        <v>1637</v>
      </c>
      <c r="E640" s="48" t="s">
        <v>31</v>
      </c>
      <c r="F640" s="48" t="s">
        <v>74</v>
      </c>
      <c r="G640" s="48" t="s">
        <v>64</v>
      </c>
      <c r="H640" s="48" t="str">
        <f>VLOOKUP(Table1[[#This Row],[Psoft No]],[1]Roster!$C$2:$H$1402,6,)</f>
        <v>AUH1</v>
      </c>
      <c r="I640" s="48" t="b">
        <f>Table1[[#This Row],[Building]]=Table1[[#This Row],[Column1]]</f>
        <v>1</v>
      </c>
      <c r="J640" s="48" t="s">
        <v>75</v>
      </c>
      <c r="K640" s="11">
        <v>1299</v>
      </c>
      <c r="L640" s="49" t="s">
        <v>39</v>
      </c>
      <c r="M640" s="49" t="s">
        <v>76</v>
      </c>
      <c r="N640" s="49" t="s">
        <v>92</v>
      </c>
      <c r="O640" s="49" t="s">
        <v>84</v>
      </c>
      <c r="P640" s="49" t="s">
        <v>89</v>
      </c>
      <c r="Q640" s="49" t="s">
        <v>37</v>
      </c>
      <c r="R640" s="49" t="s">
        <v>80</v>
      </c>
      <c r="S640" s="49" t="s">
        <v>96</v>
      </c>
      <c r="T640" s="11" t="s">
        <v>2845</v>
      </c>
      <c r="U640" s="11" t="s">
        <v>2846</v>
      </c>
      <c r="V640" s="116" t="s">
        <v>10</v>
      </c>
      <c r="W640" s="88"/>
      <c r="X640" s="51">
        <v>45943</v>
      </c>
      <c r="Y640" s="97" t="s">
        <v>1577</v>
      </c>
      <c r="Z640" s="135" t="s">
        <v>3023</v>
      </c>
      <c r="AA640" s="135">
        <v>0</v>
      </c>
    </row>
    <row r="641" spans="1:27" ht="13" customHeight="1">
      <c r="A641" s="11">
        <v>635</v>
      </c>
      <c r="B641" s="47">
        <v>205846573</v>
      </c>
      <c r="C641" s="89" t="s">
        <v>682</v>
      </c>
      <c r="D641" s="11" t="s">
        <v>683</v>
      </c>
      <c r="E641" s="48" t="s">
        <v>31</v>
      </c>
      <c r="F641" s="48" t="s">
        <v>74</v>
      </c>
      <c r="G641" s="11" t="s">
        <v>64</v>
      </c>
      <c r="H641" s="48" t="str">
        <f>VLOOKUP(Table1[[#This Row],[Psoft No]],[1]Roster!$C$2:$H$1402,6,)</f>
        <v>AUH1</v>
      </c>
      <c r="I641" s="48" t="b">
        <f>Table1[[#This Row],[Building]]=Table1[[#This Row],[Column1]]</f>
        <v>1</v>
      </c>
      <c r="J641" s="11" t="s">
        <v>75</v>
      </c>
      <c r="K641" s="11">
        <v>1299</v>
      </c>
      <c r="L641" s="49" t="s">
        <v>39</v>
      </c>
      <c r="M641" s="49" t="s">
        <v>76</v>
      </c>
      <c r="N641" s="49" t="s">
        <v>85</v>
      </c>
      <c r="O641" s="49" t="s">
        <v>88</v>
      </c>
      <c r="P641" s="49" t="s">
        <v>89</v>
      </c>
      <c r="Q641" s="49" t="s">
        <v>37</v>
      </c>
      <c r="R641" s="11" t="s">
        <v>80</v>
      </c>
      <c r="S641" s="11" t="s">
        <v>96</v>
      </c>
      <c r="T641" s="49" t="s">
        <v>631</v>
      </c>
      <c r="U641" s="11" t="s">
        <v>632</v>
      </c>
      <c r="V641" s="116" t="s">
        <v>1</v>
      </c>
      <c r="W641" s="88"/>
      <c r="X641" s="51">
        <v>45894</v>
      </c>
      <c r="Y641" s="97" t="s">
        <v>1577</v>
      </c>
      <c r="Z641" s="135" t="s">
        <v>2</v>
      </c>
      <c r="AA641" s="135">
        <v>0</v>
      </c>
    </row>
    <row r="642" spans="1:27" ht="13" customHeight="1">
      <c r="A642" s="11">
        <v>636</v>
      </c>
      <c r="B642" s="47">
        <v>206930130</v>
      </c>
      <c r="C642" s="89" t="s">
        <v>2006</v>
      </c>
      <c r="D642" s="11" t="s">
        <v>2014</v>
      </c>
      <c r="E642" s="48" t="s">
        <v>31</v>
      </c>
      <c r="F642" s="48" t="s">
        <v>74</v>
      </c>
      <c r="G642" s="11" t="s">
        <v>64</v>
      </c>
      <c r="H642" s="48" t="str">
        <f>VLOOKUP(Table1[[#This Row],[Psoft No]],[1]Roster!$C$2:$H$1402,6,)</f>
        <v>AUH1</v>
      </c>
      <c r="I642" s="48" t="b">
        <f>Table1[[#This Row],[Building]]=Table1[[#This Row],[Column1]]</f>
        <v>1</v>
      </c>
      <c r="J642" s="11" t="s">
        <v>75</v>
      </c>
      <c r="K642" s="11">
        <v>1299</v>
      </c>
      <c r="L642" s="49" t="s">
        <v>32</v>
      </c>
      <c r="M642" s="49" t="s">
        <v>76</v>
      </c>
      <c r="N642" s="49" t="s">
        <v>77</v>
      </c>
      <c r="O642" s="49" t="s">
        <v>78</v>
      </c>
      <c r="P642" s="48" t="s">
        <v>79</v>
      </c>
      <c r="Q642" s="49" t="s">
        <v>37</v>
      </c>
      <c r="R642" s="11" t="s">
        <v>80</v>
      </c>
      <c r="S642" s="11" t="s">
        <v>96</v>
      </c>
      <c r="T642" s="11" t="s">
        <v>627</v>
      </c>
      <c r="U642" s="11" t="s">
        <v>628</v>
      </c>
      <c r="V642" s="116" t="str">
        <f>VLOOKUP(Table1[[#This Row],[Psoft No]],[2]Sheet1!$A$2:$G$386,7,0)</f>
        <v>P</v>
      </c>
      <c r="W642" s="88"/>
      <c r="X642" s="51">
        <v>46037</v>
      </c>
      <c r="Y642" s="97" t="s">
        <v>1577</v>
      </c>
      <c r="Z642" s="135" t="s">
        <v>2</v>
      </c>
      <c r="AA642" s="135">
        <v>0</v>
      </c>
    </row>
    <row r="643" spans="1:27" ht="13" customHeight="1">
      <c r="A643" s="11">
        <v>637</v>
      </c>
      <c r="B643" s="47">
        <v>206129604</v>
      </c>
      <c r="C643" s="89" t="s">
        <v>684</v>
      </c>
      <c r="D643" s="11" t="s">
        <v>685</v>
      </c>
      <c r="E643" s="48" t="s">
        <v>31</v>
      </c>
      <c r="F643" s="48" t="s">
        <v>74</v>
      </c>
      <c r="G643" s="11" t="s">
        <v>64</v>
      </c>
      <c r="H643" s="48" t="str">
        <f>VLOOKUP(Table1[[#This Row],[Psoft No]],[1]Roster!$C$2:$H$1402,6,)</f>
        <v>AUH1</v>
      </c>
      <c r="I643" s="48" t="b">
        <f>Table1[[#This Row],[Building]]=Table1[[#This Row],[Column1]]</f>
        <v>1</v>
      </c>
      <c r="J643" s="11" t="s">
        <v>75</v>
      </c>
      <c r="K643" s="11">
        <v>1299</v>
      </c>
      <c r="L643" s="49" t="s">
        <v>32</v>
      </c>
      <c r="M643" s="49" t="s">
        <v>76</v>
      </c>
      <c r="N643" s="49" t="s">
        <v>78</v>
      </c>
      <c r="O643" s="49" t="s">
        <v>92</v>
      </c>
      <c r="P643" s="49" t="s">
        <v>89</v>
      </c>
      <c r="Q643" s="48" t="s">
        <v>37</v>
      </c>
      <c r="R643" s="48" t="s">
        <v>80</v>
      </c>
      <c r="S643" s="11" t="s">
        <v>81</v>
      </c>
      <c r="T643" s="49" t="s">
        <v>647</v>
      </c>
      <c r="U643" s="11" t="s">
        <v>1798</v>
      </c>
      <c r="V643" s="116" t="s">
        <v>10</v>
      </c>
      <c r="W643" s="88"/>
      <c r="X643" s="51">
        <v>45929</v>
      </c>
      <c r="Y643" s="97" t="s">
        <v>1577</v>
      </c>
      <c r="Z643" s="135" t="s">
        <v>3023</v>
      </c>
      <c r="AA643" s="135">
        <v>0</v>
      </c>
    </row>
    <row r="644" spans="1:27" ht="13" customHeight="1">
      <c r="A644" s="11">
        <v>638</v>
      </c>
      <c r="B644" s="47">
        <v>204868506</v>
      </c>
      <c r="C644" s="89" t="s">
        <v>2376</v>
      </c>
      <c r="D644" s="11" t="s">
        <v>2377</v>
      </c>
      <c r="E644" s="48" t="s">
        <v>31</v>
      </c>
      <c r="F644" s="48" t="s">
        <v>74</v>
      </c>
      <c r="G644" s="11" t="s">
        <v>64</v>
      </c>
      <c r="H644" s="48" t="str">
        <f>VLOOKUP(Table1[[#This Row],[Psoft No]],[1]Roster!$C$2:$H$1402,6,)</f>
        <v>AUH1</v>
      </c>
      <c r="I644" s="48" t="b">
        <f>Table1[[#This Row],[Building]]=Table1[[#This Row],[Column1]]</f>
        <v>1</v>
      </c>
      <c r="J644" s="11" t="s">
        <v>75</v>
      </c>
      <c r="K644" s="11">
        <v>1299</v>
      </c>
      <c r="L644" s="49" t="s">
        <v>32</v>
      </c>
      <c r="M644" s="49" t="s">
        <v>76</v>
      </c>
      <c r="N644" s="49" t="s">
        <v>92</v>
      </c>
      <c r="O644" s="49" t="s">
        <v>84</v>
      </c>
      <c r="P644" s="48" t="s">
        <v>86</v>
      </c>
      <c r="Q644" s="49" t="s">
        <v>37</v>
      </c>
      <c r="R644" s="11" t="s">
        <v>80</v>
      </c>
      <c r="S644" s="11" t="s">
        <v>90</v>
      </c>
      <c r="T644" s="11" t="s">
        <v>1066</v>
      </c>
      <c r="U644" s="11" t="s">
        <v>2717</v>
      </c>
      <c r="V644" s="116" t="s">
        <v>10</v>
      </c>
      <c r="W644" s="88"/>
      <c r="X644" s="51">
        <v>45789</v>
      </c>
      <c r="Y644" s="97" t="s">
        <v>1577</v>
      </c>
      <c r="Z644" s="135" t="s">
        <v>3023</v>
      </c>
      <c r="AA644" s="135">
        <v>0</v>
      </c>
    </row>
    <row r="645" spans="1:27" ht="13" customHeight="1">
      <c r="A645" s="11">
        <v>639</v>
      </c>
      <c r="B645" s="47">
        <v>206873782</v>
      </c>
      <c r="C645" s="89" t="s">
        <v>1871</v>
      </c>
      <c r="D645" s="11" t="s">
        <v>1872</v>
      </c>
      <c r="E645" s="48" t="s">
        <v>31</v>
      </c>
      <c r="F645" s="48" t="s">
        <v>74</v>
      </c>
      <c r="G645" s="11" t="s">
        <v>64</v>
      </c>
      <c r="H645" s="48" t="str">
        <f>VLOOKUP(Table1[[#This Row],[Psoft No]],[1]Roster!$C$2:$H$1402,6,)</f>
        <v>AUH1</v>
      </c>
      <c r="I645" s="48" t="b">
        <f>Table1[[#This Row],[Building]]=Table1[[#This Row],[Column1]]</f>
        <v>1</v>
      </c>
      <c r="J645" s="11" t="s">
        <v>75</v>
      </c>
      <c r="K645" s="11">
        <v>1299</v>
      </c>
      <c r="L645" s="49" t="s">
        <v>39</v>
      </c>
      <c r="M645" s="49" t="s">
        <v>76</v>
      </c>
      <c r="N645" s="49" t="s">
        <v>84</v>
      </c>
      <c r="O645" s="49" t="s">
        <v>85</v>
      </c>
      <c r="P645" s="48" t="s">
        <v>89</v>
      </c>
      <c r="Q645" s="49" t="s">
        <v>37</v>
      </c>
      <c r="R645" s="11" t="s">
        <v>80</v>
      </c>
      <c r="S645" s="11" t="s">
        <v>90</v>
      </c>
      <c r="T645" s="11" t="s">
        <v>647</v>
      </c>
      <c r="U645" s="11" t="s">
        <v>1798</v>
      </c>
      <c r="V645" s="116" t="s">
        <v>1</v>
      </c>
      <c r="W645" s="88"/>
      <c r="X645" s="51">
        <v>46030</v>
      </c>
      <c r="Y645" s="97" t="s">
        <v>1577</v>
      </c>
      <c r="Z645" s="135" t="s">
        <v>2</v>
      </c>
      <c r="AA645" s="135">
        <v>0</v>
      </c>
    </row>
    <row r="646" spans="1:27" ht="13" customHeight="1">
      <c r="A646" s="11">
        <v>640</v>
      </c>
      <c r="B646" s="47">
        <v>203341965</v>
      </c>
      <c r="C646" s="89" t="s">
        <v>686</v>
      </c>
      <c r="D646" s="11" t="s">
        <v>687</v>
      </c>
      <c r="E646" s="48" t="s">
        <v>31</v>
      </c>
      <c r="F646" s="48" t="s">
        <v>74</v>
      </c>
      <c r="G646" s="11" t="s">
        <v>64</v>
      </c>
      <c r="H646" s="48" t="str">
        <f>VLOOKUP(Table1[[#This Row],[Psoft No]],[1]Roster!$C$2:$H$1402,6,)</f>
        <v>AUH1</v>
      </c>
      <c r="I646" s="48" t="b">
        <f>Table1[[#This Row],[Building]]=Table1[[#This Row],[Column1]]</f>
        <v>1</v>
      </c>
      <c r="J646" s="11" t="s">
        <v>75</v>
      </c>
      <c r="K646" s="11">
        <v>1299</v>
      </c>
      <c r="L646" s="49" t="s">
        <v>39</v>
      </c>
      <c r="M646" s="49" t="s">
        <v>76</v>
      </c>
      <c r="N646" s="49" t="s">
        <v>85</v>
      </c>
      <c r="O646" s="49" t="s">
        <v>88</v>
      </c>
      <c r="P646" s="48" t="s">
        <v>86</v>
      </c>
      <c r="Q646" s="49" t="s">
        <v>37</v>
      </c>
      <c r="R646" s="11" t="s">
        <v>80</v>
      </c>
      <c r="S646" s="11" t="s">
        <v>99</v>
      </c>
      <c r="T646" s="49" t="s">
        <v>1066</v>
      </c>
      <c r="U646" s="11" t="s">
        <v>2717</v>
      </c>
      <c r="V646" s="116" t="s">
        <v>1</v>
      </c>
      <c r="W646" s="88"/>
      <c r="X646" s="51">
        <v>45432</v>
      </c>
      <c r="Y646" s="97" t="s">
        <v>1579</v>
      </c>
      <c r="Z646" s="135" t="s">
        <v>2</v>
      </c>
      <c r="AA646" s="135">
        <v>0</v>
      </c>
    </row>
    <row r="647" spans="1:27" ht="13" customHeight="1">
      <c r="A647" s="11">
        <v>641</v>
      </c>
      <c r="B647" s="47">
        <v>205252356</v>
      </c>
      <c r="C647" s="89" t="s">
        <v>2869</v>
      </c>
      <c r="D647" s="11" t="s">
        <v>2870</v>
      </c>
      <c r="E647" s="48" t="s">
        <v>31</v>
      </c>
      <c r="F647" s="48" t="s">
        <v>74</v>
      </c>
      <c r="G647" s="11" t="s">
        <v>64</v>
      </c>
      <c r="H647" s="48" t="str">
        <f>VLOOKUP(Table1[[#This Row],[Psoft No]],[1]Roster!$C$2:$H$1402,6,)</f>
        <v>AUH1</v>
      </c>
      <c r="I647" s="48" t="b">
        <f>Table1[[#This Row],[Building]]=Table1[[#This Row],[Column1]]</f>
        <v>1</v>
      </c>
      <c r="J647" s="11" t="s">
        <v>75</v>
      </c>
      <c r="K647" s="11">
        <v>1299</v>
      </c>
      <c r="L647" s="49" t="s">
        <v>39</v>
      </c>
      <c r="M647" s="49" t="s">
        <v>76</v>
      </c>
      <c r="N647" s="49" t="s">
        <v>78</v>
      </c>
      <c r="O647" s="49" t="s">
        <v>92</v>
      </c>
      <c r="P647" s="48" t="s">
        <v>89</v>
      </c>
      <c r="Q647" s="49" t="s">
        <v>37</v>
      </c>
      <c r="R647" s="11" t="s">
        <v>80</v>
      </c>
      <c r="S647" s="11" t="s">
        <v>96</v>
      </c>
      <c r="T647" s="49" t="s">
        <v>1066</v>
      </c>
      <c r="U647" s="11" t="s">
        <v>2717</v>
      </c>
      <c r="V647" s="116" t="s">
        <v>10</v>
      </c>
      <c r="W647" s="88"/>
      <c r="X647" s="51">
        <v>46238</v>
      </c>
      <c r="Y647" s="97" t="s">
        <v>1577</v>
      </c>
      <c r="Z647" s="135" t="s">
        <v>3023</v>
      </c>
      <c r="AA647" s="135">
        <v>0</v>
      </c>
    </row>
    <row r="648" spans="1:27" ht="13" customHeight="1">
      <c r="A648" s="11">
        <v>642</v>
      </c>
      <c r="B648" s="47">
        <v>109808051</v>
      </c>
      <c r="C648" s="89" t="s">
        <v>688</v>
      </c>
      <c r="D648" s="11" t="s">
        <v>689</v>
      </c>
      <c r="E648" s="48" t="s">
        <v>34</v>
      </c>
      <c r="F648" s="48" t="s">
        <v>74</v>
      </c>
      <c r="G648" s="11" t="s">
        <v>64</v>
      </c>
      <c r="H648" s="48" t="str">
        <f>VLOOKUP(Table1[[#This Row],[Psoft No]],[1]Roster!$C$2:$H$1402,6,)</f>
        <v>AUH1</v>
      </c>
      <c r="I648" s="48" t="b">
        <f>Table1[[#This Row],[Building]]=Table1[[#This Row],[Column1]]</f>
        <v>1</v>
      </c>
      <c r="J648" s="11" t="s">
        <v>75</v>
      </c>
      <c r="K648" s="11">
        <v>1299</v>
      </c>
      <c r="L648" s="49" t="s">
        <v>32</v>
      </c>
      <c r="M648" s="49" t="s">
        <v>76</v>
      </c>
      <c r="N648" s="49" t="s">
        <v>95</v>
      </c>
      <c r="O648" s="49" t="s">
        <v>77</v>
      </c>
      <c r="P648" s="48" t="s">
        <v>108</v>
      </c>
      <c r="Q648" s="49" t="s">
        <v>37</v>
      </c>
      <c r="R648" s="11" t="s">
        <v>80</v>
      </c>
      <c r="S648" s="11" t="s">
        <v>98</v>
      </c>
      <c r="T648" s="11" t="s">
        <v>639</v>
      </c>
      <c r="U648" s="11" t="s">
        <v>2718</v>
      </c>
      <c r="V648" s="116" t="str">
        <f>VLOOKUP(Table1[[#This Row],[Psoft No]],[2]Sheet1!$A$2:$G$386,7,0)</f>
        <v>P</v>
      </c>
      <c r="W648" s="88"/>
      <c r="X648" s="51">
        <v>44875</v>
      </c>
      <c r="Y648" s="97" t="s">
        <v>1580</v>
      </c>
      <c r="Z648" s="135" t="s">
        <v>2</v>
      </c>
      <c r="AA648" s="135">
        <v>0</v>
      </c>
    </row>
    <row r="649" spans="1:27" ht="13" customHeight="1">
      <c r="A649" s="11">
        <v>643</v>
      </c>
      <c r="B649" s="47">
        <v>203735959</v>
      </c>
      <c r="C649" s="89" t="s">
        <v>2378</v>
      </c>
      <c r="D649" s="47" t="s">
        <v>2379</v>
      </c>
      <c r="E649" s="47" t="s">
        <v>31</v>
      </c>
      <c r="F649" s="48" t="s">
        <v>74</v>
      </c>
      <c r="G649" s="11" t="s">
        <v>64</v>
      </c>
      <c r="H649" s="48" t="str">
        <f>VLOOKUP(Table1[[#This Row],[Psoft No]],[1]Roster!$C$2:$H$1402,6,)</f>
        <v>AUH1</v>
      </c>
      <c r="I649" s="48" t="b">
        <f>Table1[[#This Row],[Building]]=Table1[[#This Row],[Column1]]</f>
        <v>1</v>
      </c>
      <c r="J649" s="11" t="s">
        <v>75</v>
      </c>
      <c r="K649" s="47">
        <v>1299</v>
      </c>
      <c r="L649" s="49" t="s">
        <v>39</v>
      </c>
      <c r="M649" s="49" t="s">
        <v>76</v>
      </c>
      <c r="N649" s="49" t="s">
        <v>92</v>
      </c>
      <c r="O649" s="49" t="s">
        <v>84</v>
      </c>
      <c r="P649" s="49" t="s">
        <v>86</v>
      </c>
      <c r="Q649" s="49" t="s">
        <v>37</v>
      </c>
      <c r="R649" s="11" t="s">
        <v>80</v>
      </c>
      <c r="S649" s="47" t="s">
        <v>90</v>
      </c>
      <c r="T649" s="11" t="s">
        <v>627</v>
      </c>
      <c r="U649" s="11" t="s">
        <v>628</v>
      </c>
      <c r="V649" s="116" t="s">
        <v>10</v>
      </c>
      <c r="W649" s="88"/>
      <c r="X649" s="51">
        <v>45502</v>
      </c>
      <c r="Y649" s="97" t="s">
        <v>1577</v>
      </c>
      <c r="Z649" s="135" t="s">
        <v>3023</v>
      </c>
      <c r="AA649" s="135">
        <v>0</v>
      </c>
    </row>
    <row r="650" spans="1:27" ht="13" customHeight="1">
      <c r="A650" s="11">
        <v>644</v>
      </c>
      <c r="B650" s="47">
        <v>203964989</v>
      </c>
      <c r="C650" s="89" t="s">
        <v>690</v>
      </c>
      <c r="D650" s="11" t="s">
        <v>691</v>
      </c>
      <c r="E650" s="48" t="s">
        <v>31</v>
      </c>
      <c r="F650" s="48" t="s">
        <v>74</v>
      </c>
      <c r="G650" s="11" t="s">
        <v>64</v>
      </c>
      <c r="H650" s="48" t="str">
        <f>VLOOKUP(Table1[[#This Row],[Psoft No]],[1]Roster!$C$2:$H$1402,6,)</f>
        <v>AUH1</v>
      </c>
      <c r="I650" s="48" t="b">
        <f>Table1[[#This Row],[Building]]=Table1[[#This Row],[Column1]]</f>
        <v>1</v>
      </c>
      <c r="J650" s="11" t="s">
        <v>75</v>
      </c>
      <c r="K650" s="11">
        <v>1299</v>
      </c>
      <c r="L650" s="49" t="s">
        <v>32</v>
      </c>
      <c r="M650" s="49" t="s">
        <v>76</v>
      </c>
      <c r="N650" s="49" t="s">
        <v>84</v>
      </c>
      <c r="O650" s="49" t="s">
        <v>85</v>
      </c>
      <c r="P650" s="48" t="s">
        <v>86</v>
      </c>
      <c r="Q650" s="49" t="s">
        <v>37</v>
      </c>
      <c r="R650" s="11" t="s">
        <v>80</v>
      </c>
      <c r="S650" s="11" t="s">
        <v>99</v>
      </c>
      <c r="T650" s="11" t="s">
        <v>647</v>
      </c>
      <c r="U650" s="11" t="s">
        <v>1798</v>
      </c>
      <c r="V650" s="116" t="str">
        <f>VLOOKUP(Table1[[#This Row],[Psoft No]],[2]Sheet1!$A$2:$G$386,7,0)</f>
        <v>P</v>
      </c>
      <c r="W650" s="88"/>
      <c r="X650" s="51">
        <v>45544</v>
      </c>
      <c r="Y650" s="97" t="s">
        <v>1577</v>
      </c>
      <c r="Z650" s="135" t="s">
        <v>2</v>
      </c>
      <c r="AA650" s="135">
        <v>0</v>
      </c>
    </row>
    <row r="651" spans="1:27" ht="13" customHeight="1">
      <c r="A651" s="11">
        <v>645</v>
      </c>
      <c r="B651" s="47">
        <v>203964995</v>
      </c>
      <c r="C651" s="89" t="s">
        <v>692</v>
      </c>
      <c r="D651" s="11" t="s">
        <v>693</v>
      </c>
      <c r="E651" s="48" t="s">
        <v>31</v>
      </c>
      <c r="F651" s="48" t="s">
        <v>74</v>
      </c>
      <c r="G651" s="11" t="s">
        <v>64</v>
      </c>
      <c r="H651" s="48" t="str">
        <f>VLOOKUP(Table1[[#This Row],[Psoft No]],[1]Roster!$C$2:$H$1402,6,)</f>
        <v>AUH1</v>
      </c>
      <c r="I651" s="48" t="b">
        <f>Table1[[#This Row],[Building]]=Table1[[#This Row],[Column1]]</f>
        <v>1</v>
      </c>
      <c r="J651" s="11" t="s">
        <v>75</v>
      </c>
      <c r="K651" s="11">
        <v>1299</v>
      </c>
      <c r="L651" s="49" t="s">
        <v>32</v>
      </c>
      <c r="M651" s="49" t="s">
        <v>76</v>
      </c>
      <c r="N651" s="49" t="s">
        <v>78</v>
      </c>
      <c r="O651" s="49" t="s">
        <v>92</v>
      </c>
      <c r="P651" s="48" t="s">
        <v>86</v>
      </c>
      <c r="Q651" s="49" t="s">
        <v>37</v>
      </c>
      <c r="R651" s="11" t="s">
        <v>80</v>
      </c>
      <c r="S651" s="11" t="s">
        <v>99</v>
      </c>
      <c r="T651" s="49" t="s">
        <v>1066</v>
      </c>
      <c r="U651" s="11" t="s">
        <v>2717</v>
      </c>
      <c r="V651" s="116" t="s">
        <v>10</v>
      </c>
      <c r="W651" s="88"/>
      <c r="X651" s="51">
        <v>45544</v>
      </c>
      <c r="Y651" s="97" t="s">
        <v>1577</v>
      </c>
      <c r="Z651" s="135" t="s">
        <v>3023</v>
      </c>
      <c r="AA651" s="135">
        <v>0</v>
      </c>
    </row>
    <row r="652" spans="1:27" ht="13" customHeight="1">
      <c r="A652" s="11">
        <v>646</v>
      </c>
      <c r="B652" s="92">
        <v>206850960</v>
      </c>
      <c r="C652" s="47" t="s">
        <v>1805</v>
      </c>
      <c r="D652" s="89" t="s">
        <v>1806</v>
      </c>
      <c r="E652" s="48" t="s">
        <v>31</v>
      </c>
      <c r="F652" s="48" t="s">
        <v>74</v>
      </c>
      <c r="G652" s="11" t="s">
        <v>64</v>
      </c>
      <c r="H652" s="48" t="str">
        <f>VLOOKUP(Table1[[#This Row],[Psoft No]],[1]Roster!$C$2:$H$1402,6,)</f>
        <v>AUH1</v>
      </c>
      <c r="I652" s="48" t="b">
        <f>Table1[[#This Row],[Building]]=Table1[[#This Row],[Column1]]</f>
        <v>1</v>
      </c>
      <c r="J652" s="11" t="s">
        <v>75</v>
      </c>
      <c r="K652" s="11">
        <v>1299</v>
      </c>
      <c r="L652" s="49" t="s">
        <v>32</v>
      </c>
      <c r="M652" s="49" t="s">
        <v>76</v>
      </c>
      <c r="N652" s="49" t="s">
        <v>95</v>
      </c>
      <c r="O652" s="49" t="s">
        <v>77</v>
      </c>
      <c r="P652" s="48" t="s">
        <v>89</v>
      </c>
      <c r="Q652" s="49" t="s">
        <v>37</v>
      </c>
      <c r="R652" s="11" t="s">
        <v>80</v>
      </c>
      <c r="S652" s="11" t="s">
        <v>90</v>
      </c>
      <c r="T652" s="11" t="s">
        <v>2845</v>
      </c>
      <c r="U652" s="11" t="s">
        <v>2846</v>
      </c>
      <c r="V652" s="116" t="str">
        <f>VLOOKUP(Table1[[#This Row],[Psoft No]],[2]Sheet1!$A$2:$G$386,7,0)</f>
        <v>P</v>
      </c>
      <c r="W652" s="88"/>
      <c r="X652" s="51">
        <v>46013</v>
      </c>
      <c r="Y652" s="97" t="s">
        <v>1577</v>
      </c>
      <c r="Z652" s="135" t="s">
        <v>2</v>
      </c>
      <c r="AA652" s="135">
        <v>0</v>
      </c>
    </row>
    <row r="653" spans="1:27" ht="13" customHeight="1">
      <c r="A653" s="11">
        <v>647</v>
      </c>
      <c r="B653" s="47">
        <v>206199915</v>
      </c>
      <c r="C653" s="89" t="s">
        <v>1593</v>
      </c>
      <c r="D653" s="11" t="s">
        <v>1587</v>
      </c>
      <c r="E653" s="48" t="s">
        <v>31</v>
      </c>
      <c r="F653" s="48" t="s">
        <v>74</v>
      </c>
      <c r="G653" s="11" t="s">
        <v>64</v>
      </c>
      <c r="H653" s="48" t="str">
        <f>VLOOKUP(Table1[[#This Row],[Psoft No]],[1]Roster!$C$2:$H$1402,6,)</f>
        <v>AUH1</v>
      </c>
      <c r="I653" s="48" t="b">
        <f>Table1[[#This Row],[Building]]=Table1[[#This Row],[Column1]]</f>
        <v>1</v>
      </c>
      <c r="J653" s="11" t="s">
        <v>75</v>
      </c>
      <c r="K653" s="11">
        <v>1299</v>
      </c>
      <c r="L653" s="49" t="s">
        <v>32</v>
      </c>
      <c r="M653" s="49" t="s">
        <v>76</v>
      </c>
      <c r="N653" s="49" t="s">
        <v>92</v>
      </c>
      <c r="O653" s="49" t="s">
        <v>84</v>
      </c>
      <c r="P653" s="48" t="s">
        <v>79</v>
      </c>
      <c r="Q653" s="49" t="s">
        <v>37</v>
      </c>
      <c r="R653" s="11" t="s">
        <v>80</v>
      </c>
      <c r="S653" s="11" t="s">
        <v>81</v>
      </c>
      <c r="T653" s="11" t="s">
        <v>1066</v>
      </c>
      <c r="U653" s="11" t="s">
        <v>2717</v>
      </c>
      <c r="V653" s="116" t="s">
        <v>10</v>
      </c>
      <c r="W653" s="88"/>
      <c r="X653" s="51">
        <v>45936</v>
      </c>
      <c r="Y653" s="97" t="s">
        <v>1577</v>
      </c>
      <c r="Z653" s="135" t="s">
        <v>3023</v>
      </c>
      <c r="AA653" s="135">
        <v>0</v>
      </c>
    </row>
    <row r="654" spans="1:27" ht="13" customHeight="1">
      <c r="A654" s="11">
        <v>648</v>
      </c>
      <c r="B654" s="47">
        <v>204009348</v>
      </c>
      <c r="C654" s="89" t="s">
        <v>2380</v>
      </c>
      <c r="D654" s="11" t="s">
        <v>2381</v>
      </c>
      <c r="E654" s="48" t="s">
        <v>31</v>
      </c>
      <c r="F654" s="48" t="s">
        <v>74</v>
      </c>
      <c r="G654" s="11" t="s">
        <v>64</v>
      </c>
      <c r="H654" s="48" t="str">
        <f>VLOOKUP(Table1[[#This Row],[Psoft No]],[1]Roster!$C$2:$H$1402,6,)</f>
        <v>AUH1</v>
      </c>
      <c r="I654" s="48" t="b">
        <f>Table1[[#This Row],[Building]]=Table1[[#This Row],[Column1]]</f>
        <v>1</v>
      </c>
      <c r="J654" s="11" t="s">
        <v>75</v>
      </c>
      <c r="K654" s="11">
        <v>1299</v>
      </c>
      <c r="L654" s="49" t="s">
        <v>39</v>
      </c>
      <c r="M654" s="49" t="s">
        <v>76</v>
      </c>
      <c r="N654" s="49" t="s">
        <v>88</v>
      </c>
      <c r="O654" s="49" t="s">
        <v>95</v>
      </c>
      <c r="P654" s="48" t="s">
        <v>86</v>
      </c>
      <c r="Q654" s="49" t="s">
        <v>37</v>
      </c>
      <c r="R654" s="11" t="s">
        <v>80</v>
      </c>
      <c r="S654" s="11" t="s">
        <v>90</v>
      </c>
      <c r="T654" s="49" t="s">
        <v>627</v>
      </c>
      <c r="U654" s="11" t="s">
        <v>628</v>
      </c>
      <c r="V654" s="116" t="s">
        <v>1</v>
      </c>
      <c r="W654" s="88"/>
      <c r="X654" s="51">
        <v>45551</v>
      </c>
      <c r="Y654" s="97" t="s">
        <v>1577</v>
      </c>
      <c r="Z654" s="135" t="s">
        <v>2</v>
      </c>
      <c r="AA654" s="135">
        <v>0</v>
      </c>
    </row>
    <row r="655" spans="1:27" ht="13" customHeight="1">
      <c r="A655" s="11">
        <v>649</v>
      </c>
      <c r="B655" s="47">
        <v>203850997</v>
      </c>
      <c r="C655" s="89" t="s">
        <v>694</v>
      </c>
      <c r="D655" s="11" t="s">
        <v>695</v>
      </c>
      <c r="E655" s="48" t="s">
        <v>31</v>
      </c>
      <c r="F655" s="48" t="s">
        <v>74</v>
      </c>
      <c r="G655" s="11" t="s">
        <v>64</v>
      </c>
      <c r="H655" s="48" t="str">
        <f>VLOOKUP(Table1[[#This Row],[Psoft No]],[1]Roster!$C$2:$H$1402,6,)</f>
        <v>AUH1</v>
      </c>
      <c r="I655" s="48" t="b">
        <f>Table1[[#This Row],[Building]]=Table1[[#This Row],[Column1]]</f>
        <v>1</v>
      </c>
      <c r="J655" s="11" t="s">
        <v>75</v>
      </c>
      <c r="K655" s="11">
        <v>1299</v>
      </c>
      <c r="L655" s="49" t="s">
        <v>39</v>
      </c>
      <c r="M655" s="49" t="s">
        <v>76</v>
      </c>
      <c r="N655" s="49" t="s">
        <v>88</v>
      </c>
      <c r="O655" s="49" t="s">
        <v>95</v>
      </c>
      <c r="P655" s="49" t="s">
        <v>79</v>
      </c>
      <c r="Q655" s="49" t="s">
        <v>37</v>
      </c>
      <c r="R655" s="11" t="s">
        <v>80</v>
      </c>
      <c r="S655" s="11" t="s">
        <v>81</v>
      </c>
      <c r="T655" s="49" t="s">
        <v>631</v>
      </c>
      <c r="U655" s="11" t="s">
        <v>632</v>
      </c>
      <c r="V655" s="116" t="s">
        <v>1</v>
      </c>
      <c r="W655" s="88"/>
      <c r="X655" s="51">
        <v>45524</v>
      </c>
      <c r="Y655" s="97" t="s">
        <v>1578</v>
      </c>
      <c r="Z655" s="135" t="s">
        <v>2</v>
      </c>
      <c r="AA655" s="135">
        <v>0</v>
      </c>
    </row>
    <row r="656" spans="1:27" ht="13" customHeight="1">
      <c r="A656" s="11">
        <v>650</v>
      </c>
      <c r="B656" s="47">
        <v>205854083</v>
      </c>
      <c r="C656" s="89" t="s">
        <v>944</v>
      </c>
      <c r="D656" s="11" t="s">
        <v>945</v>
      </c>
      <c r="E656" s="48" t="s">
        <v>31</v>
      </c>
      <c r="F656" s="48" t="s">
        <v>74</v>
      </c>
      <c r="G656" s="11" t="s">
        <v>64</v>
      </c>
      <c r="H656" s="48" t="str">
        <f>VLOOKUP(Table1[[#This Row],[Psoft No]],[1]Roster!$C$2:$H$1402,6,)</f>
        <v>AUH1</v>
      </c>
      <c r="I656" s="48" t="b">
        <f>Table1[[#This Row],[Building]]=Table1[[#This Row],[Column1]]</f>
        <v>1</v>
      </c>
      <c r="J656" s="11" t="s">
        <v>75</v>
      </c>
      <c r="K656" s="11">
        <v>1299</v>
      </c>
      <c r="L656" s="49" t="s">
        <v>32</v>
      </c>
      <c r="M656" s="49" t="s">
        <v>76</v>
      </c>
      <c r="N656" s="49" t="s">
        <v>92</v>
      </c>
      <c r="O656" s="49" t="s">
        <v>84</v>
      </c>
      <c r="P656" s="48" t="s">
        <v>89</v>
      </c>
      <c r="Q656" s="49" t="s">
        <v>37</v>
      </c>
      <c r="R656" s="11" t="s">
        <v>80</v>
      </c>
      <c r="S656" s="11" t="s">
        <v>96</v>
      </c>
      <c r="T656" s="49" t="s">
        <v>627</v>
      </c>
      <c r="U656" s="11" t="s">
        <v>628</v>
      </c>
      <c r="V656" s="116" t="s">
        <v>10</v>
      </c>
      <c r="W656" s="88"/>
      <c r="X656" s="51">
        <v>45894</v>
      </c>
      <c r="Y656" s="97" t="s">
        <v>1577</v>
      </c>
      <c r="Z656" s="135" t="s">
        <v>3023</v>
      </c>
      <c r="AA656" s="135">
        <v>0</v>
      </c>
    </row>
    <row r="657" spans="1:27" ht="13" customHeight="1">
      <c r="A657" s="11">
        <v>651</v>
      </c>
      <c r="B657" s="47">
        <v>203342030</v>
      </c>
      <c r="C657" s="89" t="s">
        <v>698</v>
      </c>
      <c r="D657" s="11" t="s">
        <v>699</v>
      </c>
      <c r="E657" s="48" t="s">
        <v>31</v>
      </c>
      <c r="F657" s="48" t="s">
        <v>74</v>
      </c>
      <c r="G657" s="48" t="s">
        <v>64</v>
      </c>
      <c r="H657" s="48" t="str">
        <f>VLOOKUP(Table1[[#This Row],[Psoft No]],[1]Roster!$C$2:$H$1402,6,)</f>
        <v>AUH1</v>
      </c>
      <c r="I657" s="48" t="b">
        <f>Table1[[#This Row],[Building]]=Table1[[#This Row],[Column1]]</f>
        <v>1</v>
      </c>
      <c r="J657" s="48" t="s">
        <v>75</v>
      </c>
      <c r="K657" s="11">
        <v>1299</v>
      </c>
      <c r="L657" s="49" t="s">
        <v>32</v>
      </c>
      <c r="M657" s="49" t="s">
        <v>76</v>
      </c>
      <c r="N657" s="49" t="s">
        <v>77</v>
      </c>
      <c r="O657" s="49" t="s">
        <v>78</v>
      </c>
      <c r="P657" s="49" t="s">
        <v>86</v>
      </c>
      <c r="Q657" s="49" t="s">
        <v>37</v>
      </c>
      <c r="R657" s="49" t="s">
        <v>80</v>
      </c>
      <c r="S657" s="49" t="s">
        <v>99</v>
      </c>
      <c r="T657" s="49" t="s">
        <v>1066</v>
      </c>
      <c r="U657" s="49" t="s">
        <v>2717</v>
      </c>
      <c r="V657" s="116" t="str">
        <f>VLOOKUP(Table1[[#This Row],[Psoft No]],[2]Sheet1!$A$2:$G$386,7,0)</f>
        <v>P</v>
      </c>
      <c r="W657" s="88"/>
      <c r="X657" s="51">
        <v>45432</v>
      </c>
      <c r="Y657" s="97" t="s">
        <v>1578</v>
      </c>
      <c r="Z657" s="135" t="s">
        <v>2</v>
      </c>
      <c r="AA657" s="135">
        <v>0</v>
      </c>
    </row>
    <row r="658" spans="1:27" ht="13" customHeight="1">
      <c r="A658" s="11">
        <v>652</v>
      </c>
      <c r="B658" s="47">
        <v>204172225</v>
      </c>
      <c r="C658" s="89" t="s">
        <v>700</v>
      </c>
      <c r="D658" s="11" t="s">
        <v>701</v>
      </c>
      <c r="E658" s="48" t="s">
        <v>31</v>
      </c>
      <c r="F658" s="48" t="s">
        <v>74</v>
      </c>
      <c r="G658" s="11" t="s">
        <v>64</v>
      </c>
      <c r="H658" s="48" t="str">
        <f>VLOOKUP(Table1[[#This Row],[Psoft No]],[1]Roster!$C$2:$H$1402,6,)</f>
        <v>AUH1</v>
      </c>
      <c r="I658" s="48" t="b">
        <f>Table1[[#This Row],[Building]]=Table1[[#This Row],[Column1]]</f>
        <v>1</v>
      </c>
      <c r="J658" s="11" t="s">
        <v>75</v>
      </c>
      <c r="K658" s="11">
        <v>1299</v>
      </c>
      <c r="L658" s="49" t="s">
        <v>32</v>
      </c>
      <c r="M658" s="49" t="s">
        <v>76</v>
      </c>
      <c r="N658" s="49" t="s">
        <v>85</v>
      </c>
      <c r="O658" s="49" t="s">
        <v>88</v>
      </c>
      <c r="P658" s="48" t="s">
        <v>89</v>
      </c>
      <c r="Q658" s="49" t="s">
        <v>37</v>
      </c>
      <c r="R658" s="11" t="s">
        <v>80</v>
      </c>
      <c r="S658" s="11" t="s">
        <v>90</v>
      </c>
      <c r="T658" s="11" t="s">
        <v>647</v>
      </c>
      <c r="U658" s="11" t="s">
        <v>1798</v>
      </c>
      <c r="V658" s="116" t="str">
        <f>VLOOKUP(Table1[[#This Row],[Psoft No]],[2]Sheet1!$A$2:$G$386,7,0)</f>
        <v>P</v>
      </c>
      <c r="W658" s="88"/>
      <c r="X658" s="51">
        <v>45568</v>
      </c>
      <c r="Y658" s="97" t="s">
        <v>1577</v>
      </c>
      <c r="Z658" s="135" t="s">
        <v>2</v>
      </c>
      <c r="AA658" s="135">
        <v>0</v>
      </c>
    </row>
    <row r="659" spans="1:27" ht="13" customHeight="1">
      <c r="A659" s="11">
        <v>653</v>
      </c>
      <c r="B659" s="47">
        <v>206926474</v>
      </c>
      <c r="C659" s="89" t="s">
        <v>2011</v>
      </c>
      <c r="D659" s="11" t="s">
        <v>2018</v>
      </c>
      <c r="E659" s="48" t="s">
        <v>31</v>
      </c>
      <c r="F659" s="48" t="s">
        <v>74</v>
      </c>
      <c r="G659" s="11" t="s">
        <v>64</v>
      </c>
      <c r="H659" s="48" t="str">
        <f>VLOOKUP(Table1[[#This Row],[Psoft No]],[1]Roster!$C$2:$H$1402,6,)</f>
        <v>AUH1</v>
      </c>
      <c r="I659" s="48" t="b">
        <f>Table1[[#This Row],[Building]]=Table1[[#This Row],[Column1]]</f>
        <v>1</v>
      </c>
      <c r="J659" s="11" t="s">
        <v>1332</v>
      </c>
      <c r="K659" s="11">
        <v>1299</v>
      </c>
      <c r="L659" s="49" t="s">
        <v>32</v>
      </c>
      <c r="M659" s="49" t="s">
        <v>76</v>
      </c>
      <c r="N659" s="49" t="s">
        <v>95</v>
      </c>
      <c r="O659" s="49" t="s">
        <v>77</v>
      </c>
      <c r="P659" s="48" t="s">
        <v>89</v>
      </c>
      <c r="Q659" s="49" t="s">
        <v>37</v>
      </c>
      <c r="R659" s="11" t="s">
        <v>80</v>
      </c>
      <c r="S659" s="11" t="s">
        <v>90</v>
      </c>
      <c r="T659" s="49" t="s">
        <v>647</v>
      </c>
      <c r="U659" s="11" t="s">
        <v>1798</v>
      </c>
      <c r="V659" s="116" t="str">
        <f>VLOOKUP(Table1[[#This Row],[Psoft No]],[2]Sheet1!$A$2:$G$386,7,0)</f>
        <v>P</v>
      </c>
      <c r="W659" s="88"/>
      <c r="X659" s="51">
        <v>46037</v>
      </c>
      <c r="Y659" s="97" t="s">
        <v>2020</v>
      </c>
      <c r="Z659" s="135" t="s">
        <v>2</v>
      </c>
      <c r="AA659" s="135">
        <v>0</v>
      </c>
    </row>
    <row r="660" spans="1:27" ht="13" customHeight="1">
      <c r="A660" s="11">
        <v>654</v>
      </c>
      <c r="B660" s="47">
        <v>205236902</v>
      </c>
      <c r="C660" s="89" t="s">
        <v>702</v>
      </c>
      <c r="D660" s="11" t="s">
        <v>703</v>
      </c>
      <c r="E660" s="48" t="s">
        <v>31</v>
      </c>
      <c r="F660" s="48" t="s">
        <v>74</v>
      </c>
      <c r="G660" s="11" t="s">
        <v>64</v>
      </c>
      <c r="H660" s="48" t="str">
        <f>VLOOKUP(Table1[[#This Row],[Psoft No]],[1]Roster!$C$2:$H$1402,6,)</f>
        <v>AUH1</v>
      </c>
      <c r="I660" s="48" t="b">
        <f>Table1[[#This Row],[Building]]=Table1[[#This Row],[Column1]]</f>
        <v>1</v>
      </c>
      <c r="J660" s="11" t="s">
        <v>75</v>
      </c>
      <c r="K660" s="11">
        <v>1299</v>
      </c>
      <c r="L660" s="49" t="s">
        <v>39</v>
      </c>
      <c r="M660" s="49" t="s">
        <v>76</v>
      </c>
      <c r="N660" s="49" t="s">
        <v>78</v>
      </c>
      <c r="O660" s="49" t="s">
        <v>92</v>
      </c>
      <c r="P660" s="49" t="s">
        <v>86</v>
      </c>
      <c r="Q660" s="48" t="s">
        <v>37</v>
      </c>
      <c r="R660" s="48" t="s">
        <v>80</v>
      </c>
      <c r="S660" s="11" t="s">
        <v>90</v>
      </c>
      <c r="T660" s="11" t="s">
        <v>631</v>
      </c>
      <c r="U660" s="11" t="s">
        <v>632</v>
      </c>
      <c r="V660" s="116" t="s">
        <v>10</v>
      </c>
      <c r="W660" s="88"/>
      <c r="X660" s="51">
        <v>45789</v>
      </c>
      <c r="Y660" s="97" t="s">
        <v>1577</v>
      </c>
      <c r="Z660" s="135" t="s">
        <v>3023</v>
      </c>
      <c r="AA660" s="135">
        <v>0</v>
      </c>
    </row>
    <row r="661" spans="1:27" ht="13" customHeight="1">
      <c r="A661" s="11">
        <v>655</v>
      </c>
      <c r="B661" s="47">
        <v>204053434</v>
      </c>
      <c r="C661" s="89" t="s">
        <v>704</v>
      </c>
      <c r="D661" s="11" t="s">
        <v>705</v>
      </c>
      <c r="E661" s="48" t="s">
        <v>31</v>
      </c>
      <c r="F661" s="48" t="s">
        <v>74</v>
      </c>
      <c r="G661" s="11" t="s">
        <v>64</v>
      </c>
      <c r="H661" s="48" t="str">
        <f>VLOOKUP(Table1[[#This Row],[Psoft No]],[1]Roster!$C$2:$H$1402,6,)</f>
        <v>AUH1</v>
      </c>
      <c r="I661" s="48" t="b">
        <f>Table1[[#This Row],[Building]]=Table1[[#This Row],[Column1]]</f>
        <v>1</v>
      </c>
      <c r="J661" s="11" t="s">
        <v>75</v>
      </c>
      <c r="K661" s="11">
        <v>1299</v>
      </c>
      <c r="L661" s="49" t="s">
        <v>32</v>
      </c>
      <c r="M661" s="49" t="s">
        <v>76</v>
      </c>
      <c r="N661" s="49" t="s">
        <v>95</v>
      </c>
      <c r="O661" s="49" t="s">
        <v>77</v>
      </c>
      <c r="P661" s="49" t="s">
        <v>86</v>
      </c>
      <c r="Q661" s="49" t="s">
        <v>37</v>
      </c>
      <c r="R661" s="11" t="s">
        <v>80</v>
      </c>
      <c r="S661" s="11" t="s">
        <v>99</v>
      </c>
      <c r="T661" s="11" t="s">
        <v>2845</v>
      </c>
      <c r="U661" s="11" t="s">
        <v>2846</v>
      </c>
      <c r="V661" s="116" t="str">
        <f>VLOOKUP(Table1[[#This Row],[Psoft No]],[2]Sheet1!$A$2:$G$386,7,0)</f>
        <v>P</v>
      </c>
      <c r="W661" s="88"/>
      <c r="X661" s="51">
        <v>45558</v>
      </c>
      <c r="Y661" s="97" t="s">
        <v>1576</v>
      </c>
      <c r="Z661" s="135" t="s">
        <v>2</v>
      </c>
      <c r="AA661" s="135">
        <v>0</v>
      </c>
    </row>
    <row r="662" spans="1:27" ht="13" customHeight="1">
      <c r="A662" s="11">
        <v>656</v>
      </c>
      <c r="B662" s="47">
        <v>205236897</v>
      </c>
      <c r="C662" s="89" t="s">
        <v>2382</v>
      </c>
      <c r="D662" s="11" t="s">
        <v>2383</v>
      </c>
      <c r="E662" s="48" t="s">
        <v>31</v>
      </c>
      <c r="F662" s="48" t="s">
        <v>74</v>
      </c>
      <c r="G662" s="48" t="s">
        <v>64</v>
      </c>
      <c r="H662" s="48" t="str">
        <f>VLOOKUP(Table1[[#This Row],[Psoft No]],[1]Roster!$C$2:$H$1402,6,)</f>
        <v>AUH1</v>
      </c>
      <c r="I662" s="48" t="b">
        <f>Table1[[#This Row],[Building]]=Table1[[#This Row],[Column1]]</f>
        <v>1</v>
      </c>
      <c r="J662" s="48" t="s">
        <v>75</v>
      </c>
      <c r="K662" s="11">
        <v>1299</v>
      </c>
      <c r="L662" s="49" t="s">
        <v>39</v>
      </c>
      <c r="M662" s="49" t="s">
        <v>76</v>
      </c>
      <c r="N662" s="49" t="s">
        <v>88</v>
      </c>
      <c r="O662" s="49" t="s">
        <v>95</v>
      </c>
      <c r="P662" s="49" t="s">
        <v>86</v>
      </c>
      <c r="Q662" s="49" t="s">
        <v>37</v>
      </c>
      <c r="R662" s="49" t="s">
        <v>80</v>
      </c>
      <c r="S662" s="49" t="s">
        <v>90</v>
      </c>
      <c r="T662" s="49" t="s">
        <v>631</v>
      </c>
      <c r="U662" s="11" t="s">
        <v>632</v>
      </c>
      <c r="V662" s="116" t="s">
        <v>1</v>
      </c>
      <c r="W662" s="88"/>
      <c r="X662" s="51">
        <v>45789</v>
      </c>
      <c r="Y662" s="97" t="s">
        <v>1577</v>
      </c>
      <c r="Z662" s="135" t="s">
        <v>2</v>
      </c>
      <c r="AA662" s="135">
        <v>0</v>
      </c>
    </row>
    <row r="663" spans="1:27" ht="13" customHeight="1">
      <c r="A663" s="11">
        <v>657</v>
      </c>
      <c r="B663" s="47">
        <v>204013688</v>
      </c>
      <c r="C663" s="89" t="s">
        <v>706</v>
      </c>
      <c r="D663" s="11" t="s">
        <v>707</v>
      </c>
      <c r="E663" s="48" t="s">
        <v>31</v>
      </c>
      <c r="F663" s="48" t="s">
        <v>74</v>
      </c>
      <c r="G663" s="11" t="s">
        <v>64</v>
      </c>
      <c r="H663" s="48" t="str">
        <f>VLOOKUP(Table1[[#This Row],[Psoft No]],[1]Roster!$C$2:$H$1402,6,)</f>
        <v>AUH1</v>
      </c>
      <c r="I663" s="48" t="b">
        <f>Table1[[#This Row],[Building]]=Table1[[#This Row],[Column1]]</f>
        <v>1</v>
      </c>
      <c r="J663" s="11" t="s">
        <v>75</v>
      </c>
      <c r="K663" s="11">
        <v>1299</v>
      </c>
      <c r="L663" s="49" t="s">
        <v>39</v>
      </c>
      <c r="M663" s="49" t="s">
        <v>76</v>
      </c>
      <c r="N663" s="49" t="s">
        <v>88</v>
      </c>
      <c r="O663" s="49" t="s">
        <v>95</v>
      </c>
      <c r="P663" s="49" t="s">
        <v>79</v>
      </c>
      <c r="Q663" s="49" t="s">
        <v>37</v>
      </c>
      <c r="R663" s="11" t="s">
        <v>80</v>
      </c>
      <c r="S663" s="11" t="s">
        <v>81</v>
      </c>
      <c r="T663" s="11" t="s">
        <v>627</v>
      </c>
      <c r="U663" s="11" t="s">
        <v>628</v>
      </c>
      <c r="V663" s="116" t="s">
        <v>1</v>
      </c>
      <c r="W663" s="88"/>
      <c r="X663" s="51">
        <v>45551</v>
      </c>
      <c r="Y663" s="97" t="s">
        <v>1577</v>
      </c>
      <c r="Z663" s="135" t="s">
        <v>2</v>
      </c>
      <c r="AA663" s="135">
        <v>0</v>
      </c>
    </row>
    <row r="664" spans="1:27" ht="13" customHeight="1">
      <c r="A664" s="11">
        <v>658</v>
      </c>
      <c r="B664" s="47">
        <v>206897553</v>
      </c>
      <c r="C664" s="89" t="s">
        <v>1899</v>
      </c>
      <c r="D664" s="11" t="s">
        <v>1900</v>
      </c>
      <c r="E664" s="48" t="s">
        <v>31</v>
      </c>
      <c r="F664" s="48" t="s">
        <v>74</v>
      </c>
      <c r="G664" s="11" t="s">
        <v>64</v>
      </c>
      <c r="H664" s="48" t="str">
        <f>VLOOKUP(Table1[[#This Row],[Psoft No]],[1]Roster!$C$2:$H$1402,6,)</f>
        <v>AUH1</v>
      </c>
      <c r="I664" s="48" t="b">
        <f>Table1[[#This Row],[Building]]=Table1[[#This Row],[Column1]]</f>
        <v>1</v>
      </c>
      <c r="J664" s="11" t="s">
        <v>75</v>
      </c>
      <c r="K664" s="11">
        <v>1290</v>
      </c>
      <c r="L664" s="49" t="s">
        <v>39</v>
      </c>
      <c r="M664" s="49" t="s">
        <v>76</v>
      </c>
      <c r="N664" s="49" t="s">
        <v>77</v>
      </c>
      <c r="O664" s="49" t="s">
        <v>78</v>
      </c>
      <c r="P664" s="48" t="s">
        <v>89</v>
      </c>
      <c r="Q664" s="49" t="s">
        <v>37</v>
      </c>
      <c r="R664" s="11" t="s">
        <v>80</v>
      </c>
      <c r="S664" s="11" t="s">
        <v>81</v>
      </c>
      <c r="T664" s="11" t="s">
        <v>1066</v>
      </c>
      <c r="U664" s="11" t="s">
        <v>2717</v>
      </c>
      <c r="V664" s="116" t="s">
        <v>1</v>
      </c>
      <c r="W664" s="88"/>
      <c r="X664" s="51">
        <v>46030</v>
      </c>
      <c r="Y664" s="97" t="s">
        <v>1578</v>
      </c>
      <c r="Z664" s="135" t="s">
        <v>2</v>
      </c>
      <c r="AA664" s="135">
        <v>0</v>
      </c>
    </row>
    <row r="665" spans="1:27" ht="13" customHeight="1">
      <c r="A665" s="11">
        <v>659</v>
      </c>
      <c r="B665" s="92">
        <v>205854273</v>
      </c>
      <c r="C665" s="47" t="s">
        <v>708</v>
      </c>
      <c r="D665" s="89" t="s">
        <v>709</v>
      </c>
      <c r="E665" s="48" t="s">
        <v>31</v>
      </c>
      <c r="F665" s="48" t="s">
        <v>74</v>
      </c>
      <c r="G665" s="11" t="s">
        <v>64</v>
      </c>
      <c r="H665" s="48" t="str">
        <f>VLOOKUP(Table1[[#This Row],[Psoft No]],[1]Roster!$C$2:$H$1402,6,)</f>
        <v>AUH1</v>
      </c>
      <c r="I665" s="48" t="b">
        <f>Table1[[#This Row],[Building]]=Table1[[#This Row],[Column1]]</f>
        <v>1</v>
      </c>
      <c r="J665" s="11" t="s">
        <v>75</v>
      </c>
      <c r="K665" s="11">
        <v>1299</v>
      </c>
      <c r="L665" s="49" t="s">
        <v>32</v>
      </c>
      <c r="M665" s="49" t="s">
        <v>76</v>
      </c>
      <c r="N665" s="49" t="s">
        <v>92</v>
      </c>
      <c r="O665" s="49" t="s">
        <v>84</v>
      </c>
      <c r="P665" s="49" t="s">
        <v>79</v>
      </c>
      <c r="Q665" s="49" t="s">
        <v>37</v>
      </c>
      <c r="R665" s="11" t="s">
        <v>80</v>
      </c>
      <c r="S665" s="11" t="s">
        <v>96</v>
      </c>
      <c r="T665" s="11" t="s">
        <v>631</v>
      </c>
      <c r="U665" s="11" t="s">
        <v>632</v>
      </c>
      <c r="V665" s="116" t="s">
        <v>10</v>
      </c>
      <c r="W665" s="88"/>
      <c r="X665" s="51">
        <v>45894</v>
      </c>
      <c r="Y665" s="97" t="s">
        <v>1577</v>
      </c>
      <c r="Z665" s="135" t="s">
        <v>3023</v>
      </c>
      <c r="AA665" s="135">
        <v>0</v>
      </c>
    </row>
    <row r="666" spans="1:27" ht="13" customHeight="1">
      <c r="A666" s="11">
        <v>660</v>
      </c>
      <c r="B666" s="47">
        <v>206926475</v>
      </c>
      <c r="C666" s="89" t="s">
        <v>2009</v>
      </c>
      <c r="D666" s="11" t="s">
        <v>2016</v>
      </c>
      <c r="E666" s="48" t="s">
        <v>31</v>
      </c>
      <c r="F666" s="48" t="s">
        <v>74</v>
      </c>
      <c r="G666" s="11" t="s">
        <v>64</v>
      </c>
      <c r="H666" s="48" t="str">
        <f>VLOOKUP(Table1[[#This Row],[Psoft No]],[1]Roster!$C$2:$H$1402,6,)</f>
        <v>AUH1</v>
      </c>
      <c r="I666" s="48" t="b">
        <f>Table1[[#This Row],[Building]]=Table1[[#This Row],[Column1]]</f>
        <v>1</v>
      </c>
      <c r="J666" s="11" t="s">
        <v>1332</v>
      </c>
      <c r="K666" s="11">
        <v>1299</v>
      </c>
      <c r="L666" s="49" t="s">
        <v>32</v>
      </c>
      <c r="M666" s="49" t="s">
        <v>76</v>
      </c>
      <c r="N666" s="49" t="s">
        <v>78</v>
      </c>
      <c r="O666" s="49" t="s">
        <v>92</v>
      </c>
      <c r="P666" s="48" t="s">
        <v>89</v>
      </c>
      <c r="Q666" s="49" t="s">
        <v>37</v>
      </c>
      <c r="R666" s="11" t="s">
        <v>80</v>
      </c>
      <c r="S666" s="11" t="s">
        <v>90</v>
      </c>
      <c r="T666" s="11" t="s">
        <v>2719</v>
      </c>
      <c r="U666" s="11" t="s">
        <v>642</v>
      </c>
      <c r="V666" s="116" t="s">
        <v>10</v>
      </c>
      <c r="W666" s="88"/>
      <c r="X666" s="51">
        <v>46037</v>
      </c>
      <c r="Y666" s="97" t="s">
        <v>2020</v>
      </c>
      <c r="Z666" s="135" t="s">
        <v>3023</v>
      </c>
      <c r="AA666" s="135">
        <v>0</v>
      </c>
    </row>
    <row r="667" spans="1:27" ht="13" customHeight="1">
      <c r="A667" s="11">
        <v>661</v>
      </c>
      <c r="B667" s="47">
        <v>206128846</v>
      </c>
      <c r="C667" s="89" t="s">
        <v>710</v>
      </c>
      <c r="D667" s="11" t="s">
        <v>711</v>
      </c>
      <c r="E667" s="48" t="s">
        <v>31</v>
      </c>
      <c r="F667" s="48" t="s">
        <v>74</v>
      </c>
      <c r="G667" s="11" t="s">
        <v>64</v>
      </c>
      <c r="H667" s="48" t="str">
        <f>VLOOKUP(Table1[[#This Row],[Psoft No]],[1]Roster!$C$2:$H$1402,6,)</f>
        <v>AUH1</v>
      </c>
      <c r="I667" s="48" t="b">
        <f>Table1[[#This Row],[Building]]=Table1[[#This Row],[Column1]]</f>
        <v>1</v>
      </c>
      <c r="J667" s="11" t="s">
        <v>75</v>
      </c>
      <c r="K667" s="11">
        <v>1299</v>
      </c>
      <c r="L667" s="49" t="s">
        <v>32</v>
      </c>
      <c r="M667" s="49" t="s">
        <v>76</v>
      </c>
      <c r="N667" s="49" t="s">
        <v>92</v>
      </c>
      <c r="O667" s="49" t="s">
        <v>84</v>
      </c>
      <c r="P667" s="48" t="s">
        <v>89</v>
      </c>
      <c r="Q667" s="49" t="s">
        <v>37</v>
      </c>
      <c r="R667" s="11" t="s">
        <v>80</v>
      </c>
      <c r="S667" s="11" t="s">
        <v>81</v>
      </c>
      <c r="T667" s="49" t="s">
        <v>639</v>
      </c>
      <c r="U667" s="11" t="s">
        <v>2718</v>
      </c>
      <c r="V667" s="116" t="s">
        <v>10</v>
      </c>
      <c r="W667" s="88"/>
      <c r="X667" s="51">
        <v>45929</v>
      </c>
      <c r="Y667" s="97" t="s">
        <v>1577</v>
      </c>
      <c r="Z667" s="135" t="s">
        <v>3023</v>
      </c>
      <c r="AA667" s="135">
        <v>0</v>
      </c>
    </row>
    <row r="668" spans="1:27" ht="13" customHeight="1">
      <c r="A668" s="11">
        <v>662</v>
      </c>
      <c r="B668" s="47">
        <v>204013691</v>
      </c>
      <c r="C668" s="89" t="s">
        <v>712</v>
      </c>
      <c r="D668" s="11" t="s">
        <v>713</v>
      </c>
      <c r="E668" s="48" t="s">
        <v>31</v>
      </c>
      <c r="F668" s="48" t="s">
        <v>74</v>
      </c>
      <c r="G668" s="11" t="s">
        <v>64</v>
      </c>
      <c r="H668" s="48" t="str">
        <f>VLOOKUP(Table1[[#This Row],[Psoft No]],[1]Roster!$C$2:$H$1402,6,)</f>
        <v>AUH1</v>
      </c>
      <c r="I668" s="48" t="b">
        <f>Table1[[#This Row],[Building]]=Table1[[#This Row],[Column1]]</f>
        <v>1</v>
      </c>
      <c r="J668" s="11" t="s">
        <v>75</v>
      </c>
      <c r="K668" s="11">
        <v>1299</v>
      </c>
      <c r="L668" s="49" t="s">
        <v>39</v>
      </c>
      <c r="M668" s="49" t="s">
        <v>76</v>
      </c>
      <c r="N668" s="49" t="s">
        <v>85</v>
      </c>
      <c r="O668" s="49" t="s">
        <v>88</v>
      </c>
      <c r="P668" s="48" t="s">
        <v>79</v>
      </c>
      <c r="Q668" s="49" t="s">
        <v>37</v>
      </c>
      <c r="R668" s="11" t="s">
        <v>80</v>
      </c>
      <c r="S668" s="11" t="s">
        <v>81</v>
      </c>
      <c r="T668" s="11" t="s">
        <v>631</v>
      </c>
      <c r="U668" s="11" t="s">
        <v>632</v>
      </c>
      <c r="V668" s="116" t="s">
        <v>1</v>
      </c>
      <c r="W668" s="88"/>
      <c r="X668" s="51">
        <v>45551</v>
      </c>
      <c r="Y668" s="97" t="s">
        <v>1577</v>
      </c>
      <c r="Z668" s="135" t="s">
        <v>2</v>
      </c>
      <c r="AA668" s="135">
        <v>0</v>
      </c>
    </row>
    <row r="669" spans="1:27" ht="13" customHeight="1">
      <c r="A669" s="11">
        <v>663</v>
      </c>
      <c r="B669" s="47">
        <v>205848051</v>
      </c>
      <c r="C669" s="89" t="s">
        <v>2750</v>
      </c>
      <c r="D669" s="11" t="s">
        <v>2751</v>
      </c>
      <c r="E669" s="48" t="s">
        <v>31</v>
      </c>
      <c r="F669" s="48" t="s">
        <v>74</v>
      </c>
      <c r="G669" s="11" t="s">
        <v>64</v>
      </c>
      <c r="H669" s="48" t="str">
        <f>VLOOKUP(Table1[[#This Row],[Psoft No]],[1]Roster!$C$2:$H$1402,6,)</f>
        <v>AUH1</v>
      </c>
      <c r="I669" s="48" t="b">
        <f>Table1[[#This Row],[Building]]=Table1[[#This Row],[Column1]]</f>
        <v>1</v>
      </c>
      <c r="J669" s="11" t="s">
        <v>75</v>
      </c>
      <c r="K669" s="11">
        <v>1299</v>
      </c>
      <c r="L669" s="49" t="s">
        <v>39</v>
      </c>
      <c r="M669" s="49" t="s">
        <v>76</v>
      </c>
      <c r="N669" s="49" t="s">
        <v>92</v>
      </c>
      <c r="O669" s="49" t="s">
        <v>84</v>
      </c>
      <c r="P669" s="48" t="s">
        <v>89</v>
      </c>
      <c r="Q669" s="49" t="s">
        <v>37</v>
      </c>
      <c r="R669" s="11" t="s">
        <v>80</v>
      </c>
      <c r="S669" s="11" t="s">
        <v>96</v>
      </c>
      <c r="T669" s="11" t="s">
        <v>647</v>
      </c>
      <c r="U669" s="11" t="s">
        <v>2739</v>
      </c>
      <c r="V669" s="116" t="s">
        <v>10</v>
      </c>
      <c r="W669" s="88"/>
      <c r="X669" s="51">
        <v>45894</v>
      </c>
      <c r="Y669" s="97" t="s">
        <v>1577</v>
      </c>
      <c r="Z669" s="135" t="s">
        <v>3023</v>
      </c>
      <c r="AA669" s="135">
        <v>0</v>
      </c>
    </row>
    <row r="670" spans="1:27" ht="13" customHeight="1">
      <c r="A670" s="11">
        <v>664</v>
      </c>
      <c r="B670" s="47">
        <v>203908868</v>
      </c>
      <c r="C670" s="89" t="s">
        <v>714</v>
      </c>
      <c r="D670" s="11" t="s">
        <v>715</v>
      </c>
      <c r="E670" s="48" t="s">
        <v>31</v>
      </c>
      <c r="F670" s="48" t="s">
        <v>74</v>
      </c>
      <c r="G670" s="11" t="s">
        <v>64</v>
      </c>
      <c r="H670" s="48" t="str">
        <f>VLOOKUP(Table1[[#This Row],[Psoft No]],[1]Roster!$C$2:$H$1402,6,)</f>
        <v>AUH1</v>
      </c>
      <c r="I670" s="48" t="b">
        <f>Table1[[#This Row],[Building]]=Table1[[#This Row],[Column1]]</f>
        <v>1</v>
      </c>
      <c r="J670" s="11" t="s">
        <v>75</v>
      </c>
      <c r="K670" s="11">
        <v>1299</v>
      </c>
      <c r="L670" s="49" t="s">
        <v>39</v>
      </c>
      <c r="M670" s="49" t="s">
        <v>76</v>
      </c>
      <c r="N670" s="49" t="s">
        <v>92</v>
      </c>
      <c r="O670" s="49" t="s">
        <v>84</v>
      </c>
      <c r="P670" s="48" t="s">
        <v>79</v>
      </c>
      <c r="Q670" s="49" t="s">
        <v>37</v>
      </c>
      <c r="R670" s="11" t="s">
        <v>80</v>
      </c>
      <c r="S670" s="11" t="s">
        <v>81</v>
      </c>
      <c r="T670" s="49" t="s">
        <v>631</v>
      </c>
      <c r="U670" s="11" t="s">
        <v>632</v>
      </c>
      <c r="V670" s="116" t="s">
        <v>10</v>
      </c>
      <c r="W670" s="88"/>
      <c r="X670" s="51">
        <v>45537</v>
      </c>
      <c r="Y670" s="97" t="s">
        <v>1577</v>
      </c>
      <c r="Z670" s="135" t="s">
        <v>3023</v>
      </c>
      <c r="AA670" s="135">
        <v>0</v>
      </c>
    </row>
    <row r="671" spans="1:27" ht="13" customHeight="1">
      <c r="A671" s="11">
        <v>665</v>
      </c>
      <c r="B671" s="92">
        <v>206072090</v>
      </c>
      <c r="C671" s="47" t="s">
        <v>716</v>
      </c>
      <c r="D671" s="89" t="s">
        <v>717</v>
      </c>
      <c r="E671" s="48" t="s">
        <v>31</v>
      </c>
      <c r="F671" s="48" t="s">
        <v>74</v>
      </c>
      <c r="G671" s="11" t="s">
        <v>64</v>
      </c>
      <c r="H671" s="48" t="str">
        <f>VLOOKUP(Table1[[#This Row],[Psoft No]],[1]Roster!$C$2:$H$1402,6,)</f>
        <v>AUH1</v>
      </c>
      <c r="I671" s="48" t="b">
        <f>Table1[[#This Row],[Building]]=Table1[[#This Row],[Column1]]</f>
        <v>1</v>
      </c>
      <c r="J671" s="11" t="s">
        <v>75</v>
      </c>
      <c r="K671" s="11">
        <v>1299</v>
      </c>
      <c r="L671" s="49" t="s">
        <v>32</v>
      </c>
      <c r="M671" s="49" t="s">
        <v>76</v>
      </c>
      <c r="N671" s="49" t="s">
        <v>95</v>
      </c>
      <c r="O671" s="49" t="s">
        <v>77</v>
      </c>
      <c r="P671" s="49" t="s">
        <v>79</v>
      </c>
      <c r="Q671" s="49" t="s">
        <v>37</v>
      </c>
      <c r="R671" s="11" t="s">
        <v>80</v>
      </c>
      <c r="S671" s="11" t="s">
        <v>81</v>
      </c>
      <c r="T671" s="11" t="s">
        <v>647</v>
      </c>
      <c r="U671" s="11" t="s">
        <v>1798</v>
      </c>
      <c r="V671" s="116" t="str">
        <f>VLOOKUP(Table1[[#This Row],[Psoft No]],[2]Sheet1!$A$2:$G$386,7,0)</f>
        <v>P</v>
      </c>
      <c r="W671" s="88"/>
      <c r="X671" s="51">
        <v>45922</v>
      </c>
      <c r="Y671" s="97" t="s">
        <v>1577</v>
      </c>
      <c r="Z671" s="135" t="s">
        <v>2</v>
      </c>
      <c r="AA671" s="135">
        <v>0</v>
      </c>
    </row>
    <row r="672" spans="1:27" ht="13" customHeight="1">
      <c r="A672" s="11">
        <v>666</v>
      </c>
      <c r="B672" s="92">
        <v>203965180</v>
      </c>
      <c r="C672" s="47" t="s">
        <v>718</v>
      </c>
      <c r="D672" s="89" t="s">
        <v>719</v>
      </c>
      <c r="E672" s="48" t="s">
        <v>31</v>
      </c>
      <c r="F672" s="48" t="s">
        <v>74</v>
      </c>
      <c r="G672" s="11" t="s">
        <v>64</v>
      </c>
      <c r="H672" s="48" t="str">
        <f>VLOOKUP(Table1[[#This Row],[Psoft No]],[1]Roster!$C$2:$H$1402,6,)</f>
        <v>AUH1</v>
      </c>
      <c r="I672" s="48" t="b">
        <f>Table1[[#This Row],[Building]]=Table1[[#This Row],[Column1]]</f>
        <v>1</v>
      </c>
      <c r="J672" s="11" t="s">
        <v>75</v>
      </c>
      <c r="K672" s="11">
        <v>1299</v>
      </c>
      <c r="L672" s="49" t="s">
        <v>39</v>
      </c>
      <c r="M672" s="49" t="s">
        <v>76</v>
      </c>
      <c r="N672" s="49" t="s">
        <v>85</v>
      </c>
      <c r="O672" s="49" t="s">
        <v>88</v>
      </c>
      <c r="P672" s="48" t="s">
        <v>79</v>
      </c>
      <c r="Q672" s="49" t="s">
        <v>37</v>
      </c>
      <c r="R672" s="11" t="s">
        <v>80</v>
      </c>
      <c r="S672" s="11" t="s">
        <v>81</v>
      </c>
      <c r="T672" s="11" t="s">
        <v>631</v>
      </c>
      <c r="U672" s="11" t="s">
        <v>632</v>
      </c>
      <c r="V672" s="116" t="s">
        <v>1</v>
      </c>
      <c r="W672" s="88"/>
      <c r="X672" s="51">
        <v>45544</v>
      </c>
      <c r="Y672" s="97" t="s">
        <v>1577</v>
      </c>
      <c r="Z672" s="135" t="s">
        <v>2</v>
      </c>
      <c r="AA672" s="135">
        <v>0</v>
      </c>
    </row>
    <row r="673" spans="1:27" ht="13" customHeight="1">
      <c r="A673" s="11">
        <v>667</v>
      </c>
      <c r="B673" s="92">
        <v>201161555</v>
      </c>
      <c r="C673" s="47" t="s">
        <v>720</v>
      </c>
      <c r="D673" s="89" t="s">
        <v>721</v>
      </c>
      <c r="E673" s="48" t="s">
        <v>31</v>
      </c>
      <c r="F673" s="48" t="s">
        <v>74</v>
      </c>
      <c r="G673" s="11" t="s">
        <v>64</v>
      </c>
      <c r="H673" s="48" t="str">
        <f>VLOOKUP(Table1[[#This Row],[Psoft No]],[1]Roster!$C$2:$H$1402,6,)</f>
        <v>AUH1</v>
      </c>
      <c r="I673" s="48" t="b">
        <f>Table1[[#This Row],[Building]]=Table1[[#This Row],[Column1]]</f>
        <v>1</v>
      </c>
      <c r="J673" s="11" t="s">
        <v>75</v>
      </c>
      <c r="K673" s="11">
        <v>1299</v>
      </c>
      <c r="L673" s="49" t="s">
        <v>32</v>
      </c>
      <c r="M673" s="49" t="s">
        <v>76</v>
      </c>
      <c r="N673" s="49" t="s">
        <v>84</v>
      </c>
      <c r="O673" s="49" t="s">
        <v>85</v>
      </c>
      <c r="P673" s="49" t="s">
        <v>86</v>
      </c>
      <c r="Q673" s="49" t="s">
        <v>37</v>
      </c>
      <c r="R673" s="11" t="s">
        <v>80</v>
      </c>
      <c r="S673" s="11" t="s">
        <v>87</v>
      </c>
      <c r="T673" s="11" t="s">
        <v>631</v>
      </c>
      <c r="U673" s="11" t="s">
        <v>632</v>
      </c>
      <c r="V673" s="116" t="s">
        <v>3</v>
      </c>
      <c r="W673" s="88"/>
      <c r="X673" s="51">
        <v>45586</v>
      </c>
      <c r="Y673" s="97" t="s">
        <v>1578</v>
      </c>
      <c r="Z673" s="135" t="s">
        <v>3023</v>
      </c>
      <c r="AA673" s="135">
        <v>0</v>
      </c>
    </row>
    <row r="674" spans="1:27" ht="13" customHeight="1">
      <c r="A674" s="11">
        <v>668</v>
      </c>
      <c r="B674" s="47">
        <v>204117188</v>
      </c>
      <c r="C674" s="89" t="s">
        <v>722</v>
      </c>
      <c r="D674" s="11" t="s">
        <v>723</v>
      </c>
      <c r="E674" s="48" t="s">
        <v>31</v>
      </c>
      <c r="F674" s="48" t="s">
        <v>74</v>
      </c>
      <c r="G674" s="11" t="s">
        <v>64</v>
      </c>
      <c r="H674" s="48" t="str">
        <f>VLOOKUP(Table1[[#This Row],[Psoft No]],[1]Roster!$C$2:$H$1402,6,)</f>
        <v>AUH1</v>
      </c>
      <c r="I674" s="48" t="b">
        <f>Table1[[#This Row],[Building]]=Table1[[#This Row],[Column1]]</f>
        <v>1</v>
      </c>
      <c r="J674" s="11" t="s">
        <v>75</v>
      </c>
      <c r="K674" s="11">
        <v>1299</v>
      </c>
      <c r="L674" s="49" t="s">
        <v>32</v>
      </c>
      <c r="M674" s="49" t="s">
        <v>76</v>
      </c>
      <c r="N674" s="49" t="s">
        <v>85</v>
      </c>
      <c r="O674" s="49" t="s">
        <v>88</v>
      </c>
      <c r="P674" s="48" t="s">
        <v>86</v>
      </c>
      <c r="Q674" s="49" t="s">
        <v>37</v>
      </c>
      <c r="R674" s="11" t="s">
        <v>80</v>
      </c>
      <c r="S674" s="11" t="s">
        <v>87</v>
      </c>
      <c r="T674" s="11" t="s">
        <v>627</v>
      </c>
      <c r="U674" s="11" t="s">
        <v>628</v>
      </c>
      <c r="V674" s="116" t="str">
        <f>VLOOKUP(Table1[[#This Row],[Psoft No]],[2]Sheet1!$A$2:$G$386,7,0)</f>
        <v>P</v>
      </c>
      <c r="W674" s="88"/>
      <c r="X674" s="51">
        <v>45561</v>
      </c>
      <c r="Y674" s="97" t="s">
        <v>1576</v>
      </c>
      <c r="Z674" s="135" t="s">
        <v>2</v>
      </c>
      <c r="AA674" s="135">
        <v>0</v>
      </c>
    </row>
    <row r="675" spans="1:27" ht="13" customHeight="1">
      <c r="A675" s="11">
        <v>669</v>
      </c>
      <c r="B675" s="47">
        <v>204172234</v>
      </c>
      <c r="C675" s="89" t="s">
        <v>2752</v>
      </c>
      <c r="D675" s="11" t="s">
        <v>2753</v>
      </c>
      <c r="E675" s="48" t="s">
        <v>31</v>
      </c>
      <c r="F675" s="48" t="s">
        <v>74</v>
      </c>
      <c r="G675" s="11" t="s">
        <v>64</v>
      </c>
      <c r="H675" s="48" t="str">
        <f>VLOOKUP(Table1[[#This Row],[Psoft No]],[1]Roster!$C$2:$H$1402,6,)</f>
        <v>AUH1</v>
      </c>
      <c r="I675" s="48" t="b">
        <f>Table1[[#This Row],[Building]]=Table1[[#This Row],[Column1]]</f>
        <v>1</v>
      </c>
      <c r="J675" s="11" t="s">
        <v>75</v>
      </c>
      <c r="K675" s="11">
        <v>1299</v>
      </c>
      <c r="L675" s="49" t="s">
        <v>39</v>
      </c>
      <c r="M675" s="49" t="s">
        <v>76</v>
      </c>
      <c r="N675" s="49" t="s">
        <v>88</v>
      </c>
      <c r="O675" s="49" t="s">
        <v>95</v>
      </c>
      <c r="P675" s="48" t="s">
        <v>89</v>
      </c>
      <c r="Q675" s="49" t="s">
        <v>37</v>
      </c>
      <c r="R675" s="11" t="s">
        <v>80</v>
      </c>
      <c r="S675" s="11" t="s">
        <v>90</v>
      </c>
      <c r="T675" s="11" t="s">
        <v>647</v>
      </c>
      <c r="U675" s="11" t="s">
        <v>2739</v>
      </c>
      <c r="V675" s="116" t="s">
        <v>1</v>
      </c>
      <c r="W675" s="88"/>
      <c r="X675" s="51">
        <v>45568</v>
      </c>
      <c r="Y675" s="97" t="s">
        <v>1577</v>
      </c>
      <c r="Z675" s="135" t="s">
        <v>2</v>
      </c>
      <c r="AA675" s="135">
        <v>0</v>
      </c>
    </row>
    <row r="676" spans="1:27" ht="13" customHeight="1">
      <c r="A676" s="11">
        <v>670</v>
      </c>
      <c r="B676" s="47">
        <v>204009916</v>
      </c>
      <c r="C676" s="89" t="s">
        <v>2754</v>
      </c>
      <c r="D676" s="11" t="s">
        <v>2755</v>
      </c>
      <c r="E676" s="48" t="s">
        <v>31</v>
      </c>
      <c r="F676" s="48" t="s">
        <v>74</v>
      </c>
      <c r="G676" s="11" t="s">
        <v>64</v>
      </c>
      <c r="H676" s="48" t="str">
        <f>VLOOKUP(Table1[[#This Row],[Psoft No]],[1]Roster!$C$2:$H$1402,6,)</f>
        <v>AUH1</v>
      </c>
      <c r="I676" s="48" t="b">
        <f>Table1[[#This Row],[Building]]=Table1[[#This Row],[Column1]]</f>
        <v>1</v>
      </c>
      <c r="J676" s="11" t="s">
        <v>75</v>
      </c>
      <c r="K676" s="11">
        <v>1299</v>
      </c>
      <c r="L676" s="49" t="s">
        <v>32</v>
      </c>
      <c r="M676" s="49" t="s">
        <v>76</v>
      </c>
      <c r="N676" s="49" t="s">
        <v>92</v>
      </c>
      <c r="O676" s="49" t="s">
        <v>84</v>
      </c>
      <c r="P676" s="48" t="s">
        <v>86</v>
      </c>
      <c r="Q676" s="49" t="s">
        <v>37</v>
      </c>
      <c r="R676" s="11" t="s">
        <v>80</v>
      </c>
      <c r="S676" s="11" t="s">
        <v>90</v>
      </c>
      <c r="T676" s="11" t="s">
        <v>647</v>
      </c>
      <c r="U676" s="11" t="s">
        <v>2739</v>
      </c>
      <c r="V676" s="116" t="s">
        <v>10</v>
      </c>
      <c r="W676" s="88"/>
      <c r="X676" s="51">
        <v>45551</v>
      </c>
      <c r="Y676" s="97" t="s">
        <v>1577</v>
      </c>
      <c r="Z676" s="135" t="s">
        <v>3023</v>
      </c>
      <c r="AA676" s="135">
        <v>0</v>
      </c>
    </row>
    <row r="677" spans="1:27" ht="13" customHeight="1">
      <c r="A677" s="11">
        <v>671</v>
      </c>
      <c r="B677" s="47">
        <v>206491329</v>
      </c>
      <c r="C677" s="89" t="s">
        <v>2148</v>
      </c>
      <c r="D677" s="11" t="s">
        <v>2149</v>
      </c>
      <c r="E677" s="48" t="s">
        <v>31</v>
      </c>
      <c r="F677" s="48" t="s">
        <v>74</v>
      </c>
      <c r="G677" s="11" t="s">
        <v>64</v>
      </c>
      <c r="H677" s="48" t="str">
        <f>VLOOKUP(Table1[[#This Row],[Psoft No]],[1]Roster!$C$2:$H$1402,6,)</f>
        <v>AUH1</v>
      </c>
      <c r="I677" s="48" t="b">
        <f>Table1[[#This Row],[Building]]=Table1[[#This Row],[Column1]]</f>
        <v>1</v>
      </c>
      <c r="J677" s="11" t="s">
        <v>75</v>
      </c>
      <c r="K677" s="11">
        <v>1299</v>
      </c>
      <c r="L677" s="49" t="s">
        <v>32</v>
      </c>
      <c r="M677" s="49" t="s">
        <v>76</v>
      </c>
      <c r="N677" s="49" t="s">
        <v>84</v>
      </c>
      <c r="O677" s="49" t="s">
        <v>85</v>
      </c>
      <c r="P677" s="48" t="s">
        <v>89</v>
      </c>
      <c r="Q677" s="49" t="s">
        <v>37</v>
      </c>
      <c r="R677" s="11" t="s">
        <v>80</v>
      </c>
      <c r="S677" s="11" t="s">
        <v>96</v>
      </c>
      <c r="T677" s="49" t="s">
        <v>631</v>
      </c>
      <c r="U677" s="11" t="s">
        <v>632</v>
      </c>
      <c r="V677" s="116" t="s">
        <v>7</v>
      </c>
      <c r="W677" s="88" t="s">
        <v>3015</v>
      </c>
      <c r="X677" s="51">
        <v>46048</v>
      </c>
      <c r="Y677" s="97" t="s">
        <v>1577</v>
      </c>
      <c r="Z677" s="135" t="s">
        <v>3023</v>
      </c>
      <c r="AA677" s="135" t="s">
        <v>3015</v>
      </c>
    </row>
    <row r="678" spans="1:27" ht="13" customHeight="1">
      <c r="A678" s="11">
        <v>672</v>
      </c>
      <c r="B678" s="47">
        <v>203512948</v>
      </c>
      <c r="C678" s="89" t="s">
        <v>724</v>
      </c>
      <c r="D678" s="11" t="s">
        <v>725</v>
      </c>
      <c r="E678" s="48" t="s">
        <v>31</v>
      </c>
      <c r="F678" s="48" t="s">
        <v>74</v>
      </c>
      <c r="G678" s="11" t="s">
        <v>64</v>
      </c>
      <c r="H678" s="48" t="str">
        <f>VLOOKUP(Table1[[#This Row],[Psoft No]],[1]Roster!$C$2:$H$1402,6,)</f>
        <v>AUH1</v>
      </c>
      <c r="I678" s="48" t="b">
        <f>Table1[[#This Row],[Building]]=Table1[[#This Row],[Column1]]</f>
        <v>1</v>
      </c>
      <c r="J678" s="11" t="s">
        <v>75</v>
      </c>
      <c r="K678" s="11">
        <v>1299</v>
      </c>
      <c r="L678" s="49" t="s">
        <v>39</v>
      </c>
      <c r="M678" s="49" t="s">
        <v>76</v>
      </c>
      <c r="N678" s="49" t="s">
        <v>88</v>
      </c>
      <c r="O678" s="49" t="s">
        <v>95</v>
      </c>
      <c r="P678" s="49" t="s">
        <v>79</v>
      </c>
      <c r="Q678" s="49" t="s">
        <v>37</v>
      </c>
      <c r="R678" s="11" t="s">
        <v>80</v>
      </c>
      <c r="S678" s="11" t="s">
        <v>81</v>
      </c>
      <c r="T678" s="11" t="s">
        <v>631</v>
      </c>
      <c r="U678" s="11" t="s">
        <v>632</v>
      </c>
      <c r="V678" s="116" t="s">
        <v>1</v>
      </c>
      <c r="W678" s="88"/>
      <c r="X678" s="51">
        <v>45463</v>
      </c>
      <c r="Y678" s="97" t="s">
        <v>1577</v>
      </c>
      <c r="Z678" s="135" t="s">
        <v>2</v>
      </c>
      <c r="AA678" s="135">
        <v>0</v>
      </c>
    </row>
    <row r="679" spans="1:27" ht="13" customHeight="1">
      <c r="A679" s="11">
        <v>673</v>
      </c>
      <c r="B679" s="47">
        <v>204137703</v>
      </c>
      <c r="C679" s="89" t="s">
        <v>726</v>
      </c>
      <c r="D679" s="11" t="s">
        <v>727</v>
      </c>
      <c r="E679" s="48" t="s">
        <v>31</v>
      </c>
      <c r="F679" s="48" t="s">
        <v>74</v>
      </c>
      <c r="G679" s="11" t="s">
        <v>64</v>
      </c>
      <c r="H679" s="48" t="str">
        <f>VLOOKUP(Table1[[#This Row],[Psoft No]],[1]Roster!$C$2:$H$1402,6,)</f>
        <v>AUH1</v>
      </c>
      <c r="I679" s="48" t="b">
        <f>Table1[[#This Row],[Building]]=Table1[[#This Row],[Column1]]</f>
        <v>1</v>
      </c>
      <c r="J679" s="11" t="s">
        <v>75</v>
      </c>
      <c r="K679" s="11">
        <v>1299</v>
      </c>
      <c r="L679" s="49" t="s">
        <v>39</v>
      </c>
      <c r="M679" s="49" t="s">
        <v>76</v>
      </c>
      <c r="N679" s="49" t="s">
        <v>88</v>
      </c>
      <c r="O679" s="49" t="s">
        <v>95</v>
      </c>
      <c r="P679" s="48" t="s">
        <v>86</v>
      </c>
      <c r="Q679" s="49" t="s">
        <v>37</v>
      </c>
      <c r="R679" s="11" t="s">
        <v>80</v>
      </c>
      <c r="S679" s="11" t="s">
        <v>87</v>
      </c>
      <c r="T679" s="49" t="s">
        <v>631</v>
      </c>
      <c r="U679" s="11" t="s">
        <v>632</v>
      </c>
      <c r="V679" s="116" t="s">
        <v>1</v>
      </c>
      <c r="W679" s="88"/>
      <c r="X679" s="51">
        <v>45565</v>
      </c>
      <c r="Y679" s="97" t="s">
        <v>1577</v>
      </c>
      <c r="Z679" s="135" t="s">
        <v>2</v>
      </c>
      <c r="AA679" s="135">
        <v>0</v>
      </c>
    </row>
    <row r="680" spans="1:27" ht="13" customHeight="1">
      <c r="A680" s="11">
        <v>674</v>
      </c>
      <c r="B680" s="47">
        <v>204299063</v>
      </c>
      <c r="C680" s="89" t="s">
        <v>728</v>
      </c>
      <c r="D680" s="11" t="s">
        <v>729</v>
      </c>
      <c r="E680" s="103" t="s">
        <v>31</v>
      </c>
      <c r="F680" s="48" t="s">
        <v>74</v>
      </c>
      <c r="G680" s="11" t="s">
        <v>64</v>
      </c>
      <c r="H680" s="48" t="str">
        <f>VLOOKUP(Table1[[#This Row],[Psoft No]],[1]Roster!$C$2:$H$1402,6,)</f>
        <v>AUH1</v>
      </c>
      <c r="I680" s="48" t="b">
        <f>Table1[[#This Row],[Building]]=Table1[[#This Row],[Column1]]</f>
        <v>1</v>
      </c>
      <c r="J680" s="11" t="s">
        <v>75</v>
      </c>
      <c r="K680" s="11">
        <v>1299</v>
      </c>
      <c r="L680" s="87" t="s">
        <v>39</v>
      </c>
      <c r="M680" s="49" t="s">
        <v>76</v>
      </c>
      <c r="N680" s="49" t="s">
        <v>77</v>
      </c>
      <c r="O680" s="49" t="s">
        <v>78</v>
      </c>
      <c r="P680" s="49" t="s">
        <v>86</v>
      </c>
      <c r="Q680" s="49" t="s">
        <v>37</v>
      </c>
      <c r="R680" s="49" t="s">
        <v>80</v>
      </c>
      <c r="S680" s="49" t="s">
        <v>87</v>
      </c>
      <c r="T680" s="49" t="s">
        <v>631</v>
      </c>
      <c r="U680" s="49" t="s">
        <v>632</v>
      </c>
      <c r="V680" s="116" t="s">
        <v>1</v>
      </c>
      <c r="W680" s="88"/>
      <c r="X680" s="51">
        <v>45586</v>
      </c>
      <c r="Y680" s="97" t="s">
        <v>1578</v>
      </c>
      <c r="Z680" s="135" t="s">
        <v>2</v>
      </c>
      <c r="AA680" s="135">
        <v>0</v>
      </c>
    </row>
    <row r="681" spans="1:27" ht="13" customHeight="1">
      <c r="A681" s="11">
        <v>675</v>
      </c>
      <c r="B681" s="47">
        <v>206239521</v>
      </c>
      <c r="C681" s="89" t="s">
        <v>2384</v>
      </c>
      <c r="D681" s="11" t="s">
        <v>2385</v>
      </c>
      <c r="E681" s="48" t="s">
        <v>31</v>
      </c>
      <c r="F681" s="48" t="s">
        <v>74</v>
      </c>
      <c r="G681" s="11" t="s">
        <v>64</v>
      </c>
      <c r="H681" s="48" t="str">
        <f>VLOOKUP(Table1[[#This Row],[Psoft No]],[1]Roster!$C$2:$H$1402,6,)</f>
        <v>AUH1</v>
      </c>
      <c r="I681" s="48" t="b">
        <f>Table1[[#This Row],[Building]]=Table1[[#This Row],[Column1]]</f>
        <v>1</v>
      </c>
      <c r="J681" s="11" t="s">
        <v>75</v>
      </c>
      <c r="K681" s="11">
        <v>1299</v>
      </c>
      <c r="L681" s="49" t="s">
        <v>39</v>
      </c>
      <c r="M681" s="49" t="s">
        <v>76</v>
      </c>
      <c r="N681" s="49" t="s">
        <v>84</v>
      </c>
      <c r="O681" s="49" t="s">
        <v>85</v>
      </c>
      <c r="P681" s="48" t="s">
        <v>89</v>
      </c>
      <c r="Q681" s="49" t="s">
        <v>37</v>
      </c>
      <c r="R681" s="11" t="s">
        <v>80</v>
      </c>
      <c r="S681" s="11" t="s">
        <v>90</v>
      </c>
      <c r="T681" s="11" t="s">
        <v>631</v>
      </c>
      <c r="U681" s="11" t="s">
        <v>632</v>
      </c>
      <c r="V681" s="116" t="s">
        <v>1</v>
      </c>
      <c r="W681" s="88"/>
      <c r="X681" s="51">
        <v>45943</v>
      </c>
      <c r="Y681" s="97" t="s">
        <v>1578</v>
      </c>
      <c r="Z681" s="135" t="s">
        <v>2</v>
      </c>
      <c r="AA681" s="135">
        <v>0</v>
      </c>
    </row>
    <row r="682" spans="1:27" ht="13" customHeight="1">
      <c r="A682" s="11">
        <v>676</v>
      </c>
      <c r="B682" s="47">
        <v>206239750</v>
      </c>
      <c r="C682" s="89" t="s">
        <v>1639</v>
      </c>
      <c r="D682" s="11" t="s">
        <v>1634</v>
      </c>
      <c r="E682" s="48" t="s">
        <v>31</v>
      </c>
      <c r="F682" s="48" t="s">
        <v>74</v>
      </c>
      <c r="G682" s="11" t="s">
        <v>64</v>
      </c>
      <c r="H682" s="48" t="str">
        <f>VLOOKUP(Table1[[#This Row],[Psoft No]],[1]Roster!$C$2:$H$1402,6,)</f>
        <v>AUH1</v>
      </c>
      <c r="I682" s="48" t="b">
        <f>Table1[[#This Row],[Building]]=Table1[[#This Row],[Column1]]</f>
        <v>1</v>
      </c>
      <c r="J682" s="11" t="s">
        <v>75</v>
      </c>
      <c r="K682" s="11">
        <v>1299</v>
      </c>
      <c r="L682" s="49" t="s">
        <v>32</v>
      </c>
      <c r="M682" s="49" t="s">
        <v>76</v>
      </c>
      <c r="N682" s="49" t="s">
        <v>84</v>
      </c>
      <c r="O682" s="49" t="s">
        <v>85</v>
      </c>
      <c r="P682" s="48" t="s">
        <v>89</v>
      </c>
      <c r="Q682" s="49" t="s">
        <v>37</v>
      </c>
      <c r="R682" s="11" t="s">
        <v>80</v>
      </c>
      <c r="S682" s="11" t="s">
        <v>90</v>
      </c>
      <c r="T682" s="11" t="s">
        <v>631</v>
      </c>
      <c r="U682" s="11" t="s">
        <v>632</v>
      </c>
      <c r="V682" s="116" t="str">
        <f>VLOOKUP(Table1[[#This Row],[Psoft No]],[2]Sheet1!$A$2:$G$386,7,0)</f>
        <v>P</v>
      </c>
      <c r="W682" s="88"/>
      <c r="X682" s="51">
        <v>45943</v>
      </c>
      <c r="Y682" s="97" t="s">
        <v>1578</v>
      </c>
      <c r="Z682" s="135" t="s">
        <v>2</v>
      </c>
      <c r="AA682" s="135">
        <v>0</v>
      </c>
    </row>
    <row r="683" spans="1:27" ht="13" customHeight="1">
      <c r="A683" s="11">
        <v>677</v>
      </c>
      <c r="B683" s="47">
        <v>203513810</v>
      </c>
      <c r="C683" s="89" t="s">
        <v>730</v>
      </c>
      <c r="D683" s="11" t="s">
        <v>731</v>
      </c>
      <c r="E683" s="11" t="s">
        <v>31</v>
      </c>
      <c r="F683" s="48" t="s">
        <v>74</v>
      </c>
      <c r="G683" s="11" t="s">
        <v>64</v>
      </c>
      <c r="H683" s="48" t="str">
        <f>VLOOKUP(Table1[[#This Row],[Psoft No]],[1]Roster!$C$2:$H$1402,6,)</f>
        <v>AUH1</v>
      </c>
      <c r="I683" s="48" t="b">
        <f>Table1[[#This Row],[Building]]=Table1[[#This Row],[Column1]]</f>
        <v>1</v>
      </c>
      <c r="J683" s="11" t="s">
        <v>75</v>
      </c>
      <c r="K683" s="11">
        <v>1299</v>
      </c>
      <c r="L683" s="49" t="s">
        <v>32</v>
      </c>
      <c r="M683" s="49" t="s">
        <v>76</v>
      </c>
      <c r="N683" s="49" t="s">
        <v>85</v>
      </c>
      <c r="O683" s="49" t="s">
        <v>88</v>
      </c>
      <c r="P683" s="49" t="s">
        <v>79</v>
      </c>
      <c r="Q683" s="49" t="s">
        <v>37</v>
      </c>
      <c r="R683" s="11" t="s">
        <v>80</v>
      </c>
      <c r="S683" s="11" t="s">
        <v>81</v>
      </c>
      <c r="T683" s="11" t="s">
        <v>2719</v>
      </c>
      <c r="U683" s="11" t="s">
        <v>642</v>
      </c>
      <c r="V683" s="116" t="str">
        <f>VLOOKUP(Table1[[#This Row],[Psoft No]],[2]Sheet1!$A$2:$G$386,7,0)</f>
        <v>P</v>
      </c>
      <c r="W683" s="88"/>
      <c r="X683" s="51">
        <v>45463</v>
      </c>
      <c r="Y683" s="97" t="s">
        <v>1577</v>
      </c>
      <c r="Z683" s="135" t="s">
        <v>2</v>
      </c>
      <c r="AA683" s="135">
        <v>0</v>
      </c>
    </row>
    <row r="684" spans="1:27" ht="13" customHeight="1">
      <c r="A684" s="11">
        <v>678</v>
      </c>
      <c r="B684" s="47">
        <v>206491327</v>
      </c>
      <c r="C684" s="89" t="s">
        <v>2138</v>
      </c>
      <c r="D684" s="11" t="s">
        <v>2139</v>
      </c>
      <c r="E684" s="103" t="s">
        <v>31</v>
      </c>
      <c r="F684" s="48" t="s">
        <v>74</v>
      </c>
      <c r="G684" s="11" t="s">
        <v>64</v>
      </c>
      <c r="H684" s="48" t="str">
        <f>VLOOKUP(Table1[[#This Row],[Psoft No]],[1]Roster!$C$2:$H$1402,6,)</f>
        <v>AUH1</v>
      </c>
      <c r="I684" s="48" t="b">
        <f>Table1[[#This Row],[Building]]=Table1[[#This Row],[Column1]]</f>
        <v>1</v>
      </c>
      <c r="J684" s="11" t="s">
        <v>75</v>
      </c>
      <c r="K684" s="11">
        <v>1299</v>
      </c>
      <c r="L684" s="87" t="s">
        <v>39</v>
      </c>
      <c r="M684" s="49" t="s">
        <v>76</v>
      </c>
      <c r="N684" s="49" t="s">
        <v>78</v>
      </c>
      <c r="O684" s="49" t="s">
        <v>92</v>
      </c>
      <c r="P684" s="49" t="s">
        <v>89</v>
      </c>
      <c r="Q684" s="49" t="s">
        <v>37</v>
      </c>
      <c r="R684" s="49" t="s">
        <v>80</v>
      </c>
      <c r="S684" s="49" t="s">
        <v>96</v>
      </c>
      <c r="T684" s="49" t="s">
        <v>647</v>
      </c>
      <c r="U684" s="49" t="s">
        <v>1798</v>
      </c>
      <c r="V684" s="116" t="s">
        <v>10</v>
      </c>
      <c r="W684" s="88"/>
      <c r="X684" s="51">
        <v>46048</v>
      </c>
      <c r="Y684" s="97" t="s">
        <v>1577</v>
      </c>
      <c r="Z684" s="135" t="s">
        <v>3023</v>
      </c>
      <c r="AA684" s="135">
        <v>0</v>
      </c>
    </row>
    <row r="685" spans="1:27" ht="13" customHeight="1">
      <c r="A685" s="11">
        <v>679</v>
      </c>
      <c r="B685" s="47">
        <v>206073369</v>
      </c>
      <c r="C685" s="89" t="s">
        <v>389</v>
      </c>
      <c r="D685" s="11" t="s">
        <v>390</v>
      </c>
      <c r="E685" s="48" t="s">
        <v>31</v>
      </c>
      <c r="F685" s="48" t="s">
        <v>74</v>
      </c>
      <c r="G685" s="11" t="s">
        <v>64</v>
      </c>
      <c r="H685" s="48" t="str">
        <f>VLOOKUP(Table1[[#This Row],[Psoft No]],[1]Roster!$C$2:$H$1402,6,)</f>
        <v>AUH1</v>
      </c>
      <c r="I685" s="48" t="b">
        <f>Table1[[#This Row],[Building]]=Table1[[#This Row],[Column1]]</f>
        <v>1</v>
      </c>
      <c r="J685" s="11" t="s">
        <v>75</v>
      </c>
      <c r="K685" s="11">
        <v>1299</v>
      </c>
      <c r="L685" s="49" t="s">
        <v>32</v>
      </c>
      <c r="M685" s="49" t="s">
        <v>76</v>
      </c>
      <c r="N685" s="49" t="s">
        <v>88</v>
      </c>
      <c r="O685" s="49" t="s">
        <v>95</v>
      </c>
      <c r="P685" s="49" t="s">
        <v>89</v>
      </c>
      <c r="Q685" s="49" t="s">
        <v>35</v>
      </c>
      <c r="R685" s="11" t="s">
        <v>80</v>
      </c>
      <c r="S685" s="11" t="s">
        <v>81</v>
      </c>
      <c r="T685" s="11" t="s">
        <v>225</v>
      </c>
      <c r="U685" s="11" t="s">
        <v>226</v>
      </c>
      <c r="V685" s="116" t="str">
        <f>VLOOKUP(Table1[[#This Row],[Psoft No]],[2]Sheet1!$A$2:$G$386,7,0)</f>
        <v>P</v>
      </c>
      <c r="W685" s="88"/>
      <c r="X685" s="51">
        <v>45922</v>
      </c>
      <c r="Y685" s="97" t="s">
        <v>1572</v>
      </c>
      <c r="Z685" s="135" t="s">
        <v>2</v>
      </c>
      <c r="AA685" s="135">
        <v>0</v>
      </c>
    </row>
    <row r="686" spans="1:27" ht="13" customHeight="1">
      <c r="A686" s="11">
        <v>680</v>
      </c>
      <c r="B686" s="47">
        <v>203512667</v>
      </c>
      <c r="C686" s="89" t="s">
        <v>734</v>
      </c>
      <c r="D686" s="11" t="s">
        <v>735</v>
      </c>
      <c r="E686" s="48" t="s">
        <v>31</v>
      </c>
      <c r="F686" s="48" t="s">
        <v>74</v>
      </c>
      <c r="G686" s="11" t="s">
        <v>64</v>
      </c>
      <c r="H686" s="48" t="str">
        <f>VLOOKUP(Table1[[#This Row],[Psoft No]],[1]Roster!$C$2:$H$1402,6,)</f>
        <v>AUH1</v>
      </c>
      <c r="I686" s="48" t="b">
        <f>Table1[[#This Row],[Building]]=Table1[[#This Row],[Column1]]</f>
        <v>1</v>
      </c>
      <c r="J686" s="11" t="s">
        <v>75</v>
      </c>
      <c r="K686" s="11">
        <v>1299</v>
      </c>
      <c r="L686" s="49" t="s">
        <v>32</v>
      </c>
      <c r="M686" s="49" t="s">
        <v>76</v>
      </c>
      <c r="N686" s="49" t="s">
        <v>84</v>
      </c>
      <c r="O686" s="49" t="s">
        <v>85</v>
      </c>
      <c r="P686" s="49" t="s">
        <v>79</v>
      </c>
      <c r="Q686" s="49" t="s">
        <v>37</v>
      </c>
      <c r="R686" s="11" t="s">
        <v>80</v>
      </c>
      <c r="S686" s="11" t="s">
        <v>81</v>
      </c>
      <c r="T686" s="11" t="s">
        <v>631</v>
      </c>
      <c r="U686" s="11" t="s">
        <v>632</v>
      </c>
      <c r="V686" s="116" t="str">
        <f>VLOOKUP(Table1[[#This Row],[Psoft No]],[2]Sheet1!$A$2:$G$386,7,0)</f>
        <v>P</v>
      </c>
      <c r="W686" s="88"/>
      <c r="X686" s="51">
        <v>45463</v>
      </c>
      <c r="Y686" s="97" t="s">
        <v>1578</v>
      </c>
      <c r="Z686" s="135" t="s">
        <v>2</v>
      </c>
      <c r="AA686" s="135">
        <v>0</v>
      </c>
    </row>
    <row r="687" spans="1:27" ht="13" customHeight="1">
      <c r="A687" s="11">
        <v>681</v>
      </c>
      <c r="B687" s="47">
        <v>206890213</v>
      </c>
      <c r="C687" s="89" t="s">
        <v>1835</v>
      </c>
      <c r="D687" s="11" t="s">
        <v>1836</v>
      </c>
      <c r="E687" s="48" t="s">
        <v>31</v>
      </c>
      <c r="F687" s="48" t="s">
        <v>74</v>
      </c>
      <c r="G687" s="11" t="s">
        <v>64</v>
      </c>
      <c r="H687" s="48" t="str">
        <f>VLOOKUP(Table1[[#This Row],[Psoft No]],[1]Roster!$C$2:$H$1402,6,)</f>
        <v>AUH1</v>
      </c>
      <c r="I687" s="48" t="b">
        <f>Table1[[#This Row],[Building]]=Table1[[#This Row],[Column1]]</f>
        <v>1</v>
      </c>
      <c r="J687" s="11" t="s">
        <v>75</v>
      </c>
      <c r="K687" s="11">
        <v>1299</v>
      </c>
      <c r="L687" s="49" t="s">
        <v>32</v>
      </c>
      <c r="M687" s="49" t="s">
        <v>76</v>
      </c>
      <c r="N687" s="49" t="s">
        <v>88</v>
      </c>
      <c r="O687" s="49" t="s">
        <v>95</v>
      </c>
      <c r="P687" s="49" t="s">
        <v>89</v>
      </c>
      <c r="Q687" s="49" t="s">
        <v>37</v>
      </c>
      <c r="R687" s="11" t="s">
        <v>80</v>
      </c>
      <c r="S687" s="11" t="s">
        <v>96</v>
      </c>
      <c r="T687" s="49" t="s">
        <v>2845</v>
      </c>
      <c r="U687" s="11" t="s">
        <v>2846</v>
      </c>
      <c r="V687" s="116" t="str">
        <f>VLOOKUP(Table1[[#This Row],[Psoft No]],[2]Sheet1!$A$2:$G$386,7,0)</f>
        <v>P</v>
      </c>
      <c r="W687" s="88"/>
      <c r="X687" s="51">
        <v>46027</v>
      </c>
      <c r="Y687" s="97" t="s">
        <v>1577</v>
      </c>
      <c r="Z687" s="135" t="s">
        <v>2</v>
      </c>
      <c r="AA687" s="135">
        <v>0</v>
      </c>
    </row>
    <row r="688" spans="1:27" ht="13" customHeight="1">
      <c r="A688" s="11">
        <v>682</v>
      </c>
      <c r="B688" s="47">
        <v>205280684</v>
      </c>
      <c r="C688" s="89" t="s">
        <v>2136</v>
      </c>
      <c r="D688" s="11" t="s">
        <v>2137</v>
      </c>
      <c r="E688" s="48" t="s">
        <v>31</v>
      </c>
      <c r="F688" s="48" t="s">
        <v>74</v>
      </c>
      <c r="G688" s="11" t="s">
        <v>64</v>
      </c>
      <c r="H688" s="48" t="str">
        <f>VLOOKUP(Table1[[#This Row],[Psoft No]],[1]Roster!$C$2:$H$1402,6,)</f>
        <v>AUH1</v>
      </c>
      <c r="I688" s="48" t="b">
        <f>Table1[[#This Row],[Building]]=Table1[[#This Row],[Column1]]</f>
        <v>1</v>
      </c>
      <c r="J688" s="11" t="s">
        <v>75</v>
      </c>
      <c r="K688" s="11">
        <v>1299</v>
      </c>
      <c r="L688" s="49" t="s">
        <v>39</v>
      </c>
      <c r="M688" s="49" t="s">
        <v>76</v>
      </c>
      <c r="N688" s="49" t="s">
        <v>92</v>
      </c>
      <c r="O688" s="49" t="s">
        <v>84</v>
      </c>
      <c r="P688" s="48" t="s">
        <v>89</v>
      </c>
      <c r="Q688" s="49" t="s">
        <v>37</v>
      </c>
      <c r="R688" s="11" t="s">
        <v>80</v>
      </c>
      <c r="S688" s="11" t="s">
        <v>96</v>
      </c>
      <c r="T688" s="11" t="s">
        <v>647</v>
      </c>
      <c r="U688" s="11" t="s">
        <v>1798</v>
      </c>
      <c r="V688" s="116" t="s">
        <v>10</v>
      </c>
      <c r="W688" s="88"/>
      <c r="X688" s="51">
        <v>46048</v>
      </c>
      <c r="Y688" s="97" t="s">
        <v>1577</v>
      </c>
      <c r="Z688" s="135" t="s">
        <v>3023</v>
      </c>
      <c r="AA688" s="135">
        <v>0</v>
      </c>
    </row>
    <row r="689" spans="1:27" ht="13" customHeight="1">
      <c r="A689" s="11">
        <v>683</v>
      </c>
      <c r="B689" s="47">
        <v>204172222</v>
      </c>
      <c r="C689" s="89" t="s">
        <v>2756</v>
      </c>
      <c r="D689" s="11" t="s">
        <v>2757</v>
      </c>
      <c r="E689" s="48" t="s">
        <v>31</v>
      </c>
      <c r="F689" s="48" t="s">
        <v>74</v>
      </c>
      <c r="G689" s="11" t="s">
        <v>64</v>
      </c>
      <c r="H689" s="48" t="str">
        <f>VLOOKUP(Table1[[#This Row],[Psoft No]],[1]Roster!$C$2:$H$1402,6,)</f>
        <v>AUH1</v>
      </c>
      <c r="I689" s="48" t="b">
        <f>Table1[[#This Row],[Building]]=Table1[[#This Row],[Column1]]</f>
        <v>1</v>
      </c>
      <c r="J689" s="11" t="s">
        <v>75</v>
      </c>
      <c r="K689" s="11">
        <v>1299</v>
      </c>
      <c r="L689" s="49" t="s">
        <v>32</v>
      </c>
      <c r="M689" s="49" t="s">
        <v>76</v>
      </c>
      <c r="N689" s="49" t="s">
        <v>77</v>
      </c>
      <c r="O689" s="49" t="s">
        <v>78</v>
      </c>
      <c r="P689" s="49" t="s">
        <v>86</v>
      </c>
      <c r="Q689" s="49" t="s">
        <v>37</v>
      </c>
      <c r="R689" s="11" t="s">
        <v>80</v>
      </c>
      <c r="S689" s="11" t="s">
        <v>90</v>
      </c>
      <c r="T689" s="49" t="s">
        <v>2845</v>
      </c>
      <c r="U689" s="11" t="s">
        <v>2846</v>
      </c>
      <c r="V689" s="116" t="str">
        <f>VLOOKUP(Table1[[#This Row],[Psoft No]],[2]Sheet1!$A$2:$G$386,7,0)</f>
        <v>P</v>
      </c>
      <c r="W689" s="88"/>
      <c r="X689" s="51">
        <v>45568</v>
      </c>
      <c r="Y689" s="97" t="s">
        <v>1577</v>
      </c>
      <c r="Z689" s="135" t="s">
        <v>2</v>
      </c>
      <c r="AA689" s="135">
        <v>0</v>
      </c>
    </row>
    <row r="690" spans="1:27" ht="13" customHeight="1">
      <c r="A690" s="11">
        <v>684</v>
      </c>
      <c r="B690" s="47">
        <v>206914994</v>
      </c>
      <c r="C690" s="89" t="s">
        <v>2386</v>
      </c>
      <c r="D690" s="11" t="s">
        <v>2387</v>
      </c>
      <c r="E690" s="48" t="s">
        <v>31</v>
      </c>
      <c r="F690" s="48" t="s">
        <v>74</v>
      </c>
      <c r="G690" s="11" t="s">
        <v>64</v>
      </c>
      <c r="H690" s="48" t="str">
        <f>VLOOKUP(Table1[[#This Row],[Psoft No]],[1]Roster!$C$2:$H$1402,6,)</f>
        <v>AUH1</v>
      </c>
      <c r="I690" s="48" t="b">
        <f>Table1[[#This Row],[Building]]=Table1[[#This Row],[Column1]]</f>
        <v>1</v>
      </c>
      <c r="J690" s="11" t="s">
        <v>75</v>
      </c>
      <c r="K690" s="11">
        <v>1299</v>
      </c>
      <c r="L690" s="49" t="s">
        <v>32</v>
      </c>
      <c r="M690" s="49" t="s">
        <v>76</v>
      </c>
      <c r="N690" s="49" t="s">
        <v>95</v>
      </c>
      <c r="O690" s="49" t="s">
        <v>77</v>
      </c>
      <c r="P690" s="48" t="s">
        <v>89</v>
      </c>
      <c r="Q690" s="49" t="s">
        <v>37</v>
      </c>
      <c r="R690" s="11" t="s">
        <v>80</v>
      </c>
      <c r="S690" s="11" t="s">
        <v>90</v>
      </c>
      <c r="T690" s="11" t="s">
        <v>2844</v>
      </c>
      <c r="U690" s="11" t="s">
        <v>2716</v>
      </c>
      <c r="V690" s="116" t="str">
        <f>VLOOKUP(Table1[[#This Row],[Psoft No]],[2]Sheet1!$A$2:$G$386,7,0)</f>
        <v>P</v>
      </c>
      <c r="W690" s="88"/>
      <c r="X690" s="51">
        <v>46034</v>
      </c>
      <c r="Y690" s="97" t="s">
        <v>1577</v>
      </c>
      <c r="Z690" s="135" t="s">
        <v>2</v>
      </c>
      <c r="AA690" s="135">
        <v>0</v>
      </c>
    </row>
    <row r="691" spans="1:27" ht="13" customHeight="1">
      <c r="A691" s="11">
        <v>685</v>
      </c>
      <c r="B691" s="47">
        <v>206238897</v>
      </c>
      <c r="C691" s="89" t="s">
        <v>1648</v>
      </c>
      <c r="D691" s="11" t="s">
        <v>1622</v>
      </c>
      <c r="E691" s="48" t="s">
        <v>31</v>
      </c>
      <c r="F691" s="48" t="s">
        <v>74</v>
      </c>
      <c r="G691" s="11" t="s">
        <v>64</v>
      </c>
      <c r="H691" s="48" t="str">
        <f>VLOOKUP(Table1[[#This Row],[Psoft No]],[1]Roster!$C$2:$H$1402,6,)</f>
        <v>AUH1</v>
      </c>
      <c r="I691" s="48" t="b">
        <f>Table1[[#This Row],[Building]]=Table1[[#This Row],[Column1]]</f>
        <v>1</v>
      </c>
      <c r="J691" s="11" t="s">
        <v>75</v>
      </c>
      <c r="K691" s="11">
        <v>1299</v>
      </c>
      <c r="L691" s="49" t="s">
        <v>32</v>
      </c>
      <c r="M691" s="49" t="s">
        <v>76</v>
      </c>
      <c r="N691" s="49" t="s">
        <v>78</v>
      </c>
      <c r="O691" s="49" t="s">
        <v>92</v>
      </c>
      <c r="P691" s="49" t="s">
        <v>89</v>
      </c>
      <c r="Q691" s="49" t="s">
        <v>37</v>
      </c>
      <c r="R691" s="11" t="s">
        <v>80</v>
      </c>
      <c r="S691" s="11" t="s">
        <v>81</v>
      </c>
      <c r="T691" s="11" t="s">
        <v>2719</v>
      </c>
      <c r="U691" s="11" t="s">
        <v>642</v>
      </c>
      <c r="V691" s="116" t="s">
        <v>10</v>
      </c>
      <c r="W691" s="88"/>
      <c r="X691" s="51">
        <v>45943</v>
      </c>
      <c r="Y691" s="97" t="s">
        <v>1577</v>
      </c>
      <c r="Z691" s="135" t="s">
        <v>3023</v>
      </c>
      <c r="AA691" s="135">
        <v>0</v>
      </c>
    </row>
    <row r="692" spans="1:27" ht="13" customHeight="1">
      <c r="A692" s="11">
        <v>686</v>
      </c>
      <c r="B692" s="47">
        <v>203342654</v>
      </c>
      <c r="C692" s="89" t="s">
        <v>736</v>
      </c>
      <c r="D692" s="11" t="s">
        <v>737</v>
      </c>
      <c r="E692" s="48" t="s">
        <v>31</v>
      </c>
      <c r="F692" s="48" t="s">
        <v>74</v>
      </c>
      <c r="G692" s="11" t="s">
        <v>64</v>
      </c>
      <c r="H692" s="48" t="str">
        <f>VLOOKUP(Table1[[#This Row],[Psoft No]],[1]Roster!$C$2:$H$1402,6,)</f>
        <v>AUH1</v>
      </c>
      <c r="I692" s="48" t="b">
        <f>Table1[[#This Row],[Building]]=Table1[[#This Row],[Column1]]</f>
        <v>1</v>
      </c>
      <c r="J692" s="11" t="s">
        <v>75</v>
      </c>
      <c r="K692" s="11">
        <v>1299</v>
      </c>
      <c r="L692" s="49" t="s">
        <v>32</v>
      </c>
      <c r="M692" s="49" t="s">
        <v>76</v>
      </c>
      <c r="N692" s="49" t="s">
        <v>77</v>
      </c>
      <c r="O692" s="49" t="s">
        <v>78</v>
      </c>
      <c r="P692" s="48" t="s">
        <v>86</v>
      </c>
      <c r="Q692" s="49" t="s">
        <v>37</v>
      </c>
      <c r="R692" s="11" t="s">
        <v>80</v>
      </c>
      <c r="S692" s="11" t="s">
        <v>99</v>
      </c>
      <c r="T692" s="49" t="s">
        <v>647</v>
      </c>
      <c r="U692" s="11" t="s">
        <v>1798</v>
      </c>
      <c r="V692" s="116" t="str">
        <f>VLOOKUP(Table1[[#This Row],[Psoft No]],[2]Sheet1!$A$2:$G$386,7,0)</f>
        <v>P</v>
      </c>
      <c r="W692" s="88"/>
      <c r="X692" s="51">
        <v>45432</v>
      </c>
      <c r="Y692" s="97" t="s">
        <v>1578</v>
      </c>
      <c r="Z692" s="135" t="s">
        <v>2</v>
      </c>
      <c r="AA692" s="135">
        <v>0</v>
      </c>
    </row>
    <row r="693" spans="1:27" ht="13" customHeight="1">
      <c r="A693" s="11">
        <v>687</v>
      </c>
      <c r="B693" s="47">
        <v>205848042</v>
      </c>
      <c r="C693" s="89" t="s">
        <v>738</v>
      </c>
      <c r="D693" s="11" t="s">
        <v>739</v>
      </c>
      <c r="E693" s="48" t="s">
        <v>31</v>
      </c>
      <c r="F693" s="48" t="s">
        <v>74</v>
      </c>
      <c r="G693" s="11" t="s">
        <v>64</v>
      </c>
      <c r="H693" s="48" t="str">
        <f>VLOOKUP(Table1[[#This Row],[Psoft No]],[1]Roster!$C$2:$H$1402,6,)</f>
        <v>AUH1</v>
      </c>
      <c r="I693" s="48" t="b">
        <f>Table1[[#This Row],[Building]]=Table1[[#This Row],[Column1]]</f>
        <v>1</v>
      </c>
      <c r="J693" s="11" t="s">
        <v>75</v>
      </c>
      <c r="K693" s="11">
        <v>1299</v>
      </c>
      <c r="L693" s="49" t="s">
        <v>32</v>
      </c>
      <c r="M693" s="49" t="s">
        <v>76</v>
      </c>
      <c r="N693" s="49" t="s">
        <v>77</v>
      </c>
      <c r="O693" s="49" t="s">
        <v>78</v>
      </c>
      <c r="P693" s="48" t="s">
        <v>79</v>
      </c>
      <c r="Q693" s="49" t="s">
        <v>37</v>
      </c>
      <c r="R693" s="11" t="s">
        <v>80</v>
      </c>
      <c r="S693" s="11" t="s">
        <v>96</v>
      </c>
      <c r="T693" s="11" t="s">
        <v>647</v>
      </c>
      <c r="U693" s="11" t="s">
        <v>1798</v>
      </c>
      <c r="V693" s="116" t="str">
        <f>VLOOKUP(Table1[[#This Row],[Psoft No]],[2]Sheet1!$A$2:$G$386,7,0)</f>
        <v>P</v>
      </c>
      <c r="W693" s="88"/>
      <c r="X693" s="51">
        <v>45894</v>
      </c>
      <c r="Y693" s="97" t="s">
        <v>1577</v>
      </c>
      <c r="Z693" s="135" t="s">
        <v>2</v>
      </c>
      <c r="AA693" s="135">
        <v>0</v>
      </c>
    </row>
    <row r="694" spans="1:27" ht="13" customHeight="1">
      <c r="A694" s="11">
        <v>688</v>
      </c>
      <c r="B694" s="47">
        <v>206239212</v>
      </c>
      <c r="C694" s="89" t="s">
        <v>1649</v>
      </c>
      <c r="D694" s="11" t="s">
        <v>1625</v>
      </c>
      <c r="E694" s="48" t="s">
        <v>31</v>
      </c>
      <c r="F694" s="48" t="s">
        <v>74</v>
      </c>
      <c r="G694" s="11" t="s">
        <v>64</v>
      </c>
      <c r="H694" s="48" t="str">
        <f>VLOOKUP(Table1[[#This Row],[Psoft No]],[1]Roster!$C$2:$H$1402,6,)</f>
        <v>AUH1</v>
      </c>
      <c r="I694" s="48" t="b">
        <f>Table1[[#This Row],[Building]]=Table1[[#This Row],[Column1]]</f>
        <v>1</v>
      </c>
      <c r="J694" s="11" t="s">
        <v>75</v>
      </c>
      <c r="K694" s="11">
        <v>1299</v>
      </c>
      <c r="L694" s="49" t="s">
        <v>32</v>
      </c>
      <c r="M694" s="49" t="s">
        <v>76</v>
      </c>
      <c r="N694" s="49" t="s">
        <v>77</v>
      </c>
      <c r="O694" s="49" t="s">
        <v>78</v>
      </c>
      <c r="P694" s="48" t="s">
        <v>79</v>
      </c>
      <c r="Q694" s="49" t="s">
        <v>37</v>
      </c>
      <c r="R694" s="11" t="s">
        <v>80</v>
      </c>
      <c r="S694" s="11" t="s">
        <v>81</v>
      </c>
      <c r="T694" s="11" t="s">
        <v>1066</v>
      </c>
      <c r="U694" s="11" t="s">
        <v>2717</v>
      </c>
      <c r="V694" s="116" t="str">
        <f>VLOOKUP(Table1[[#This Row],[Psoft No]],[2]Sheet1!$A$2:$G$386,7,0)</f>
        <v>P</v>
      </c>
      <c r="W694" s="88"/>
      <c r="X694" s="51">
        <v>45943</v>
      </c>
      <c r="Y694" s="97" t="s">
        <v>1577</v>
      </c>
      <c r="Z694" s="135" t="s">
        <v>2</v>
      </c>
      <c r="AA694" s="135">
        <v>0</v>
      </c>
    </row>
    <row r="695" spans="1:27" ht="13" customHeight="1">
      <c r="A695" s="11">
        <v>689</v>
      </c>
      <c r="B695" s="47">
        <v>206191969</v>
      </c>
      <c r="C695" s="89" t="s">
        <v>1610</v>
      </c>
      <c r="D695" s="11" t="s">
        <v>1603</v>
      </c>
      <c r="E695" s="48" t="s">
        <v>31</v>
      </c>
      <c r="F695" s="48" t="s">
        <v>74</v>
      </c>
      <c r="G695" s="11" t="s">
        <v>64</v>
      </c>
      <c r="H695" s="48" t="str">
        <f>VLOOKUP(Table1[[#This Row],[Psoft No]],[1]Roster!$C$2:$H$1402,6,)</f>
        <v>AUH1</v>
      </c>
      <c r="I695" s="48" t="b">
        <f>Table1[[#This Row],[Building]]=Table1[[#This Row],[Column1]]</f>
        <v>1</v>
      </c>
      <c r="J695" s="11" t="s">
        <v>75</v>
      </c>
      <c r="K695" s="11">
        <v>1299</v>
      </c>
      <c r="L695" s="49" t="s">
        <v>39</v>
      </c>
      <c r="M695" s="49" t="s">
        <v>76</v>
      </c>
      <c r="N695" s="49" t="s">
        <v>85</v>
      </c>
      <c r="O695" s="49" t="s">
        <v>88</v>
      </c>
      <c r="P695" s="48" t="s">
        <v>89</v>
      </c>
      <c r="Q695" s="49" t="s">
        <v>37</v>
      </c>
      <c r="R695" s="11" t="s">
        <v>80</v>
      </c>
      <c r="S695" s="11" t="s">
        <v>96</v>
      </c>
      <c r="T695" s="11" t="s">
        <v>631</v>
      </c>
      <c r="U695" s="11" t="s">
        <v>632</v>
      </c>
      <c r="V695" s="116" t="s">
        <v>1</v>
      </c>
      <c r="W695" s="88"/>
      <c r="X695" s="51">
        <v>45936</v>
      </c>
      <c r="Y695" s="97" t="s">
        <v>1577</v>
      </c>
      <c r="Z695" s="135" t="s">
        <v>2</v>
      </c>
      <c r="AA695" s="135">
        <v>0</v>
      </c>
    </row>
    <row r="696" spans="1:27" ht="13" customHeight="1">
      <c r="A696" s="11">
        <v>690</v>
      </c>
      <c r="B696" s="47">
        <v>108196835</v>
      </c>
      <c r="C696" s="89" t="s">
        <v>740</v>
      </c>
      <c r="D696" s="11" t="s">
        <v>741</v>
      </c>
      <c r="E696" s="48" t="s">
        <v>31</v>
      </c>
      <c r="F696" s="48" t="s">
        <v>74</v>
      </c>
      <c r="G696" s="11" t="s">
        <v>64</v>
      </c>
      <c r="H696" s="48" t="str">
        <f>VLOOKUP(Table1[[#This Row],[Psoft No]],[1]Roster!$C$2:$H$1402,6,)</f>
        <v>AUH1</v>
      </c>
      <c r="I696" s="48" t="b">
        <f>Table1[[#This Row],[Building]]=Table1[[#This Row],[Column1]]</f>
        <v>1</v>
      </c>
      <c r="J696" s="11" t="s">
        <v>75</v>
      </c>
      <c r="K696" s="11">
        <v>1299</v>
      </c>
      <c r="L696" s="49" t="s">
        <v>39</v>
      </c>
      <c r="M696" s="49" t="s">
        <v>76</v>
      </c>
      <c r="N696" s="49" t="s">
        <v>78</v>
      </c>
      <c r="O696" s="49" t="s">
        <v>92</v>
      </c>
      <c r="P696" s="49" t="s">
        <v>86</v>
      </c>
      <c r="Q696" s="49" t="s">
        <v>37</v>
      </c>
      <c r="R696" s="11" t="s">
        <v>80</v>
      </c>
      <c r="S696" s="11" t="s">
        <v>87</v>
      </c>
      <c r="T696" s="11" t="s">
        <v>627</v>
      </c>
      <c r="U696" s="11" t="s">
        <v>628</v>
      </c>
      <c r="V696" s="116" t="s">
        <v>10</v>
      </c>
      <c r="W696" s="88"/>
      <c r="X696" s="51">
        <v>45589</v>
      </c>
      <c r="Y696" s="97" t="s">
        <v>1576</v>
      </c>
      <c r="Z696" s="135" t="s">
        <v>3023</v>
      </c>
      <c r="AA696" s="135">
        <v>0</v>
      </c>
    </row>
    <row r="697" spans="1:27" ht="13" customHeight="1">
      <c r="A697" s="11">
        <v>691</v>
      </c>
      <c r="B697" s="47">
        <v>206136720</v>
      </c>
      <c r="C697" s="89" t="s">
        <v>742</v>
      </c>
      <c r="D697" s="11" t="s">
        <v>743</v>
      </c>
      <c r="E697" s="48" t="s">
        <v>31</v>
      </c>
      <c r="F697" s="48" t="s">
        <v>74</v>
      </c>
      <c r="G697" s="11" t="s">
        <v>64</v>
      </c>
      <c r="H697" s="48" t="str">
        <f>VLOOKUP(Table1[[#This Row],[Psoft No]],[1]Roster!$C$2:$H$1402,6,)</f>
        <v>AUH1</v>
      </c>
      <c r="I697" s="48" t="b">
        <f>Table1[[#This Row],[Building]]=Table1[[#This Row],[Column1]]</f>
        <v>1</v>
      </c>
      <c r="J697" s="11" t="s">
        <v>75</v>
      </c>
      <c r="K697" s="11">
        <v>1299</v>
      </c>
      <c r="L697" s="49" t="s">
        <v>39</v>
      </c>
      <c r="M697" s="49" t="s">
        <v>76</v>
      </c>
      <c r="N697" s="49" t="s">
        <v>92</v>
      </c>
      <c r="O697" s="49" t="s">
        <v>84</v>
      </c>
      <c r="P697" s="48" t="s">
        <v>79</v>
      </c>
      <c r="Q697" s="49" t="s">
        <v>37</v>
      </c>
      <c r="R697" s="11" t="s">
        <v>80</v>
      </c>
      <c r="S697" s="11" t="s">
        <v>81</v>
      </c>
      <c r="T697" s="11" t="s">
        <v>631</v>
      </c>
      <c r="U697" s="11" t="s">
        <v>632</v>
      </c>
      <c r="V697" s="116" t="s">
        <v>10</v>
      </c>
      <c r="W697" s="88"/>
      <c r="X697" s="51">
        <v>45929</v>
      </c>
      <c r="Y697" s="97" t="s">
        <v>1577</v>
      </c>
      <c r="Z697" s="135" t="s">
        <v>3023</v>
      </c>
      <c r="AA697" s="135" t="s">
        <v>3015</v>
      </c>
    </row>
    <row r="698" spans="1:27" ht="13" customHeight="1">
      <c r="A698" s="11">
        <v>692</v>
      </c>
      <c r="B698" s="47">
        <v>203342034</v>
      </c>
      <c r="C698" s="89" t="s">
        <v>744</v>
      </c>
      <c r="D698" s="11" t="s">
        <v>745</v>
      </c>
      <c r="E698" s="48" t="s">
        <v>31</v>
      </c>
      <c r="F698" s="48" t="s">
        <v>74</v>
      </c>
      <c r="G698" s="11" t="s">
        <v>64</v>
      </c>
      <c r="H698" s="48" t="str">
        <f>VLOOKUP(Table1[[#This Row],[Psoft No]],[1]Roster!$C$2:$H$1402,6,)</f>
        <v>AUH1</v>
      </c>
      <c r="I698" s="48" t="b">
        <f>Table1[[#This Row],[Building]]=Table1[[#This Row],[Column1]]</f>
        <v>1</v>
      </c>
      <c r="J698" s="11" t="s">
        <v>75</v>
      </c>
      <c r="K698" s="11">
        <v>1299</v>
      </c>
      <c r="L698" s="49" t="s">
        <v>32</v>
      </c>
      <c r="M698" s="49" t="s">
        <v>76</v>
      </c>
      <c r="N698" s="49" t="s">
        <v>77</v>
      </c>
      <c r="O698" s="49" t="s">
        <v>78</v>
      </c>
      <c r="P698" s="48" t="s">
        <v>86</v>
      </c>
      <c r="Q698" s="49" t="s">
        <v>37</v>
      </c>
      <c r="R698" s="11" t="s">
        <v>80</v>
      </c>
      <c r="S698" s="11" t="s">
        <v>99</v>
      </c>
      <c r="T698" s="49" t="s">
        <v>2845</v>
      </c>
      <c r="U698" s="11" t="s">
        <v>2846</v>
      </c>
      <c r="V698" s="116" t="str">
        <f>VLOOKUP(Table1[[#This Row],[Psoft No]],[2]Sheet1!$A$2:$G$386,7,0)</f>
        <v>P</v>
      </c>
      <c r="W698" s="88"/>
      <c r="X698" s="51">
        <v>45432</v>
      </c>
      <c r="Y698" s="97" t="s">
        <v>1577</v>
      </c>
      <c r="Z698" s="135" t="s">
        <v>2</v>
      </c>
      <c r="AA698" s="135">
        <v>0</v>
      </c>
    </row>
    <row r="699" spans="1:27" ht="13" customHeight="1">
      <c r="A699" s="11">
        <v>693</v>
      </c>
      <c r="B699" s="47">
        <v>206491325</v>
      </c>
      <c r="C699" s="89" t="s">
        <v>2146</v>
      </c>
      <c r="D699" s="11" t="s">
        <v>2147</v>
      </c>
      <c r="E699" s="48" t="s">
        <v>31</v>
      </c>
      <c r="F699" s="48" t="s">
        <v>74</v>
      </c>
      <c r="G699" s="11" t="s">
        <v>64</v>
      </c>
      <c r="H699" s="48" t="str">
        <f>VLOOKUP(Table1[[#This Row],[Psoft No]],[1]Roster!$C$2:$H$1402,6,)</f>
        <v>AUH1</v>
      </c>
      <c r="I699" s="48" t="b">
        <f>Table1[[#This Row],[Building]]=Table1[[#This Row],[Column1]]</f>
        <v>1</v>
      </c>
      <c r="J699" s="11" t="s">
        <v>75</v>
      </c>
      <c r="K699" s="11">
        <v>1299</v>
      </c>
      <c r="L699" s="49" t="s">
        <v>32</v>
      </c>
      <c r="M699" s="49" t="s">
        <v>76</v>
      </c>
      <c r="N699" s="49" t="s">
        <v>92</v>
      </c>
      <c r="O699" s="49" t="s">
        <v>84</v>
      </c>
      <c r="P699" s="48" t="s">
        <v>89</v>
      </c>
      <c r="Q699" s="49" t="s">
        <v>37</v>
      </c>
      <c r="R699" s="11" t="s">
        <v>80</v>
      </c>
      <c r="S699" s="11" t="s">
        <v>96</v>
      </c>
      <c r="T699" s="49" t="s">
        <v>631</v>
      </c>
      <c r="U699" s="11" t="s">
        <v>632</v>
      </c>
      <c r="V699" s="116" t="s">
        <v>10</v>
      </c>
      <c r="W699" s="88"/>
      <c r="X699" s="51">
        <v>46048</v>
      </c>
      <c r="Y699" s="97" t="s">
        <v>1577</v>
      </c>
      <c r="Z699" s="135" t="s">
        <v>3023</v>
      </c>
      <c r="AA699" s="135">
        <v>0</v>
      </c>
    </row>
    <row r="700" spans="1:27" ht="13" customHeight="1">
      <c r="A700" s="11">
        <v>694</v>
      </c>
      <c r="B700" s="47">
        <v>205848048</v>
      </c>
      <c r="C700" s="89" t="s">
        <v>746</v>
      </c>
      <c r="D700" s="11" t="s">
        <v>747</v>
      </c>
      <c r="E700" s="48" t="s">
        <v>31</v>
      </c>
      <c r="F700" s="48" t="s">
        <v>74</v>
      </c>
      <c r="G700" s="11" t="s">
        <v>64</v>
      </c>
      <c r="H700" s="48" t="str">
        <f>VLOOKUP(Table1[[#This Row],[Psoft No]],[1]Roster!$C$2:$H$1402,6,)</f>
        <v>AUH1</v>
      </c>
      <c r="I700" s="48" t="b">
        <f>Table1[[#This Row],[Building]]=Table1[[#This Row],[Column1]]</f>
        <v>1</v>
      </c>
      <c r="J700" s="11" t="s">
        <v>75</v>
      </c>
      <c r="K700" s="11">
        <v>1299</v>
      </c>
      <c r="L700" s="49" t="s">
        <v>32</v>
      </c>
      <c r="M700" s="49" t="s">
        <v>76</v>
      </c>
      <c r="N700" s="49" t="s">
        <v>84</v>
      </c>
      <c r="O700" s="49" t="s">
        <v>85</v>
      </c>
      <c r="P700" s="48" t="s">
        <v>89</v>
      </c>
      <c r="Q700" s="49" t="s">
        <v>37</v>
      </c>
      <c r="R700" s="11" t="s">
        <v>80</v>
      </c>
      <c r="S700" s="11" t="s">
        <v>96</v>
      </c>
      <c r="T700" s="49" t="s">
        <v>1066</v>
      </c>
      <c r="U700" s="11" t="s">
        <v>2717</v>
      </c>
      <c r="V700" s="116" t="str">
        <f>VLOOKUP(Table1[[#This Row],[Psoft No]],[2]Sheet1!$A$2:$G$386,7,0)</f>
        <v>P</v>
      </c>
      <c r="W700" s="88"/>
      <c r="X700" s="51">
        <v>45894</v>
      </c>
      <c r="Y700" s="97" t="s">
        <v>1577</v>
      </c>
      <c r="Z700" s="135" t="s">
        <v>2</v>
      </c>
      <c r="AA700" s="135">
        <v>0</v>
      </c>
    </row>
    <row r="701" spans="1:27" ht="13" customHeight="1">
      <c r="A701" s="11">
        <v>695</v>
      </c>
      <c r="B701" s="47">
        <v>205275960</v>
      </c>
      <c r="C701" s="89" t="s">
        <v>1380</v>
      </c>
      <c r="D701" s="11" t="s">
        <v>1381</v>
      </c>
      <c r="E701" s="48" t="s">
        <v>31</v>
      </c>
      <c r="F701" s="48" t="s">
        <v>74</v>
      </c>
      <c r="G701" s="11" t="s">
        <v>65</v>
      </c>
      <c r="H701" s="48" t="str">
        <f>VLOOKUP(Table1[[#This Row],[Psoft No]],[1]Roster!$C$2:$H$1402,6,)</f>
        <v>AUH3</v>
      </c>
      <c r="I701" s="48" t="b">
        <f>Table1[[#This Row],[Building]]=Table1[[#This Row],[Column1]]</f>
        <v>1</v>
      </c>
      <c r="J701" s="11" t="s">
        <v>1332</v>
      </c>
      <c r="K701" s="11">
        <v>1181</v>
      </c>
      <c r="L701" s="49" t="s">
        <v>32</v>
      </c>
      <c r="M701" s="49" t="s">
        <v>76</v>
      </c>
      <c r="N701" s="49" t="s">
        <v>92</v>
      </c>
      <c r="O701" s="49" t="s">
        <v>84</v>
      </c>
      <c r="P701" s="49" t="s">
        <v>89</v>
      </c>
      <c r="Q701" s="49" t="s">
        <v>68</v>
      </c>
      <c r="R701" s="11" t="s">
        <v>80</v>
      </c>
      <c r="S701" s="11" t="s">
        <v>90</v>
      </c>
      <c r="T701" s="11" t="s">
        <v>1336</v>
      </c>
      <c r="U701" s="11" t="s">
        <v>1337</v>
      </c>
      <c r="V701" s="116" t="s">
        <v>10</v>
      </c>
      <c r="W701" s="88"/>
      <c r="X701" s="51">
        <v>45796</v>
      </c>
      <c r="Y701" s="97" t="s">
        <v>68</v>
      </c>
      <c r="Z701" s="135" t="s">
        <v>3023</v>
      </c>
      <c r="AA701" s="135">
        <v>0</v>
      </c>
    </row>
    <row r="702" spans="1:27" ht="13" customHeight="1">
      <c r="A702" s="11">
        <v>696</v>
      </c>
      <c r="B702" s="47">
        <v>203965413</v>
      </c>
      <c r="C702" s="89" t="s">
        <v>750</v>
      </c>
      <c r="D702" s="11" t="s">
        <v>751</v>
      </c>
      <c r="E702" s="48" t="s">
        <v>31</v>
      </c>
      <c r="F702" s="48" t="s">
        <v>74</v>
      </c>
      <c r="G702" s="11" t="s">
        <v>64</v>
      </c>
      <c r="H702" s="48" t="str">
        <f>VLOOKUP(Table1[[#This Row],[Psoft No]],[1]Roster!$C$2:$H$1402,6,)</f>
        <v>AUH1</v>
      </c>
      <c r="I702" s="48" t="b">
        <f>Table1[[#This Row],[Building]]=Table1[[#This Row],[Column1]]</f>
        <v>1</v>
      </c>
      <c r="J702" s="11" t="s">
        <v>75</v>
      </c>
      <c r="K702" s="11">
        <v>1299</v>
      </c>
      <c r="L702" s="49" t="s">
        <v>32</v>
      </c>
      <c r="M702" s="49" t="s">
        <v>76</v>
      </c>
      <c r="N702" s="49" t="s">
        <v>95</v>
      </c>
      <c r="O702" s="49" t="s">
        <v>77</v>
      </c>
      <c r="P702" s="48" t="s">
        <v>79</v>
      </c>
      <c r="Q702" s="49" t="s">
        <v>37</v>
      </c>
      <c r="R702" s="11" t="s">
        <v>80</v>
      </c>
      <c r="S702" s="11" t="s">
        <v>81</v>
      </c>
      <c r="T702" s="11" t="s">
        <v>2719</v>
      </c>
      <c r="U702" s="11" t="s">
        <v>642</v>
      </c>
      <c r="V702" s="116" t="str">
        <f>VLOOKUP(Table1[[#This Row],[AMZ ID]],[2]Sheet3!$A$2:$E$50,5,0)</f>
        <v>PL</v>
      </c>
      <c r="W702" s="88" t="s">
        <v>3015</v>
      </c>
      <c r="X702" s="51">
        <v>45544</v>
      </c>
      <c r="Y702" s="97" t="s">
        <v>1577</v>
      </c>
      <c r="Z702" s="135" t="s">
        <v>3023</v>
      </c>
      <c r="AA702" s="135" t="s">
        <v>3015</v>
      </c>
    </row>
    <row r="703" spans="1:27" ht="13" customHeight="1">
      <c r="A703" s="11">
        <v>697</v>
      </c>
      <c r="B703" s="47">
        <v>203881660</v>
      </c>
      <c r="C703" s="89" t="s">
        <v>752</v>
      </c>
      <c r="D703" s="11" t="s">
        <v>753</v>
      </c>
      <c r="E703" s="48" t="s">
        <v>31</v>
      </c>
      <c r="F703" s="48" t="s">
        <v>74</v>
      </c>
      <c r="G703" s="11" t="s">
        <v>64</v>
      </c>
      <c r="H703" s="48" t="str">
        <f>VLOOKUP(Table1[[#This Row],[Psoft No]],[1]Roster!$C$2:$H$1402,6,)</f>
        <v>AUH1</v>
      </c>
      <c r="I703" s="48" t="b">
        <f>Table1[[#This Row],[Building]]=Table1[[#This Row],[Column1]]</f>
        <v>1</v>
      </c>
      <c r="J703" s="11" t="s">
        <v>75</v>
      </c>
      <c r="K703" s="11">
        <v>1299</v>
      </c>
      <c r="L703" s="49" t="s">
        <v>39</v>
      </c>
      <c r="M703" s="49" t="s">
        <v>76</v>
      </c>
      <c r="N703" s="49" t="s">
        <v>95</v>
      </c>
      <c r="O703" s="49" t="s">
        <v>77</v>
      </c>
      <c r="P703" s="49" t="s">
        <v>79</v>
      </c>
      <c r="Q703" s="49" t="s">
        <v>37</v>
      </c>
      <c r="R703" s="11" t="s">
        <v>80</v>
      </c>
      <c r="S703" s="11" t="s">
        <v>81</v>
      </c>
      <c r="T703" s="11" t="s">
        <v>627</v>
      </c>
      <c r="U703" s="11" t="s">
        <v>628</v>
      </c>
      <c r="V703" s="116" t="s">
        <v>1</v>
      </c>
      <c r="W703" s="88"/>
      <c r="X703" s="51">
        <v>45530</v>
      </c>
      <c r="Y703" s="97" t="s">
        <v>1577</v>
      </c>
      <c r="Z703" s="135" t="s">
        <v>2</v>
      </c>
      <c r="AA703" s="135">
        <v>0</v>
      </c>
    </row>
    <row r="704" spans="1:27" ht="13" customHeight="1">
      <c r="A704" s="11">
        <v>698</v>
      </c>
      <c r="B704" s="92">
        <v>203512671</v>
      </c>
      <c r="C704" s="47" t="s">
        <v>754</v>
      </c>
      <c r="D704" s="89" t="s">
        <v>755</v>
      </c>
      <c r="E704" s="48" t="s">
        <v>31</v>
      </c>
      <c r="F704" s="48" t="s">
        <v>74</v>
      </c>
      <c r="G704" s="11" t="s">
        <v>64</v>
      </c>
      <c r="H704" s="48" t="str">
        <f>VLOOKUP(Table1[[#This Row],[Psoft No]],[1]Roster!$C$2:$H$1402,6,)</f>
        <v>AUH1</v>
      </c>
      <c r="I704" s="48" t="b">
        <f>Table1[[#This Row],[Building]]=Table1[[#This Row],[Column1]]</f>
        <v>1</v>
      </c>
      <c r="J704" s="11" t="s">
        <v>75</v>
      </c>
      <c r="K704" s="11">
        <v>1299</v>
      </c>
      <c r="L704" s="49" t="s">
        <v>32</v>
      </c>
      <c r="M704" s="49" t="s">
        <v>76</v>
      </c>
      <c r="N704" s="49" t="s">
        <v>85</v>
      </c>
      <c r="O704" s="49" t="s">
        <v>88</v>
      </c>
      <c r="P704" s="48" t="s">
        <v>79</v>
      </c>
      <c r="Q704" s="49" t="s">
        <v>37</v>
      </c>
      <c r="R704" s="11" t="s">
        <v>80</v>
      </c>
      <c r="S704" s="11" t="s">
        <v>81</v>
      </c>
      <c r="T704" s="11" t="s">
        <v>2719</v>
      </c>
      <c r="U704" s="11" t="s">
        <v>642</v>
      </c>
      <c r="V704" s="116" t="str">
        <f>VLOOKUP(Table1[[#This Row],[Psoft No]],[2]Sheet1!$A$2:$G$386,7,0)</f>
        <v>P</v>
      </c>
      <c r="W704" s="88"/>
      <c r="X704" s="51">
        <v>45463</v>
      </c>
      <c r="Y704" s="97" t="s">
        <v>1578</v>
      </c>
      <c r="Z704" s="135" t="s">
        <v>2</v>
      </c>
      <c r="AA704" s="135">
        <v>0</v>
      </c>
    </row>
    <row r="705" spans="1:27" ht="13" customHeight="1">
      <c r="A705" s="11">
        <v>699</v>
      </c>
      <c r="B705" s="47">
        <v>203881698</v>
      </c>
      <c r="C705" s="90" t="s">
        <v>756</v>
      </c>
      <c r="D705" s="11" t="s">
        <v>757</v>
      </c>
      <c r="E705" s="48" t="s">
        <v>31</v>
      </c>
      <c r="F705" s="48" t="s">
        <v>74</v>
      </c>
      <c r="G705" s="11" t="s">
        <v>64</v>
      </c>
      <c r="H705" s="48" t="str">
        <f>VLOOKUP(Table1[[#This Row],[Psoft No]],[1]Roster!$C$2:$H$1402,6,)</f>
        <v>AUH1</v>
      </c>
      <c r="I705" s="48" t="b">
        <f>Table1[[#This Row],[Building]]=Table1[[#This Row],[Column1]]</f>
        <v>1</v>
      </c>
      <c r="J705" s="11" t="s">
        <v>75</v>
      </c>
      <c r="K705" s="11">
        <v>1299</v>
      </c>
      <c r="L705" s="87" t="s">
        <v>39</v>
      </c>
      <c r="M705" s="49" t="s">
        <v>76</v>
      </c>
      <c r="N705" s="49" t="s">
        <v>77</v>
      </c>
      <c r="O705" s="49" t="s">
        <v>78</v>
      </c>
      <c r="P705" s="49" t="s">
        <v>79</v>
      </c>
      <c r="Q705" s="49" t="s">
        <v>37</v>
      </c>
      <c r="R705" s="11" t="s">
        <v>80</v>
      </c>
      <c r="S705" s="11" t="s">
        <v>81</v>
      </c>
      <c r="T705" s="11" t="s">
        <v>627</v>
      </c>
      <c r="U705" s="11" t="s">
        <v>628</v>
      </c>
      <c r="V705" s="116" t="s">
        <v>1</v>
      </c>
      <c r="W705" s="88"/>
      <c r="X705" s="51">
        <v>45530</v>
      </c>
      <c r="Y705" s="97" t="s">
        <v>1579</v>
      </c>
      <c r="Z705" s="135" t="s">
        <v>2</v>
      </c>
      <c r="AA705" s="135">
        <v>0</v>
      </c>
    </row>
    <row r="706" spans="1:27" ht="13" customHeight="1">
      <c r="A706" s="11">
        <v>700</v>
      </c>
      <c r="B706" s="47">
        <v>204145465</v>
      </c>
      <c r="C706" s="89" t="s">
        <v>758</v>
      </c>
      <c r="D706" s="11" t="s">
        <v>759</v>
      </c>
      <c r="E706" s="103" t="s">
        <v>31</v>
      </c>
      <c r="F706" s="48" t="s">
        <v>74</v>
      </c>
      <c r="G706" s="11" t="s">
        <v>64</v>
      </c>
      <c r="H706" s="48" t="str">
        <f>VLOOKUP(Table1[[#This Row],[Psoft No]],[1]Roster!$C$2:$H$1402,6,)</f>
        <v>AUH1</v>
      </c>
      <c r="I706" s="48" t="b">
        <f>Table1[[#This Row],[Building]]=Table1[[#This Row],[Column1]]</f>
        <v>1</v>
      </c>
      <c r="J706" s="11" t="s">
        <v>75</v>
      </c>
      <c r="K706" s="11">
        <v>1299</v>
      </c>
      <c r="L706" s="87" t="s">
        <v>32</v>
      </c>
      <c r="M706" s="49" t="s">
        <v>76</v>
      </c>
      <c r="N706" s="49" t="s">
        <v>88</v>
      </c>
      <c r="O706" s="49" t="s">
        <v>95</v>
      </c>
      <c r="P706" s="49" t="s">
        <v>86</v>
      </c>
      <c r="Q706" s="49" t="s">
        <v>37</v>
      </c>
      <c r="R706" s="49" t="s">
        <v>80</v>
      </c>
      <c r="S706" s="49" t="s">
        <v>87</v>
      </c>
      <c r="T706" s="49" t="s">
        <v>1066</v>
      </c>
      <c r="U706" s="49" t="s">
        <v>2717</v>
      </c>
      <c r="V706" s="116" t="str">
        <f>VLOOKUP(Table1[[#This Row],[Psoft No]],[2]Sheet1!$A$2:$G$386,7,0)</f>
        <v>P</v>
      </c>
      <c r="W706" s="88"/>
      <c r="X706" s="51">
        <v>45568</v>
      </c>
      <c r="Y706" s="97" t="s">
        <v>1578</v>
      </c>
      <c r="Z706" s="135" t="s">
        <v>2</v>
      </c>
      <c r="AA706" s="135">
        <v>0</v>
      </c>
    </row>
    <row r="707" spans="1:27" ht="13" customHeight="1">
      <c r="A707" s="11">
        <v>701</v>
      </c>
      <c r="B707" s="47">
        <v>206145766</v>
      </c>
      <c r="C707" s="89" t="s">
        <v>760</v>
      </c>
      <c r="D707" s="11" t="s">
        <v>761</v>
      </c>
      <c r="E707" s="48" t="s">
        <v>31</v>
      </c>
      <c r="F707" s="48" t="s">
        <v>74</v>
      </c>
      <c r="G707" s="11" t="s">
        <v>64</v>
      </c>
      <c r="H707" s="48" t="str">
        <f>VLOOKUP(Table1[[#This Row],[Psoft No]],[1]Roster!$C$2:$H$1402,6,)</f>
        <v>AUH1</v>
      </c>
      <c r="I707" s="48" t="b">
        <f>Table1[[#This Row],[Building]]=Table1[[#This Row],[Column1]]</f>
        <v>1</v>
      </c>
      <c r="J707" s="11" t="s">
        <v>75</v>
      </c>
      <c r="K707" s="11">
        <v>1299</v>
      </c>
      <c r="L707" s="49" t="s">
        <v>39</v>
      </c>
      <c r="M707" s="49" t="s">
        <v>76</v>
      </c>
      <c r="N707" s="49" t="s">
        <v>95</v>
      </c>
      <c r="O707" s="49" t="s">
        <v>77</v>
      </c>
      <c r="P707" s="48" t="s">
        <v>89</v>
      </c>
      <c r="Q707" s="49" t="s">
        <v>37</v>
      </c>
      <c r="R707" s="11" t="s">
        <v>80</v>
      </c>
      <c r="S707" s="11" t="s">
        <v>81</v>
      </c>
      <c r="T707" s="11" t="s">
        <v>631</v>
      </c>
      <c r="U707" s="11" t="s">
        <v>632</v>
      </c>
      <c r="V707" s="116" t="s">
        <v>1</v>
      </c>
      <c r="W707" s="88"/>
      <c r="X707" s="51">
        <v>45929</v>
      </c>
      <c r="Y707" s="97" t="s">
        <v>1577</v>
      </c>
      <c r="Z707" s="135" t="s">
        <v>2</v>
      </c>
      <c r="AA707" s="135">
        <v>0</v>
      </c>
    </row>
    <row r="708" spans="1:27" ht="13" customHeight="1">
      <c r="A708" s="11">
        <v>702</v>
      </c>
      <c r="B708" s="47">
        <v>205227534</v>
      </c>
      <c r="C708" s="89" t="s">
        <v>2758</v>
      </c>
      <c r="D708" s="11" t="s">
        <v>2759</v>
      </c>
      <c r="E708" s="48" t="s">
        <v>31</v>
      </c>
      <c r="F708" s="48" t="s">
        <v>74</v>
      </c>
      <c r="G708" s="11" t="s">
        <v>64</v>
      </c>
      <c r="H708" s="48" t="str">
        <f>VLOOKUP(Table1[[#This Row],[Psoft No]],[1]Roster!$C$2:$H$1402,6,)</f>
        <v>AUH1</v>
      </c>
      <c r="I708" s="48" t="b">
        <f>Table1[[#This Row],[Building]]=Table1[[#This Row],[Column1]]</f>
        <v>1</v>
      </c>
      <c r="J708" s="11" t="s">
        <v>75</v>
      </c>
      <c r="K708" s="11">
        <v>1299</v>
      </c>
      <c r="L708" s="49" t="s">
        <v>39</v>
      </c>
      <c r="M708" s="49" t="s">
        <v>76</v>
      </c>
      <c r="N708" s="49" t="s">
        <v>88</v>
      </c>
      <c r="O708" s="49" t="s">
        <v>95</v>
      </c>
      <c r="P708" s="48" t="s">
        <v>2742</v>
      </c>
      <c r="Q708" s="49" t="s">
        <v>37</v>
      </c>
      <c r="R708" s="11" t="s">
        <v>80</v>
      </c>
      <c r="S708" s="11" t="s">
        <v>90</v>
      </c>
      <c r="T708" s="49" t="s">
        <v>1066</v>
      </c>
      <c r="U708" s="11" t="s">
        <v>2749</v>
      </c>
      <c r="V708" s="116" t="s">
        <v>1</v>
      </c>
      <c r="W708" s="88"/>
      <c r="X708" s="51">
        <v>45789</v>
      </c>
      <c r="Y708" s="97" t="s">
        <v>1577</v>
      </c>
      <c r="Z708" s="135" t="s">
        <v>2</v>
      </c>
      <c r="AA708" s="135">
        <v>0</v>
      </c>
    </row>
    <row r="709" spans="1:27" ht="13" customHeight="1">
      <c r="A709" s="11">
        <v>703</v>
      </c>
      <c r="B709" s="11">
        <v>205257390</v>
      </c>
      <c r="C709" s="89" t="s">
        <v>2074</v>
      </c>
      <c r="D709" s="11" t="s">
        <v>2075</v>
      </c>
      <c r="E709" s="48" t="s">
        <v>31</v>
      </c>
      <c r="F709" s="48" t="s">
        <v>74</v>
      </c>
      <c r="G709" s="11" t="s">
        <v>64</v>
      </c>
      <c r="H709" s="48" t="str">
        <f>VLOOKUP(Table1[[#This Row],[Psoft No]],[1]Roster!$C$2:$H$1402,6,)</f>
        <v>AUH1</v>
      </c>
      <c r="I709" s="48" t="b">
        <f>Table1[[#This Row],[Building]]=Table1[[#This Row],[Column1]]</f>
        <v>1</v>
      </c>
      <c r="J709" s="11" t="s">
        <v>75</v>
      </c>
      <c r="K709" s="11">
        <v>1299</v>
      </c>
      <c r="L709" s="49" t="s">
        <v>39</v>
      </c>
      <c r="M709" s="49" t="s">
        <v>76</v>
      </c>
      <c r="N709" s="49" t="s">
        <v>77</v>
      </c>
      <c r="O709" s="49" t="s">
        <v>78</v>
      </c>
      <c r="P709" s="11" t="s">
        <v>89</v>
      </c>
      <c r="Q709" s="11" t="s">
        <v>37</v>
      </c>
      <c r="R709" s="11" t="s">
        <v>80</v>
      </c>
      <c r="S709" s="11" t="s">
        <v>96</v>
      </c>
      <c r="T709" s="11" t="s">
        <v>2844</v>
      </c>
      <c r="U709" s="11" t="s">
        <v>2716</v>
      </c>
      <c r="V709" s="116" t="s">
        <v>1</v>
      </c>
      <c r="W709" s="88"/>
      <c r="X709" s="51">
        <v>46048</v>
      </c>
      <c r="Y709" s="102" t="s">
        <v>1577</v>
      </c>
      <c r="Z709" s="135" t="s">
        <v>2</v>
      </c>
      <c r="AA709" s="135">
        <v>0</v>
      </c>
    </row>
    <row r="710" spans="1:27" ht="13" customHeight="1">
      <c r="A710" s="11">
        <v>704</v>
      </c>
      <c r="B710" s="47">
        <v>206491331</v>
      </c>
      <c r="C710" s="89" t="s">
        <v>2140</v>
      </c>
      <c r="D710" s="11" t="s">
        <v>2141</v>
      </c>
      <c r="E710" s="48" t="s">
        <v>31</v>
      </c>
      <c r="F710" s="48" t="s">
        <v>74</v>
      </c>
      <c r="G710" s="11" t="s">
        <v>64</v>
      </c>
      <c r="H710" s="48" t="str">
        <f>VLOOKUP(Table1[[#This Row],[Psoft No]],[1]Roster!$C$2:$H$1402,6,)</f>
        <v>AUH1</v>
      </c>
      <c r="I710" s="48" t="b">
        <f>Table1[[#This Row],[Building]]=Table1[[#This Row],[Column1]]</f>
        <v>1</v>
      </c>
      <c r="J710" s="11" t="s">
        <v>75</v>
      </c>
      <c r="K710" s="11">
        <v>1299</v>
      </c>
      <c r="L710" s="49" t="s">
        <v>39</v>
      </c>
      <c r="M710" s="49" t="s">
        <v>76</v>
      </c>
      <c r="N710" s="49" t="s">
        <v>78</v>
      </c>
      <c r="O710" s="49" t="s">
        <v>92</v>
      </c>
      <c r="P710" s="48" t="s">
        <v>89</v>
      </c>
      <c r="Q710" s="49" t="s">
        <v>37</v>
      </c>
      <c r="R710" s="11" t="s">
        <v>80</v>
      </c>
      <c r="S710" s="11" t="s">
        <v>96</v>
      </c>
      <c r="T710" s="11" t="s">
        <v>647</v>
      </c>
      <c r="U710" s="11" t="s">
        <v>1798</v>
      </c>
      <c r="V710" s="116" t="s">
        <v>10</v>
      </c>
      <c r="W710" s="88"/>
      <c r="X710" s="51">
        <v>46048</v>
      </c>
      <c r="Y710" s="97" t="s">
        <v>1577</v>
      </c>
      <c r="Z710" s="135" t="s">
        <v>3023</v>
      </c>
      <c r="AA710" s="135">
        <v>0</v>
      </c>
    </row>
    <row r="711" spans="1:27" ht="13" customHeight="1">
      <c r="A711" s="11">
        <v>705</v>
      </c>
      <c r="B711" s="47">
        <v>203993306</v>
      </c>
      <c r="C711" s="89" t="s">
        <v>762</v>
      </c>
      <c r="D711" s="11" t="s">
        <v>763</v>
      </c>
      <c r="E711" s="48" t="s">
        <v>31</v>
      </c>
      <c r="F711" s="48" t="s">
        <v>74</v>
      </c>
      <c r="G711" s="11" t="s">
        <v>64</v>
      </c>
      <c r="H711" s="48" t="str">
        <f>VLOOKUP(Table1[[#This Row],[Psoft No]],[1]Roster!$C$2:$H$1402,6,)</f>
        <v>AUH1</v>
      </c>
      <c r="I711" s="48" t="b">
        <f>Table1[[#This Row],[Building]]=Table1[[#This Row],[Column1]]</f>
        <v>1</v>
      </c>
      <c r="J711" s="11" t="s">
        <v>75</v>
      </c>
      <c r="K711" s="11">
        <v>1299</v>
      </c>
      <c r="L711" s="49" t="s">
        <v>32</v>
      </c>
      <c r="M711" s="49" t="s">
        <v>76</v>
      </c>
      <c r="N711" s="49" t="s">
        <v>77</v>
      </c>
      <c r="O711" s="49" t="s">
        <v>78</v>
      </c>
      <c r="P711" s="49" t="s">
        <v>79</v>
      </c>
      <c r="Q711" s="49" t="s">
        <v>37</v>
      </c>
      <c r="R711" s="11" t="s">
        <v>80</v>
      </c>
      <c r="S711" s="11" t="s">
        <v>81</v>
      </c>
      <c r="T711" s="49" t="s">
        <v>1066</v>
      </c>
      <c r="U711" s="11" t="s">
        <v>2717</v>
      </c>
      <c r="V711" s="116" t="str">
        <f>VLOOKUP(Table1[[#This Row],[Psoft No]],[2]Sheet1!$A$2:$G$386,7,0)</f>
        <v>P</v>
      </c>
      <c r="W711" s="88"/>
      <c r="X711" s="51">
        <v>45547</v>
      </c>
      <c r="Y711" s="97" t="s">
        <v>1577</v>
      </c>
      <c r="Z711" s="135" t="s">
        <v>2</v>
      </c>
      <c r="AA711" s="135">
        <v>0</v>
      </c>
    </row>
    <row r="712" spans="1:27" ht="13" customHeight="1">
      <c r="A712" s="11">
        <v>706</v>
      </c>
      <c r="B712" s="92">
        <v>204013689</v>
      </c>
      <c r="C712" s="47" t="s">
        <v>764</v>
      </c>
      <c r="D712" s="89" t="s">
        <v>765</v>
      </c>
      <c r="E712" s="48" t="s">
        <v>31</v>
      </c>
      <c r="F712" s="48" t="s">
        <v>74</v>
      </c>
      <c r="G712" s="11" t="s">
        <v>64</v>
      </c>
      <c r="H712" s="48" t="str">
        <f>VLOOKUP(Table1[[#This Row],[Psoft No]],[1]Roster!$C$2:$H$1402,6,)</f>
        <v>AUH1</v>
      </c>
      <c r="I712" s="48" t="b">
        <f>Table1[[#This Row],[Building]]=Table1[[#This Row],[Column1]]</f>
        <v>1</v>
      </c>
      <c r="J712" s="11" t="s">
        <v>75</v>
      </c>
      <c r="K712" s="11">
        <v>1299</v>
      </c>
      <c r="L712" s="49" t="s">
        <v>39</v>
      </c>
      <c r="M712" s="49" t="s">
        <v>76</v>
      </c>
      <c r="N712" s="49" t="s">
        <v>95</v>
      </c>
      <c r="O712" s="49" t="s">
        <v>77</v>
      </c>
      <c r="P712" s="48" t="s">
        <v>79</v>
      </c>
      <c r="Q712" s="49" t="s">
        <v>37</v>
      </c>
      <c r="R712" s="11" t="s">
        <v>80</v>
      </c>
      <c r="S712" s="11" t="s">
        <v>81</v>
      </c>
      <c r="T712" s="11" t="s">
        <v>627</v>
      </c>
      <c r="U712" s="11" t="s">
        <v>628</v>
      </c>
      <c r="V712" s="116" t="s">
        <v>1</v>
      </c>
      <c r="W712" s="88"/>
      <c r="X712" s="51">
        <v>45551</v>
      </c>
      <c r="Y712" s="97" t="s">
        <v>1577</v>
      </c>
      <c r="Z712" s="135" t="s">
        <v>2</v>
      </c>
      <c r="AA712" s="135">
        <v>0</v>
      </c>
    </row>
    <row r="713" spans="1:27" ht="13" customHeight="1">
      <c r="A713" s="11">
        <v>707</v>
      </c>
      <c r="B713" s="47">
        <v>205854274</v>
      </c>
      <c r="C713" s="89" t="s">
        <v>2830</v>
      </c>
      <c r="D713" s="11" t="s">
        <v>2831</v>
      </c>
      <c r="E713" s="48" t="s">
        <v>31</v>
      </c>
      <c r="F713" s="48" t="s">
        <v>74</v>
      </c>
      <c r="G713" s="11" t="s">
        <v>64</v>
      </c>
      <c r="H713" s="48" t="str">
        <f>VLOOKUP(Table1[[#This Row],[Psoft No]],[1]Roster!$C$2:$H$1402,6,)</f>
        <v>AUH1</v>
      </c>
      <c r="I713" s="48" t="b">
        <f>Table1[[#This Row],[Building]]=Table1[[#This Row],[Column1]]</f>
        <v>1</v>
      </c>
      <c r="J713" s="11" t="s">
        <v>75</v>
      </c>
      <c r="K713" s="11">
        <v>1299</v>
      </c>
      <c r="L713" s="49" t="s">
        <v>39</v>
      </c>
      <c r="M713" s="49" t="s">
        <v>76</v>
      </c>
      <c r="N713" s="49" t="s">
        <v>92</v>
      </c>
      <c r="O713" s="49" t="s">
        <v>84</v>
      </c>
      <c r="P713" s="48" t="s">
        <v>89</v>
      </c>
      <c r="Q713" s="49" t="s">
        <v>37</v>
      </c>
      <c r="R713" s="11" t="s">
        <v>80</v>
      </c>
      <c r="S713" s="11" t="s">
        <v>96</v>
      </c>
      <c r="T713" s="49" t="s">
        <v>631</v>
      </c>
      <c r="U713" s="11" t="s">
        <v>632</v>
      </c>
      <c r="V713" s="116" t="s">
        <v>10</v>
      </c>
      <c r="W713" s="88"/>
      <c r="X713" s="51">
        <v>46226</v>
      </c>
      <c r="Y713" s="97" t="s">
        <v>1577</v>
      </c>
      <c r="Z713" s="135" t="s">
        <v>3023</v>
      </c>
      <c r="AA713" s="135">
        <v>0</v>
      </c>
    </row>
    <row r="714" spans="1:27" ht="13" customHeight="1">
      <c r="A714" s="11">
        <v>708</v>
      </c>
      <c r="B714" s="47">
        <v>206868005</v>
      </c>
      <c r="C714" s="89" t="s">
        <v>2907</v>
      </c>
      <c r="D714" s="47" t="s">
        <v>2908</v>
      </c>
      <c r="E714" s="47" t="s">
        <v>31</v>
      </c>
      <c r="F714" s="48" t="s">
        <v>74</v>
      </c>
      <c r="G714" s="11" t="s">
        <v>64</v>
      </c>
      <c r="H714" s="48" t="str">
        <f>VLOOKUP(Table1[[#This Row],[Psoft No]],[1]Roster!$C$2:$H$1402,6,)</f>
        <v>AUH1</v>
      </c>
      <c r="I714" s="48" t="b">
        <f>Table1[[#This Row],[Building]]=Table1[[#This Row],[Column1]]</f>
        <v>1</v>
      </c>
      <c r="J714" s="11" t="s">
        <v>75</v>
      </c>
      <c r="K714" s="47">
        <v>1299</v>
      </c>
      <c r="L714" s="49" t="s">
        <v>39</v>
      </c>
      <c r="M714" s="49" t="s">
        <v>76</v>
      </c>
      <c r="N714" s="49" t="s">
        <v>88</v>
      </c>
      <c r="O714" s="49" t="s">
        <v>95</v>
      </c>
      <c r="P714" s="49" t="s">
        <v>89</v>
      </c>
      <c r="Q714" s="49" t="s">
        <v>37</v>
      </c>
      <c r="R714" s="11" t="s">
        <v>80</v>
      </c>
      <c r="S714" s="47" t="s">
        <v>81</v>
      </c>
      <c r="T714" s="11" t="s">
        <v>631</v>
      </c>
      <c r="U714" s="47" t="s">
        <v>632</v>
      </c>
      <c r="V714" s="116" t="s">
        <v>1</v>
      </c>
      <c r="W714" s="88"/>
      <c r="X714" s="51">
        <v>46239</v>
      </c>
      <c r="Y714" s="97" t="s">
        <v>1579</v>
      </c>
      <c r="Z714" s="135" t="s">
        <v>2</v>
      </c>
      <c r="AA714" s="135">
        <v>0</v>
      </c>
    </row>
    <row r="715" spans="1:27" ht="13" customHeight="1">
      <c r="A715" s="11">
        <v>709</v>
      </c>
      <c r="B715" s="47">
        <v>204010041</v>
      </c>
      <c r="C715" s="89" t="s">
        <v>766</v>
      </c>
      <c r="D715" s="11" t="s">
        <v>767</v>
      </c>
      <c r="E715" s="48" t="s">
        <v>31</v>
      </c>
      <c r="F715" s="48" t="s">
        <v>74</v>
      </c>
      <c r="G715" s="11" t="s">
        <v>64</v>
      </c>
      <c r="H715" s="48" t="str">
        <f>VLOOKUP(Table1[[#This Row],[Psoft No]],[1]Roster!$C$2:$H$1402,6,)</f>
        <v>AUH1</v>
      </c>
      <c r="I715" s="48" t="b">
        <f>Table1[[#This Row],[Building]]=Table1[[#This Row],[Column1]]</f>
        <v>1</v>
      </c>
      <c r="J715" s="11" t="s">
        <v>75</v>
      </c>
      <c r="K715" s="11">
        <v>1299</v>
      </c>
      <c r="L715" s="49" t="s">
        <v>39</v>
      </c>
      <c r="M715" s="49" t="s">
        <v>76</v>
      </c>
      <c r="N715" s="49" t="s">
        <v>85</v>
      </c>
      <c r="O715" s="49" t="s">
        <v>88</v>
      </c>
      <c r="P715" s="48" t="s">
        <v>86</v>
      </c>
      <c r="Q715" s="49" t="s">
        <v>37</v>
      </c>
      <c r="R715" s="11" t="s">
        <v>80</v>
      </c>
      <c r="S715" s="11" t="s">
        <v>90</v>
      </c>
      <c r="T715" s="49" t="s">
        <v>631</v>
      </c>
      <c r="U715" s="11" t="s">
        <v>632</v>
      </c>
      <c r="V715" s="116" t="s">
        <v>1</v>
      </c>
      <c r="W715" s="88"/>
      <c r="X715" s="51">
        <v>45551</v>
      </c>
      <c r="Y715" s="97" t="s">
        <v>1578</v>
      </c>
      <c r="Z715" s="135" t="s">
        <v>2</v>
      </c>
      <c r="AA715" s="135">
        <v>0</v>
      </c>
    </row>
    <row r="716" spans="1:27" ht="13" customHeight="1">
      <c r="A716" s="11">
        <v>710</v>
      </c>
      <c r="B716" s="47">
        <v>205839583</v>
      </c>
      <c r="C716" s="89" t="s">
        <v>2388</v>
      </c>
      <c r="D716" s="11" t="s">
        <v>2389</v>
      </c>
      <c r="E716" s="48" t="s">
        <v>31</v>
      </c>
      <c r="F716" s="48" t="s">
        <v>74</v>
      </c>
      <c r="G716" s="11" t="s">
        <v>64</v>
      </c>
      <c r="H716" s="48" t="str">
        <f>VLOOKUP(Table1[[#This Row],[Psoft No]],[1]Roster!$C$2:$H$1402,6,)</f>
        <v>AUH1</v>
      </c>
      <c r="I716" s="48" t="b">
        <f>Table1[[#This Row],[Building]]=Table1[[#This Row],[Column1]]</f>
        <v>1</v>
      </c>
      <c r="J716" s="11" t="s">
        <v>75</v>
      </c>
      <c r="K716" s="11">
        <v>1299</v>
      </c>
      <c r="L716" s="49" t="s">
        <v>39</v>
      </c>
      <c r="M716" s="49" t="s">
        <v>76</v>
      </c>
      <c r="N716" s="49" t="s">
        <v>85</v>
      </c>
      <c r="O716" s="49" t="s">
        <v>88</v>
      </c>
      <c r="P716" s="48" t="s">
        <v>89</v>
      </c>
      <c r="Q716" s="47" t="s">
        <v>37</v>
      </c>
      <c r="R716" s="47" t="s">
        <v>80</v>
      </c>
      <c r="S716" s="47" t="s">
        <v>90</v>
      </c>
      <c r="T716" s="11" t="s">
        <v>627</v>
      </c>
      <c r="U716" s="11" t="s">
        <v>628</v>
      </c>
      <c r="V716" s="116" t="s">
        <v>1</v>
      </c>
      <c r="W716" s="88"/>
      <c r="X716" s="51">
        <v>45894</v>
      </c>
      <c r="Y716" s="97" t="s">
        <v>1576</v>
      </c>
      <c r="Z716" s="135" t="s">
        <v>2</v>
      </c>
      <c r="AA716" s="135">
        <v>0</v>
      </c>
    </row>
    <row r="717" spans="1:27" ht="13" customHeight="1">
      <c r="A717" s="11">
        <v>711</v>
      </c>
      <c r="B717" s="47">
        <v>204967147</v>
      </c>
      <c r="C717" s="89" t="s">
        <v>2760</v>
      </c>
      <c r="D717" s="11" t="s">
        <v>2761</v>
      </c>
      <c r="E717" s="48" t="s">
        <v>31</v>
      </c>
      <c r="F717" s="48" t="s">
        <v>74</v>
      </c>
      <c r="G717" s="11" t="s">
        <v>64</v>
      </c>
      <c r="H717" s="48" t="str">
        <f>VLOOKUP(Table1[[#This Row],[Psoft No]],[1]Roster!$C$2:$H$1402,6,)</f>
        <v>AUH1</v>
      </c>
      <c r="I717" s="48" t="b">
        <f>Table1[[#This Row],[Building]]=Table1[[#This Row],[Column1]]</f>
        <v>1</v>
      </c>
      <c r="J717" s="11" t="s">
        <v>75</v>
      </c>
      <c r="K717" s="11">
        <v>1299</v>
      </c>
      <c r="L717" s="49" t="s">
        <v>32</v>
      </c>
      <c r="M717" s="49" t="s">
        <v>76</v>
      </c>
      <c r="N717" s="49" t="s">
        <v>84</v>
      </c>
      <c r="O717" s="49" t="s">
        <v>85</v>
      </c>
      <c r="P717" s="49" t="s">
        <v>86</v>
      </c>
      <c r="Q717" s="49" t="s">
        <v>37</v>
      </c>
      <c r="R717" s="11" t="s">
        <v>80</v>
      </c>
      <c r="S717" s="11" t="s">
        <v>90</v>
      </c>
      <c r="T717" s="11" t="s">
        <v>647</v>
      </c>
      <c r="U717" s="11" t="s">
        <v>2739</v>
      </c>
      <c r="V717" s="116" t="str">
        <f>VLOOKUP(Table1[[#This Row],[Psoft No]],[2]Sheet1!$A$2:$G$386,7,0)</f>
        <v>P</v>
      </c>
      <c r="W717" s="88"/>
      <c r="X717" s="51">
        <v>45789</v>
      </c>
      <c r="Y717" s="97" t="s">
        <v>1577</v>
      </c>
      <c r="Z717" s="135" t="s">
        <v>2</v>
      </c>
      <c r="AA717" s="135">
        <v>0</v>
      </c>
    </row>
    <row r="718" spans="1:27" ht="13" customHeight="1">
      <c r="A718" s="11">
        <v>712</v>
      </c>
      <c r="B718" s="47">
        <v>204138497</v>
      </c>
      <c r="C718" s="89" t="s">
        <v>768</v>
      </c>
      <c r="D718" s="11" t="s">
        <v>769</v>
      </c>
      <c r="E718" s="48" t="s">
        <v>31</v>
      </c>
      <c r="F718" s="48" t="s">
        <v>74</v>
      </c>
      <c r="G718" s="11" t="s">
        <v>64</v>
      </c>
      <c r="H718" s="48" t="str">
        <f>VLOOKUP(Table1[[#This Row],[Psoft No]],[1]Roster!$C$2:$H$1402,6,)</f>
        <v>AUH1</v>
      </c>
      <c r="I718" s="48" t="b">
        <f>Table1[[#This Row],[Building]]=Table1[[#This Row],[Column1]]</f>
        <v>1</v>
      </c>
      <c r="J718" s="11" t="s">
        <v>75</v>
      </c>
      <c r="K718" s="11">
        <v>1299</v>
      </c>
      <c r="L718" s="49" t="s">
        <v>39</v>
      </c>
      <c r="M718" s="49" t="s">
        <v>76</v>
      </c>
      <c r="N718" s="49" t="s">
        <v>77</v>
      </c>
      <c r="O718" s="49" t="s">
        <v>78</v>
      </c>
      <c r="P718" s="49" t="s">
        <v>79</v>
      </c>
      <c r="Q718" s="49" t="s">
        <v>37</v>
      </c>
      <c r="R718" s="11" t="s">
        <v>80</v>
      </c>
      <c r="S718" s="11" t="s">
        <v>81</v>
      </c>
      <c r="T718" s="49" t="s">
        <v>627</v>
      </c>
      <c r="U718" s="11" t="s">
        <v>628</v>
      </c>
      <c r="V718" s="116" t="s">
        <v>1</v>
      </c>
      <c r="W718" s="88"/>
      <c r="X718" s="51">
        <v>45565</v>
      </c>
      <c r="Y718" s="97" t="s">
        <v>1577</v>
      </c>
      <c r="Z718" s="135" t="s">
        <v>2</v>
      </c>
      <c r="AA718" s="135">
        <v>0</v>
      </c>
    </row>
    <row r="719" spans="1:27" ht="13" customHeight="1">
      <c r="A719" s="11">
        <v>713</v>
      </c>
      <c r="B719" s="11">
        <v>206846688</v>
      </c>
      <c r="C719" s="89" t="s">
        <v>1815</v>
      </c>
      <c r="D719" s="11" t="s">
        <v>1816</v>
      </c>
      <c r="E719" s="48" t="s">
        <v>31</v>
      </c>
      <c r="F719" s="48" t="s">
        <v>74</v>
      </c>
      <c r="G719" s="11" t="s">
        <v>64</v>
      </c>
      <c r="H719" s="48" t="str">
        <f>VLOOKUP(Table1[[#This Row],[Psoft No]],[1]Roster!$C$2:$H$1402,6,)</f>
        <v>AUH1</v>
      </c>
      <c r="I719" s="48" t="b">
        <f>Table1[[#This Row],[Building]]=Table1[[#This Row],[Column1]]</f>
        <v>1</v>
      </c>
      <c r="J719" s="11" t="s">
        <v>75</v>
      </c>
      <c r="K719" s="11">
        <v>1299</v>
      </c>
      <c r="L719" s="49" t="s">
        <v>39</v>
      </c>
      <c r="M719" s="49" t="s">
        <v>76</v>
      </c>
      <c r="N719" s="49" t="s">
        <v>78</v>
      </c>
      <c r="O719" s="49" t="s">
        <v>92</v>
      </c>
      <c r="P719" s="11" t="s">
        <v>89</v>
      </c>
      <c r="Q719" s="11" t="s">
        <v>37</v>
      </c>
      <c r="R719" s="11" t="s">
        <v>80</v>
      </c>
      <c r="S719" s="11" t="s">
        <v>90</v>
      </c>
      <c r="T719" s="11" t="s">
        <v>2844</v>
      </c>
      <c r="U719" s="11" t="s">
        <v>2716</v>
      </c>
      <c r="V719" s="116" t="s">
        <v>10</v>
      </c>
      <c r="W719" s="88"/>
      <c r="X719" s="51">
        <v>46013</v>
      </c>
      <c r="Y719" s="102" t="s">
        <v>1577</v>
      </c>
      <c r="Z719" s="135" t="s">
        <v>3023</v>
      </c>
      <c r="AA719" s="135">
        <v>0</v>
      </c>
    </row>
    <row r="720" spans="1:27" ht="13" customHeight="1">
      <c r="A720" s="11">
        <v>714</v>
      </c>
      <c r="B720" s="47">
        <v>203965177</v>
      </c>
      <c r="C720" s="89" t="s">
        <v>770</v>
      </c>
      <c r="D720" s="11" t="s">
        <v>771</v>
      </c>
      <c r="E720" s="48" t="s">
        <v>31</v>
      </c>
      <c r="F720" s="48" t="s">
        <v>74</v>
      </c>
      <c r="G720" s="11" t="s">
        <v>64</v>
      </c>
      <c r="H720" s="48" t="str">
        <f>VLOOKUP(Table1[[#This Row],[Psoft No]],[1]Roster!$C$2:$H$1402,6,)</f>
        <v>AUH1</v>
      </c>
      <c r="I720" s="48" t="b">
        <f>Table1[[#This Row],[Building]]=Table1[[#This Row],[Column1]]</f>
        <v>1</v>
      </c>
      <c r="J720" s="11" t="s">
        <v>75</v>
      </c>
      <c r="K720" s="11">
        <v>1299</v>
      </c>
      <c r="L720" s="49" t="s">
        <v>32</v>
      </c>
      <c r="M720" s="49" t="s">
        <v>76</v>
      </c>
      <c r="N720" s="49" t="s">
        <v>85</v>
      </c>
      <c r="O720" s="49" t="s">
        <v>88</v>
      </c>
      <c r="P720" s="48" t="s">
        <v>79</v>
      </c>
      <c r="Q720" s="49" t="s">
        <v>37</v>
      </c>
      <c r="R720" s="11" t="s">
        <v>80</v>
      </c>
      <c r="S720" s="11" t="s">
        <v>81</v>
      </c>
      <c r="T720" s="11" t="s">
        <v>2719</v>
      </c>
      <c r="U720" s="11" t="s">
        <v>642</v>
      </c>
      <c r="V720" s="116" t="str">
        <f>VLOOKUP(Table1[[#This Row],[Psoft No]],[2]Sheet1!$A$2:$G$386,7,0)</f>
        <v>P</v>
      </c>
      <c r="W720" s="88"/>
      <c r="X720" s="51">
        <v>45544</v>
      </c>
      <c r="Y720" s="97" t="s">
        <v>1577</v>
      </c>
      <c r="Z720" s="135" t="s">
        <v>2</v>
      </c>
      <c r="AA720" s="135">
        <v>0</v>
      </c>
    </row>
    <row r="721" spans="1:27" ht="13" customHeight="1">
      <c r="A721" s="11">
        <v>715</v>
      </c>
      <c r="B721" s="47">
        <v>102434089</v>
      </c>
      <c r="C721" s="89" t="s">
        <v>772</v>
      </c>
      <c r="D721" s="11" t="s">
        <v>773</v>
      </c>
      <c r="E721" s="48" t="s">
        <v>34</v>
      </c>
      <c r="F721" s="48" t="s">
        <v>74</v>
      </c>
      <c r="G721" s="11" t="s">
        <v>64</v>
      </c>
      <c r="H721" s="48" t="str">
        <f>VLOOKUP(Table1[[#This Row],[Psoft No]],[1]Roster!$C$2:$H$1402,6,)</f>
        <v>AUH1</v>
      </c>
      <c r="I721" s="48" t="b">
        <f>Table1[[#This Row],[Building]]=Table1[[#This Row],[Column1]]</f>
        <v>1</v>
      </c>
      <c r="J721" s="11" t="s">
        <v>75</v>
      </c>
      <c r="K721" s="11">
        <v>1299</v>
      </c>
      <c r="L721" s="49" t="s">
        <v>32</v>
      </c>
      <c r="M721" s="49" t="s">
        <v>76</v>
      </c>
      <c r="N721" s="49" t="s">
        <v>95</v>
      </c>
      <c r="O721" s="49" t="s">
        <v>77</v>
      </c>
      <c r="P721" s="49" t="s">
        <v>97</v>
      </c>
      <c r="Q721" s="49" t="s">
        <v>37</v>
      </c>
      <c r="R721" s="11" t="s">
        <v>80</v>
      </c>
      <c r="S721" s="11" t="s">
        <v>98</v>
      </c>
      <c r="T721" s="11" t="s">
        <v>631</v>
      </c>
      <c r="U721" s="11" t="s">
        <v>632</v>
      </c>
      <c r="V721" s="116" t="s">
        <v>7</v>
      </c>
      <c r="W721" s="88" t="s">
        <v>3015</v>
      </c>
      <c r="X721" s="51">
        <v>42897</v>
      </c>
      <c r="Y721" s="97" t="s">
        <v>1579</v>
      </c>
      <c r="Z721" s="135" t="s">
        <v>3023</v>
      </c>
      <c r="AA721" s="135">
        <v>0</v>
      </c>
    </row>
    <row r="722" spans="1:27" ht="13" customHeight="1">
      <c r="A722" s="11">
        <v>716</v>
      </c>
      <c r="B722" s="47">
        <v>205861620</v>
      </c>
      <c r="C722" s="89" t="s">
        <v>2090</v>
      </c>
      <c r="D722" s="11" t="s">
        <v>2091</v>
      </c>
      <c r="E722" s="48" t="s">
        <v>31</v>
      </c>
      <c r="F722" s="48" t="s">
        <v>74</v>
      </c>
      <c r="G722" s="11" t="s">
        <v>64</v>
      </c>
      <c r="H722" s="48" t="str">
        <f>VLOOKUP(Table1[[#This Row],[Psoft No]],[1]Roster!$C$2:$H$1402,6,)</f>
        <v>AUH1</v>
      </c>
      <c r="I722" s="48" t="b">
        <f>Table1[[#This Row],[Building]]=Table1[[#This Row],[Column1]]</f>
        <v>1</v>
      </c>
      <c r="J722" s="11" t="s">
        <v>75</v>
      </c>
      <c r="K722" s="11">
        <v>1299</v>
      </c>
      <c r="L722" s="49" t="s">
        <v>32</v>
      </c>
      <c r="M722" s="49" t="s">
        <v>76</v>
      </c>
      <c r="N722" s="49" t="s">
        <v>88</v>
      </c>
      <c r="O722" s="49" t="s">
        <v>95</v>
      </c>
      <c r="P722" s="48" t="s">
        <v>89</v>
      </c>
      <c r="Q722" s="49" t="s">
        <v>37</v>
      </c>
      <c r="R722" s="11" t="s">
        <v>80</v>
      </c>
      <c r="S722" s="11" t="s">
        <v>96</v>
      </c>
      <c r="T722" s="11" t="s">
        <v>627</v>
      </c>
      <c r="U722" s="11" t="s">
        <v>628</v>
      </c>
      <c r="V722" s="116" t="str">
        <f>VLOOKUP(Table1[[#This Row],[AMZ ID]],[2]Sheet3!$A$2:$E$50,5,0)</f>
        <v>PL</v>
      </c>
      <c r="W722" s="88" t="s">
        <v>3015</v>
      </c>
      <c r="X722" s="51">
        <v>46048</v>
      </c>
      <c r="Y722" s="97" t="s">
        <v>1577</v>
      </c>
      <c r="Z722" s="135" t="s">
        <v>3023</v>
      </c>
      <c r="AA722" s="135" t="s">
        <v>3015</v>
      </c>
    </row>
    <row r="723" spans="1:27" ht="13" customHeight="1">
      <c r="A723" s="11">
        <v>717</v>
      </c>
      <c r="B723" s="47">
        <v>205861618</v>
      </c>
      <c r="C723" s="89" t="s">
        <v>2088</v>
      </c>
      <c r="D723" s="11" t="s">
        <v>2089</v>
      </c>
      <c r="E723" s="48" t="s">
        <v>31</v>
      </c>
      <c r="F723" s="48" t="s">
        <v>74</v>
      </c>
      <c r="G723" s="11" t="s">
        <v>64</v>
      </c>
      <c r="H723" s="48" t="str">
        <f>VLOOKUP(Table1[[#This Row],[Psoft No]],[1]Roster!$C$2:$H$1402,6,)</f>
        <v>AUH1</v>
      </c>
      <c r="I723" s="48" t="b">
        <f>Table1[[#This Row],[Building]]=Table1[[#This Row],[Column1]]</f>
        <v>1</v>
      </c>
      <c r="J723" s="11" t="s">
        <v>75</v>
      </c>
      <c r="K723" s="11">
        <v>1299</v>
      </c>
      <c r="L723" s="49" t="s">
        <v>39</v>
      </c>
      <c r="M723" s="49" t="s">
        <v>76</v>
      </c>
      <c r="N723" s="49" t="s">
        <v>88</v>
      </c>
      <c r="O723" s="49" t="s">
        <v>95</v>
      </c>
      <c r="P723" s="48" t="s">
        <v>89</v>
      </c>
      <c r="Q723" s="49" t="s">
        <v>37</v>
      </c>
      <c r="R723" s="11" t="s">
        <v>80</v>
      </c>
      <c r="S723" s="11" t="s">
        <v>96</v>
      </c>
      <c r="T723" s="49" t="s">
        <v>627</v>
      </c>
      <c r="U723" s="11" t="s">
        <v>628</v>
      </c>
      <c r="V723" s="116" t="s">
        <v>1</v>
      </c>
      <c r="W723" s="88"/>
      <c r="X723" s="51">
        <v>46048</v>
      </c>
      <c r="Y723" s="97" t="s">
        <v>1577</v>
      </c>
      <c r="Z723" s="135" t="s">
        <v>2</v>
      </c>
      <c r="AA723" s="135">
        <v>0</v>
      </c>
    </row>
    <row r="724" spans="1:27" ht="13" customHeight="1">
      <c r="A724" s="11">
        <v>718</v>
      </c>
      <c r="B724" s="47">
        <v>206247771</v>
      </c>
      <c r="C724" s="89" t="s">
        <v>2834</v>
      </c>
      <c r="D724" s="11" t="s">
        <v>2835</v>
      </c>
      <c r="E724" s="48" t="s">
        <v>31</v>
      </c>
      <c r="F724" s="48" t="s">
        <v>74</v>
      </c>
      <c r="G724" s="48" t="s">
        <v>64</v>
      </c>
      <c r="H724" s="48" t="str">
        <f>VLOOKUP(Table1[[#This Row],[Psoft No]],[1]Roster!$C$2:$H$1402,6,)</f>
        <v>AUH1</v>
      </c>
      <c r="I724" s="48" t="b">
        <f>Table1[[#This Row],[Building]]=Table1[[#This Row],[Column1]]</f>
        <v>1</v>
      </c>
      <c r="J724" s="48" t="s">
        <v>75</v>
      </c>
      <c r="K724" s="11">
        <v>1299</v>
      </c>
      <c r="L724" s="49" t="s">
        <v>39</v>
      </c>
      <c r="M724" s="49" t="s">
        <v>76</v>
      </c>
      <c r="N724" s="49" t="s">
        <v>95</v>
      </c>
      <c r="O724" s="49" t="s">
        <v>77</v>
      </c>
      <c r="P724" s="49" t="s">
        <v>89</v>
      </c>
      <c r="Q724" s="49" t="s">
        <v>37</v>
      </c>
      <c r="R724" s="49" t="s">
        <v>80</v>
      </c>
      <c r="S724" s="49" t="s">
        <v>96</v>
      </c>
      <c r="T724" s="11" t="s">
        <v>627</v>
      </c>
      <c r="U724" s="11" t="s">
        <v>628</v>
      </c>
      <c r="V724" s="116" t="s">
        <v>1</v>
      </c>
      <c r="W724" s="88"/>
      <c r="X724" s="51">
        <v>46226</v>
      </c>
      <c r="Y724" s="97" t="s">
        <v>1577</v>
      </c>
      <c r="Z724" s="135" t="s">
        <v>2</v>
      </c>
      <c r="AA724" s="135">
        <v>0</v>
      </c>
    </row>
    <row r="725" spans="1:27" ht="13" customHeight="1">
      <c r="A725" s="11">
        <v>719</v>
      </c>
      <c r="B725" s="47">
        <v>204319798</v>
      </c>
      <c r="C725" s="89" t="s">
        <v>774</v>
      </c>
      <c r="D725" s="11" t="s">
        <v>775</v>
      </c>
      <c r="E725" s="48" t="s">
        <v>31</v>
      </c>
      <c r="F725" s="48" t="s">
        <v>74</v>
      </c>
      <c r="G725" s="11" t="s">
        <v>64</v>
      </c>
      <c r="H725" s="48" t="str">
        <f>VLOOKUP(Table1[[#This Row],[Psoft No]],[1]Roster!$C$2:$H$1402,6,)</f>
        <v>AUH1</v>
      </c>
      <c r="I725" s="48" t="b">
        <f>Table1[[#This Row],[Building]]=Table1[[#This Row],[Column1]]</f>
        <v>1</v>
      </c>
      <c r="J725" s="11" t="s">
        <v>75</v>
      </c>
      <c r="K725" s="11">
        <v>1299</v>
      </c>
      <c r="L725" s="49" t="s">
        <v>39</v>
      </c>
      <c r="M725" s="49" t="s">
        <v>76</v>
      </c>
      <c r="N725" s="49" t="s">
        <v>95</v>
      </c>
      <c r="O725" s="49" t="s">
        <v>77</v>
      </c>
      <c r="P725" s="48" t="s">
        <v>86</v>
      </c>
      <c r="Q725" s="49" t="s">
        <v>37</v>
      </c>
      <c r="R725" s="11" t="s">
        <v>80</v>
      </c>
      <c r="S725" s="11" t="s">
        <v>87</v>
      </c>
      <c r="T725" s="11" t="s">
        <v>2845</v>
      </c>
      <c r="U725" s="11" t="s">
        <v>2846</v>
      </c>
      <c r="V725" s="116" t="s">
        <v>1</v>
      </c>
      <c r="W725" s="88"/>
      <c r="X725" s="51">
        <v>45589</v>
      </c>
      <c r="Y725" s="97" t="s">
        <v>1579</v>
      </c>
      <c r="Z725" s="135" t="s">
        <v>2</v>
      </c>
      <c r="AA725" s="135">
        <v>0</v>
      </c>
    </row>
    <row r="726" spans="1:27" ht="13" customHeight="1">
      <c r="A726" s="11">
        <v>720</v>
      </c>
      <c r="B726" s="47">
        <v>206915474</v>
      </c>
      <c r="C726" s="89" t="s">
        <v>1919</v>
      </c>
      <c r="D726" s="11" t="s">
        <v>1904</v>
      </c>
      <c r="E726" s="48" t="s">
        <v>31</v>
      </c>
      <c r="F726" s="48" t="s">
        <v>74</v>
      </c>
      <c r="G726" s="11" t="s">
        <v>64</v>
      </c>
      <c r="H726" s="48" t="str">
        <f>VLOOKUP(Table1[[#This Row],[Psoft No]],[1]Roster!$C$2:$H$1402,6,)</f>
        <v>AUH1</v>
      </c>
      <c r="I726" s="48" t="b">
        <f>Table1[[#This Row],[Building]]=Table1[[#This Row],[Column1]]</f>
        <v>1</v>
      </c>
      <c r="J726" s="11" t="s">
        <v>75</v>
      </c>
      <c r="K726" s="11">
        <v>1299</v>
      </c>
      <c r="L726" s="49" t="s">
        <v>32</v>
      </c>
      <c r="M726" s="49" t="s">
        <v>76</v>
      </c>
      <c r="N726" s="49" t="s">
        <v>88</v>
      </c>
      <c r="O726" s="49" t="s">
        <v>95</v>
      </c>
      <c r="P726" s="48" t="s">
        <v>89</v>
      </c>
      <c r="Q726" s="49" t="s">
        <v>37</v>
      </c>
      <c r="R726" s="11" t="s">
        <v>80</v>
      </c>
      <c r="S726" s="11" t="s">
        <v>90</v>
      </c>
      <c r="T726" s="49" t="s">
        <v>631</v>
      </c>
      <c r="U726" s="11" t="s">
        <v>632</v>
      </c>
      <c r="V726" s="116" t="str">
        <f>VLOOKUP(Table1[[#This Row],[Psoft No]],[2]Sheet1!$A$2:$G$386,7,0)</f>
        <v>P</v>
      </c>
      <c r="W726" s="88"/>
      <c r="X726" s="51">
        <v>46034</v>
      </c>
      <c r="Y726" s="97" t="s">
        <v>1577</v>
      </c>
      <c r="Z726" s="135" t="s">
        <v>2</v>
      </c>
      <c r="AA726" s="135">
        <v>0</v>
      </c>
    </row>
    <row r="727" spans="1:27" ht="13" customHeight="1">
      <c r="A727" s="11">
        <v>721</v>
      </c>
      <c r="B727" s="47">
        <v>203850766</v>
      </c>
      <c r="C727" s="89" t="s">
        <v>2390</v>
      </c>
      <c r="D727" s="11" t="s">
        <v>2391</v>
      </c>
      <c r="E727" s="48" t="s">
        <v>31</v>
      </c>
      <c r="F727" s="48" t="s">
        <v>74</v>
      </c>
      <c r="G727" s="11" t="s">
        <v>64</v>
      </c>
      <c r="H727" s="48" t="str">
        <f>VLOOKUP(Table1[[#This Row],[Psoft No]],[1]Roster!$C$2:$H$1402,6,)</f>
        <v>AUH1</v>
      </c>
      <c r="I727" s="48" t="b">
        <f>Table1[[#This Row],[Building]]=Table1[[#This Row],[Column1]]</f>
        <v>1</v>
      </c>
      <c r="J727" s="11" t="s">
        <v>75</v>
      </c>
      <c r="K727" s="11">
        <v>1299</v>
      </c>
      <c r="L727" s="49" t="s">
        <v>39</v>
      </c>
      <c r="M727" s="49" t="s">
        <v>76</v>
      </c>
      <c r="N727" s="49" t="s">
        <v>84</v>
      </c>
      <c r="O727" s="49" t="s">
        <v>85</v>
      </c>
      <c r="P727" s="48" t="s">
        <v>86</v>
      </c>
      <c r="Q727" s="49" t="s">
        <v>37</v>
      </c>
      <c r="R727" s="11" t="s">
        <v>80</v>
      </c>
      <c r="S727" s="11" t="s">
        <v>90</v>
      </c>
      <c r="T727" s="11" t="s">
        <v>627</v>
      </c>
      <c r="U727" s="11" t="s">
        <v>628</v>
      </c>
      <c r="V727" s="116" t="s">
        <v>1</v>
      </c>
      <c r="W727" s="88"/>
      <c r="X727" s="51">
        <v>45524</v>
      </c>
      <c r="Y727" s="97" t="s">
        <v>1577</v>
      </c>
      <c r="Z727" s="135" t="s">
        <v>2</v>
      </c>
      <c r="AA727" s="135">
        <v>0</v>
      </c>
    </row>
    <row r="728" spans="1:27" ht="13" customHeight="1">
      <c r="A728" s="11">
        <v>722</v>
      </c>
      <c r="B728" s="47">
        <v>206348030</v>
      </c>
      <c r="C728" s="89" t="s">
        <v>1684</v>
      </c>
      <c r="D728" s="11" t="s">
        <v>1685</v>
      </c>
      <c r="E728" s="48" t="s">
        <v>31</v>
      </c>
      <c r="F728" s="48" t="s">
        <v>74</v>
      </c>
      <c r="G728" s="11" t="s">
        <v>65</v>
      </c>
      <c r="H728" s="48" t="str">
        <f>VLOOKUP(Table1[[#This Row],[Psoft No]],[1]Roster!$C$2:$H$1402,6,)</f>
        <v>AUH3</v>
      </c>
      <c r="I728" s="48" t="b">
        <f>Table1[[#This Row],[Building]]=Table1[[#This Row],[Column1]]</f>
        <v>1</v>
      </c>
      <c r="J728" s="11" t="s">
        <v>1332</v>
      </c>
      <c r="K728" s="11">
        <v>1181</v>
      </c>
      <c r="L728" s="49" t="s">
        <v>32</v>
      </c>
      <c r="M728" s="49" t="s">
        <v>76</v>
      </c>
      <c r="N728" s="49" t="s">
        <v>78</v>
      </c>
      <c r="O728" s="49" t="s">
        <v>92</v>
      </c>
      <c r="P728" s="48" t="s">
        <v>89</v>
      </c>
      <c r="Q728" s="49" t="s">
        <v>68</v>
      </c>
      <c r="R728" s="11" t="s">
        <v>80</v>
      </c>
      <c r="S728" s="11" t="s">
        <v>90</v>
      </c>
      <c r="T728" s="11" t="s">
        <v>1336</v>
      </c>
      <c r="U728" s="11" t="s">
        <v>1337</v>
      </c>
      <c r="V728" s="116" t="s">
        <v>10</v>
      </c>
      <c r="W728" s="88"/>
      <c r="X728" s="51">
        <v>45957</v>
      </c>
      <c r="Y728" s="97" t="s">
        <v>68</v>
      </c>
      <c r="Z728" s="135" t="s">
        <v>3023</v>
      </c>
      <c r="AA728" s="135">
        <v>0</v>
      </c>
    </row>
    <row r="729" spans="1:27" ht="13" customHeight="1">
      <c r="A729" s="11">
        <v>723</v>
      </c>
      <c r="B729" s="47">
        <v>206930333</v>
      </c>
      <c r="C729" s="89" t="s">
        <v>2007</v>
      </c>
      <c r="D729" s="11" t="s">
        <v>2015</v>
      </c>
      <c r="E729" s="48" t="s">
        <v>31</v>
      </c>
      <c r="F729" s="48" t="s">
        <v>74</v>
      </c>
      <c r="G729" s="11" t="s">
        <v>64</v>
      </c>
      <c r="H729" s="48" t="str">
        <f>VLOOKUP(Table1[[#This Row],[Psoft No]],[1]Roster!$C$2:$H$1402,6,)</f>
        <v>AUH1</v>
      </c>
      <c r="I729" s="48" t="b">
        <f>Table1[[#This Row],[Building]]=Table1[[#This Row],[Column1]]</f>
        <v>1</v>
      </c>
      <c r="J729" s="11" t="s">
        <v>75</v>
      </c>
      <c r="K729" s="11">
        <v>1299</v>
      </c>
      <c r="L729" s="49" t="s">
        <v>32</v>
      </c>
      <c r="M729" s="49" t="s">
        <v>76</v>
      </c>
      <c r="N729" s="49" t="s">
        <v>77</v>
      </c>
      <c r="O729" s="49" t="s">
        <v>78</v>
      </c>
      <c r="P729" s="48" t="s">
        <v>89</v>
      </c>
      <c r="Q729" s="49" t="s">
        <v>37</v>
      </c>
      <c r="R729" s="11" t="s">
        <v>80</v>
      </c>
      <c r="S729" s="11" t="s">
        <v>96</v>
      </c>
      <c r="T729" s="11" t="s">
        <v>627</v>
      </c>
      <c r="U729" s="11" t="s">
        <v>628</v>
      </c>
      <c r="V729" s="116" t="str">
        <f>VLOOKUP(Table1[[#This Row],[Psoft No]],[2]Sheet1!$A$2:$G$386,7,0)</f>
        <v>P</v>
      </c>
      <c r="W729" s="88"/>
      <c r="X729" s="51">
        <v>46037</v>
      </c>
      <c r="Y729" s="97" t="s">
        <v>1577</v>
      </c>
      <c r="Z729" s="135" t="s">
        <v>2</v>
      </c>
      <c r="AA729" s="135">
        <v>0</v>
      </c>
    </row>
    <row r="730" spans="1:27" ht="13" customHeight="1">
      <c r="A730" s="11">
        <v>724</v>
      </c>
      <c r="B730" s="47">
        <v>203813032</v>
      </c>
      <c r="C730" s="89" t="s">
        <v>778</v>
      </c>
      <c r="D730" s="11" t="s">
        <v>779</v>
      </c>
      <c r="E730" s="48" t="s">
        <v>31</v>
      </c>
      <c r="F730" s="48" t="s">
        <v>74</v>
      </c>
      <c r="G730" s="11" t="s">
        <v>64</v>
      </c>
      <c r="H730" s="48" t="str">
        <f>VLOOKUP(Table1[[#This Row],[Psoft No]],[1]Roster!$C$2:$H$1402,6,)</f>
        <v>AUH1</v>
      </c>
      <c r="I730" s="48" t="b">
        <f>Table1[[#This Row],[Building]]=Table1[[#This Row],[Column1]]</f>
        <v>1</v>
      </c>
      <c r="J730" s="11" t="s">
        <v>75</v>
      </c>
      <c r="K730" s="11">
        <v>1299</v>
      </c>
      <c r="L730" s="49" t="s">
        <v>32</v>
      </c>
      <c r="M730" s="49" t="s">
        <v>76</v>
      </c>
      <c r="N730" s="49" t="s">
        <v>88</v>
      </c>
      <c r="O730" s="49" t="s">
        <v>95</v>
      </c>
      <c r="P730" s="48" t="s">
        <v>86</v>
      </c>
      <c r="Q730" s="49" t="s">
        <v>37</v>
      </c>
      <c r="R730" s="11" t="s">
        <v>80</v>
      </c>
      <c r="S730" s="11" t="s">
        <v>99</v>
      </c>
      <c r="T730" s="49" t="s">
        <v>2845</v>
      </c>
      <c r="U730" s="11" t="s">
        <v>2846</v>
      </c>
      <c r="V730" s="116" t="str">
        <f>VLOOKUP(Table1[[#This Row],[Psoft No]],[2]Sheet1!$A$2:$G$386,7,0)</f>
        <v>P</v>
      </c>
      <c r="W730" s="88"/>
      <c r="X730" s="51">
        <v>45517</v>
      </c>
      <c r="Y730" s="97" t="s">
        <v>1577</v>
      </c>
      <c r="Z730" s="135" t="s">
        <v>2</v>
      </c>
      <c r="AA730" s="135">
        <v>0</v>
      </c>
    </row>
    <row r="731" spans="1:27" ht="13" customHeight="1">
      <c r="A731" s="11">
        <v>725</v>
      </c>
      <c r="B731" s="47">
        <v>204009619</v>
      </c>
      <c r="C731" s="89" t="s">
        <v>780</v>
      </c>
      <c r="D731" s="11" t="s">
        <v>781</v>
      </c>
      <c r="E731" s="48" t="s">
        <v>31</v>
      </c>
      <c r="F731" s="48" t="s">
        <v>74</v>
      </c>
      <c r="G731" s="11" t="s">
        <v>64</v>
      </c>
      <c r="H731" s="48" t="str">
        <f>VLOOKUP(Table1[[#This Row],[Psoft No]],[1]Roster!$C$2:$H$1402,6,)</f>
        <v>AUH1</v>
      </c>
      <c r="I731" s="48" t="b">
        <f>Table1[[#This Row],[Building]]=Table1[[#This Row],[Column1]]</f>
        <v>1</v>
      </c>
      <c r="J731" s="11" t="s">
        <v>75</v>
      </c>
      <c r="K731" s="11">
        <v>1299</v>
      </c>
      <c r="L731" s="49" t="s">
        <v>39</v>
      </c>
      <c r="M731" s="49" t="s">
        <v>76</v>
      </c>
      <c r="N731" s="49" t="s">
        <v>78</v>
      </c>
      <c r="O731" s="49" t="s">
        <v>92</v>
      </c>
      <c r="P731" s="48" t="s">
        <v>86</v>
      </c>
      <c r="Q731" s="49" t="s">
        <v>37</v>
      </c>
      <c r="R731" s="11" t="s">
        <v>80</v>
      </c>
      <c r="S731" s="11" t="s">
        <v>90</v>
      </c>
      <c r="T731" s="11" t="s">
        <v>647</v>
      </c>
      <c r="U731" s="11" t="s">
        <v>1798</v>
      </c>
      <c r="V731" s="116" t="s">
        <v>10</v>
      </c>
      <c r="W731" s="88"/>
      <c r="X731" s="51">
        <v>45551</v>
      </c>
      <c r="Y731" s="97" t="s">
        <v>1577</v>
      </c>
      <c r="Z731" s="135" t="s">
        <v>3023</v>
      </c>
      <c r="AA731" s="135">
        <v>0</v>
      </c>
    </row>
    <row r="732" spans="1:27" ht="13" customHeight="1">
      <c r="A732" s="11">
        <v>726</v>
      </c>
      <c r="B732" s="47">
        <v>204094216</v>
      </c>
      <c r="C732" s="89" t="s">
        <v>2347</v>
      </c>
      <c r="D732" s="11" t="s">
        <v>2348</v>
      </c>
      <c r="E732" s="48" t="s">
        <v>31</v>
      </c>
      <c r="F732" s="48" t="s">
        <v>74</v>
      </c>
      <c r="G732" s="11" t="s">
        <v>64</v>
      </c>
      <c r="H732" s="48" t="str">
        <f>VLOOKUP(Table1[[#This Row],[Psoft No]],[1]Roster!$C$2:$H$1402,6,)</f>
        <v>AUH1</v>
      </c>
      <c r="I732" s="48" t="b">
        <f>Table1[[#This Row],[Building]]=Table1[[#This Row],[Column1]]</f>
        <v>1</v>
      </c>
      <c r="J732" s="11" t="s">
        <v>75</v>
      </c>
      <c r="K732" s="11">
        <v>1299</v>
      </c>
      <c r="L732" s="49" t="s">
        <v>39</v>
      </c>
      <c r="M732" s="49" t="s">
        <v>76</v>
      </c>
      <c r="N732" s="49" t="s">
        <v>85</v>
      </c>
      <c r="O732" s="49" t="s">
        <v>88</v>
      </c>
      <c r="P732" s="48" t="s">
        <v>86</v>
      </c>
      <c r="Q732" s="49" t="s">
        <v>37</v>
      </c>
      <c r="R732" s="11" t="s">
        <v>80</v>
      </c>
      <c r="S732" s="11" t="s">
        <v>87</v>
      </c>
      <c r="T732" s="49" t="s">
        <v>631</v>
      </c>
      <c r="U732" s="11" t="s">
        <v>632</v>
      </c>
      <c r="V732" s="116" t="s">
        <v>1</v>
      </c>
      <c r="W732" s="88"/>
      <c r="X732" s="51">
        <v>45561</v>
      </c>
      <c r="Y732" s="97" t="s">
        <v>1576</v>
      </c>
      <c r="Z732" s="135" t="s">
        <v>2</v>
      </c>
      <c r="AA732" s="135">
        <v>0</v>
      </c>
    </row>
    <row r="733" spans="1:27" ht="13" customHeight="1">
      <c r="A733" s="11">
        <v>727</v>
      </c>
      <c r="B733" s="47">
        <v>202516581</v>
      </c>
      <c r="C733" s="89" t="s">
        <v>782</v>
      </c>
      <c r="D733" s="11" t="s">
        <v>783</v>
      </c>
      <c r="E733" s="48" t="s">
        <v>31</v>
      </c>
      <c r="F733" s="48" t="s">
        <v>74</v>
      </c>
      <c r="G733" s="11" t="s">
        <v>64</v>
      </c>
      <c r="H733" s="48" t="str">
        <f>VLOOKUP(Table1[[#This Row],[Psoft No]],[1]Roster!$C$2:$H$1402,6,)</f>
        <v>AUH1</v>
      </c>
      <c r="I733" s="48" t="b">
        <f>Table1[[#This Row],[Building]]=Table1[[#This Row],[Column1]]</f>
        <v>1</v>
      </c>
      <c r="J733" s="11" t="s">
        <v>75</v>
      </c>
      <c r="K733" s="11">
        <v>1299</v>
      </c>
      <c r="L733" s="49" t="s">
        <v>39</v>
      </c>
      <c r="M733" s="49" t="s">
        <v>76</v>
      </c>
      <c r="N733" s="49" t="s">
        <v>77</v>
      </c>
      <c r="O733" s="49" t="s">
        <v>78</v>
      </c>
      <c r="P733" s="48" t="s">
        <v>79</v>
      </c>
      <c r="Q733" s="49" t="s">
        <v>37</v>
      </c>
      <c r="R733" s="11" t="s">
        <v>80</v>
      </c>
      <c r="S733" s="11" t="s">
        <v>81</v>
      </c>
      <c r="T733" s="49" t="s">
        <v>647</v>
      </c>
      <c r="U733" s="11" t="s">
        <v>1798</v>
      </c>
      <c r="V733" s="116" t="s">
        <v>1</v>
      </c>
      <c r="W733" s="88"/>
      <c r="X733" s="51">
        <v>45530</v>
      </c>
      <c r="Y733" s="97" t="s">
        <v>1577</v>
      </c>
      <c r="Z733" s="135" t="s">
        <v>2</v>
      </c>
      <c r="AA733" s="135">
        <v>0</v>
      </c>
    </row>
    <row r="734" spans="1:27" ht="13" customHeight="1">
      <c r="A734" s="11">
        <v>728</v>
      </c>
      <c r="B734" s="47">
        <v>206868288</v>
      </c>
      <c r="C734" s="89" t="s">
        <v>2903</v>
      </c>
      <c r="D734" s="11" t="s">
        <v>2904</v>
      </c>
      <c r="E734" s="48" t="s">
        <v>31</v>
      </c>
      <c r="F734" s="48" t="s">
        <v>74</v>
      </c>
      <c r="G734" s="11" t="s">
        <v>64</v>
      </c>
      <c r="H734" s="48" t="str">
        <f>VLOOKUP(Table1[[#This Row],[Psoft No]],[1]Roster!$C$2:$H$1402,6,)</f>
        <v>AUH1</v>
      </c>
      <c r="I734" s="48" t="b">
        <f>Table1[[#This Row],[Building]]=Table1[[#This Row],[Column1]]</f>
        <v>1</v>
      </c>
      <c r="J734" s="11" t="s">
        <v>75</v>
      </c>
      <c r="K734" s="11">
        <v>1299</v>
      </c>
      <c r="L734" s="49" t="s">
        <v>39</v>
      </c>
      <c r="M734" s="49" t="s">
        <v>76</v>
      </c>
      <c r="N734" s="49" t="s">
        <v>84</v>
      </c>
      <c r="O734" s="49" t="s">
        <v>85</v>
      </c>
      <c r="P734" s="48" t="s">
        <v>89</v>
      </c>
      <c r="Q734" s="49" t="s">
        <v>37</v>
      </c>
      <c r="R734" s="11" t="s">
        <v>80</v>
      </c>
      <c r="S734" s="11" t="s">
        <v>81</v>
      </c>
      <c r="T734" s="11" t="s">
        <v>631</v>
      </c>
      <c r="U734" s="11" t="s">
        <v>632</v>
      </c>
      <c r="V734" s="116" t="s">
        <v>1</v>
      </c>
      <c r="W734" s="88"/>
      <c r="X734" s="51">
        <v>46239</v>
      </c>
      <c r="Y734" s="97" t="s">
        <v>1579</v>
      </c>
      <c r="Z734" s="135" t="s">
        <v>2</v>
      </c>
      <c r="AA734" s="135">
        <v>0</v>
      </c>
    </row>
    <row r="735" spans="1:27" ht="13" customHeight="1">
      <c r="A735" s="11">
        <v>729</v>
      </c>
      <c r="B735" s="47">
        <v>203908859</v>
      </c>
      <c r="C735" s="89" t="s">
        <v>784</v>
      </c>
      <c r="D735" s="11" t="s">
        <v>785</v>
      </c>
      <c r="E735" s="48" t="s">
        <v>31</v>
      </c>
      <c r="F735" s="48" t="s">
        <v>74</v>
      </c>
      <c r="G735" s="11" t="s">
        <v>64</v>
      </c>
      <c r="H735" s="48" t="str">
        <f>VLOOKUP(Table1[[#This Row],[Psoft No]],[1]Roster!$C$2:$H$1402,6,)</f>
        <v>AUH1</v>
      </c>
      <c r="I735" s="48" t="b">
        <f>Table1[[#This Row],[Building]]=Table1[[#This Row],[Column1]]</f>
        <v>1</v>
      </c>
      <c r="J735" s="11" t="s">
        <v>75</v>
      </c>
      <c r="K735" s="11">
        <v>1299</v>
      </c>
      <c r="L735" s="49" t="s">
        <v>32</v>
      </c>
      <c r="M735" s="49" t="s">
        <v>76</v>
      </c>
      <c r="N735" s="49" t="s">
        <v>78</v>
      </c>
      <c r="O735" s="49" t="s">
        <v>92</v>
      </c>
      <c r="P735" s="48" t="s">
        <v>79</v>
      </c>
      <c r="Q735" s="49" t="s">
        <v>37</v>
      </c>
      <c r="R735" s="11" t="s">
        <v>80</v>
      </c>
      <c r="S735" s="11" t="s">
        <v>81</v>
      </c>
      <c r="T735" s="49" t="s">
        <v>647</v>
      </c>
      <c r="U735" s="11" t="s">
        <v>1798</v>
      </c>
      <c r="V735" s="116" t="s">
        <v>10</v>
      </c>
      <c r="W735" s="88"/>
      <c r="X735" s="51">
        <v>45537</v>
      </c>
      <c r="Y735" s="97" t="s">
        <v>1577</v>
      </c>
      <c r="Z735" s="135" t="s">
        <v>3023</v>
      </c>
      <c r="AA735" s="135">
        <v>0</v>
      </c>
    </row>
    <row r="736" spans="1:27" ht="13" customHeight="1">
      <c r="A736" s="11">
        <v>730</v>
      </c>
      <c r="B736" s="47">
        <v>206073363</v>
      </c>
      <c r="C736" s="89" t="s">
        <v>786</v>
      </c>
      <c r="D736" s="11" t="s">
        <v>787</v>
      </c>
      <c r="E736" s="48" t="s">
        <v>31</v>
      </c>
      <c r="F736" s="48" t="s">
        <v>74</v>
      </c>
      <c r="G736" s="11" t="s">
        <v>64</v>
      </c>
      <c r="H736" s="48" t="str">
        <f>VLOOKUP(Table1[[#This Row],[Psoft No]],[1]Roster!$C$2:$H$1402,6,)</f>
        <v>AUH1</v>
      </c>
      <c r="I736" s="48" t="b">
        <f>Table1[[#This Row],[Building]]=Table1[[#This Row],[Column1]]</f>
        <v>1</v>
      </c>
      <c r="J736" s="11" t="s">
        <v>75</v>
      </c>
      <c r="K736" s="11">
        <v>1299</v>
      </c>
      <c r="L736" s="49" t="s">
        <v>32</v>
      </c>
      <c r="M736" s="49" t="s">
        <v>76</v>
      </c>
      <c r="N736" s="49" t="s">
        <v>77</v>
      </c>
      <c r="O736" s="49" t="s">
        <v>78</v>
      </c>
      <c r="P736" s="49" t="s">
        <v>79</v>
      </c>
      <c r="Q736" s="48" t="s">
        <v>37</v>
      </c>
      <c r="R736" s="48" t="s">
        <v>80</v>
      </c>
      <c r="S736" s="11" t="s">
        <v>81</v>
      </c>
      <c r="T736" s="11" t="s">
        <v>647</v>
      </c>
      <c r="U736" s="11" t="s">
        <v>1798</v>
      </c>
      <c r="V736" s="116" t="str">
        <f>VLOOKUP(Table1[[#This Row],[Psoft No]],[2]Sheet1!$A$2:$G$386,7,0)</f>
        <v>P</v>
      </c>
      <c r="W736" s="88"/>
      <c r="X736" s="51">
        <v>45929</v>
      </c>
      <c r="Y736" s="97" t="s">
        <v>1577</v>
      </c>
      <c r="Z736" s="135" t="s">
        <v>2</v>
      </c>
      <c r="AA736" s="135">
        <v>0</v>
      </c>
    </row>
    <row r="737" spans="1:27" ht="13" customHeight="1">
      <c r="A737" s="11">
        <v>731</v>
      </c>
      <c r="B737" s="47">
        <v>203679313</v>
      </c>
      <c r="C737" s="89" t="s">
        <v>109</v>
      </c>
      <c r="D737" s="11" t="s">
        <v>1930</v>
      </c>
      <c r="E737" s="48" t="s">
        <v>31</v>
      </c>
      <c r="F737" s="48" t="s">
        <v>74</v>
      </c>
      <c r="G737" s="11" t="s">
        <v>64</v>
      </c>
      <c r="H737" s="48" t="str">
        <f>VLOOKUP(Table1[[#This Row],[Psoft No]],[1]Roster!$C$2:$H$1402,6,)</f>
        <v>AUH1</v>
      </c>
      <c r="I737" s="48" t="b">
        <f>Table1[[#This Row],[Building]]=Table1[[#This Row],[Column1]]</f>
        <v>1</v>
      </c>
      <c r="J737" s="11" t="s">
        <v>75</v>
      </c>
      <c r="K737" s="11">
        <v>1299</v>
      </c>
      <c r="L737" s="49" t="s">
        <v>32</v>
      </c>
      <c r="M737" s="49" t="s">
        <v>76</v>
      </c>
      <c r="N737" s="49" t="s">
        <v>88</v>
      </c>
      <c r="O737" s="49" t="s">
        <v>95</v>
      </c>
      <c r="P737" s="49" t="s">
        <v>79</v>
      </c>
      <c r="Q737" s="49" t="s">
        <v>67</v>
      </c>
      <c r="R737" s="11" t="s">
        <v>80</v>
      </c>
      <c r="S737" s="11" t="s">
        <v>81</v>
      </c>
      <c r="T737" s="11" t="s">
        <v>82</v>
      </c>
      <c r="U737" s="11" t="s">
        <v>2713</v>
      </c>
      <c r="V737" s="116" t="str">
        <f>VLOOKUP(Table1[[#This Row],[AMZ ID]],[2]Sheet3!$A$2:$E$50,5,0)</f>
        <v>PL</v>
      </c>
      <c r="W737" s="88" t="s">
        <v>3015</v>
      </c>
      <c r="X737" s="51">
        <v>45488</v>
      </c>
      <c r="Y737" s="102" t="s">
        <v>1568</v>
      </c>
      <c r="Z737" s="135" t="s">
        <v>3023</v>
      </c>
      <c r="AA737" s="135" t="s">
        <v>3015</v>
      </c>
    </row>
    <row r="738" spans="1:27" ht="13" customHeight="1">
      <c r="A738" s="11">
        <v>732</v>
      </c>
      <c r="B738" s="47">
        <v>204172862</v>
      </c>
      <c r="C738" s="89" t="s">
        <v>790</v>
      </c>
      <c r="D738" s="11" t="s">
        <v>791</v>
      </c>
      <c r="E738" s="48" t="s">
        <v>31</v>
      </c>
      <c r="F738" s="48" t="s">
        <v>74</v>
      </c>
      <c r="G738" s="11" t="s">
        <v>64</v>
      </c>
      <c r="H738" s="48" t="str">
        <f>VLOOKUP(Table1[[#This Row],[Psoft No]],[1]Roster!$C$2:$H$1402,6,)</f>
        <v>AUH1</v>
      </c>
      <c r="I738" s="48" t="b">
        <f>Table1[[#This Row],[Building]]=Table1[[#This Row],[Column1]]</f>
        <v>1</v>
      </c>
      <c r="J738" s="11" t="s">
        <v>75</v>
      </c>
      <c r="K738" s="11">
        <v>1299</v>
      </c>
      <c r="L738" s="49" t="s">
        <v>39</v>
      </c>
      <c r="M738" s="49" t="s">
        <v>76</v>
      </c>
      <c r="N738" s="49" t="s">
        <v>88</v>
      </c>
      <c r="O738" s="49" t="s">
        <v>95</v>
      </c>
      <c r="P738" s="48" t="s">
        <v>79</v>
      </c>
      <c r="Q738" s="49" t="s">
        <v>37</v>
      </c>
      <c r="R738" s="11" t="s">
        <v>80</v>
      </c>
      <c r="S738" s="11" t="s">
        <v>81</v>
      </c>
      <c r="T738" s="11" t="s">
        <v>627</v>
      </c>
      <c r="U738" s="11" t="s">
        <v>628</v>
      </c>
      <c r="V738" s="116" t="s">
        <v>1</v>
      </c>
      <c r="W738" s="88"/>
      <c r="X738" s="51">
        <v>45568</v>
      </c>
      <c r="Y738" s="97" t="s">
        <v>1576</v>
      </c>
      <c r="Z738" s="135" t="s">
        <v>2</v>
      </c>
      <c r="AA738" s="135">
        <v>0</v>
      </c>
    </row>
    <row r="739" spans="1:27" ht="13" customHeight="1">
      <c r="A739" s="11">
        <v>733</v>
      </c>
      <c r="B739" s="47">
        <v>203741316</v>
      </c>
      <c r="C739" s="89" t="s">
        <v>792</v>
      </c>
      <c r="D739" s="11" t="s">
        <v>793</v>
      </c>
      <c r="E739" s="48" t="s">
        <v>31</v>
      </c>
      <c r="F739" s="48" t="s">
        <v>74</v>
      </c>
      <c r="G739" s="11" t="s">
        <v>64</v>
      </c>
      <c r="H739" s="48" t="str">
        <f>VLOOKUP(Table1[[#This Row],[Psoft No]],[1]Roster!$C$2:$H$1402,6,)</f>
        <v>AUH1</v>
      </c>
      <c r="I739" s="48" t="b">
        <f>Table1[[#This Row],[Building]]=Table1[[#This Row],[Column1]]</f>
        <v>1</v>
      </c>
      <c r="J739" s="11" t="s">
        <v>75</v>
      </c>
      <c r="K739" s="11">
        <v>1299</v>
      </c>
      <c r="L739" s="49" t="s">
        <v>32</v>
      </c>
      <c r="M739" s="49" t="s">
        <v>76</v>
      </c>
      <c r="N739" s="49" t="s">
        <v>78</v>
      </c>
      <c r="O739" s="49" t="s">
        <v>92</v>
      </c>
      <c r="P739" s="48" t="s">
        <v>79</v>
      </c>
      <c r="Q739" s="49" t="s">
        <v>37</v>
      </c>
      <c r="R739" s="11" t="s">
        <v>80</v>
      </c>
      <c r="S739" s="11" t="s">
        <v>81</v>
      </c>
      <c r="T739" s="49" t="s">
        <v>647</v>
      </c>
      <c r="U739" s="11" t="s">
        <v>1798</v>
      </c>
      <c r="V739" s="116" t="s">
        <v>10</v>
      </c>
      <c r="W739" s="88"/>
      <c r="X739" s="51">
        <v>45502</v>
      </c>
      <c r="Y739" s="97" t="s">
        <v>1577</v>
      </c>
      <c r="Z739" s="135" t="s">
        <v>3023</v>
      </c>
      <c r="AA739" s="135">
        <v>0</v>
      </c>
    </row>
    <row r="740" spans="1:27" ht="13" customHeight="1">
      <c r="A740" s="11">
        <v>734</v>
      </c>
      <c r="B740" s="11">
        <v>204116867</v>
      </c>
      <c r="C740" s="89" t="s">
        <v>794</v>
      </c>
      <c r="D740" s="11" t="s">
        <v>795</v>
      </c>
      <c r="E740" s="48" t="s">
        <v>31</v>
      </c>
      <c r="F740" s="48" t="s">
        <v>74</v>
      </c>
      <c r="G740" s="11" t="s">
        <v>64</v>
      </c>
      <c r="H740" s="48" t="str">
        <f>VLOOKUP(Table1[[#This Row],[Psoft No]],[1]Roster!$C$2:$H$1402,6,)</f>
        <v>AUH1</v>
      </c>
      <c r="I740" s="48" t="b">
        <f>Table1[[#This Row],[Building]]=Table1[[#This Row],[Column1]]</f>
        <v>1</v>
      </c>
      <c r="J740" s="11" t="s">
        <v>75</v>
      </c>
      <c r="K740" s="11">
        <v>1299</v>
      </c>
      <c r="L740" s="49" t="s">
        <v>39</v>
      </c>
      <c r="M740" s="49" t="s">
        <v>76</v>
      </c>
      <c r="N740" s="49" t="s">
        <v>85</v>
      </c>
      <c r="O740" s="49" t="s">
        <v>88</v>
      </c>
      <c r="P740" s="11" t="s">
        <v>86</v>
      </c>
      <c r="Q740" s="11" t="s">
        <v>37</v>
      </c>
      <c r="R740" s="11" t="s">
        <v>80</v>
      </c>
      <c r="S740" s="11" t="s">
        <v>87</v>
      </c>
      <c r="T740" s="11" t="s">
        <v>631</v>
      </c>
      <c r="U740" s="11" t="s">
        <v>632</v>
      </c>
      <c r="V740" s="116" t="s">
        <v>1</v>
      </c>
      <c r="W740" s="88"/>
      <c r="X740" s="51">
        <v>45561</v>
      </c>
      <c r="Y740" s="102" t="s">
        <v>1576</v>
      </c>
      <c r="Z740" s="135" t="s">
        <v>2</v>
      </c>
      <c r="AA740" s="135">
        <v>0</v>
      </c>
    </row>
    <row r="741" spans="1:27" ht="13" customHeight="1">
      <c r="A741" s="11">
        <v>735</v>
      </c>
      <c r="B741" s="92">
        <v>203800485</v>
      </c>
      <c r="C741" s="47" t="s">
        <v>2392</v>
      </c>
      <c r="D741" s="89" t="s">
        <v>2393</v>
      </c>
      <c r="E741" s="48" t="s">
        <v>31</v>
      </c>
      <c r="F741" s="48" t="s">
        <v>74</v>
      </c>
      <c r="G741" s="11" t="s">
        <v>64</v>
      </c>
      <c r="H741" s="48" t="str">
        <f>VLOOKUP(Table1[[#This Row],[Psoft No]],[1]Roster!$C$2:$H$1402,6,)</f>
        <v>AUH1</v>
      </c>
      <c r="I741" s="48" t="b">
        <f>Table1[[#This Row],[Building]]=Table1[[#This Row],[Column1]]</f>
        <v>1</v>
      </c>
      <c r="J741" s="11" t="s">
        <v>75</v>
      </c>
      <c r="K741" s="11">
        <v>1299</v>
      </c>
      <c r="L741" s="49" t="s">
        <v>32</v>
      </c>
      <c r="M741" s="49" t="s">
        <v>76</v>
      </c>
      <c r="N741" s="49" t="s">
        <v>85</v>
      </c>
      <c r="O741" s="49" t="s">
        <v>88</v>
      </c>
      <c r="P741" s="49" t="s">
        <v>86</v>
      </c>
      <c r="Q741" s="49" t="s">
        <v>37</v>
      </c>
      <c r="R741" s="11" t="s">
        <v>80</v>
      </c>
      <c r="S741" s="11" t="s">
        <v>90</v>
      </c>
      <c r="T741" s="11" t="s">
        <v>647</v>
      </c>
      <c r="U741" s="11" t="s">
        <v>1798</v>
      </c>
      <c r="V741" s="116" t="str">
        <f>VLOOKUP(Table1[[#This Row],[Psoft No]],[2]Sheet1!$A$2:$G$386,7,0)</f>
        <v>P</v>
      </c>
      <c r="W741" s="88"/>
      <c r="X741" s="51">
        <v>45516</v>
      </c>
      <c r="Y741" s="97" t="s">
        <v>1577</v>
      </c>
      <c r="Z741" s="135" t="s">
        <v>2</v>
      </c>
      <c r="AA741" s="135">
        <v>0</v>
      </c>
    </row>
    <row r="742" spans="1:27" ht="13" customHeight="1">
      <c r="A742" s="11">
        <v>736</v>
      </c>
      <c r="B742" s="47">
        <v>206897637</v>
      </c>
      <c r="C742" s="89" t="s">
        <v>1891</v>
      </c>
      <c r="D742" s="11" t="s">
        <v>1892</v>
      </c>
      <c r="E742" s="48" t="s">
        <v>31</v>
      </c>
      <c r="F742" s="48" t="s">
        <v>74</v>
      </c>
      <c r="G742" s="11" t="s">
        <v>64</v>
      </c>
      <c r="H742" s="48" t="str">
        <f>VLOOKUP(Table1[[#This Row],[Psoft No]],[1]Roster!$C$2:$H$1402,6,)</f>
        <v>AUH1</v>
      </c>
      <c r="I742" s="48" t="b">
        <f>Table1[[#This Row],[Building]]=Table1[[#This Row],[Column1]]</f>
        <v>1</v>
      </c>
      <c r="J742" s="11" t="s">
        <v>75</v>
      </c>
      <c r="K742" s="11">
        <v>1290</v>
      </c>
      <c r="L742" s="49" t="s">
        <v>32</v>
      </c>
      <c r="M742" s="49" t="s">
        <v>76</v>
      </c>
      <c r="N742" s="49" t="s">
        <v>95</v>
      </c>
      <c r="O742" s="49" t="s">
        <v>77</v>
      </c>
      <c r="P742" s="48" t="s">
        <v>89</v>
      </c>
      <c r="Q742" s="49" t="s">
        <v>37</v>
      </c>
      <c r="R742" s="11" t="s">
        <v>80</v>
      </c>
      <c r="S742" s="11" t="s">
        <v>81</v>
      </c>
      <c r="T742" s="49" t="s">
        <v>1066</v>
      </c>
      <c r="U742" s="11" t="s">
        <v>2717</v>
      </c>
      <c r="V742" s="116" t="str">
        <f>VLOOKUP(Table1[[#This Row],[Psoft No]],[2]Sheet1!$A$2:$G$386,7,0)</f>
        <v>P</v>
      </c>
      <c r="W742" s="88"/>
      <c r="X742" s="51">
        <v>46030</v>
      </c>
      <c r="Y742" s="97" t="s">
        <v>1577</v>
      </c>
      <c r="Z742" s="135" t="s">
        <v>2</v>
      </c>
      <c r="AA742" s="135">
        <v>0</v>
      </c>
    </row>
    <row r="743" spans="1:27" ht="13" customHeight="1">
      <c r="A743" s="11">
        <v>737</v>
      </c>
      <c r="B743" s="47">
        <v>204010535</v>
      </c>
      <c r="C743" s="89" t="s">
        <v>796</v>
      </c>
      <c r="D743" s="11" t="s">
        <v>797</v>
      </c>
      <c r="E743" s="48" t="s">
        <v>31</v>
      </c>
      <c r="F743" s="48" t="s">
        <v>74</v>
      </c>
      <c r="G743" s="11" t="s">
        <v>64</v>
      </c>
      <c r="H743" s="48" t="str">
        <f>VLOOKUP(Table1[[#This Row],[Psoft No]],[1]Roster!$C$2:$H$1402,6,)</f>
        <v>AUH1</v>
      </c>
      <c r="I743" s="48" t="b">
        <f>Table1[[#This Row],[Building]]=Table1[[#This Row],[Column1]]</f>
        <v>1</v>
      </c>
      <c r="J743" s="11" t="s">
        <v>75</v>
      </c>
      <c r="K743" s="11">
        <v>1299</v>
      </c>
      <c r="L743" s="49" t="s">
        <v>39</v>
      </c>
      <c r="M743" s="49" t="s">
        <v>76</v>
      </c>
      <c r="N743" s="49" t="s">
        <v>88</v>
      </c>
      <c r="O743" s="49" t="s">
        <v>95</v>
      </c>
      <c r="P743" s="48" t="s">
        <v>86</v>
      </c>
      <c r="Q743" s="49" t="s">
        <v>37</v>
      </c>
      <c r="R743" s="11" t="s">
        <v>80</v>
      </c>
      <c r="S743" s="11" t="s">
        <v>90</v>
      </c>
      <c r="T743" s="49" t="s">
        <v>627</v>
      </c>
      <c r="U743" s="11" t="s">
        <v>628</v>
      </c>
      <c r="V743" s="116" t="s">
        <v>1</v>
      </c>
      <c r="W743" s="88"/>
      <c r="X743" s="51">
        <v>45551</v>
      </c>
      <c r="Y743" s="97" t="s">
        <v>1577</v>
      </c>
      <c r="Z743" s="135" t="s">
        <v>2</v>
      </c>
      <c r="AA743" s="135">
        <v>0</v>
      </c>
    </row>
    <row r="744" spans="1:27" ht="13" customHeight="1">
      <c r="A744" s="11">
        <v>738</v>
      </c>
      <c r="B744" s="47">
        <v>203514419</v>
      </c>
      <c r="C744" s="89" t="s">
        <v>798</v>
      </c>
      <c r="D744" s="11" t="s">
        <v>799</v>
      </c>
      <c r="E744" s="48" t="s">
        <v>31</v>
      </c>
      <c r="F744" s="48" t="s">
        <v>74</v>
      </c>
      <c r="G744" s="11" t="s">
        <v>64</v>
      </c>
      <c r="H744" s="48" t="str">
        <f>VLOOKUP(Table1[[#This Row],[Psoft No]],[1]Roster!$C$2:$H$1402,6,)</f>
        <v>AUH1</v>
      </c>
      <c r="I744" s="48" t="b">
        <f>Table1[[#This Row],[Building]]=Table1[[#This Row],[Column1]]</f>
        <v>1</v>
      </c>
      <c r="J744" s="11" t="s">
        <v>75</v>
      </c>
      <c r="K744" s="11">
        <v>1299</v>
      </c>
      <c r="L744" s="49" t="s">
        <v>39</v>
      </c>
      <c r="M744" s="49" t="s">
        <v>76</v>
      </c>
      <c r="N744" s="49" t="s">
        <v>85</v>
      </c>
      <c r="O744" s="49" t="s">
        <v>88</v>
      </c>
      <c r="P744" s="48" t="s">
        <v>79</v>
      </c>
      <c r="Q744" s="49" t="s">
        <v>37</v>
      </c>
      <c r="R744" s="11" t="s">
        <v>80</v>
      </c>
      <c r="S744" s="11" t="s">
        <v>81</v>
      </c>
      <c r="T744" s="49" t="s">
        <v>1066</v>
      </c>
      <c r="U744" s="11" t="s">
        <v>2717</v>
      </c>
      <c r="V744" s="116" t="s">
        <v>1</v>
      </c>
      <c r="W744" s="88"/>
      <c r="X744" s="51">
        <v>45463</v>
      </c>
      <c r="Y744" s="97" t="s">
        <v>1577</v>
      </c>
      <c r="Z744" s="135" t="s">
        <v>2</v>
      </c>
      <c r="AA744" s="135">
        <v>0</v>
      </c>
    </row>
    <row r="745" spans="1:27" ht="13" customHeight="1">
      <c r="A745" s="11">
        <v>739</v>
      </c>
      <c r="B745" s="47">
        <v>203851106</v>
      </c>
      <c r="C745" s="89" t="s">
        <v>800</v>
      </c>
      <c r="D745" s="11" t="s">
        <v>801</v>
      </c>
      <c r="E745" s="48" t="s">
        <v>31</v>
      </c>
      <c r="F745" s="48" t="s">
        <v>74</v>
      </c>
      <c r="G745" s="11" t="s">
        <v>64</v>
      </c>
      <c r="H745" s="48" t="str">
        <f>VLOOKUP(Table1[[#This Row],[Psoft No]],[1]Roster!$C$2:$H$1402,6,)</f>
        <v>AUH1</v>
      </c>
      <c r="I745" s="48" t="b">
        <f>Table1[[#This Row],[Building]]=Table1[[#This Row],[Column1]]</f>
        <v>1</v>
      </c>
      <c r="J745" s="11" t="s">
        <v>75</v>
      </c>
      <c r="K745" s="11">
        <v>1299</v>
      </c>
      <c r="L745" s="49" t="s">
        <v>39</v>
      </c>
      <c r="M745" s="49" t="s">
        <v>76</v>
      </c>
      <c r="N745" s="49" t="s">
        <v>88</v>
      </c>
      <c r="O745" s="49" t="s">
        <v>95</v>
      </c>
      <c r="P745" s="48" t="s">
        <v>79</v>
      </c>
      <c r="Q745" s="49" t="s">
        <v>37</v>
      </c>
      <c r="R745" s="11" t="s">
        <v>80</v>
      </c>
      <c r="S745" s="11" t="s">
        <v>81</v>
      </c>
      <c r="T745" s="49" t="s">
        <v>647</v>
      </c>
      <c r="U745" s="11" t="s">
        <v>1798</v>
      </c>
      <c r="V745" s="116" t="s">
        <v>1</v>
      </c>
      <c r="W745" s="88"/>
      <c r="X745" s="51">
        <v>45524</v>
      </c>
      <c r="Y745" s="97" t="s">
        <v>1579</v>
      </c>
      <c r="Z745" s="135" t="s">
        <v>2</v>
      </c>
      <c r="AA745" s="135">
        <v>0</v>
      </c>
    </row>
    <row r="746" spans="1:27" ht="13" customHeight="1">
      <c r="A746" s="11">
        <v>740</v>
      </c>
      <c r="B746" s="47">
        <v>206930332</v>
      </c>
      <c r="C746" s="89" t="s">
        <v>2828</v>
      </c>
      <c r="D746" s="11" t="s">
        <v>2829</v>
      </c>
      <c r="E746" s="48" t="s">
        <v>31</v>
      </c>
      <c r="F746" s="48" t="s">
        <v>74</v>
      </c>
      <c r="G746" s="48" t="s">
        <v>64</v>
      </c>
      <c r="H746" s="48" t="str">
        <f>VLOOKUP(Table1[[#This Row],[Psoft No]],[1]Roster!$C$2:$H$1402,6,)</f>
        <v>AUH1</v>
      </c>
      <c r="I746" s="48" t="b">
        <f>Table1[[#This Row],[Building]]=Table1[[#This Row],[Column1]]</f>
        <v>1</v>
      </c>
      <c r="J746" s="48" t="s">
        <v>75</v>
      </c>
      <c r="K746" s="11">
        <v>1299</v>
      </c>
      <c r="L746" s="49" t="s">
        <v>39</v>
      </c>
      <c r="M746" s="49" t="s">
        <v>76</v>
      </c>
      <c r="N746" s="49" t="s">
        <v>77</v>
      </c>
      <c r="O746" s="49" t="s">
        <v>78</v>
      </c>
      <c r="P746" s="49" t="s">
        <v>89</v>
      </c>
      <c r="Q746" s="48" t="s">
        <v>37</v>
      </c>
      <c r="R746" s="48" t="s">
        <v>80</v>
      </c>
      <c r="S746" s="11" t="s">
        <v>96</v>
      </c>
      <c r="T746" s="11" t="s">
        <v>627</v>
      </c>
      <c r="U746" s="11" t="s">
        <v>628</v>
      </c>
      <c r="V746" s="116" t="s">
        <v>1</v>
      </c>
      <c r="W746" s="88"/>
      <c r="X746" s="51">
        <v>46226</v>
      </c>
      <c r="Y746" s="97" t="s">
        <v>1577</v>
      </c>
      <c r="Z746" s="135" t="s">
        <v>2</v>
      </c>
      <c r="AA746" s="135">
        <v>0</v>
      </c>
    </row>
    <row r="747" spans="1:27" ht="13" customHeight="1">
      <c r="A747" s="11">
        <v>741</v>
      </c>
      <c r="B747" s="47">
        <v>203908894</v>
      </c>
      <c r="C747" s="89" t="s">
        <v>2762</v>
      </c>
      <c r="D747" s="11" t="s">
        <v>2763</v>
      </c>
      <c r="E747" s="48" t="s">
        <v>31</v>
      </c>
      <c r="F747" s="48" t="s">
        <v>74</v>
      </c>
      <c r="G747" s="11" t="s">
        <v>64</v>
      </c>
      <c r="H747" s="48" t="str">
        <f>VLOOKUP(Table1[[#This Row],[Psoft No]],[1]Roster!$C$2:$H$1402,6,)</f>
        <v>AUH1</v>
      </c>
      <c r="I747" s="48" t="b">
        <f>Table1[[#This Row],[Building]]=Table1[[#This Row],[Column1]]</f>
        <v>1</v>
      </c>
      <c r="J747" s="11" t="s">
        <v>75</v>
      </c>
      <c r="K747" s="11">
        <v>1299</v>
      </c>
      <c r="L747" s="49" t="s">
        <v>39</v>
      </c>
      <c r="M747" s="49" t="s">
        <v>76</v>
      </c>
      <c r="N747" s="49" t="s">
        <v>85</v>
      </c>
      <c r="O747" s="49" t="s">
        <v>88</v>
      </c>
      <c r="P747" s="48" t="s">
        <v>89</v>
      </c>
      <c r="Q747" s="49" t="s">
        <v>37</v>
      </c>
      <c r="R747" s="11" t="s">
        <v>80</v>
      </c>
      <c r="S747" s="11" t="s">
        <v>90</v>
      </c>
      <c r="T747" s="11" t="s">
        <v>2845</v>
      </c>
      <c r="U747" s="11" t="s">
        <v>2846</v>
      </c>
      <c r="V747" s="116" t="s">
        <v>1</v>
      </c>
      <c r="W747" s="88"/>
      <c r="X747" s="51">
        <v>45537</v>
      </c>
      <c r="Y747" s="97" t="s">
        <v>1577</v>
      </c>
      <c r="Z747" s="135" t="s">
        <v>2</v>
      </c>
      <c r="AA747" s="135">
        <v>0</v>
      </c>
    </row>
    <row r="748" spans="1:27" ht="13" customHeight="1">
      <c r="A748" s="11">
        <v>742</v>
      </c>
      <c r="B748" s="47">
        <v>203468752</v>
      </c>
      <c r="C748" s="89" t="s">
        <v>802</v>
      </c>
      <c r="D748" s="11" t="s">
        <v>803</v>
      </c>
      <c r="E748" s="48" t="s">
        <v>31</v>
      </c>
      <c r="F748" s="48" t="s">
        <v>74</v>
      </c>
      <c r="G748" s="11" t="s">
        <v>64</v>
      </c>
      <c r="H748" s="48" t="str">
        <f>VLOOKUP(Table1[[#This Row],[Psoft No]],[1]Roster!$C$2:$H$1402,6,)</f>
        <v>AUH1</v>
      </c>
      <c r="I748" s="48" t="b">
        <f>Table1[[#This Row],[Building]]=Table1[[#This Row],[Column1]]</f>
        <v>1</v>
      </c>
      <c r="J748" s="11" t="s">
        <v>75</v>
      </c>
      <c r="K748" s="11">
        <v>1299</v>
      </c>
      <c r="L748" s="49" t="s">
        <v>39</v>
      </c>
      <c r="M748" s="49" t="s">
        <v>76</v>
      </c>
      <c r="N748" s="49" t="s">
        <v>77</v>
      </c>
      <c r="O748" s="49" t="s">
        <v>78</v>
      </c>
      <c r="P748" s="48" t="s">
        <v>79</v>
      </c>
      <c r="Q748" s="49" t="s">
        <v>37</v>
      </c>
      <c r="R748" s="11" t="s">
        <v>80</v>
      </c>
      <c r="S748" s="11" t="s">
        <v>81</v>
      </c>
      <c r="T748" s="11" t="s">
        <v>627</v>
      </c>
      <c r="U748" s="11" t="s">
        <v>628</v>
      </c>
      <c r="V748" s="116" t="s">
        <v>1</v>
      </c>
      <c r="W748" s="88"/>
      <c r="X748" s="51">
        <v>45456</v>
      </c>
      <c r="Y748" s="97" t="s">
        <v>1579</v>
      </c>
      <c r="Z748" s="135" t="s">
        <v>2</v>
      </c>
      <c r="AA748" s="135">
        <v>0</v>
      </c>
    </row>
    <row r="749" spans="1:27" ht="13" customHeight="1">
      <c r="A749" s="11">
        <v>743</v>
      </c>
      <c r="B749" s="11">
        <v>203965409</v>
      </c>
      <c r="C749" s="89" t="s">
        <v>804</v>
      </c>
      <c r="D749" s="11" t="s">
        <v>805</v>
      </c>
      <c r="E749" s="48" t="s">
        <v>31</v>
      </c>
      <c r="F749" s="48" t="s">
        <v>74</v>
      </c>
      <c r="G749" s="11" t="s">
        <v>64</v>
      </c>
      <c r="H749" s="48" t="str">
        <f>VLOOKUP(Table1[[#This Row],[Psoft No]],[1]Roster!$C$2:$H$1402,6,)</f>
        <v>AUH1</v>
      </c>
      <c r="I749" s="48" t="b">
        <f>Table1[[#This Row],[Building]]=Table1[[#This Row],[Column1]]</f>
        <v>1</v>
      </c>
      <c r="J749" s="11" t="s">
        <v>75</v>
      </c>
      <c r="K749" s="11">
        <v>1299</v>
      </c>
      <c r="L749" s="49" t="s">
        <v>32</v>
      </c>
      <c r="M749" s="49" t="s">
        <v>76</v>
      </c>
      <c r="N749" s="49" t="s">
        <v>88</v>
      </c>
      <c r="O749" s="49" t="s">
        <v>95</v>
      </c>
      <c r="P749" s="11" t="s">
        <v>79</v>
      </c>
      <c r="Q749" s="11" t="s">
        <v>37</v>
      </c>
      <c r="R749" s="11" t="s">
        <v>80</v>
      </c>
      <c r="S749" s="11" t="s">
        <v>81</v>
      </c>
      <c r="T749" s="11" t="s">
        <v>647</v>
      </c>
      <c r="U749" s="11" t="s">
        <v>1798</v>
      </c>
      <c r="V749" s="116" t="str">
        <f>VLOOKUP(Table1[[#This Row],[Psoft No]],[2]Sheet1!$A$2:$G$386,7,0)</f>
        <v>P</v>
      </c>
      <c r="W749" s="88"/>
      <c r="X749" s="51">
        <v>45544</v>
      </c>
      <c r="Y749" s="102" t="s">
        <v>1577</v>
      </c>
      <c r="Z749" s="135" t="s">
        <v>2</v>
      </c>
      <c r="AA749" s="135">
        <v>0</v>
      </c>
    </row>
    <row r="750" spans="1:27" ht="13" customHeight="1">
      <c r="A750" s="11">
        <v>744</v>
      </c>
      <c r="B750" s="47">
        <v>203965407</v>
      </c>
      <c r="C750" s="89" t="s">
        <v>806</v>
      </c>
      <c r="D750" s="11" t="s">
        <v>807</v>
      </c>
      <c r="E750" s="48" t="s">
        <v>31</v>
      </c>
      <c r="F750" s="48" t="s">
        <v>74</v>
      </c>
      <c r="G750" s="11" t="s">
        <v>64</v>
      </c>
      <c r="H750" s="48" t="str">
        <f>VLOOKUP(Table1[[#This Row],[Psoft No]],[1]Roster!$C$2:$H$1402,6,)</f>
        <v>AUH1</v>
      </c>
      <c r="I750" s="48" t="b">
        <f>Table1[[#This Row],[Building]]=Table1[[#This Row],[Column1]]</f>
        <v>1</v>
      </c>
      <c r="J750" s="11" t="s">
        <v>75</v>
      </c>
      <c r="K750" s="11">
        <v>1299</v>
      </c>
      <c r="L750" s="49" t="s">
        <v>39</v>
      </c>
      <c r="M750" s="49" t="s">
        <v>76</v>
      </c>
      <c r="N750" s="49" t="s">
        <v>77</v>
      </c>
      <c r="O750" s="49" t="s">
        <v>78</v>
      </c>
      <c r="P750" s="48" t="s">
        <v>79</v>
      </c>
      <c r="Q750" s="49" t="s">
        <v>37</v>
      </c>
      <c r="R750" s="11" t="s">
        <v>80</v>
      </c>
      <c r="S750" s="11" t="s">
        <v>81</v>
      </c>
      <c r="T750" s="11" t="s">
        <v>627</v>
      </c>
      <c r="U750" s="11" t="s">
        <v>628</v>
      </c>
      <c r="V750" s="116" t="s">
        <v>7</v>
      </c>
      <c r="W750" s="88"/>
      <c r="X750" s="51">
        <v>45544</v>
      </c>
      <c r="Y750" s="97" t="s">
        <v>1577</v>
      </c>
      <c r="Z750" s="135" t="s">
        <v>3023</v>
      </c>
      <c r="AA750" s="135" t="s">
        <v>3024</v>
      </c>
    </row>
    <row r="751" spans="1:27" ht="13" customHeight="1">
      <c r="A751" s="11">
        <v>745</v>
      </c>
      <c r="B751" s="47">
        <v>203965522</v>
      </c>
      <c r="C751" s="89" t="s">
        <v>808</v>
      </c>
      <c r="D751" s="11" t="s">
        <v>809</v>
      </c>
      <c r="E751" s="48" t="s">
        <v>31</v>
      </c>
      <c r="F751" s="48" t="s">
        <v>74</v>
      </c>
      <c r="G751" s="11" t="s">
        <v>64</v>
      </c>
      <c r="H751" s="48" t="str">
        <f>VLOOKUP(Table1[[#This Row],[Psoft No]],[1]Roster!$C$2:$H$1402,6,)</f>
        <v>AUH1</v>
      </c>
      <c r="I751" s="48" t="b">
        <f>Table1[[#This Row],[Building]]=Table1[[#This Row],[Column1]]</f>
        <v>1</v>
      </c>
      <c r="J751" s="11" t="s">
        <v>75</v>
      </c>
      <c r="K751" s="11">
        <v>1299</v>
      </c>
      <c r="L751" s="49" t="s">
        <v>39</v>
      </c>
      <c r="M751" s="49" t="s">
        <v>76</v>
      </c>
      <c r="N751" s="49" t="s">
        <v>84</v>
      </c>
      <c r="O751" s="49" t="s">
        <v>85</v>
      </c>
      <c r="P751" s="48" t="s">
        <v>79</v>
      </c>
      <c r="Q751" s="49" t="s">
        <v>37</v>
      </c>
      <c r="R751" s="11" t="s">
        <v>80</v>
      </c>
      <c r="S751" s="11" t="s">
        <v>81</v>
      </c>
      <c r="T751" s="11" t="s">
        <v>627</v>
      </c>
      <c r="U751" s="11" t="s">
        <v>628</v>
      </c>
      <c r="V751" s="116" t="s">
        <v>1</v>
      </c>
      <c r="W751" s="88"/>
      <c r="X751" s="51">
        <v>45544</v>
      </c>
      <c r="Y751" s="97" t="s">
        <v>1577</v>
      </c>
      <c r="Z751" s="135" t="s">
        <v>2</v>
      </c>
      <c r="AA751" s="135">
        <v>0</v>
      </c>
    </row>
    <row r="752" spans="1:27" ht="13" customHeight="1">
      <c r="A752" s="11">
        <v>746</v>
      </c>
      <c r="B752" s="47">
        <v>204138500</v>
      </c>
      <c r="C752" s="89" t="s">
        <v>810</v>
      </c>
      <c r="D752" s="47" t="s">
        <v>811</v>
      </c>
      <c r="E752" s="47" t="s">
        <v>31</v>
      </c>
      <c r="F752" s="48" t="s">
        <v>74</v>
      </c>
      <c r="G752" s="11" t="s">
        <v>64</v>
      </c>
      <c r="H752" s="48" t="str">
        <f>VLOOKUP(Table1[[#This Row],[Psoft No]],[1]Roster!$C$2:$H$1402,6,)</f>
        <v>AUH1</v>
      </c>
      <c r="I752" s="48" t="b">
        <f>Table1[[#This Row],[Building]]=Table1[[#This Row],[Column1]]</f>
        <v>1</v>
      </c>
      <c r="J752" s="11" t="s">
        <v>75</v>
      </c>
      <c r="K752" s="47">
        <v>1299</v>
      </c>
      <c r="L752" s="49" t="s">
        <v>32</v>
      </c>
      <c r="M752" s="49" t="s">
        <v>76</v>
      </c>
      <c r="N752" s="49" t="s">
        <v>84</v>
      </c>
      <c r="O752" s="49" t="s">
        <v>85</v>
      </c>
      <c r="P752" s="49" t="s">
        <v>86</v>
      </c>
      <c r="Q752" s="49" t="s">
        <v>37</v>
      </c>
      <c r="R752" s="11" t="s">
        <v>80</v>
      </c>
      <c r="S752" s="47" t="s">
        <v>87</v>
      </c>
      <c r="T752" s="49" t="s">
        <v>1066</v>
      </c>
      <c r="U752" s="47" t="s">
        <v>2717</v>
      </c>
      <c r="V752" s="116" t="str">
        <f>VLOOKUP(Table1[[#This Row],[Psoft No]],[2]Sheet1!$A$2:$G$386,7,0)</f>
        <v>P</v>
      </c>
      <c r="W752" s="88"/>
      <c r="X752" s="51">
        <v>45565</v>
      </c>
      <c r="Y752" s="97" t="s">
        <v>1579</v>
      </c>
      <c r="Z752" s="135" t="s">
        <v>2</v>
      </c>
      <c r="AA752" s="135">
        <v>0</v>
      </c>
    </row>
    <row r="753" spans="1:27" ht="13" customHeight="1">
      <c r="A753" s="11">
        <v>747</v>
      </c>
      <c r="B753" s="47">
        <v>203468749</v>
      </c>
      <c r="C753" s="89" t="s">
        <v>812</v>
      </c>
      <c r="D753" s="11" t="s">
        <v>813</v>
      </c>
      <c r="E753" s="48" t="s">
        <v>31</v>
      </c>
      <c r="F753" s="48" t="s">
        <v>74</v>
      </c>
      <c r="G753" s="11" t="s">
        <v>64</v>
      </c>
      <c r="H753" s="48" t="str">
        <f>VLOOKUP(Table1[[#This Row],[Psoft No]],[1]Roster!$C$2:$H$1402,6,)</f>
        <v>AUH1</v>
      </c>
      <c r="I753" s="48" t="b">
        <f>Table1[[#This Row],[Building]]=Table1[[#This Row],[Column1]]</f>
        <v>1</v>
      </c>
      <c r="J753" s="11" t="s">
        <v>75</v>
      </c>
      <c r="K753" s="11">
        <v>1299</v>
      </c>
      <c r="L753" s="49" t="s">
        <v>39</v>
      </c>
      <c r="M753" s="49" t="s">
        <v>76</v>
      </c>
      <c r="N753" s="49" t="s">
        <v>95</v>
      </c>
      <c r="O753" s="49" t="s">
        <v>77</v>
      </c>
      <c r="P753" s="49" t="s">
        <v>79</v>
      </c>
      <c r="Q753" s="48" t="s">
        <v>37</v>
      </c>
      <c r="R753" s="48" t="s">
        <v>80</v>
      </c>
      <c r="S753" s="11" t="s">
        <v>81</v>
      </c>
      <c r="T753" s="11" t="s">
        <v>631</v>
      </c>
      <c r="U753" s="11" t="s">
        <v>632</v>
      </c>
      <c r="V753" s="116" t="s">
        <v>1</v>
      </c>
      <c r="W753" s="88"/>
      <c r="X753" s="51">
        <v>45456</v>
      </c>
      <c r="Y753" s="97" t="s">
        <v>1579</v>
      </c>
      <c r="Z753" s="135" t="s">
        <v>2</v>
      </c>
      <c r="AA753" s="135">
        <v>0</v>
      </c>
    </row>
    <row r="754" spans="1:27" ht="13" customHeight="1">
      <c r="A754" s="11">
        <v>748</v>
      </c>
      <c r="B754" s="47">
        <v>206129606</v>
      </c>
      <c r="C754" s="89" t="s">
        <v>814</v>
      </c>
      <c r="D754" s="11" t="s">
        <v>815</v>
      </c>
      <c r="E754" s="48" t="s">
        <v>31</v>
      </c>
      <c r="F754" s="48" t="s">
        <v>74</v>
      </c>
      <c r="G754" s="11" t="s">
        <v>64</v>
      </c>
      <c r="H754" s="48" t="str">
        <f>VLOOKUP(Table1[[#This Row],[Psoft No]],[1]Roster!$C$2:$H$1402,6,)</f>
        <v>AUH1</v>
      </c>
      <c r="I754" s="48" t="b">
        <f>Table1[[#This Row],[Building]]=Table1[[#This Row],[Column1]]</f>
        <v>1</v>
      </c>
      <c r="J754" s="11" t="s">
        <v>75</v>
      </c>
      <c r="K754" s="11">
        <v>1299</v>
      </c>
      <c r="L754" s="49" t="s">
        <v>32</v>
      </c>
      <c r="M754" s="49" t="s">
        <v>76</v>
      </c>
      <c r="N754" s="49" t="s">
        <v>85</v>
      </c>
      <c r="O754" s="49" t="s">
        <v>88</v>
      </c>
      <c r="P754" s="48" t="s">
        <v>79</v>
      </c>
      <c r="Q754" s="49" t="s">
        <v>37</v>
      </c>
      <c r="R754" s="11" t="s">
        <v>80</v>
      </c>
      <c r="S754" s="11" t="s">
        <v>81</v>
      </c>
      <c r="T754" s="49" t="s">
        <v>1066</v>
      </c>
      <c r="U754" s="11" t="s">
        <v>2717</v>
      </c>
      <c r="V754" s="116" t="s">
        <v>1</v>
      </c>
      <c r="W754" s="88"/>
      <c r="X754" s="51">
        <v>45929</v>
      </c>
      <c r="Y754" s="97" t="s">
        <v>1577</v>
      </c>
      <c r="Z754" s="135" t="s">
        <v>2</v>
      </c>
      <c r="AA754" s="135">
        <v>0</v>
      </c>
    </row>
    <row r="755" spans="1:27" ht="13" customHeight="1">
      <c r="A755" s="11">
        <v>749</v>
      </c>
      <c r="B755" s="47">
        <v>206915012</v>
      </c>
      <c r="C755" s="89" t="s">
        <v>2842</v>
      </c>
      <c r="D755" s="11" t="s">
        <v>2843</v>
      </c>
      <c r="E755" s="48" t="s">
        <v>31</v>
      </c>
      <c r="F755" s="48" t="s">
        <v>74</v>
      </c>
      <c r="G755" s="11" t="s">
        <v>64</v>
      </c>
      <c r="H755" s="48" t="str">
        <f>VLOOKUP(Table1[[#This Row],[Psoft No]],[1]Roster!$C$2:$H$1402,6,)</f>
        <v>AUH1</v>
      </c>
      <c r="I755" s="48" t="b">
        <f>Table1[[#This Row],[Building]]=Table1[[#This Row],[Column1]]</f>
        <v>1</v>
      </c>
      <c r="J755" s="11" t="s">
        <v>75</v>
      </c>
      <c r="K755" s="11">
        <v>1299</v>
      </c>
      <c r="L755" s="49" t="s">
        <v>39</v>
      </c>
      <c r="M755" s="49" t="s">
        <v>76</v>
      </c>
      <c r="N755" s="49" t="s">
        <v>77</v>
      </c>
      <c r="O755" s="49" t="s">
        <v>78</v>
      </c>
      <c r="P755" s="48" t="s">
        <v>89</v>
      </c>
      <c r="Q755" s="49" t="s">
        <v>37</v>
      </c>
      <c r="R755" s="11" t="s">
        <v>80</v>
      </c>
      <c r="S755" s="11" t="s">
        <v>90</v>
      </c>
      <c r="T755" s="49" t="s">
        <v>631</v>
      </c>
      <c r="U755" s="11" t="s">
        <v>632</v>
      </c>
      <c r="V755" s="116" t="s">
        <v>1</v>
      </c>
      <c r="W755" s="88"/>
      <c r="X755" s="51">
        <v>46226</v>
      </c>
      <c r="Y755" s="97" t="s">
        <v>1577</v>
      </c>
      <c r="Z755" s="135" t="s">
        <v>2</v>
      </c>
      <c r="AA755" s="135">
        <v>0</v>
      </c>
    </row>
    <row r="756" spans="1:27" ht="13" customHeight="1">
      <c r="A756" s="11">
        <v>750</v>
      </c>
      <c r="B756" s="47">
        <v>204319808</v>
      </c>
      <c r="C756" s="89" t="s">
        <v>816</v>
      </c>
      <c r="D756" s="11" t="s">
        <v>817</v>
      </c>
      <c r="E756" s="48" t="s">
        <v>31</v>
      </c>
      <c r="F756" s="48" t="s">
        <v>74</v>
      </c>
      <c r="G756" s="11" t="s">
        <v>64</v>
      </c>
      <c r="H756" s="48" t="str">
        <f>VLOOKUP(Table1[[#This Row],[Psoft No]],[1]Roster!$C$2:$H$1402,6,)</f>
        <v>AUH1</v>
      </c>
      <c r="I756" s="48" t="b">
        <f>Table1[[#This Row],[Building]]=Table1[[#This Row],[Column1]]</f>
        <v>1</v>
      </c>
      <c r="J756" s="11" t="s">
        <v>75</v>
      </c>
      <c r="K756" s="11">
        <v>1299</v>
      </c>
      <c r="L756" s="49" t="s">
        <v>39</v>
      </c>
      <c r="M756" s="49" t="s">
        <v>76</v>
      </c>
      <c r="N756" s="49" t="s">
        <v>78</v>
      </c>
      <c r="O756" s="49" t="s">
        <v>92</v>
      </c>
      <c r="P756" s="49" t="s">
        <v>86</v>
      </c>
      <c r="Q756" s="49" t="s">
        <v>37</v>
      </c>
      <c r="R756" s="11" t="s">
        <v>80</v>
      </c>
      <c r="S756" s="11" t="s">
        <v>87</v>
      </c>
      <c r="T756" s="11" t="s">
        <v>631</v>
      </c>
      <c r="U756" s="11" t="s">
        <v>632</v>
      </c>
      <c r="V756" s="116" t="s">
        <v>10</v>
      </c>
      <c r="W756" s="88"/>
      <c r="X756" s="51">
        <v>45589</v>
      </c>
      <c r="Y756" s="97" t="s">
        <v>1579</v>
      </c>
      <c r="Z756" s="135" t="s">
        <v>3023</v>
      </c>
      <c r="AA756" s="135">
        <v>0</v>
      </c>
    </row>
    <row r="757" spans="1:27" ht="13" customHeight="1">
      <c r="A757" s="11">
        <v>751</v>
      </c>
      <c r="B757" s="47">
        <v>204009355</v>
      </c>
      <c r="C757" s="89" t="s">
        <v>2394</v>
      </c>
      <c r="D757" s="11" t="s">
        <v>2395</v>
      </c>
      <c r="E757" s="48" t="s">
        <v>31</v>
      </c>
      <c r="F757" s="48" t="s">
        <v>74</v>
      </c>
      <c r="G757" s="11" t="s">
        <v>64</v>
      </c>
      <c r="H757" s="48" t="str">
        <f>VLOOKUP(Table1[[#This Row],[Psoft No]],[1]Roster!$C$2:$H$1402,6,)</f>
        <v>AUH1</v>
      </c>
      <c r="I757" s="48" t="b">
        <f>Table1[[#This Row],[Building]]=Table1[[#This Row],[Column1]]</f>
        <v>1</v>
      </c>
      <c r="J757" s="11" t="s">
        <v>75</v>
      </c>
      <c r="K757" s="11">
        <v>1299</v>
      </c>
      <c r="L757" s="49" t="s">
        <v>32</v>
      </c>
      <c r="M757" s="49" t="s">
        <v>76</v>
      </c>
      <c r="N757" s="49" t="s">
        <v>88</v>
      </c>
      <c r="O757" s="49" t="s">
        <v>95</v>
      </c>
      <c r="P757" s="49" t="s">
        <v>86</v>
      </c>
      <c r="Q757" s="49" t="s">
        <v>37</v>
      </c>
      <c r="R757" s="11" t="s">
        <v>80</v>
      </c>
      <c r="S757" s="11" t="s">
        <v>90</v>
      </c>
      <c r="T757" s="49" t="s">
        <v>2845</v>
      </c>
      <c r="U757" s="11" t="s">
        <v>2846</v>
      </c>
      <c r="V757" s="116" t="str">
        <f>VLOOKUP(Table1[[#This Row],[Psoft No]],[2]Sheet1!$A$2:$G$386,7,0)</f>
        <v>P</v>
      </c>
      <c r="W757" s="88"/>
      <c r="X757" s="51">
        <v>45551</v>
      </c>
      <c r="Y757" s="97" t="s">
        <v>1577</v>
      </c>
      <c r="Z757" s="135" t="s">
        <v>2</v>
      </c>
      <c r="AA757" s="135">
        <v>0</v>
      </c>
    </row>
    <row r="758" spans="1:27" ht="13" customHeight="1">
      <c r="A758" s="11">
        <v>752</v>
      </c>
      <c r="B758" s="47">
        <v>206846111</v>
      </c>
      <c r="C758" s="89" t="s">
        <v>1823</v>
      </c>
      <c r="D758" s="11" t="s">
        <v>1824</v>
      </c>
      <c r="E758" s="48" t="s">
        <v>31</v>
      </c>
      <c r="F758" s="48" t="s">
        <v>74</v>
      </c>
      <c r="G758" s="11" t="s">
        <v>64</v>
      </c>
      <c r="H758" s="48" t="str">
        <f>VLOOKUP(Table1[[#This Row],[Psoft No]],[1]Roster!$C$2:$H$1402,6,)</f>
        <v>AUH1</v>
      </c>
      <c r="I758" s="48" t="b">
        <f>Table1[[#This Row],[Building]]=Table1[[#This Row],[Column1]]</f>
        <v>1</v>
      </c>
      <c r="J758" s="11" t="s">
        <v>75</v>
      </c>
      <c r="K758" s="11">
        <v>1299</v>
      </c>
      <c r="L758" s="49" t="s">
        <v>39</v>
      </c>
      <c r="M758" s="49" t="s">
        <v>76</v>
      </c>
      <c r="N758" s="49" t="s">
        <v>88</v>
      </c>
      <c r="O758" s="49" t="s">
        <v>95</v>
      </c>
      <c r="P758" s="48" t="s">
        <v>89</v>
      </c>
      <c r="Q758" s="49" t="s">
        <v>37</v>
      </c>
      <c r="R758" s="11" t="s">
        <v>80</v>
      </c>
      <c r="S758" s="11" t="s">
        <v>90</v>
      </c>
      <c r="T758" s="49" t="s">
        <v>2719</v>
      </c>
      <c r="U758" s="11" t="s">
        <v>642</v>
      </c>
      <c r="V758" s="116" t="s">
        <v>1</v>
      </c>
      <c r="W758" s="88"/>
      <c r="X758" s="51">
        <v>46013</v>
      </c>
      <c r="Y758" s="97" t="s">
        <v>1577</v>
      </c>
      <c r="Z758" s="135" t="s">
        <v>2</v>
      </c>
      <c r="AA758" s="135">
        <v>0</v>
      </c>
    </row>
    <row r="759" spans="1:27" ht="13" customHeight="1">
      <c r="A759" s="11">
        <v>753</v>
      </c>
      <c r="B759" s="47">
        <v>206897636</v>
      </c>
      <c r="C759" s="89" t="s">
        <v>1901</v>
      </c>
      <c r="D759" s="11" t="s">
        <v>1902</v>
      </c>
      <c r="E759" s="48" t="s">
        <v>31</v>
      </c>
      <c r="F759" s="48" t="s">
        <v>74</v>
      </c>
      <c r="G759" s="11" t="s">
        <v>64</v>
      </c>
      <c r="H759" s="48" t="str">
        <f>VLOOKUP(Table1[[#This Row],[Psoft No]],[1]Roster!$C$2:$H$1402,6,)</f>
        <v>AUH1</v>
      </c>
      <c r="I759" s="48" t="b">
        <f>Table1[[#This Row],[Building]]=Table1[[#This Row],[Column1]]</f>
        <v>1</v>
      </c>
      <c r="J759" s="11" t="s">
        <v>75</v>
      </c>
      <c r="K759" s="11">
        <v>1290</v>
      </c>
      <c r="L759" s="49" t="s">
        <v>32</v>
      </c>
      <c r="M759" s="49" t="s">
        <v>76</v>
      </c>
      <c r="N759" s="49" t="s">
        <v>77</v>
      </c>
      <c r="O759" s="49" t="s">
        <v>78</v>
      </c>
      <c r="P759" s="48" t="s">
        <v>89</v>
      </c>
      <c r="Q759" s="49" t="s">
        <v>37</v>
      </c>
      <c r="R759" s="11" t="s">
        <v>80</v>
      </c>
      <c r="S759" s="11" t="s">
        <v>81</v>
      </c>
      <c r="T759" s="11" t="s">
        <v>1066</v>
      </c>
      <c r="U759" s="11" t="s">
        <v>2717</v>
      </c>
      <c r="V759" s="116" t="str">
        <f>VLOOKUP(Table1[[#This Row],[Psoft No]],[2]Sheet1!$A$2:$G$386,7,0)</f>
        <v>P</v>
      </c>
      <c r="W759" s="88"/>
      <c r="X759" s="51">
        <v>46030</v>
      </c>
      <c r="Y759" s="97" t="s">
        <v>1578</v>
      </c>
      <c r="Z759" s="135" t="s">
        <v>2</v>
      </c>
      <c r="AA759" s="135">
        <v>0</v>
      </c>
    </row>
    <row r="760" spans="1:27" ht="13" customHeight="1">
      <c r="A760" s="11">
        <v>754</v>
      </c>
      <c r="B760" s="47">
        <v>204946697</v>
      </c>
      <c r="C760" s="89" t="s">
        <v>818</v>
      </c>
      <c r="D760" s="11" t="s">
        <v>819</v>
      </c>
      <c r="E760" s="48" t="s">
        <v>31</v>
      </c>
      <c r="F760" s="48" t="s">
        <v>74</v>
      </c>
      <c r="G760" s="11" t="s">
        <v>64</v>
      </c>
      <c r="H760" s="48" t="str">
        <f>VLOOKUP(Table1[[#This Row],[Psoft No]],[1]Roster!$C$2:$H$1402,6,)</f>
        <v>AUH1</v>
      </c>
      <c r="I760" s="48" t="b">
        <f>Table1[[#This Row],[Building]]=Table1[[#This Row],[Column1]]</f>
        <v>1</v>
      </c>
      <c r="J760" s="11" t="s">
        <v>75</v>
      </c>
      <c r="K760" s="11">
        <v>1299</v>
      </c>
      <c r="L760" s="49" t="s">
        <v>39</v>
      </c>
      <c r="M760" s="49" t="s">
        <v>76</v>
      </c>
      <c r="N760" s="49" t="s">
        <v>92</v>
      </c>
      <c r="O760" s="49" t="s">
        <v>84</v>
      </c>
      <c r="P760" s="48" t="s">
        <v>86</v>
      </c>
      <c r="Q760" s="49" t="s">
        <v>37</v>
      </c>
      <c r="R760" s="11" t="s">
        <v>80</v>
      </c>
      <c r="S760" s="11" t="s">
        <v>90</v>
      </c>
      <c r="T760" s="49" t="s">
        <v>647</v>
      </c>
      <c r="U760" s="11" t="s">
        <v>1798</v>
      </c>
      <c r="V760" s="116" t="s">
        <v>10</v>
      </c>
      <c r="W760" s="88"/>
      <c r="X760" s="51">
        <v>45719</v>
      </c>
      <c r="Y760" s="97" t="s">
        <v>1577</v>
      </c>
      <c r="Z760" s="135" t="s">
        <v>3023</v>
      </c>
      <c r="AA760" s="135">
        <v>0</v>
      </c>
    </row>
    <row r="761" spans="1:27" ht="13" customHeight="1">
      <c r="A761" s="11">
        <v>755</v>
      </c>
      <c r="B761" s="47">
        <v>204967053</v>
      </c>
      <c r="C761" s="89" t="s">
        <v>820</v>
      </c>
      <c r="D761" s="11" t="s">
        <v>821</v>
      </c>
      <c r="E761" s="48" t="s">
        <v>31</v>
      </c>
      <c r="F761" s="48" t="s">
        <v>74</v>
      </c>
      <c r="G761" s="11" t="s">
        <v>64</v>
      </c>
      <c r="H761" s="48" t="str">
        <f>VLOOKUP(Table1[[#This Row],[Psoft No]],[1]Roster!$C$2:$H$1402,6,)</f>
        <v>AUH1</v>
      </c>
      <c r="I761" s="48" t="b">
        <f>Table1[[#This Row],[Building]]=Table1[[#This Row],[Column1]]</f>
        <v>1</v>
      </c>
      <c r="J761" s="11" t="s">
        <v>75</v>
      </c>
      <c r="K761" s="11">
        <v>1299</v>
      </c>
      <c r="L761" s="49" t="s">
        <v>32</v>
      </c>
      <c r="M761" s="49" t="s">
        <v>76</v>
      </c>
      <c r="N761" s="49" t="s">
        <v>85</v>
      </c>
      <c r="O761" s="49" t="s">
        <v>88</v>
      </c>
      <c r="P761" s="49" t="s">
        <v>86</v>
      </c>
      <c r="Q761" s="49" t="s">
        <v>37</v>
      </c>
      <c r="R761" s="11" t="s">
        <v>80</v>
      </c>
      <c r="S761" s="11" t="s">
        <v>90</v>
      </c>
      <c r="T761" s="11" t="s">
        <v>647</v>
      </c>
      <c r="U761" s="11" t="s">
        <v>1798</v>
      </c>
      <c r="V761" s="116" t="str">
        <f>VLOOKUP(Table1[[#This Row],[Psoft No]],[2]Sheet1!$A$2:$G$386,7,0)</f>
        <v>P</v>
      </c>
      <c r="W761" s="88"/>
      <c r="X761" s="51">
        <v>45719</v>
      </c>
      <c r="Y761" s="97" t="s">
        <v>1577</v>
      </c>
      <c r="Z761" s="135" t="s">
        <v>2</v>
      </c>
      <c r="AA761" s="135">
        <v>0</v>
      </c>
    </row>
    <row r="762" spans="1:27" ht="13" customHeight="1">
      <c r="A762" s="11">
        <v>756</v>
      </c>
      <c r="B762" s="47">
        <v>206137344</v>
      </c>
      <c r="C762" s="89" t="s">
        <v>1641</v>
      </c>
      <c r="D762" s="11" t="s">
        <v>1636</v>
      </c>
      <c r="E762" s="48" t="s">
        <v>31</v>
      </c>
      <c r="F762" s="48" t="s">
        <v>74</v>
      </c>
      <c r="G762" s="11" t="s">
        <v>64</v>
      </c>
      <c r="H762" s="48" t="str">
        <f>VLOOKUP(Table1[[#This Row],[Psoft No]],[1]Roster!$C$2:$H$1402,6,)</f>
        <v>AUH1</v>
      </c>
      <c r="I762" s="48" t="b">
        <f>Table1[[#This Row],[Building]]=Table1[[#This Row],[Column1]]</f>
        <v>1</v>
      </c>
      <c r="J762" s="11" t="s">
        <v>75</v>
      </c>
      <c r="K762" s="11">
        <v>1299</v>
      </c>
      <c r="L762" s="49" t="s">
        <v>32</v>
      </c>
      <c r="M762" s="49" t="s">
        <v>76</v>
      </c>
      <c r="N762" s="49" t="s">
        <v>36</v>
      </c>
      <c r="O762" s="49" t="s">
        <v>84</v>
      </c>
      <c r="P762" s="49" t="s">
        <v>89</v>
      </c>
      <c r="Q762" s="49" t="s">
        <v>37</v>
      </c>
      <c r="R762" s="11" t="s">
        <v>80</v>
      </c>
      <c r="S762" s="11" t="s">
        <v>81</v>
      </c>
      <c r="T762" s="11" t="s">
        <v>627</v>
      </c>
      <c r="U762" s="11" t="s">
        <v>628</v>
      </c>
      <c r="V762" s="116" t="str">
        <f>VLOOKUP(Table1[[#This Row],[Psoft No]],[2]Sheet1!$A$2:$G$386,7,0)</f>
        <v>P</v>
      </c>
      <c r="W762" s="88" t="s">
        <v>3017</v>
      </c>
      <c r="X762" s="51">
        <v>45943</v>
      </c>
      <c r="Y762" s="97" t="s">
        <v>1576</v>
      </c>
      <c r="Z762" s="135" t="s">
        <v>2</v>
      </c>
      <c r="AA762" s="135">
        <v>0</v>
      </c>
    </row>
    <row r="763" spans="1:27" ht="13" customHeight="1">
      <c r="A763" s="11">
        <v>757</v>
      </c>
      <c r="B763" s="47">
        <v>206192264</v>
      </c>
      <c r="C763" s="89" t="s">
        <v>1614</v>
      </c>
      <c r="D763" s="11" t="s">
        <v>1607</v>
      </c>
      <c r="E763" s="48" t="s">
        <v>31</v>
      </c>
      <c r="F763" s="48" t="s">
        <v>74</v>
      </c>
      <c r="G763" s="11" t="s">
        <v>64</v>
      </c>
      <c r="H763" s="48" t="str">
        <f>VLOOKUP(Table1[[#This Row],[Psoft No]],[1]Roster!$C$2:$H$1402,6,)</f>
        <v>AUH1</v>
      </c>
      <c r="I763" s="48" t="b">
        <f>Table1[[#This Row],[Building]]=Table1[[#This Row],[Column1]]</f>
        <v>1</v>
      </c>
      <c r="J763" s="11" t="s">
        <v>75</v>
      </c>
      <c r="K763" s="11">
        <v>1299</v>
      </c>
      <c r="L763" s="49" t="s">
        <v>39</v>
      </c>
      <c r="M763" s="49" t="s">
        <v>76</v>
      </c>
      <c r="N763" s="49" t="s">
        <v>95</v>
      </c>
      <c r="O763" s="49" t="s">
        <v>77</v>
      </c>
      <c r="P763" s="49" t="s">
        <v>89</v>
      </c>
      <c r="Q763" s="49" t="s">
        <v>37</v>
      </c>
      <c r="R763" s="11" t="s">
        <v>80</v>
      </c>
      <c r="S763" s="11" t="s">
        <v>96</v>
      </c>
      <c r="T763" s="11" t="s">
        <v>627</v>
      </c>
      <c r="U763" s="11" t="s">
        <v>628</v>
      </c>
      <c r="V763" s="116" t="s">
        <v>1</v>
      </c>
      <c r="W763" s="88"/>
      <c r="X763" s="51">
        <v>45936</v>
      </c>
      <c r="Y763" s="97" t="s">
        <v>1577</v>
      </c>
      <c r="Z763" s="135" t="s">
        <v>2</v>
      </c>
      <c r="AA763" s="135">
        <v>0</v>
      </c>
    </row>
    <row r="764" spans="1:27" ht="13" customHeight="1">
      <c r="A764" s="11">
        <v>758</v>
      </c>
      <c r="B764" s="47">
        <v>203850771</v>
      </c>
      <c r="C764" s="89" t="s">
        <v>2396</v>
      </c>
      <c r="D764" s="11" t="s">
        <v>2397</v>
      </c>
      <c r="E764" s="48" t="s">
        <v>31</v>
      </c>
      <c r="F764" s="48" t="s">
        <v>74</v>
      </c>
      <c r="G764" s="11" t="s">
        <v>64</v>
      </c>
      <c r="H764" s="48" t="str">
        <f>VLOOKUP(Table1[[#This Row],[Psoft No]],[1]Roster!$C$2:$H$1402,6,)</f>
        <v>AUH1</v>
      </c>
      <c r="I764" s="48" t="b">
        <f>Table1[[#This Row],[Building]]=Table1[[#This Row],[Column1]]</f>
        <v>1</v>
      </c>
      <c r="J764" s="11" t="s">
        <v>75</v>
      </c>
      <c r="K764" s="11">
        <v>1299</v>
      </c>
      <c r="L764" s="49" t="s">
        <v>39</v>
      </c>
      <c r="M764" s="49" t="s">
        <v>76</v>
      </c>
      <c r="N764" s="49" t="s">
        <v>84</v>
      </c>
      <c r="O764" s="49" t="s">
        <v>85</v>
      </c>
      <c r="P764" s="48" t="s">
        <v>86</v>
      </c>
      <c r="Q764" s="49" t="s">
        <v>37</v>
      </c>
      <c r="R764" s="11" t="s">
        <v>80</v>
      </c>
      <c r="S764" s="11" t="s">
        <v>90</v>
      </c>
      <c r="T764" s="11" t="s">
        <v>647</v>
      </c>
      <c r="U764" s="11" t="s">
        <v>1798</v>
      </c>
      <c r="V764" s="116" t="s">
        <v>1</v>
      </c>
      <c r="W764" s="88"/>
      <c r="X764" s="51">
        <v>45524</v>
      </c>
      <c r="Y764" s="97" t="s">
        <v>1577</v>
      </c>
      <c r="Z764" s="135" t="s">
        <v>2</v>
      </c>
      <c r="AA764" s="135">
        <v>0</v>
      </c>
    </row>
    <row r="765" spans="1:27" ht="13" customHeight="1">
      <c r="A765" s="11">
        <v>759</v>
      </c>
      <c r="B765" s="47">
        <v>203908324</v>
      </c>
      <c r="C765" s="89" t="s">
        <v>822</v>
      </c>
      <c r="D765" s="11" t="s">
        <v>823</v>
      </c>
      <c r="E765" s="48" t="s">
        <v>31</v>
      </c>
      <c r="F765" s="48" t="s">
        <v>74</v>
      </c>
      <c r="G765" s="11" t="s">
        <v>64</v>
      </c>
      <c r="H765" s="48" t="str">
        <f>VLOOKUP(Table1[[#This Row],[Psoft No]],[1]Roster!$C$2:$H$1402,6,)</f>
        <v>AUH1</v>
      </c>
      <c r="I765" s="48" t="b">
        <f>Table1[[#This Row],[Building]]=Table1[[#This Row],[Column1]]</f>
        <v>1</v>
      </c>
      <c r="J765" s="11" t="s">
        <v>75</v>
      </c>
      <c r="K765" s="11">
        <v>1299</v>
      </c>
      <c r="L765" s="49" t="s">
        <v>32</v>
      </c>
      <c r="M765" s="49" t="s">
        <v>76</v>
      </c>
      <c r="N765" s="49" t="s">
        <v>95</v>
      </c>
      <c r="O765" s="49" t="s">
        <v>77</v>
      </c>
      <c r="P765" s="48" t="s">
        <v>79</v>
      </c>
      <c r="Q765" s="49" t="s">
        <v>37</v>
      </c>
      <c r="R765" s="11" t="s">
        <v>80</v>
      </c>
      <c r="S765" s="11" t="s">
        <v>81</v>
      </c>
      <c r="T765" s="49" t="s">
        <v>2845</v>
      </c>
      <c r="U765" s="11" t="s">
        <v>2846</v>
      </c>
      <c r="V765" s="116" t="s">
        <v>3</v>
      </c>
      <c r="W765" s="88"/>
      <c r="X765" s="51">
        <v>45537</v>
      </c>
      <c r="Y765" s="97" t="s">
        <v>1577</v>
      </c>
      <c r="Z765" s="135" t="s">
        <v>3023</v>
      </c>
      <c r="AA765" s="135">
        <v>0</v>
      </c>
    </row>
    <row r="766" spans="1:27" ht="13" customHeight="1">
      <c r="A766" s="11">
        <v>760</v>
      </c>
      <c r="B766" s="47">
        <v>203881658</v>
      </c>
      <c r="C766" s="89" t="s">
        <v>824</v>
      </c>
      <c r="D766" s="11" t="s">
        <v>825</v>
      </c>
      <c r="E766" s="48" t="s">
        <v>31</v>
      </c>
      <c r="F766" s="48" t="s">
        <v>74</v>
      </c>
      <c r="G766" s="11" t="s">
        <v>64</v>
      </c>
      <c r="H766" s="48" t="str">
        <f>VLOOKUP(Table1[[#This Row],[Psoft No]],[1]Roster!$C$2:$H$1402,6,)</f>
        <v>AUH1</v>
      </c>
      <c r="I766" s="48" t="b">
        <f>Table1[[#This Row],[Building]]=Table1[[#This Row],[Column1]]</f>
        <v>1</v>
      </c>
      <c r="J766" s="11" t="s">
        <v>75</v>
      </c>
      <c r="K766" s="11">
        <v>1299</v>
      </c>
      <c r="L766" s="49" t="s">
        <v>32</v>
      </c>
      <c r="M766" s="49" t="s">
        <v>76</v>
      </c>
      <c r="N766" s="49" t="s">
        <v>92</v>
      </c>
      <c r="O766" s="49" t="s">
        <v>84</v>
      </c>
      <c r="P766" s="48" t="s">
        <v>79</v>
      </c>
      <c r="Q766" s="49" t="s">
        <v>37</v>
      </c>
      <c r="R766" s="11" t="s">
        <v>80</v>
      </c>
      <c r="S766" s="11" t="s">
        <v>81</v>
      </c>
      <c r="T766" s="49" t="s">
        <v>627</v>
      </c>
      <c r="U766" s="11" t="s">
        <v>628</v>
      </c>
      <c r="V766" s="116" t="s">
        <v>10</v>
      </c>
      <c r="W766" s="88"/>
      <c r="X766" s="51">
        <v>45530</v>
      </c>
      <c r="Y766" s="97" t="s">
        <v>1577</v>
      </c>
      <c r="Z766" s="135" t="s">
        <v>3023</v>
      </c>
      <c r="AA766" s="135">
        <v>0</v>
      </c>
    </row>
    <row r="767" spans="1:27" ht="13" customHeight="1">
      <c r="A767" s="11">
        <v>761</v>
      </c>
      <c r="B767" s="47">
        <v>205854275</v>
      </c>
      <c r="C767" s="89" t="s">
        <v>826</v>
      </c>
      <c r="D767" s="11" t="s">
        <v>827</v>
      </c>
      <c r="E767" s="48" t="s">
        <v>31</v>
      </c>
      <c r="F767" s="48" t="s">
        <v>74</v>
      </c>
      <c r="G767" s="11" t="s">
        <v>64</v>
      </c>
      <c r="H767" s="48" t="str">
        <f>VLOOKUP(Table1[[#This Row],[Psoft No]],[1]Roster!$C$2:$H$1402,6,)</f>
        <v>AUH1</v>
      </c>
      <c r="I767" s="48" t="b">
        <f>Table1[[#This Row],[Building]]=Table1[[#This Row],[Column1]]</f>
        <v>1</v>
      </c>
      <c r="J767" s="11" t="s">
        <v>75</v>
      </c>
      <c r="K767" s="11">
        <v>1299</v>
      </c>
      <c r="L767" s="49" t="s">
        <v>39</v>
      </c>
      <c r="M767" s="49" t="s">
        <v>76</v>
      </c>
      <c r="N767" s="49" t="s">
        <v>84</v>
      </c>
      <c r="O767" s="49" t="s">
        <v>85</v>
      </c>
      <c r="P767" s="49" t="s">
        <v>79</v>
      </c>
      <c r="Q767" s="49" t="s">
        <v>37</v>
      </c>
      <c r="R767" s="11" t="s">
        <v>80</v>
      </c>
      <c r="S767" s="11" t="s">
        <v>96</v>
      </c>
      <c r="T767" s="49" t="s">
        <v>631</v>
      </c>
      <c r="U767" s="11" t="s">
        <v>632</v>
      </c>
      <c r="V767" s="116" t="s">
        <v>1</v>
      </c>
      <c r="W767" s="88"/>
      <c r="X767" s="51">
        <v>45894</v>
      </c>
      <c r="Y767" s="97" t="s">
        <v>1577</v>
      </c>
      <c r="Z767" s="135" t="s">
        <v>2</v>
      </c>
      <c r="AA767" s="135">
        <v>0</v>
      </c>
    </row>
    <row r="768" spans="1:27" ht="13" customHeight="1">
      <c r="A768" s="11">
        <v>762</v>
      </c>
      <c r="B768" s="47">
        <v>206192267</v>
      </c>
      <c r="C768" s="89" t="s">
        <v>1608</v>
      </c>
      <c r="D768" s="11" t="s">
        <v>1601</v>
      </c>
      <c r="E768" s="48" t="s">
        <v>31</v>
      </c>
      <c r="F768" s="48" t="s">
        <v>74</v>
      </c>
      <c r="G768" s="11" t="s">
        <v>64</v>
      </c>
      <c r="H768" s="48" t="str">
        <f>VLOOKUP(Table1[[#This Row],[Psoft No]],[1]Roster!$C$2:$H$1402,6,)</f>
        <v>AUH1</v>
      </c>
      <c r="I768" s="48" t="b">
        <f>Table1[[#This Row],[Building]]=Table1[[#This Row],[Column1]]</f>
        <v>1</v>
      </c>
      <c r="J768" s="11" t="s">
        <v>75</v>
      </c>
      <c r="K768" s="11">
        <v>1299</v>
      </c>
      <c r="L768" s="49" t="s">
        <v>39</v>
      </c>
      <c r="M768" s="49" t="s">
        <v>76</v>
      </c>
      <c r="N768" s="49" t="s">
        <v>78</v>
      </c>
      <c r="O768" s="49" t="s">
        <v>92</v>
      </c>
      <c r="P768" s="48" t="s">
        <v>79</v>
      </c>
      <c r="Q768" s="49" t="s">
        <v>37</v>
      </c>
      <c r="R768" s="11" t="s">
        <v>80</v>
      </c>
      <c r="S768" s="11" t="s">
        <v>96</v>
      </c>
      <c r="T768" s="11" t="s">
        <v>631</v>
      </c>
      <c r="U768" s="11" t="s">
        <v>632</v>
      </c>
      <c r="V768" s="116" t="s">
        <v>10</v>
      </c>
      <c r="W768" s="88"/>
      <c r="X768" s="51">
        <v>45936</v>
      </c>
      <c r="Y768" s="97" t="s">
        <v>1577</v>
      </c>
      <c r="Z768" s="135" t="s">
        <v>3023</v>
      </c>
      <c r="AA768" s="135">
        <v>0</v>
      </c>
    </row>
    <row r="769" spans="1:27" ht="13" customHeight="1">
      <c r="A769" s="11">
        <v>763</v>
      </c>
      <c r="B769" s="47">
        <v>206192230</v>
      </c>
      <c r="C769" s="89" t="s">
        <v>1609</v>
      </c>
      <c r="D769" s="11" t="s">
        <v>1602</v>
      </c>
      <c r="E769" s="48" t="s">
        <v>31</v>
      </c>
      <c r="F769" s="48" t="s">
        <v>74</v>
      </c>
      <c r="G769" s="11" t="s">
        <v>64</v>
      </c>
      <c r="H769" s="48" t="str">
        <f>VLOOKUP(Table1[[#This Row],[Psoft No]],[1]Roster!$C$2:$H$1402,6,)</f>
        <v>AUH1</v>
      </c>
      <c r="I769" s="48" t="b">
        <f>Table1[[#This Row],[Building]]=Table1[[#This Row],[Column1]]</f>
        <v>1</v>
      </c>
      <c r="J769" s="11" t="s">
        <v>75</v>
      </c>
      <c r="K769" s="11">
        <v>1299</v>
      </c>
      <c r="L769" s="49" t="s">
        <v>39</v>
      </c>
      <c r="M769" s="49" t="s">
        <v>76</v>
      </c>
      <c r="N769" s="49" t="s">
        <v>78</v>
      </c>
      <c r="O769" s="49" t="s">
        <v>92</v>
      </c>
      <c r="P769" s="48" t="s">
        <v>79</v>
      </c>
      <c r="Q769" s="49" t="s">
        <v>37</v>
      </c>
      <c r="R769" s="11" t="s">
        <v>80</v>
      </c>
      <c r="S769" s="11" t="s">
        <v>96</v>
      </c>
      <c r="T769" s="11" t="s">
        <v>631</v>
      </c>
      <c r="U769" s="11" t="s">
        <v>632</v>
      </c>
      <c r="V769" s="116" t="s">
        <v>10</v>
      </c>
      <c r="W769" s="88"/>
      <c r="X769" s="51">
        <v>45936</v>
      </c>
      <c r="Y769" s="102" t="s">
        <v>1577</v>
      </c>
      <c r="Z769" s="135" t="s">
        <v>3023</v>
      </c>
      <c r="AA769" s="135">
        <v>0</v>
      </c>
    </row>
    <row r="770" spans="1:27" ht="13" customHeight="1">
      <c r="A770" s="11">
        <v>764</v>
      </c>
      <c r="B770" s="47">
        <v>203908323</v>
      </c>
      <c r="C770" s="89" t="s">
        <v>828</v>
      </c>
      <c r="D770" s="11" t="s">
        <v>829</v>
      </c>
      <c r="E770" s="11" t="s">
        <v>31</v>
      </c>
      <c r="F770" s="48" t="s">
        <v>74</v>
      </c>
      <c r="G770" s="11" t="s">
        <v>64</v>
      </c>
      <c r="H770" s="48" t="str">
        <f>VLOOKUP(Table1[[#This Row],[Psoft No]],[1]Roster!$C$2:$H$1402,6,)</f>
        <v>AUH1</v>
      </c>
      <c r="I770" s="48" t="b">
        <f>Table1[[#This Row],[Building]]=Table1[[#This Row],[Column1]]</f>
        <v>1</v>
      </c>
      <c r="J770" s="11" t="s">
        <v>75</v>
      </c>
      <c r="K770" s="11">
        <v>1299</v>
      </c>
      <c r="L770" s="49" t="s">
        <v>39</v>
      </c>
      <c r="M770" s="49" t="s">
        <v>76</v>
      </c>
      <c r="N770" s="49" t="s">
        <v>88</v>
      </c>
      <c r="O770" s="49" t="s">
        <v>95</v>
      </c>
      <c r="P770" s="49" t="s">
        <v>86</v>
      </c>
      <c r="Q770" s="49" t="s">
        <v>37</v>
      </c>
      <c r="R770" s="11" t="s">
        <v>80</v>
      </c>
      <c r="S770" s="11" t="s">
        <v>90</v>
      </c>
      <c r="T770" s="11" t="s">
        <v>2719</v>
      </c>
      <c r="U770" s="11" t="s">
        <v>642</v>
      </c>
      <c r="V770" s="116" t="s">
        <v>7</v>
      </c>
      <c r="W770" s="88"/>
      <c r="X770" s="51">
        <v>45789</v>
      </c>
      <c r="Y770" s="97" t="s">
        <v>1577</v>
      </c>
      <c r="Z770" s="135" t="s">
        <v>3023</v>
      </c>
      <c r="AA770" s="135" t="s">
        <v>3024</v>
      </c>
    </row>
    <row r="771" spans="1:27" ht="13" customHeight="1">
      <c r="A771" s="11">
        <v>765</v>
      </c>
      <c r="B771" s="47">
        <v>105485458</v>
      </c>
      <c r="C771" s="89" t="s">
        <v>362</v>
      </c>
      <c r="D771" s="11" t="s">
        <v>363</v>
      </c>
      <c r="E771" s="48" t="s">
        <v>34</v>
      </c>
      <c r="F771" s="48" t="s">
        <v>74</v>
      </c>
      <c r="G771" s="11" t="s">
        <v>64</v>
      </c>
      <c r="H771" s="48" t="str">
        <f>VLOOKUP(Table1[[#This Row],[Psoft No]],[1]Roster!$C$2:$H$1402,6,)</f>
        <v>AUH1</v>
      </c>
      <c r="I771" s="48" t="b">
        <f>Table1[[#This Row],[Building]]=Table1[[#This Row],[Column1]]</f>
        <v>1</v>
      </c>
      <c r="J771" s="11" t="s">
        <v>75</v>
      </c>
      <c r="K771" s="11">
        <v>1182</v>
      </c>
      <c r="L771" s="49" t="s">
        <v>32</v>
      </c>
      <c r="M771" s="49" t="s">
        <v>76</v>
      </c>
      <c r="N771" s="49" t="s">
        <v>88</v>
      </c>
      <c r="O771" s="49" t="s">
        <v>95</v>
      </c>
      <c r="P771" s="48" t="s">
        <v>97</v>
      </c>
      <c r="Q771" s="49" t="s">
        <v>37</v>
      </c>
      <c r="R771" s="11" t="s">
        <v>80</v>
      </c>
      <c r="S771" s="11" t="s">
        <v>98</v>
      </c>
      <c r="T771" s="49" t="s">
        <v>2845</v>
      </c>
      <c r="U771" s="11" t="s">
        <v>2846</v>
      </c>
      <c r="V771" s="116" t="str">
        <f>VLOOKUP(Table1[[#This Row],[Psoft No]],[2]Sheet1!$A$2:$G$386,7,0)</f>
        <v>P</v>
      </c>
      <c r="W771" s="88"/>
      <c r="X771" s="51">
        <v>44728</v>
      </c>
      <c r="Y771" s="97" t="s">
        <v>1581</v>
      </c>
      <c r="Z771" s="135" t="s">
        <v>2</v>
      </c>
      <c r="AA771" s="135">
        <v>0</v>
      </c>
    </row>
    <row r="772" spans="1:27" ht="13" customHeight="1">
      <c r="A772" s="11">
        <v>766</v>
      </c>
      <c r="B772" s="47">
        <v>205252538</v>
      </c>
      <c r="C772" s="89" t="s">
        <v>2871</v>
      </c>
      <c r="D772" s="11" t="s">
        <v>2872</v>
      </c>
      <c r="E772" s="48" t="s">
        <v>31</v>
      </c>
      <c r="F772" s="48" t="s">
        <v>74</v>
      </c>
      <c r="G772" s="11" t="s">
        <v>64</v>
      </c>
      <c r="H772" s="48" t="str">
        <f>VLOOKUP(Table1[[#This Row],[Psoft No]],[1]Roster!$C$2:$H$1402,6,)</f>
        <v>AUH1</v>
      </c>
      <c r="I772" s="48" t="b">
        <f>Table1[[#This Row],[Building]]=Table1[[#This Row],[Column1]]</f>
        <v>1</v>
      </c>
      <c r="J772" s="11" t="s">
        <v>75</v>
      </c>
      <c r="K772" s="11">
        <v>1299</v>
      </c>
      <c r="L772" s="49" t="s">
        <v>39</v>
      </c>
      <c r="M772" s="49" t="s">
        <v>76</v>
      </c>
      <c r="N772" s="49" t="s">
        <v>92</v>
      </c>
      <c r="O772" s="49" t="s">
        <v>84</v>
      </c>
      <c r="P772" s="49" t="s">
        <v>89</v>
      </c>
      <c r="Q772" s="49" t="s">
        <v>37</v>
      </c>
      <c r="R772" s="11" t="s">
        <v>80</v>
      </c>
      <c r="S772" s="11" t="s">
        <v>96</v>
      </c>
      <c r="T772" s="49" t="s">
        <v>1066</v>
      </c>
      <c r="U772" s="11" t="s">
        <v>2717</v>
      </c>
      <c r="V772" s="116" t="s">
        <v>10</v>
      </c>
      <c r="W772" s="88"/>
      <c r="X772" s="51">
        <v>46238</v>
      </c>
      <c r="Y772" s="97" t="s">
        <v>1577</v>
      </c>
      <c r="Z772" s="135" t="s">
        <v>3023</v>
      </c>
      <c r="AA772" s="135">
        <v>0</v>
      </c>
    </row>
    <row r="773" spans="1:27" ht="13" customHeight="1">
      <c r="A773" s="11">
        <v>767</v>
      </c>
      <c r="B773" s="47">
        <v>204373722</v>
      </c>
      <c r="C773" s="89" t="s">
        <v>830</v>
      </c>
      <c r="D773" s="11" t="s">
        <v>831</v>
      </c>
      <c r="E773" s="48" t="s">
        <v>31</v>
      </c>
      <c r="F773" s="48" t="s">
        <v>74</v>
      </c>
      <c r="G773" s="11" t="s">
        <v>64</v>
      </c>
      <c r="H773" s="48" t="str">
        <f>VLOOKUP(Table1[[#This Row],[Psoft No]],[1]Roster!$C$2:$H$1402,6,)</f>
        <v>AUH1</v>
      </c>
      <c r="I773" s="48" t="b">
        <f>Table1[[#This Row],[Building]]=Table1[[#This Row],[Column1]]</f>
        <v>1</v>
      </c>
      <c r="J773" s="11" t="s">
        <v>75</v>
      </c>
      <c r="K773" s="11">
        <v>1299</v>
      </c>
      <c r="L773" s="49" t="s">
        <v>39</v>
      </c>
      <c r="M773" s="49" t="s">
        <v>76</v>
      </c>
      <c r="N773" s="49" t="s">
        <v>85</v>
      </c>
      <c r="O773" s="49" t="s">
        <v>88</v>
      </c>
      <c r="P773" s="49" t="s">
        <v>86</v>
      </c>
      <c r="Q773" s="49" t="s">
        <v>37</v>
      </c>
      <c r="R773" s="11" t="s">
        <v>80</v>
      </c>
      <c r="S773" s="11" t="s">
        <v>99</v>
      </c>
      <c r="T773" s="49" t="s">
        <v>647</v>
      </c>
      <c r="U773" s="11" t="s">
        <v>1798</v>
      </c>
      <c r="V773" s="116" t="s">
        <v>7</v>
      </c>
      <c r="W773" s="88"/>
      <c r="X773" s="51">
        <v>45593</v>
      </c>
      <c r="Y773" s="97" t="s">
        <v>1577</v>
      </c>
      <c r="Z773" s="135" t="s">
        <v>3023</v>
      </c>
      <c r="AA773" s="135" t="s">
        <v>3024</v>
      </c>
    </row>
    <row r="774" spans="1:27" ht="13" customHeight="1">
      <c r="A774" s="11">
        <v>768</v>
      </c>
      <c r="B774" s="11">
        <v>205839585</v>
      </c>
      <c r="C774" s="89" t="s">
        <v>2398</v>
      </c>
      <c r="D774" s="11" t="s">
        <v>2399</v>
      </c>
      <c r="E774" s="48" t="s">
        <v>31</v>
      </c>
      <c r="F774" s="48" t="s">
        <v>74</v>
      </c>
      <c r="G774" s="11" t="s">
        <v>64</v>
      </c>
      <c r="H774" s="48" t="str">
        <f>VLOOKUP(Table1[[#This Row],[Psoft No]],[1]Roster!$C$2:$H$1402,6,)</f>
        <v>AUH1</v>
      </c>
      <c r="I774" s="48" t="b">
        <f>Table1[[#This Row],[Building]]=Table1[[#This Row],[Column1]]</f>
        <v>1</v>
      </c>
      <c r="J774" s="11" t="s">
        <v>75</v>
      </c>
      <c r="K774" s="11">
        <v>1299</v>
      </c>
      <c r="L774" s="49" t="s">
        <v>32</v>
      </c>
      <c r="M774" s="49" t="s">
        <v>76</v>
      </c>
      <c r="N774" s="49" t="s">
        <v>95</v>
      </c>
      <c r="O774" s="49" t="s">
        <v>77</v>
      </c>
      <c r="P774" s="11" t="s">
        <v>89</v>
      </c>
      <c r="Q774" s="11" t="s">
        <v>37</v>
      </c>
      <c r="R774" s="11" t="s">
        <v>80</v>
      </c>
      <c r="S774" s="11" t="s">
        <v>90</v>
      </c>
      <c r="T774" s="11" t="s">
        <v>627</v>
      </c>
      <c r="U774" s="11" t="s">
        <v>628</v>
      </c>
      <c r="V774" s="116" t="str">
        <f>VLOOKUP(Table1[[#This Row],[Psoft No]],[2]Sheet1!$A$2:$G$386,7,0)</f>
        <v>P</v>
      </c>
      <c r="W774" s="88"/>
      <c r="X774" s="51">
        <v>45894</v>
      </c>
      <c r="Y774" s="102" t="s">
        <v>1576</v>
      </c>
      <c r="Z774" s="135" t="s">
        <v>2</v>
      </c>
      <c r="AA774" s="135" t="s">
        <v>3015</v>
      </c>
    </row>
    <row r="775" spans="1:27" ht="13" customHeight="1">
      <c r="A775" s="11">
        <v>769</v>
      </c>
      <c r="B775" s="92">
        <v>204094215</v>
      </c>
      <c r="C775" s="47" t="s">
        <v>832</v>
      </c>
      <c r="D775" s="89" t="s">
        <v>833</v>
      </c>
      <c r="E775" s="48" t="s">
        <v>31</v>
      </c>
      <c r="F775" s="48" t="s">
        <v>74</v>
      </c>
      <c r="G775" s="11" t="s">
        <v>64</v>
      </c>
      <c r="H775" s="48" t="str">
        <f>VLOOKUP(Table1[[#This Row],[Psoft No]],[1]Roster!$C$2:$H$1402,6,)</f>
        <v>AUH1</v>
      </c>
      <c r="I775" s="48" t="b">
        <f>Table1[[#This Row],[Building]]=Table1[[#This Row],[Column1]]</f>
        <v>1</v>
      </c>
      <c r="J775" s="11" t="s">
        <v>75</v>
      </c>
      <c r="K775" s="11">
        <v>1299</v>
      </c>
      <c r="L775" s="49" t="s">
        <v>39</v>
      </c>
      <c r="M775" s="49" t="s">
        <v>76</v>
      </c>
      <c r="N775" s="49" t="s">
        <v>88</v>
      </c>
      <c r="O775" s="49" t="s">
        <v>95</v>
      </c>
      <c r="P775" s="49" t="s">
        <v>86</v>
      </c>
      <c r="Q775" s="49" t="s">
        <v>37</v>
      </c>
      <c r="R775" s="11" t="s">
        <v>80</v>
      </c>
      <c r="S775" s="11" t="s">
        <v>87</v>
      </c>
      <c r="T775" s="11" t="s">
        <v>631</v>
      </c>
      <c r="U775" s="11" t="s">
        <v>632</v>
      </c>
      <c r="V775" s="116" t="s">
        <v>7</v>
      </c>
      <c r="W775" s="88"/>
      <c r="X775" s="51">
        <v>45561</v>
      </c>
      <c r="Y775" s="97" t="s">
        <v>1578</v>
      </c>
      <c r="Z775" s="135" t="s">
        <v>3023</v>
      </c>
      <c r="AA775" s="135" t="s">
        <v>3024</v>
      </c>
    </row>
    <row r="776" spans="1:27" ht="13" customHeight="1">
      <c r="A776" s="11">
        <v>770</v>
      </c>
      <c r="B776" s="47">
        <v>206239524</v>
      </c>
      <c r="C776" s="89" t="s">
        <v>2909</v>
      </c>
      <c r="D776" s="11" t="s">
        <v>2910</v>
      </c>
      <c r="E776" s="48" t="s">
        <v>31</v>
      </c>
      <c r="F776" s="48" t="s">
        <v>74</v>
      </c>
      <c r="G776" s="11" t="s">
        <v>64</v>
      </c>
      <c r="H776" s="48" t="str">
        <f>VLOOKUP(Table1[[#This Row],[Psoft No]],[1]Roster!$C$2:$H$1402,6,)</f>
        <v>AUH1</v>
      </c>
      <c r="I776" s="48" t="b">
        <f>Table1[[#This Row],[Building]]=Table1[[#This Row],[Column1]]</f>
        <v>1</v>
      </c>
      <c r="J776" s="11" t="s">
        <v>75</v>
      </c>
      <c r="K776" s="11">
        <v>1299</v>
      </c>
      <c r="L776" s="49" t="s">
        <v>39</v>
      </c>
      <c r="M776" s="49" t="s">
        <v>76</v>
      </c>
      <c r="N776" s="49" t="s">
        <v>95</v>
      </c>
      <c r="O776" s="49" t="s">
        <v>77</v>
      </c>
      <c r="P776" s="49" t="s">
        <v>89</v>
      </c>
      <c r="Q776" s="49" t="s">
        <v>37</v>
      </c>
      <c r="R776" s="11" t="s">
        <v>80</v>
      </c>
      <c r="S776" s="11" t="s">
        <v>81</v>
      </c>
      <c r="T776" s="49" t="s">
        <v>631</v>
      </c>
      <c r="U776" s="11" t="s">
        <v>632</v>
      </c>
      <c r="V776" s="116" t="s">
        <v>1</v>
      </c>
      <c r="W776" s="88" t="s">
        <v>3021</v>
      </c>
      <c r="X776" s="51">
        <v>46239</v>
      </c>
      <c r="Y776" s="97" t="s">
        <v>1579</v>
      </c>
      <c r="Z776" s="135" t="s">
        <v>2</v>
      </c>
      <c r="AA776" s="135">
        <v>0</v>
      </c>
    </row>
    <row r="777" spans="1:27" ht="13" customHeight="1">
      <c r="A777" s="11">
        <v>771</v>
      </c>
      <c r="B777" s="92">
        <v>102582339</v>
      </c>
      <c r="C777" s="47" t="s">
        <v>834</v>
      </c>
      <c r="D777" s="89" t="s">
        <v>835</v>
      </c>
      <c r="E777" s="48" t="s">
        <v>34</v>
      </c>
      <c r="F777" s="48" t="s">
        <v>74</v>
      </c>
      <c r="G777" s="11" t="s">
        <v>64</v>
      </c>
      <c r="H777" s="48" t="str">
        <f>VLOOKUP(Table1[[#This Row],[Psoft No]],[1]Roster!$C$2:$H$1402,6,)</f>
        <v>AUH1</v>
      </c>
      <c r="I777" s="48" t="b">
        <f>Table1[[#This Row],[Building]]=Table1[[#This Row],[Column1]]</f>
        <v>1</v>
      </c>
      <c r="J777" s="11" t="s">
        <v>75</v>
      </c>
      <c r="K777" s="11">
        <v>1299</v>
      </c>
      <c r="L777" s="49" t="s">
        <v>32</v>
      </c>
      <c r="M777" s="49" t="s">
        <v>76</v>
      </c>
      <c r="N777" s="49" t="s">
        <v>84</v>
      </c>
      <c r="O777" s="49" t="s">
        <v>85</v>
      </c>
      <c r="P777" s="48" t="s">
        <v>97</v>
      </c>
      <c r="Q777" s="49" t="s">
        <v>37</v>
      </c>
      <c r="R777" s="11" t="s">
        <v>80</v>
      </c>
      <c r="S777" s="11" t="s">
        <v>98</v>
      </c>
      <c r="T777" s="11" t="s">
        <v>1066</v>
      </c>
      <c r="U777" s="11" t="s">
        <v>2717</v>
      </c>
      <c r="V777" s="116" t="str">
        <f>VLOOKUP(Table1[[#This Row],[Psoft No]],[2]Sheet1!$A$2:$G$386,7,0)</f>
        <v>P</v>
      </c>
      <c r="W777" s="88"/>
      <c r="X777" s="51">
        <v>42960</v>
      </c>
      <c r="Y777" s="97" t="s">
        <v>1581</v>
      </c>
      <c r="Z777" s="135" t="s">
        <v>2</v>
      </c>
      <c r="AA777" s="135">
        <v>0</v>
      </c>
    </row>
    <row r="778" spans="1:27" ht="13" customHeight="1">
      <c r="A778" s="11">
        <v>772</v>
      </c>
      <c r="B778" s="47">
        <v>206886514</v>
      </c>
      <c r="C778" s="89" t="s">
        <v>1829</v>
      </c>
      <c r="D778" s="11" t="s">
        <v>1830</v>
      </c>
      <c r="E778" s="48" t="s">
        <v>31</v>
      </c>
      <c r="F778" s="48" t="s">
        <v>74</v>
      </c>
      <c r="G778" s="11" t="s">
        <v>64</v>
      </c>
      <c r="H778" s="48" t="str">
        <f>VLOOKUP(Table1[[#This Row],[Psoft No]],[1]Roster!$C$2:$H$1402,6,)</f>
        <v>AUH1</v>
      </c>
      <c r="I778" s="48" t="b">
        <f>Table1[[#This Row],[Building]]=Table1[[#This Row],[Column1]]</f>
        <v>1</v>
      </c>
      <c r="J778" s="11" t="s">
        <v>75</v>
      </c>
      <c r="K778" s="11">
        <v>1299</v>
      </c>
      <c r="L778" s="49" t="s">
        <v>32</v>
      </c>
      <c r="M778" s="49" t="s">
        <v>76</v>
      </c>
      <c r="N778" s="49" t="s">
        <v>88</v>
      </c>
      <c r="O778" s="49" t="s">
        <v>95</v>
      </c>
      <c r="P778" s="48" t="s">
        <v>89</v>
      </c>
      <c r="Q778" s="49" t="s">
        <v>37</v>
      </c>
      <c r="R778" s="11" t="s">
        <v>80</v>
      </c>
      <c r="S778" s="11" t="s">
        <v>96</v>
      </c>
      <c r="T778" s="11" t="s">
        <v>2845</v>
      </c>
      <c r="U778" s="11" t="s">
        <v>2846</v>
      </c>
      <c r="V778" s="116" t="str">
        <f>VLOOKUP(Table1[[#This Row],[Psoft No]],[2]Sheet1!$A$2:$G$386,7,0)</f>
        <v>P</v>
      </c>
      <c r="W778" s="88"/>
      <c r="X778" s="51">
        <v>46027</v>
      </c>
      <c r="Y778" s="97" t="s">
        <v>1577</v>
      </c>
      <c r="Z778" s="135" t="s">
        <v>2</v>
      </c>
      <c r="AA778" s="135">
        <v>0</v>
      </c>
    </row>
    <row r="779" spans="1:27" ht="13" customHeight="1">
      <c r="A779" s="11">
        <v>773</v>
      </c>
      <c r="B779" s="47">
        <v>204138116</v>
      </c>
      <c r="C779" s="89" t="s">
        <v>836</v>
      </c>
      <c r="D779" s="11" t="s">
        <v>837</v>
      </c>
      <c r="E779" s="48" t="s">
        <v>31</v>
      </c>
      <c r="F779" s="48" t="s">
        <v>74</v>
      </c>
      <c r="G779" s="11" t="s">
        <v>64</v>
      </c>
      <c r="H779" s="48" t="str">
        <f>VLOOKUP(Table1[[#This Row],[Psoft No]],[1]Roster!$C$2:$H$1402,6,)</f>
        <v>AUH1</v>
      </c>
      <c r="I779" s="48" t="b">
        <f>Table1[[#This Row],[Building]]=Table1[[#This Row],[Column1]]</f>
        <v>1</v>
      </c>
      <c r="J779" s="11" t="s">
        <v>75</v>
      </c>
      <c r="K779" s="11">
        <v>1299</v>
      </c>
      <c r="L779" s="49" t="s">
        <v>32</v>
      </c>
      <c r="M779" s="49" t="s">
        <v>76</v>
      </c>
      <c r="N779" s="49" t="s">
        <v>88</v>
      </c>
      <c r="O779" s="49" t="s">
        <v>95</v>
      </c>
      <c r="P779" s="49" t="s">
        <v>86</v>
      </c>
      <c r="Q779" s="48" t="s">
        <v>37</v>
      </c>
      <c r="R779" s="48" t="s">
        <v>80</v>
      </c>
      <c r="S779" s="11" t="s">
        <v>87</v>
      </c>
      <c r="T779" s="49" t="s">
        <v>647</v>
      </c>
      <c r="U779" s="11" t="s">
        <v>1798</v>
      </c>
      <c r="V779" s="116" t="str">
        <f>VLOOKUP(Table1[[#This Row],[Psoft No]],[2]Sheet1!$A$2:$G$386,7,0)</f>
        <v>P</v>
      </c>
      <c r="W779" s="88"/>
      <c r="X779" s="51">
        <v>45565</v>
      </c>
      <c r="Y779" s="97" t="s">
        <v>1577</v>
      </c>
      <c r="Z779" s="135" t="s">
        <v>2</v>
      </c>
      <c r="AA779" s="135">
        <v>0</v>
      </c>
    </row>
    <row r="780" spans="1:27" ht="13" customHeight="1">
      <c r="A780" s="11">
        <v>774</v>
      </c>
      <c r="B780" s="47">
        <v>205996132</v>
      </c>
      <c r="C780" s="89" t="s">
        <v>838</v>
      </c>
      <c r="D780" s="11" t="s">
        <v>839</v>
      </c>
      <c r="E780" s="48" t="s">
        <v>31</v>
      </c>
      <c r="F780" s="48" t="s">
        <v>74</v>
      </c>
      <c r="G780" s="11" t="s">
        <v>64</v>
      </c>
      <c r="H780" s="48" t="str">
        <f>VLOOKUP(Table1[[#This Row],[Psoft No]],[1]Roster!$C$2:$H$1402,6,)</f>
        <v>AUH1</v>
      </c>
      <c r="I780" s="48" t="b">
        <f>Table1[[#This Row],[Building]]=Table1[[#This Row],[Column1]]</f>
        <v>1</v>
      </c>
      <c r="J780" s="11" t="s">
        <v>75</v>
      </c>
      <c r="K780" s="11">
        <v>1299</v>
      </c>
      <c r="L780" s="49" t="s">
        <v>39</v>
      </c>
      <c r="M780" s="49" t="s">
        <v>76</v>
      </c>
      <c r="N780" s="49" t="s">
        <v>95</v>
      </c>
      <c r="O780" s="49" t="s">
        <v>77</v>
      </c>
      <c r="P780" s="48" t="s">
        <v>89</v>
      </c>
      <c r="Q780" s="49" t="s">
        <v>37</v>
      </c>
      <c r="R780" s="11" t="s">
        <v>80</v>
      </c>
      <c r="S780" s="11" t="s">
        <v>81</v>
      </c>
      <c r="T780" s="11" t="s">
        <v>2719</v>
      </c>
      <c r="U780" s="11" t="s">
        <v>642</v>
      </c>
      <c r="V780" s="116" t="s">
        <v>1</v>
      </c>
      <c r="W780" s="88"/>
      <c r="X780" s="51">
        <v>45915</v>
      </c>
      <c r="Y780" s="97" t="s">
        <v>1577</v>
      </c>
      <c r="Z780" s="135" t="s">
        <v>2</v>
      </c>
      <c r="AA780" s="135">
        <v>0</v>
      </c>
    </row>
    <row r="781" spans="1:27" ht="13" customHeight="1">
      <c r="A781" s="11">
        <v>775</v>
      </c>
      <c r="B781" s="47">
        <v>206915147</v>
      </c>
      <c r="C781" s="89" t="s">
        <v>1920</v>
      </c>
      <c r="D781" s="11" t="s">
        <v>1905</v>
      </c>
      <c r="E781" s="48" t="s">
        <v>31</v>
      </c>
      <c r="F781" s="48" t="s">
        <v>74</v>
      </c>
      <c r="G781" s="11" t="s">
        <v>64</v>
      </c>
      <c r="H781" s="48" t="str">
        <f>VLOOKUP(Table1[[#This Row],[Psoft No]],[1]Roster!$C$2:$H$1402,6,)</f>
        <v>AUH1</v>
      </c>
      <c r="I781" s="48" t="b">
        <f>Table1[[#This Row],[Building]]=Table1[[#This Row],[Column1]]</f>
        <v>1</v>
      </c>
      <c r="J781" s="11" t="s">
        <v>75</v>
      </c>
      <c r="K781" s="11">
        <v>1299</v>
      </c>
      <c r="L781" s="49" t="s">
        <v>32</v>
      </c>
      <c r="M781" s="49" t="s">
        <v>76</v>
      </c>
      <c r="N781" s="49" t="s">
        <v>88</v>
      </c>
      <c r="O781" s="49" t="s">
        <v>95</v>
      </c>
      <c r="P781" s="49" t="s">
        <v>89</v>
      </c>
      <c r="Q781" s="48" t="s">
        <v>37</v>
      </c>
      <c r="R781" s="48" t="s">
        <v>80</v>
      </c>
      <c r="S781" s="11" t="s">
        <v>90</v>
      </c>
      <c r="T781" s="49" t="s">
        <v>627</v>
      </c>
      <c r="U781" s="11" t="s">
        <v>628</v>
      </c>
      <c r="V781" s="116" t="str">
        <f>VLOOKUP(Table1[[#This Row],[Psoft No]],[2]Sheet1!$A$2:$G$386,7,0)</f>
        <v>P</v>
      </c>
      <c r="W781" s="88"/>
      <c r="X781" s="51">
        <v>46034</v>
      </c>
      <c r="Y781" s="97" t="s">
        <v>1577</v>
      </c>
      <c r="Z781" s="135" t="s">
        <v>2</v>
      </c>
      <c r="AA781" s="135">
        <v>0</v>
      </c>
    </row>
    <row r="782" spans="1:27" ht="13" customHeight="1">
      <c r="A782" s="11">
        <v>776</v>
      </c>
      <c r="B782" s="92">
        <v>206065208</v>
      </c>
      <c r="C782" s="47" t="s">
        <v>2838</v>
      </c>
      <c r="D782" s="89" t="s">
        <v>2839</v>
      </c>
      <c r="E782" s="48" t="s">
        <v>31</v>
      </c>
      <c r="F782" s="48" t="s">
        <v>74</v>
      </c>
      <c r="G782" s="11" t="s">
        <v>64</v>
      </c>
      <c r="H782" s="48" t="str">
        <f>VLOOKUP(Table1[[#This Row],[Psoft No]],[1]Roster!$C$2:$H$1402,6,)</f>
        <v>AUH1</v>
      </c>
      <c r="I782" s="48" t="b">
        <f>Table1[[#This Row],[Building]]=Table1[[#This Row],[Column1]]</f>
        <v>1</v>
      </c>
      <c r="J782" s="11" t="s">
        <v>75</v>
      </c>
      <c r="K782" s="11">
        <v>1299</v>
      </c>
      <c r="L782" s="49" t="s">
        <v>39</v>
      </c>
      <c r="M782" s="49" t="s">
        <v>76</v>
      </c>
      <c r="N782" s="49" t="s">
        <v>88</v>
      </c>
      <c r="O782" s="49" t="s">
        <v>95</v>
      </c>
      <c r="P782" s="48" t="s">
        <v>89</v>
      </c>
      <c r="Q782" s="49" t="s">
        <v>37</v>
      </c>
      <c r="R782" s="11" t="s">
        <v>80</v>
      </c>
      <c r="S782" s="11" t="s">
        <v>81</v>
      </c>
      <c r="T782" s="11" t="s">
        <v>2719</v>
      </c>
      <c r="U782" s="11" t="s">
        <v>642</v>
      </c>
      <c r="V782" s="116" t="s">
        <v>1</v>
      </c>
      <c r="W782" s="88"/>
      <c r="X782" s="51">
        <v>46226</v>
      </c>
      <c r="Y782" s="97" t="s">
        <v>1577</v>
      </c>
      <c r="Z782" s="135" t="s">
        <v>2</v>
      </c>
      <c r="AA782" s="135">
        <v>0</v>
      </c>
    </row>
    <row r="783" spans="1:27" ht="13" customHeight="1">
      <c r="A783" s="11">
        <v>777</v>
      </c>
      <c r="B783" s="47">
        <v>204865035</v>
      </c>
      <c r="C783" s="89" t="s">
        <v>2764</v>
      </c>
      <c r="D783" s="47" t="s">
        <v>2765</v>
      </c>
      <c r="E783" s="47" t="s">
        <v>31</v>
      </c>
      <c r="F783" s="48" t="s">
        <v>74</v>
      </c>
      <c r="G783" s="11" t="s">
        <v>64</v>
      </c>
      <c r="H783" s="48" t="str">
        <f>VLOOKUP(Table1[[#This Row],[Psoft No]],[1]Roster!$C$2:$H$1402,6,)</f>
        <v>AUH1</v>
      </c>
      <c r="I783" s="48" t="b">
        <f>Table1[[#This Row],[Building]]=Table1[[#This Row],[Column1]]</f>
        <v>1</v>
      </c>
      <c r="J783" s="11" t="s">
        <v>75</v>
      </c>
      <c r="K783" s="47">
        <v>1299</v>
      </c>
      <c r="L783" s="49" t="s">
        <v>39</v>
      </c>
      <c r="M783" s="49" t="s">
        <v>76</v>
      </c>
      <c r="N783" s="49" t="s">
        <v>85</v>
      </c>
      <c r="O783" s="49" t="s">
        <v>88</v>
      </c>
      <c r="P783" s="49" t="s">
        <v>89</v>
      </c>
      <c r="Q783" s="49" t="s">
        <v>37</v>
      </c>
      <c r="R783" s="11" t="s">
        <v>80</v>
      </c>
      <c r="S783" s="47" t="s">
        <v>90</v>
      </c>
      <c r="T783" s="11" t="s">
        <v>647</v>
      </c>
      <c r="U783" s="11" t="s">
        <v>2739</v>
      </c>
      <c r="V783" s="116" t="s">
        <v>1</v>
      </c>
      <c r="W783" s="88"/>
      <c r="X783" s="51">
        <v>45894</v>
      </c>
      <c r="Y783" s="97" t="s">
        <v>1577</v>
      </c>
      <c r="Z783" s="135" t="s">
        <v>2</v>
      </c>
      <c r="AA783" s="135">
        <v>0</v>
      </c>
    </row>
    <row r="784" spans="1:27" ht="13" customHeight="1">
      <c r="A784" s="11">
        <v>778</v>
      </c>
      <c r="B784" s="47">
        <v>203850767</v>
      </c>
      <c r="C784" s="89" t="s">
        <v>2329</v>
      </c>
      <c r="D784" s="11" t="s">
        <v>2330</v>
      </c>
      <c r="E784" s="48" t="s">
        <v>31</v>
      </c>
      <c r="F784" s="48" t="s">
        <v>74</v>
      </c>
      <c r="G784" s="11" t="s">
        <v>64</v>
      </c>
      <c r="H784" s="48" t="str">
        <f>VLOOKUP(Table1[[#This Row],[Psoft No]],[1]Roster!$C$2:$H$1402,6,)</f>
        <v>AUH1</v>
      </c>
      <c r="I784" s="48" t="b">
        <f>Table1[[#This Row],[Building]]=Table1[[#This Row],[Column1]]</f>
        <v>1</v>
      </c>
      <c r="J784" s="11" t="s">
        <v>75</v>
      </c>
      <c r="K784" s="11">
        <v>1299</v>
      </c>
      <c r="L784" s="49" t="s">
        <v>39</v>
      </c>
      <c r="M784" s="49" t="s">
        <v>76</v>
      </c>
      <c r="N784" s="49" t="s">
        <v>78</v>
      </c>
      <c r="O784" s="49" t="s">
        <v>92</v>
      </c>
      <c r="P784" s="48" t="s">
        <v>89</v>
      </c>
      <c r="Q784" s="49" t="s">
        <v>37</v>
      </c>
      <c r="R784" s="11" t="s">
        <v>80</v>
      </c>
      <c r="S784" s="11" t="s">
        <v>90</v>
      </c>
      <c r="T784" s="11" t="s">
        <v>627</v>
      </c>
      <c r="U784" s="11" t="s">
        <v>628</v>
      </c>
      <c r="V784" s="116" t="s">
        <v>10</v>
      </c>
      <c r="W784" s="88"/>
      <c r="X784" s="51">
        <v>45524</v>
      </c>
      <c r="Y784" s="97" t="s">
        <v>1577</v>
      </c>
      <c r="Z784" s="135" t="s">
        <v>3023</v>
      </c>
      <c r="AA784" s="135">
        <v>0</v>
      </c>
    </row>
    <row r="785" spans="1:27" ht="13" customHeight="1">
      <c r="A785" s="11">
        <v>779</v>
      </c>
      <c r="B785" s="47">
        <v>204865037</v>
      </c>
      <c r="C785" s="89" t="s">
        <v>2766</v>
      </c>
      <c r="D785" s="11" t="s">
        <v>2767</v>
      </c>
      <c r="E785" s="48" t="s">
        <v>31</v>
      </c>
      <c r="F785" s="48" t="s">
        <v>74</v>
      </c>
      <c r="G785" s="11" t="s">
        <v>64</v>
      </c>
      <c r="H785" s="48" t="str">
        <f>VLOOKUP(Table1[[#This Row],[Psoft No]],[1]Roster!$C$2:$H$1402,6,)</f>
        <v>AUH1</v>
      </c>
      <c r="I785" s="48" t="b">
        <f>Table1[[#This Row],[Building]]=Table1[[#This Row],[Column1]]</f>
        <v>1</v>
      </c>
      <c r="J785" s="11" t="s">
        <v>75</v>
      </c>
      <c r="K785" s="11">
        <v>1299</v>
      </c>
      <c r="L785" s="49" t="s">
        <v>32</v>
      </c>
      <c r="M785" s="49" t="s">
        <v>76</v>
      </c>
      <c r="N785" s="49" t="s">
        <v>85</v>
      </c>
      <c r="O785" s="49" t="s">
        <v>88</v>
      </c>
      <c r="P785" s="48" t="s">
        <v>86</v>
      </c>
      <c r="Q785" s="49" t="s">
        <v>37</v>
      </c>
      <c r="R785" s="11" t="s">
        <v>80</v>
      </c>
      <c r="S785" s="11" t="s">
        <v>90</v>
      </c>
      <c r="T785" s="49" t="s">
        <v>647</v>
      </c>
      <c r="U785" s="11" t="s">
        <v>2739</v>
      </c>
      <c r="V785" s="116" t="str">
        <f>VLOOKUP(Table1[[#This Row],[Psoft No]],[2]Sheet1!$A$2:$G$386,7,0)</f>
        <v>P</v>
      </c>
      <c r="W785" s="88"/>
      <c r="X785" s="51">
        <v>45894</v>
      </c>
      <c r="Y785" s="97" t="s">
        <v>1577</v>
      </c>
      <c r="Z785" s="135" t="s">
        <v>2</v>
      </c>
      <c r="AA785" s="135">
        <v>0</v>
      </c>
    </row>
    <row r="786" spans="1:27" ht="13" customHeight="1">
      <c r="A786" s="11">
        <v>780</v>
      </c>
      <c r="B786" s="47">
        <v>204137705</v>
      </c>
      <c r="C786" s="89" t="s">
        <v>840</v>
      </c>
      <c r="D786" s="11" t="s">
        <v>841</v>
      </c>
      <c r="E786" s="48" t="s">
        <v>31</v>
      </c>
      <c r="F786" s="48" t="s">
        <v>74</v>
      </c>
      <c r="G786" s="11" t="s">
        <v>64</v>
      </c>
      <c r="H786" s="48" t="str">
        <f>VLOOKUP(Table1[[#This Row],[Psoft No]],[1]Roster!$C$2:$H$1402,6,)</f>
        <v>AUH1</v>
      </c>
      <c r="I786" s="48" t="b">
        <f>Table1[[#This Row],[Building]]=Table1[[#This Row],[Column1]]</f>
        <v>1</v>
      </c>
      <c r="J786" s="11" t="s">
        <v>75</v>
      </c>
      <c r="K786" s="11">
        <v>1299</v>
      </c>
      <c r="L786" s="49" t="s">
        <v>39</v>
      </c>
      <c r="M786" s="49" t="s">
        <v>76</v>
      </c>
      <c r="N786" s="49" t="s">
        <v>36</v>
      </c>
      <c r="O786" s="49" t="s">
        <v>84</v>
      </c>
      <c r="P786" s="49" t="s">
        <v>86</v>
      </c>
      <c r="Q786" s="49" t="s">
        <v>37</v>
      </c>
      <c r="R786" s="11" t="s">
        <v>80</v>
      </c>
      <c r="S786" s="11" t="s">
        <v>87</v>
      </c>
      <c r="T786" s="11" t="s">
        <v>631</v>
      </c>
      <c r="U786" s="11" t="s">
        <v>632</v>
      </c>
      <c r="V786" s="116" t="s">
        <v>1</v>
      </c>
      <c r="W786" s="88"/>
      <c r="X786" s="51">
        <v>45565</v>
      </c>
      <c r="Y786" s="97" t="s">
        <v>1577</v>
      </c>
      <c r="Z786" s="135" t="s">
        <v>2</v>
      </c>
      <c r="AA786" s="135">
        <v>0</v>
      </c>
    </row>
    <row r="787" spans="1:27" ht="13" customHeight="1">
      <c r="A787" s="11">
        <v>781</v>
      </c>
      <c r="B787" s="47">
        <v>206897644</v>
      </c>
      <c r="C787" s="89" t="s">
        <v>1885</v>
      </c>
      <c r="D787" s="11" t="s">
        <v>1886</v>
      </c>
      <c r="E787" s="48" t="s">
        <v>31</v>
      </c>
      <c r="F787" s="48" t="s">
        <v>74</v>
      </c>
      <c r="G787" s="11" t="s">
        <v>64</v>
      </c>
      <c r="H787" s="48" t="str">
        <f>VLOOKUP(Table1[[#This Row],[Psoft No]],[1]Roster!$C$2:$H$1402,6,)</f>
        <v>AUH1</v>
      </c>
      <c r="I787" s="48" t="b">
        <f>Table1[[#This Row],[Building]]=Table1[[#This Row],[Column1]]</f>
        <v>1</v>
      </c>
      <c r="J787" s="11" t="s">
        <v>75</v>
      </c>
      <c r="K787" s="11">
        <v>1290</v>
      </c>
      <c r="L787" s="49" t="s">
        <v>32</v>
      </c>
      <c r="M787" s="49" t="s">
        <v>76</v>
      </c>
      <c r="N787" s="49" t="s">
        <v>92</v>
      </c>
      <c r="O787" s="49" t="s">
        <v>84</v>
      </c>
      <c r="P787" s="49" t="s">
        <v>89</v>
      </c>
      <c r="Q787" s="49" t="s">
        <v>37</v>
      </c>
      <c r="R787" s="11" t="s">
        <v>80</v>
      </c>
      <c r="S787" s="11" t="s">
        <v>81</v>
      </c>
      <c r="T787" s="11" t="s">
        <v>647</v>
      </c>
      <c r="U787" s="11" t="s">
        <v>1798</v>
      </c>
      <c r="V787" s="116" t="s">
        <v>10</v>
      </c>
      <c r="W787" s="88"/>
      <c r="X787" s="51">
        <v>46030</v>
      </c>
      <c r="Y787" s="97" t="s">
        <v>1577</v>
      </c>
      <c r="Z787" s="135" t="s">
        <v>3023</v>
      </c>
      <c r="AA787" s="135">
        <v>0</v>
      </c>
    </row>
    <row r="788" spans="1:27" ht="13" customHeight="1">
      <c r="A788" s="11">
        <v>782</v>
      </c>
      <c r="B788" s="47">
        <v>203737010</v>
      </c>
      <c r="C788" s="89" t="s">
        <v>842</v>
      </c>
      <c r="D788" s="11" t="s">
        <v>843</v>
      </c>
      <c r="E788" s="48" t="s">
        <v>31</v>
      </c>
      <c r="F788" s="48" t="s">
        <v>74</v>
      </c>
      <c r="G788" s="11" t="s">
        <v>64</v>
      </c>
      <c r="H788" s="48" t="str">
        <f>VLOOKUP(Table1[[#This Row],[Psoft No]],[1]Roster!$C$2:$H$1402,6,)</f>
        <v>AUH1</v>
      </c>
      <c r="I788" s="48" t="b">
        <f>Table1[[#This Row],[Building]]=Table1[[#This Row],[Column1]]</f>
        <v>1</v>
      </c>
      <c r="J788" s="11" t="s">
        <v>75</v>
      </c>
      <c r="K788" s="11">
        <v>1299</v>
      </c>
      <c r="L788" s="49" t="s">
        <v>39</v>
      </c>
      <c r="M788" s="49" t="s">
        <v>76</v>
      </c>
      <c r="N788" s="49" t="s">
        <v>84</v>
      </c>
      <c r="O788" s="49" t="s">
        <v>85</v>
      </c>
      <c r="P788" s="48" t="s">
        <v>79</v>
      </c>
      <c r="Q788" s="49" t="s">
        <v>37</v>
      </c>
      <c r="R788" s="11" t="s">
        <v>80</v>
      </c>
      <c r="S788" s="11" t="s">
        <v>81</v>
      </c>
      <c r="T788" s="11" t="s">
        <v>1066</v>
      </c>
      <c r="U788" s="11" t="s">
        <v>2717</v>
      </c>
      <c r="V788" s="116" t="s">
        <v>1</v>
      </c>
      <c r="W788" s="88"/>
      <c r="X788" s="51">
        <v>45502</v>
      </c>
      <c r="Y788" s="97" t="s">
        <v>1577</v>
      </c>
      <c r="Z788" s="135" t="s">
        <v>2</v>
      </c>
      <c r="AA788" s="135">
        <v>0</v>
      </c>
    </row>
    <row r="789" spans="1:27" ht="13" customHeight="1">
      <c r="A789" s="11">
        <v>783</v>
      </c>
      <c r="B789" s="92">
        <v>206906443</v>
      </c>
      <c r="C789" s="47" t="s">
        <v>1873</v>
      </c>
      <c r="D789" s="89" t="s">
        <v>1874</v>
      </c>
      <c r="E789" s="48" t="s">
        <v>31</v>
      </c>
      <c r="F789" s="48" t="s">
        <v>74</v>
      </c>
      <c r="G789" s="11" t="s">
        <v>64</v>
      </c>
      <c r="H789" s="48" t="str">
        <f>VLOOKUP(Table1[[#This Row],[Psoft No]],[1]Roster!$C$2:$H$1402,6,)</f>
        <v>AUH1</v>
      </c>
      <c r="I789" s="48" t="b">
        <f>Table1[[#This Row],[Building]]=Table1[[#This Row],[Column1]]</f>
        <v>1</v>
      </c>
      <c r="J789" s="11" t="s">
        <v>75</v>
      </c>
      <c r="K789" s="11">
        <v>1299</v>
      </c>
      <c r="L789" s="49" t="s">
        <v>39</v>
      </c>
      <c r="M789" s="49" t="s">
        <v>76</v>
      </c>
      <c r="N789" s="49" t="s">
        <v>84</v>
      </c>
      <c r="O789" s="49" t="s">
        <v>85</v>
      </c>
      <c r="P789" s="49" t="s">
        <v>89</v>
      </c>
      <c r="Q789" s="49" t="s">
        <v>37</v>
      </c>
      <c r="R789" s="11" t="s">
        <v>80</v>
      </c>
      <c r="S789" s="11" t="s">
        <v>90</v>
      </c>
      <c r="T789" s="11" t="s">
        <v>647</v>
      </c>
      <c r="U789" s="11" t="s">
        <v>1798</v>
      </c>
      <c r="V789" s="116" t="s">
        <v>1</v>
      </c>
      <c r="W789" s="88"/>
      <c r="X789" s="51">
        <v>46030</v>
      </c>
      <c r="Y789" s="97" t="s">
        <v>1577</v>
      </c>
      <c r="Z789" s="135" t="s">
        <v>2</v>
      </c>
      <c r="AA789" s="135">
        <v>0</v>
      </c>
    </row>
    <row r="790" spans="1:27" ht="13" customHeight="1">
      <c r="A790" s="11">
        <v>784</v>
      </c>
      <c r="B790" s="47">
        <v>203993509</v>
      </c>
      <c r="C790" s="89" t="s">
        <v>2768</v>
      </c>
      <c r="D790" s="11" t="s">
        <v>2769</v>
      </c>
      <c r="E790" s="48" t="s">
        <v>31</v>
      </c>
      <c r="F790" s="48" t="s">
        <v>74</v>
      </c>
      <c r="G790" s="11" t="s">
        <v>64</v>
      </c>
      <c r="H790" s="48" t="str">
        <f>VLOOKUP(Table1[[#This Row],[Psoft No]],[1]Roster!$C$2:$H$1402,6,)</f>
        <v>AUH1</v>
      </c>
      <c r="I790" s="48" t="b">
        <f>Table1[[#This Row],[Building]]=Table1[[#This Row],[Column1]]</f>
        <v>1</v>
      </c>
      <c r="J790" s="11" t="s">
        <v>75</v>
      </c>
      <c r="K790" s="11">
        <v>1299</v>
      </c>
      <c r="L790" s="49" t="s">
        <v>32</v>
      </c>
      <c r="M790" s="49" t="s">
        <v>76</v>
      </c>
      <c r="N790" s="49" t="s">
        <v>85</v>
      </c>
      <c r="O790" s="49" t="s">
        <v>88</v>
      </c>
      <c r="P790" s="49" t="s">
        <v>86</v>
      </c>
      <c r="Q790" s="48" t="s">
        <v>37</v>
      </c>
      <c r="R790" s="48" t="s">
        <v>80</v>
      </c>
      <c r="S790" s="11" t="s">
        <v>90</v>
      </c>
      <c r="T790" s="11" t="s">
        <v>647</v>
      </c>
      <c r="U790" s="11" t="s">
        <v>2739</v>
      </c>
      <c r="V790" s="116" t="str">
        <f>VLOOKUP(Table1[[#This Row],[Psoft No]],[2]Sheet1!$A$2:$G$386,7,0)</f>
        <v>P</v>
      </c>
      <c r="W790" s="88"/>
      <c r="X790" s="51">
        <v>45894</v>
      </c>
      <c r="Y790" s="97" t="s">
        <v>1577</v>
      </c>
      <c r="Z790" s="135" t="s">
        <v>2</v>
      </c>
      <c r="AA790" s="135">
        <v>0</v>
      </c>
    </row>
    <row r="791" spans="1:27" ht="13" customHeight="1">
      <c r="A791" s="11">
        <v>785</v>
      </c>
      <c r="B791" s="47">
        <v>206850959</v>
      </c>
      <c r="C791" s="89" t="s">
        <v>1803</v>
      </c>
      <c r="D791" s="11" t="s">
        <v>1804</v>
      </c>
      <c r="E791" s="48" t="s">
        <v>31</v>
      </c>
      <c r="F791" s="48" t="s">
        <v>74</v>
      </c>
      <c r="G791" s="11" t="s">
        <v>64</v>
      </c>
      <c r="H791" s="48" t="str">
        <f>VLOOKUP(Table1[[#This Row],[Psoft No]],[1]Roster!$C$2:$H$1402,6,)</f>
        <v>AUH1</v>
      </c>
      <c r="I791" s="48" t="b">
        <f>Table1[[#This Row],[Building]]=Table1[[#This Row],[Column1]]</f>
        <v>1</v>
      </c>
      <c r="J791" s="11" t="s">
        <v>75</v>
      </c>
      <c r="K791" s="11">
        <v>1299</v>
      </c>
      <c r="L791" s="49" t="s">
        <v>32</v>
      </c>
      <c r="M791" s="49" t="s">
        <v>76</v>
      </c>
      <c r="N791" s="49" t="s">
        <v>88</v>
      </c>
      <c r="O791" s="49" t="s">
        <v>95</v>
      </c>
      <c r="P791" s="48" t="s">
        <v>89</v>
      </c>
      <c r="Q791" s="49" t="s">
        <v>37</v>
      </c>
      <c r="R791" s="11" t="s">
        <v>80</v>
      </c>
      <c r="S791" s="11" t="s">
        <v>90</v>
      </c>
      <c r="T791" s="11" t="s">
        <v>1066</v>
      </c>
      <c r="U791" s="11" t="s">
        <v>2717</v>
      </c>
      <c r="V791" s="116" t="str">
        <f>VLOOKUP(Table1[[#This Row],[Psoft No]],[2]Sheet1!$A$2:$G$386,7,0)</f>
        <v>P</v>
      </c>
      <c r="W791" s="88"/>
      <c r="X791" s="51">
        <v>46013</v>
      </c>
      <c r="Y791" s="97" t="s">
        <v>1577</v>
      </c>
      <c r="Z791" s="135" t="s">
        <v>2</v>
      </c>
      <c r="AA791" s="135">
        <v>0</v>
      </c>
    </row>
    <row r="792" spans="1:27" ht="13" customHeight="1">
      <c r="A792" s="11">
        <v>786</v>
      </c>
      <c r="B792" s="47">
        <v>206128855</v>
      </c>
      <c r="C792" s="89" t="s">
        <v>844</v>
      </c>
      <c r="D792" s="11" t="s">
        <v>845</v>
      </c>
      <c r="E792" s="48" t="s">
        <v>31</v>
      </c>
      <c r="F792" s="48" t="s">
        <v>74</v>
      </c>
      <c r="G792" s="11" t="s">
        <v>64</v>
      </c>
      <c r="H792" s="48" t="str">
        <f>VLOOKUP(Table1[[#This Row],[Psoft No]],[1]Roster!$C$2:$H$1402,6,)</f>
        <v>AUH1</v>
      </c>
      <c r="I792" s="48" t="b">
        <f>Table1[[#This Row],[Building]]=Table1[[#This Row],[Column1]]</f>
        <v>1</v>
      </c>
      <c r="J792" s="11" t="s">
        <v>75</v>
      </c>
      <c r="K792" s="11">
        <v>1299</v>
      </c>
      <c r="L792" s="49" t="s">
        <v>32</v>
      </c>
      <c r="M792" s="49" t="s">
        <v>76</v>
      </c>
      <c r="N792" s="49" t="s">
        <v>92</v>
      </c>
      <c r="O792" s="49" t="s">
        <v>84</v>
      </c>
      <c r="P792" s="48" t="s">
        <v>79</v>
      </c>
      <c r="Q792" s="49" t="s">
        <v>37</v>
      </c>
      <c r="R792" s="11" t="s">
        <v>80</v>
      </c>
      <c r="S792" s="11" t="s">
        <v>81</v>
      </c>
      <c r="T792" s="11" t="s">
        <v>2845</v>
      </c>
      <c r="U792" s="11" t="s">
        <v>2846</v>
      </c>
      <c r="V792" s="116" t="s">
        <v>10</v>
      </c>
      <c r="W792" s="88"/>
      <c r="X792" s="51">
        <v>45929</v>
      </c>
      <c r="Y792" s="97" t="s">
        <v>1577</v>
      </c>
      <c r="Z792" s="135" t="s">
        <v>3023</v>
      </c>
      <c r="AA792" s="135">
        <v>0</v>
      </c>
    </row>
    <row r="793" spans="1:27" ht="13" customHeight="1">
      <c r="A793" s="11">
        <v>787</v>
      </c>
      <c r="B793" s="47">
        <v>203965176</v>
      </c>
      <c r="C793" s="89" t="s">
        <v>846</v>
      </c>
      <c r="D793" s="11" t="s">
        <v>847</v>
      </c>
      <c r="E793" s="48" t="s">
        <v>31</v>
      </c>
      <c r="F793" s="48" t="s">
        <v>74</v>
      </c>
      <c r="G793" s="11" t="s">
        <v>64</v>
      </c>
      <c r="H793" s="48" t="str">
        <f>VLOOKUP(Table1[[#This Row],[Psoft No]],[1]Roster!$C$2:$H$1402,6,)</f>
        <v>AUH1</v>
      </c>
      <c r="I793" s="48" t="b">
        <f>Table1[[#This Row],[Building]]=Table1[[#This Row],[Column1]]</f>
        <v>1</v>
      </c>
      <c r="J793" s="11" t="s">
        <v>75</v>
      </c>
      <c r="K793" s="11">
        <v>1299</v>
      </c>
      <c r="L793" s="49" t="s">
        <v>32</v>
      </c>
      <c r="M793" s="49" t="s">
        <v>76</v>
      </c>
      <c r="N793" s="49" t="s">
        <v>77</v>
      </c>
      <c r="O793" s="49" t="s">
        <v>78</v>
      </c>
      <c r="P793" s="48" t="s">
        <v>79</v>
      </c>
      <c r="Q793" s="49" t="s">
        <v>37</v>
      </c>
      <c r="R793" s="11" t="s">
        <v>80</v>
      </c>
      <c r="S793" s="11" t="s">
        <v>81</v>
      </c>
      <c r="T793" s="49" t="s">
        <v>647</v>
      </c>
      <c r="U793" s="11" t="s">
        <v>1798</v>
      </c>
      <c r="V793" s="116" t="str">
        <f>VLOOKUP(Table1[[#This Row],[Psoft No]],[2]Sheet1!$A$2:$G$386,7,0)</f>
        <v>P</v>
      </c>
      <c r="W793" s="88"/>
      <c r="X793" s="51">
        <v>45544</v>
      </c>
      <c r="Y793" s="97" t="s">
        <v>1577</v>
      </c>
      <c r="Z793" s="135" t="s">
        <v>2</v>
      </c>
      <c r="AA793" s="135">
        <v>0</v>
      </c>
    </row>
    <row r="794" spans="1:27" ht="13" customHeight="1">
      <c r="A794" s="11">
        <v>788</v>
      </c>
      <c r="B794" s="47">
        <v>205852638</v>
      </c>
      <c r="C794" s="89" t="s">
        <v>848</v>
      </c>
      <c r="D794" s="11" t="s">
        <v>849</v>
      </c>
      <c r="E794" s="48" t="s">
        <v>31</v>
      </c>
      <c r="F794" s="48" t="s">
        <v>74</v>
      </c>
      <c r="G794" s="11" t="s">
        <v>64</v>
      </c>
      <c r="H794" s="48" t="str">
        <f>VLOOKUP(Table1[[#This Row],[Psoft No]],[1]Roster!$C$2:$H$1402,6,)</f>
        <v>AUH1</v>
      </c>
      <c r="I794" s="48" t="b">
        <f>Table1[[#This Row],[Building]]=Table1[[#This Row],[Column1]]</f>
        <v>1</v>
      </c>
      <c r="J794" s="11" t="s">
        <v>75</v>
      </c>
      <c r="K794" s="11">
        <v>1299</v>
      </c>
      <c r="L794" s="49" t="s">
        <v>39</v>
      </c>
      <c r="M794" s="49" t="s">
        <v>76</v>
      </c>
      <c r="N794" s="49" t="s">
        <v>92</v>
      </c>
      <c r="O794" s="49" t="s">
        <v>84</v>
      </c>
      <c r="P794" s="48" t="s">
        <v>89</v>
      </c>
      <c r="Q794" s="49" t="s">
        <v>37</v>
      </c>
      <c r="R794" s="11" t="s">
        <v>80</v>
      </c>
      <c r="S794" s="11" t="s">
        <v>96</v>
      </c>
      <c r="T794" s="11" t="s">
        <v>631</v>
      </c>
      <c r="U794" s="11" t="s">
        <v>632</v>
      </c>
      <c r="V794" s="116" t="s">
        <v>10</v>
      </c>
      <c r="W794" s="88"/>
      <c r="X794" s="51">
        <v>45894</v>
      </c>
      <c r="Y794" s="97" t="s">
        <v>1577</v>
      </c>
      <c r="Z794" s="135" t="s">
        <v>3023</v>
      </c>
      <c r="AA794" s="135">
        <v>0</v>
      </c>
    </row>
    <row r="795" spans="1:27" ht="13" customHeight="1">
      <c r="A795" s="11">
        <v>789</v>
      </c>
      <c r="B795" s="47">
        <v>206192269</v>
      </c>
      <c r="C795" s="89" t="s">
        <v>1597</v>
      </c>
      <c r="D795" s="11" t="s">
        <v>1591</v>
      </c>
      <c r="E795" s="48" t="s">
        <v>31</v>
      </c>
      <c r="F795" s="48" t="s">
        <v>74</v>
      </c>
      <c r="G795" s="11" t="s">
        <v>64</v>
      </c>
      <c r="H795" s="48" t="str">
        <f>VLOOKUP(Table1[[#This Row],[Psoft No]],[1]Roster!$C$2:$H$1402,6,)</f>
        <v>AUH1</v>
      </c>
      <c r="I795" s="48" t="b">
        <f>Table1[[#This Row],[Building]]=Table1[[#This Row],[Column1]]</f>
        <v>1</v>
      </c>
      <c r="J795" s="11" t="s">
        <v>75</v>
      </c>
      <c r="K795" s="11">
        <v>1299</v>
      </c>
      <c r="L795" s="49" t="s">
        <v>32</v>
      </c>
      <c r="M795" s="49" t="s">
        <v>76</v>
      </c>
      <c r="N795" s="49" t="s">
        <v>95</v>
      </c>
      <c r="O795" s="49" t="s">
        <v>77</v>
      </c>
      <c r="P795" s="49" t="s">
        <v>89</v>
      </c>
      <c r="Q795" s="48" t="s">
        <v>37</v>
      </c>
      <c r="R795" s="48" t="s">
        <v>80</v>
      </c>
      <c r="S795" s="11" t="s">
        <v>96</v>
      </c>
      <c r="T795" s="11" t="s">
        <v>2845</v>
      </c>
      <c r="U795" s="11" t="s">
        <v>2846</v>
      </c>
      <c r="V795" s="116" t="str">
        <f>VLOOKUP(Table1[[#This Row],[Psoft No]],[2]Sheet1!$A$2:$G$386,7,0)</f>
        <v>P</v>
      </c>
      <c r="W795" s="88"/>
      <c r="X795" s="51">
        <v>45936</v>
      </c>
      <c r="Y795" s="97" t="s">
        <v>1577</v>
      </c>
      <c r="Z795" s="135" t="s">
        <v>2</v>
      </c>
      <c r="AA795" s="135">
        <v>0</v>
      </c>
    </row>
    <row r="796" spans="1:27" ht="13" customHeight="1">
      <c r="A796" s="11">
        <v>790</v>
      </c>
      <c r="B796" s="11">
        <v>204070590</v>
      </c>
      <c r="C796" s="89" t="s">
        <v>2400</v>
      </c>
      <c r="D796" s="11" t="s">
        <v>2401</v>
      </c>
      <c r="E796" s="48" t="s">
        <v>31</v>
      </c>
      <c r="F796" s="48" t="s">
        <v>74</v>
      </c>
      <c r="G796" s="11" t="s">
        <v>64</v>
      </c>
      <c r="H796" s="48" t="str">
        <f>VLOOKUP(Table1[[#This Row],[Psoft No]],[1]Roster!$C$2:$H$1402,6,)</f>
        <v>AUH1</v>
      </c>
      <c r="I796" s="48" t="b">
        <f>Table1[[#This Row],[Building]]=Table1[[#This Row],[Column1]]</f>
        <v>1</v>
      </c>
      <c r="J796" s="11" t="s">
        <v>75</v>
      </c>
      <c r="K796" s="11">
        <v>1299</v>
      </c>
      <c r="L796" s="49" t="s">
        <v>32</v>
      </c>
      <c r="M796" s="49" t="s">
        <v>76</v>
      </c>
      <c r="N796" s="49" t="s">
        <v>77</v>
      </c>
      <c r="O796" s="49" t="s">
        <v>78</v>
      </c>
      <c r="P796" s="11" t="s">
        <v>86</v>
      </c>
      <c r="Q796" s="11" t="s">
        <v>37</v>
      </c>
      <c r="R796" s="11" t="s">
        <v>80</v>
      </c>
      <c r="S796" s="11" t="s">
        <v>90</v>
      </c>
      <c r="T796" s="11" t="s">
        <v>2845</v>
      </c>
      <c r="U796" s="11" t="s">
        <v>2846</v>
      </c>
      <c r="V796" s="116" t="str">
        <f>VLOOKUP(Table1[[#This Row],[Psoft No]],[2]Sheet1!$A$2:$G$386,7,0)</f>
        <v>P</v>
      </c>
      <c r="W796" s="88"/>
      <c r="X796" s="51">
        <v>45558</v>
      </c>
      <c r="Y796" s="102" t="s">
        <v>1577</v>
      </c>
      <c r="Z796" s="135" t="s">
        <v>2</v>
      </c>
      <c r="AA796" s="135">
        <v>0</v>
      </c>
    </row>
    <row r="797" spans="1:27" ht="13" customHeight="1">
      <c r="A797" s="11">
        <v>791</v>
      </c>
      <c r="B797" s="47">
        <v>204010424</v>
      </c>
      <c r="C797" s="89" t="s">
        <v>2770</v>
      </c>
      <c r="D797" s="11" t="s">
        <v>2771</v>
      </c>
      <c r="E797" s="48" t="s">
        <v>31</v>
      </c>
      <c r="F797" s="48" t="s">
        <v>74</v>
      </c>
      <c r="G797" s="11" t="s">
        <v>64</v>
      </c>
      <c r="H797" s="48" t="str">
        <f>VLOOKUP(Table1[[#This Row],[Psoft No]],[1]Roster!$C$2:$H$1402,6,)</f>
        <v>AUH1</v>
      </c>
      <c r="I797" s="48" t="b">
        <f>Table1[[#This Row],[Building]]=Table1[[#This Row],[Column1]]</f>
        <v>1</v>
      </c>
      <c r="J797" s="11" t="s">
        <v>75</v>
      </c>
      <c r="K797" s="11">
        <v>1299</v>
      </c>
      <c r="L797" s="49" t="s">
        <v>39</v>
      </c>
      <c r="M797" s="49" t="s">
        <v>76</v>
      </c>
      <c r="N797" s="49" t="s">
        <v>84</v>
      </c>
      <c r="O797" s="49" t="s">
        <v>85</v>
      </c>
      <c r="P797" s="48" t="s">
        <v>89</v>
      </c>
      <c r="Q797" s="49" t="s">
        <v>37</v>
      </c>
      <c r="R797" s="11" t="s">
        <v>80</v>
      </c>
      <c r="S797" s="11" t="s">
        <v>90</v>
      </c>
      <c r="T797" s="49" t="s">
        <v>2845</v>
      </c>
      <c r="U797" s="11" t="s">
        <v>2846</v>
      </c>
      <c r="V797" s="116" t="s">
        <v>1</v>
      </c>
      <c r="W797" s="88"/>
      <c r="X797" s="51">
        <v>45551</v>
      </c>
      <c r="Y797" s="97" t="s">
        <v>1577</v>
      </c>
      <c r="Z797" s="135" t="s">
        <v>2</v>
      </c>
      <c r="AA797" s="135">
        <v>0</v>
      </c>
    </row>
    <row r="798" spans="1:27" ht="13" customHeight="1">
      <c r="A798" s="11">
        <v>792</v>
      </c>
      <c r="B798" s="47">
        <v>206897652</v>
      </c>
      <c r="C798" s="89" t="s">
        <v>1897</v>
      </c>
      <c r="D798" s="11" t="s">
        <v>1898</v>
      </c>
      <c r="E798" s="48" t="s">
        <v>31</v>
      </c>
      <c r="F798" s="48" t="s">
        <v>74</v>
      </c>
      <c r="G798" s="11" t="s">
        <v>64</v>
      </c>
      <c r="H798" s="48" t="str">
        <f>VLOOKUP(Table1[[#This Row],[Psoft No]],[1]Roster!$C$2:$H$1402,6,)</f>
        <v>AUH1</v>
      </c>
      <c r="I798" s="48" t="b">
        <f>Table1[[#This Row],[Building]]=Table1[[#This Row],[Column1]]</f>
        <v>1</v>
      </c>
      <c r="J798" s="11" t="s">
        <v>75</v>
      </c>
      <c r="K798" s="11">
        <v>1290</v>
      </c>
      <c r="L798" s="49" t="s">
        <v>32</v>
      </c>
      <c r="M798" s="49" t="s">
        <v>76</v>
      </c>
      <c r="N798" s="49" t="s">
        <v>84</v>
      </c>
      <c r="O798" s="49" t="s">
        <v>85</v>
      </c>
      <c r="P798" s="48" t="s">
        <v>89</v>
      </c>
      <c r="Q798" s="49" t="s">
        <v>37</v>
      </c>
      <c r="R798" s="11" t="s">
        <v>80</v>
      </c>
      <c r="S798" s="11" t="s">
        <v>81</v>
      </c>
      <c r="T798" s="11" t="s">
        <v>1066</v>
      </c>
      <c r="U798" s="11" t="s">
        <v>2717</v>
      </c>
      <c r="V798" s="116" t="str">
        <f>VLOOKUP(Table1[[#This Row],[Psoft No]],[2]Sheet1!$A$2:$G$386,7,0)</f>
        <v>P</v>
      </c>
      <c r="W798" s="88"/>
      <c r="X798" s="51">
        <v>46030</v>
      </c>
      <c r="Y798" s="97" t="s">
        <v>1578</v>
      </c>
      <c r="Z798" s="135" t="s">
        <v>2</v>
      </c>
      <c r="AA798" s="135">
        <v>0</v>
      </c>
    </row>
    <row r="799" spans="1:27" ht="13" customHeight="1">
      <c r="A799" s="11">
        <v>793</v>
      </c>
      <c r="B799" s="47">
        <v>206174727</v>
      </c>
      <c r="C799" s="89" t="s">
        <v>2253</v>
      </c>
      <c r="D799" s="11" t="s">
        <v>2254</v>
      </c>
      <c r="E799" s="48" t="s">
        <v>31</v>
      </c>
      <c r="F799" s="48" t="s">
        <v>74</v>
      </c>
      <c r="G799" s="48" t="s">
        <v>64</v>
      </c>
      <c r="H799" s="48" t="str">
        <f>VLOOKUP(Table1[[#This Row],[Psoft No]],[1]Roster!$C$2:$H$1402,6,)</f>
        <v>AUH1</v>
      </c>
      <c r="I799" s="48" t="b">
        <f>Table1[[#This Row],[Building]]=Table1[[#This Row],[Column1]]</f>
        <v>1</v>
      </c>
      <c r="J799" s="48" t="s">
        <v>75</v>
      </c>
      <c r="K799" s="11">
        <v>1299</v>
      </c>
      <c r="L799" s="49" t="s">
        <v>32</v>
      </c>
      <c r="M799" s="49" t="s">
        <v>76</v>
      </c>
      <c r="N799" s="49" t="s">
        <v>84</v>
      </c>
      <c r="O799" s="49" t="s">
        <v>85</v>
      </c>
      <c r="P799" s="49" t="s">
        <v>89</v>
      </c>
      <c r="Q799" s="48" t="s">
        <v>67</v>
      </c>
      <c r="R799" s="48" t="s">
        <v>80</v>
      </c>
      <c r="S799" s="11" t="s">
        <v>81</v>
      </c>
      <c r="T799" s="11" t="s">
        <v>82</v>
      </c>
      <c r="U799" s="11" t="s">
        <v>2713</v>
      </c>
      <c r="V799" s="116" t="s">
        <v>7</v>
      </c>
      <c r="W799" s="88" t="s">
        <v>3015</v>
      </c>
      <c r="X799" s="51">
        <v>45932</v>
      </c>
      <c r="Y799" s="102" t="s">
        <v>1568</v>
      </c>
      <c r="Z799" s="135" t="s">
        <v>3023</v>
      </c>
      <c r="AA799" s="135" t="s">
        <v>3024</v>
      </c>
    </row>
    <row r="800" spans="1:27" ht="13" customHeight="1">
      <c r="A800" s="11">
        <v>794</v>
      </c>
      <c r="B800" s="47">
        <v>202351580</v>
      </c>
      <c r="C800" s="89" t="s">
        <v>852</v>
      </c>
      <c r="D800" s="11" t="s">
        <v>853</v>
      </c>
      <c r="E800" s="48" t="s">
        <v>31</v>
      </c>
      <c r="F800" s="48" t="s">
        <v>74</v>
      </c>
      <c r="G800" s="48" t="s">
        <v>64</v>
      </c>
      <c r="H800" s="48" t="str">
        <f>VLOOKUP(Table1[[#This Row],[Psoft No]],[1]Roster!$C$2:$H$1402,6,)</f>
        <v>AUH1</v>
      </c>
      <c r="I800" s="48" t="b">
        <f>Table1[[#This Row],[Building]]=Table1[[#This Row],[Column1]]</f>
        <v>1</v>
      </c>
      <c r="J800" s="48" t="s">
        <v>75</v>
      </c>
      <c r="K800" s="11">
        <v>1299</v>
      </c>
      <c r="L800" s="49" t="s">
        <v>39</v>
      </c>
      <c r="M800" s="49" t="s">
        <v>76</v>
      </c>
      <c r="N800" s="49" t="s">
        <v>77</v>
      </c>
      <c r="O800" s="49" t="s">
        <v>78</v>
      </c>
      <c r="P800" s="49" t="s">
        <v>79</v>
      </c>
      <c r="Q800" s="49" t="s">
        <v>37</v>
      </c>
      <c r="R800" s="49" t="s">
        <v>80</v>
      </c>
      <c r="S800" s="49" t="s">
        <v>81</v>
      </c>
      <c r="T800" s="49" t="s">
        <v>631</v>
      </c>
      <c r="U800" s="11" t="s">
        <v>632</v>
      </c>
      <c r="V800" s="116" t="s">
        <v>1</v>
      </c>
      <c r="W800" s="88"/>
      <c r="X800" s="51">
        <v>45544</v>
      </c>
      <c r="Y800" s="97" t="s">
        <v>1578</v>
      </c>
      <c r="Z800" s="135" t="s">
        <v>2</v>
      </c>
      <c r="AA800" s="135">
        <v>0</v>
      </c>
    </row>
    <row r="801" spans="1:27" ht="13" customHeight="1">
      <c r="A801" s="11">
        <v>795</v>
      </c>
      <c r="B801" s="47">
        <v>204011443</v>
      </c>
      <c r="C801" s="89" t="s">
        <v>2331</v>
      </c>
      <c r="D801" s="11" t="s">
        <v>2332</v>
      </c>
      <c r="E801" s="48" t="s">
        <v>31</v>
      </c>
      <c r="F801" s="48" t="s">
        <v>74</v>
      </c>
      <c r="G801" s="11" t="s">
        <v>64</v>
      </c>
      <c r="H801" s="48" t="str">
        <f>VLOOKUP(Table1[[#This Row],[Psoft No]],[1]Roster!$C$2:$H$1402,6,)</f>
        <v>AUH1</v>
      </c>
      <c r="I801" s="48" t="b">
        <f>Table1[[#This Row],[Building]]=Table1[[#This Row],[Column1]]</f>
        <v>1</v>
      </c>
      <c r="J801" s="11" t="s">
        <v>75</v>
      </c>
      <c r="K801" s="11">
        <v>1299</v>
      </c>
      <c r="L801" s="49" t="s">
        <v>39</v>
      </c>
      <c r="M801" s="49" t="s">
        <v>76</v>
      </c>
      <c r="N801" s="49" t="s">
        <v>84</v>
      </c>
      <c r="O801" s="49" t="s">
        <v>85</v>
      </c>
      <c r="P801" s="48" t="s">
        <v>86</v>
      </c>
      <c r="Q801" s="49" t="s">
        <v>37</v>
      </c>
      <c r="R801" s="11" t="s">
        <v>80</v>
      </c>
      <c r="S801" s="11" t="s">
        <v>90</v>
      </c>
      <c r="T801" s="11" t="s">
        <v>627</v>
      </c>
      <c r="U801" s="11" t="s">
        <v>628</v>
      </c>
      <c r="V801" s="116" t="s">
        <v>1</v>
      </c>
      <c r="W801" s="88"/>
      <c r="X801" s="51">
        <v>45551</v>
      </c>
      <c r="Y801" s="97" t="s">
        <v>1578</v>
      </c>
      <c r="Z801" s="135" t="s">
        <v>2</v>
      </c>
      <c r="AA801" s="135">
        <v>0</v>
      </c>
    </row>
    <row r="802" spans="1:27" ht="13" customHeight="1">
      <c r="A802" s="11">
        <v>796</v>
      </c>
      <c r="B802" s="47">
        <v>204072301</v>
      </c>
      <c r="C802" s="89" t="s">
        <v>854</v>
      </c>
      <c r="D802" s="11" t="s">
        <v>855</v>
      </c>
      <c r="E802" s="48" t="s">
        <v>31</v>
      </c>
      <c r="F802" s="48" t="s">
        <v>74</v>
      </c>
      <c r="G802" s="11" t="s">
        <v>64</v>
      </c>
      <c r="H802" s="48" t="str">
        <f>VLOOKUP(Table1[[#This Row],[Psoft No]],[1]Roster!$C$2:$H$1402,6,)</f>
        <v>AUH1</v>
      </c>
      <c r="I802" s="48" t="b">
        <f>Table1[[#This Row],[Building]]=Table1[[#This Row],[Column1]]</f>
        <v>1</v>
      </c>
      <c r="J802" s="11" t="s">
        <v>75</v>
      </c>
      <c r="K802" s="11">
        <v>1299</v>
      </c>
      <c r="L802" s="49" t="s">
        <v>32</v>
      </c>
      <c r="M802" s="49" t="s">
        <v>76</v>
      </c>
      <c r="N802" s="49" t="s">
        <v>85</v>
      </c>
      <c r="O802" s="49" t="s">
        <v>88</v>
      </c>
      <c r="P802" s="49" t="s">
        <v>86</v>
      </c>
      <c r="Q802" s="49" t="s">
        <v>37</v>
      </c>
      <c r="R802" s="11" t="s">
        <v>80</v>
      </c>
      <c r="S802" s="11" t="s">
        <v>90</v>
      </c>
      <c r="T802" s="11" t="s">
        <v>2845</v>
      </c>
      <c r="U802" s="11" t="s">
        <v>2846</v>
      </c>
      <c r="V802" s="116" t="str">
        <f>VLOOKUP(Table1[[#This Row],[Psoft No]],[2]Sheet1!$A$2:$G$386,7,0)</f>
        <v>P</v>
      </c>
      <c r="W802" s="88"/>
      <c r="X802" s="51">
        <v>45558</v>
      </c>
      <c r="Y802" s="97" t="s">
        <v>1577</v>
      </c>
      <c r="Z802" s="135" t="s">
        <v>2</v>
      </c>
      <c r="AA802" s="135">
        <v>0</v>
      </c>
    </row>
    <row r="803" spans="1:27" ht="13" customHeight="1">
      <c r="A803" s="11">
        <v>797</v>
      </c>
      <c r="B803" s="47">
        <v>206897647</v>
      </c>
      <c r="C803" s="89" t="s">
        <v>1893</v>
      </c>
      <c r="D803" s="11" t="s">
        <v>1894</v>
      </c>
      <c r="E803" s="48" t="s">
        <v>31</v>
      </c>
      <c r="F803" s="48" t="s">
        <v>74</v>
      </c>
      <c r="G803" s="11" t="s">
        <v>64</v>
      </c>
      <c r="H803" s="48" t="str">
        <f>VLOOKUP(Table1[[#This Row],[Psoft No]],[1]Roster!$C$2:$H$1402,6,)</f>
        <v>AUH1</v>
      </c>
      <c r="I803" s="48" t="b">
        <f>Table1[[#This Row],[Building]]=Table1[[#This Row],[Column1]]</f>
        <v>1</v>
      </c>
      <c r="J803" s="11" t="s">
        <v>75</v>
      </c>
      <c r="K803" s="11">
        <v>1290</v>
      </c>
      <c r="L803" s="49" t="s">
        <v>39</v>
      </c>
      <c r="M803" s="49" t="s">
        <v>76</v>
      </c>
      <c r="N803" s="49" t="s">
        <v>85</v>
      </c>
      <c r="O803" s="49" t="s">
        <v>88</v>
      </c>
      <c r="P803" s="49" t="s">
        <v>89</v>
      </c>
      <c r="Q803" s="49" t="s">
        <v>37</v>
      </c>
      <c r="R803" s="49" t="s">
        <v>80</v>
      </c>
      <c r="S803" s="49" t="s">
        <v>81</v>
      </c>
      <c r="T803" s="49" t="s">
        <v>1066</v>
      </c>
      <c r="U803" s="49" t="s">
        <v>2717</v>
      </c>
      <c r="V803" s="116" t="s">
        <v>3</v>
      </c>
      <c r="W803" s="88"/>
      <c r="X803" s="51">
        <v>46030</v>
      </c>
      <c r="Y803" s="97" t="s">
        <v>1578</v>
      </c>
      <c r="Z803" s="135" t="s">
        <v>3023</v>
      </c>
      <c r="AA803" s="135" t="s">
        <v>3025</v>
      </c>
    </row>
    <row r="804" spans="1:27" ht="13" customHeight="1">
      <c r="A804" s="11">
        <v>798</v>
      </c>
      <c r="B804" s="47">
        <v>206897649</v>
      </c>
      <c r="C804" s="89" t="s">
        <v>2905</v>
      </c>
      <c r="D804" s="11" t="s">
        <v>2906</v>
      </c>
      <c r="E804" s="48" t="s">
        <v>31</v>
      </c>
      <c r="F804" s="48" t="s">
        <v>74</v>
      </c>
      <c r="G804" s="11" t="s">
        <v>64</v>
      </c>
      <c r="H804" s="48" t="str">
        <f>VLOOKUP(Table1[[#This Row],[Psoft No]],[1]Roster!$C$2:$H$1402,6,)</f>
        <v>AUH1</v>
      </c>
      <c r="I804" s="48" t="b">
        <f>Table1[[#This Row],[Building]]=Table1[[#This Row],[Column1]]</f>
        <v>1</v>
      </c>
      <c r="J804" s="11" t="s">
        <v>75</v>
      </c>
      <c r="K804" s="11">
        <v>1299</v>
      </c>
      <c r="L804" s="49" t="s">
        <v>39</v>
      </c>
      <c r="M804" s="49" t="s">
        <v>76</v>
      </c>
      <c r="N804" s="49" t="s">
        <v>85</v>
      </c>
      <c r="O804" s="49" t="s">
        <v>88</v>
      </c>
      <c r="P804" s="48" t="s">
        <v>89</v>
      </c>
      <c r="Q804" s="49" t="s">
        <v>37</v>
      </c>
      <c r="R804" s="11" t="s">
        <v>80</v>
      </c>
      <c r="S804" s="11" t="s">
        <v>81</v>
      </c>
      <c r="T804" s="11" t="s">
        <v>631</v>
      </c>
      <c r="U804" s="11" t="s">
        <v>632</v>
      </c>
      <c r="V804" s="116" t="s">
        <v>1</v>
      </c>
      <c r="W804" s="88"/>
      <c r="X804" s="51">
        <v>46239</v>
      </c>
      <c r="Y804" s="97" t="s">
        <v>1579</v>
      </c>
      <c r="Z804" s="135" t="s">
        <v>2</v>
      </c>
      <c r="AA804" s="135">
        <v>0</v>
      </c>
    </row>
    <row r="805" spans="1:27" ht="13" customHeight="1">
      <c r="A805" s="11">
        <v>799</v>
      </c>
      <c r="B805" s="47">
        <v>206136723</v>
      </c>
      <c r="C805" s="90" t="s">
        <v>2826</v>
      </c>
      <c r="D805" s="11" t="s">
        <v>2827</v>
      </c>
      <c r="E805" s="48" t="s">
        <v>31</v>
      </c>
      <c r="F805" s="48" t="s">
        <v>74</v>
      </c>
      <c r="G805" s="11" t="s">
        <v>64</v>
      </c>
      <c r="H805" s="48" t="str">
        <f>VLOOKUP(Table1[[#This Row],[Psoft No]],[1]Roster!$C$2:$H$1402,6,)</f>
        <v>AUH1</v>
      </c>
      <c r="I805" s="48" t="b">
        <f>Table1[[#This Row],[Building]]=Table1[[#This Row],[Column1]]</f>
        <v>1</v>
      </c>
      <c r="J805" s="11" t="s">
        <v>75</v>
      </c>
      <c r="K805" s="11">
        <v>1299</v>
      </c>
      <c r="L805" s="87" t="s">
        <v>39</v>
      </c>
      <c r="M805" s="49" t="s">
        <v>76</v>
      </c>
      <c r="N805" s="49" t="s">
        <v>88</v>
      </c>
      <c r="O805" s="49" t="s">
        <v>95</v>
      </c>
      <c r="P805" s="49" t="s">
        <v>89</v>
      </c>
      <c r="Q805" s="49" t="s">
        <v>37</v>
      </c>
      <c r="R805" s="11" t="s">
        <v>80</v>
      </c>
      <c r="S805" s="11" t="s">
        <v>81</v>
      </c>
      <c r="T805" s="11" t="s">
        <v>2719</v>
      </c>
      <c r="U805" s="11" t="s">
        <v>642</v>
      </c>
      <c r="V805" s="116" t="s">
        <v>1</v>
      </c>
      <c r="W805" s="88"/>
      <c r="X805" s="51">
        <v>46226</v>
      </c>
      <c r="Y805" s="97" t="s">
        <v>1577</v>
      </c>
      <c r="Z805" s="135" t="s">
        <v>2</v>
      </c>
      <c r="AA805" s="135">
        <v>0</v>
      </c>
    </row>
    <row r="806" spans="1:27" ht="13" customHeight="1">
      <c r="A806" s="11">
        <v>800</v>
      </c>
      <c r="B806" s="47">
        <v>206136725</v>
      </c>
      <c r="C806" s="89" t="s">
        <v>856</v>
      </c>
      <c r="D806" s="11" t="s">
        <v>857</v>
      </c>
      <c r="E806" s="48" t="s">
        <v>31</v>
      </c>
      <c r="F806" s="48" t="s">
        <v>74</v>
      </c>
      <c r="G806" s="11" t="s">
        <v>64</v>
      </c>
      <c r="H806" s="48" t="str">
        <f>VLOOKUP(Table1[[#This Row],[Psoft No]],[1]Roster!$C$2:$H$1402,6,)</f>
        <v>AUH1</v>
      </c>
      <c r="I806" s="48" t="b">
        <f>Table1[[#This Row],[Building]]=Table1[[#This Row],[Column1]]</f>
        <v>1</v>
      </c>
      <c r="J806" s="11" t="s">
        <v>75</v>
      </c>
      <c r="K806" s="11">
        <v>1299</v>
      </c>
      <c r="L806" s="49" t="s">
        <v>39</v>
      </c>
      <c r="M806" s="49" t="s">
        <v>76</v>
      </c>
      <c r="N806" s="49" t="s">
        <v>78</v>
      </c>
      <c r="O806" s="49" t="s">
        <v>92</v>
      </c>
      <c r="P806" s="49" t="s">
        <v>79</v>
      </c>
      <c r="Q806" s="48" t="s">
        <v>37</v>
      </c>
      <c r="R806" s="48" t="s">
        <v>80</v>
      </c>
      <c r="S806" s="11" t="s">
        <v>81</v>
      </c>
      <c r="T806" s="49" t="s">
        <v>2719</v>
      </c>
      <c r="U806" s="11" t="s">
        <v>642</v>
      </c>
      <c r="V806" s="116" t="s">
        <v>10</v>
      </c>
      <c r="W806" s="88"/>
      <c r="X806" s="51">
        <v>45929</v>
      </c>
      <c r="Y806" s="97" t="s">
        <v>1577</v>
      </c>
      <c r="Z806" s="135" t="s">
        <v>3023</v>
      </c>
      <c r="AA806" s="135">
        <v>0</v>
      </c>
    </row>
    <row r="807" spans="1:27" ht="13" customHeight="1">
      <c r="A807" s="11">
        <v>801</v>
      </c>
      <c r="B807" s="47">
        <v>206239529</v>
      </c>
      <c r="C807" s="89" t="s">
        <v>1650</v>
      </c>
      <c r="D807" s="11" t="s">
        <v>1624</v>
      </c>
      <c r="E807" s="48" t="s">
        <v>31</v>
      </c>
      <c r="F807" s="48" t="s">
        <v>74</v>
      </c>
      <c r="G807" s="11" t="s">
        <v>64</v>
      </c>
      <c r="H807" s="48" t="str">
        <f>VLOOKUP(Table1[[#This Row],[Psoft No]],[1]Roster!$C$2:$H$1402,6,)</f>
        <v>AUH1</v>
      </c>
      <c r="I807" s="48" t="b">
        <f>Table1[[#This Row],[Building]]=Table1[[#This Row],[Column1]]</f>
        <v>1</v>
      </c>
      <c r="J807" s="11" t="s">
        <v>75</v>
      </c>
      <c r="K807" s="11">
        <v>1299</v>
      </c>
      <c r="L807" s="49" t="s">
        <v>32</v>
      </c>
      <c r="M807" s="49" t="s">
        <v>76</v>
      </c>
      <c r="N807" s="49" t="s">
        <v>88</v>
      </c>
      <c r="O807" s="49" t="s">
        <v>95</v>
      </c>
      <c r="P807" s="48" t="s">
        <v>79</v>
      </c>
      <c r="Q807" s="49" t="s">
        <v>37</v>
      </c>
      <c r="R807" s="11" t="s">
        <v>80</v>
      </c>
      <c r="S807" s="11" t="s">
        <v>81</v>
      </c>
      <c r="T807" s="11" t="s">
        <v>1066</v>
      </c>
      <c r="U807" s="11" t="s">
        <v>2717</v>
      </c>
      <c r="V807" s="116" t="str">
        <f>VLOOKUP(Table1[[#This Row],[Psoft No]],[2]Sheet1!$A$2:$G$386,7,0)</f>
        <v>P</v>
      </c>
      <c r="W807" s="88"/>
      <c r="X807" s="51">
        <v>45943</v>
      </c>
      <c r="Y807" s="97" t="s">
        <v>1577</v>
      </c>
      <c r="Z807" s="135" t="s">
        <v>2</v>
      </c>
      <c r="AA807" s="135">
        <v>0</v>
      </c>
    </row>
    <row r="808" spans="1:27" ht="13" customHeight="1">
      <c r="A808" s="11">
        <v>802</v>
      </c>
      <c r="B808" s="47">
        <v>206074973</v>
      </c>
      <c r="C808" s="89" t="s">
        <v>858</v>
      </c>
      <c r="D808" s="11" t="s">
        <v>859</v>
      </c>
      <c r="E808" s="48" t="s">
        <v>31</v>
      </c>
      <c r="F808" s="48" t="s">
        <v>74</v>
      </c>
      <c r="G808" s="11" t="s">
        <v>64</v>
      </c>
      <c r="H808" s="48" t="str">
        <f>VLOOKUP(Table1[[#This Row],[Psoft No]],[1]Roster!$C$2:$H$1402,6,)</f>
        <v>AUH1</v>
      </c>
      <c r="I808" s="48" t="b">
        <f>Table1[[#This Row],[Building]]=Table1[[#This Row],[Column1]]</f>
        <v>1</v>
      </c>
      <c r="J808" s="11" t="s">
        <v>75</v>
      </c>
      <c r="K808" s="11">
        <v>1299</v>
      </c>
      <c r="L808" s="49" t="s">
        <v>32</v>
      </c>
      <c r="M808" s="49" t="s">
        <v>76</v>
      </c>
      <c r="N808" s="49" t="s">
        <v>85</v>
      </c>
      <c r="O808" s="49" t="s">
        <v>88</v>
      </c>
      <c r="P808" s="48" t="s">
        <v>79</v>
      </c>
      <c r="Q808" s="49" t="s">
        <v>37</v>
      </c>
      <c r="R808" s="11" t="s">
        <v>80</v>
      </c>
      <c r="S808" s="11" t="s">
        <v>81</v>
      </c>
      <c r="T808" s="11" t="s">
        <v>647</v>
      </c>
      <c r="U808" s="11" t="s">
        <v>1798</v>
      </c>
      <c r="V808" s="116" t="str">
        <f>VLOOKUP(Table1[[#This Row],[AMZ ID]],[2]Sheet3!$A$2:$E$50,5,0)</f>
        <v>PL</v>
      </c>
      <c r="W808" s="88" t="s">
        <v>3015</v>
      </c>
      <c r="X808" s="51">
        <v>45922</v>
      </c>
      <c r="Y808" s="97" t="s">
        <v>1577</v>
      </c>
      <c r="Z808" s="135" t="s">
        <v>3023</v>
      </c>
      <c r="AA808" s="135">
        <v>0</v>
      </c>
    </row>
    <row r="809" spans="1:27" ht="13" customHeight="1">
      <c r="A809" s="11">
        <v>803</v>
      </c>
      <c r="B809" s="47">
        <v>206926478</v>
      </c>
      <c r="C809" s="89" t="s">
        <v>2012</v>
      </c>
      <c r="D809" s="11" t="s">
        <v>2019</v>
      </c>
      <c r="E809" s="48" t="s">
        <v>31</v>
      </c>
      <c r="F809" s="48" t="s">
        <v>74</v>
      </c>
      <c r="G809" s="11" t="s">
        <v>64</v>
      </c>
      <c r="H809" s="48" t="str">
        <f>VLOOKUP(Table1[[#This Row],[Psoft No]],[1]Roster!$C$2:$H$1402,6,)</f>
        <v>AUH1</v>
      </c>
      <c r="I809" s="48" t="b">
        <f>Table1[[#This Row],[Building]]=Table1[[#This Row],[Column1]]</f>
        <v>1</v>
      </c>
      <c r="J809" s="11" t="s">
        <v>1332</v>
      </c>
      <c r="K809" s="11">
        <v>1299</v>
      </c>
      <c r="L809" s="49" t="s">
        <v>39</v>
      </c>
      <c r="M809" s="49" t="s">
        <v>76</v>
      </c>
      <c r="N809" s="49" t="s">
        <v>95</v>
      </c>
      <c r="O809" s="49" t="s">
        <v>77</v>
      </c>
      <c r="P809" s="48" t="s">
        <v>89</v>
      </c>
      <c r="Q809" s="49" t="s">
        <v>37</v>
      </c>
      <c r="R809" s="11" t="s">
        <v>80</v>
      </c>
      <c r="S809" s="11" t="s">
        <v>90</v>
      </c>
      <c r="T809" s="49" t="s">
        <v>627</v>
      </c>
      <c r="U809" s="11" t="s">
        <v>628</v>
      </c>
      <c r="V809" s="116" t="s">
        <v>1</v>
      </c>
      <c r="W809" s="88"/>
      <c r="X809" s="51">
        <v>46037</v>
      </c>
      <c r="Y809" s="97" t="s">
        <v>2020</v>
      </c>
      <c r="Z809" s="135" t="s">
        <v>2</v>
      </c>
      <c r="AA809" s="135">
        <v>0</v>
      </c>
    </row>
    <row r="810" spans="1:27" ht="13" customHeight="1">
      <c r="A810" s="11">
        <v>804</v>
      </c>
      <c r="B810" s="47">
        <v>204138503</v>
      </c>
      <c r="C810" s="89" t="s">
        <v>860</v>
      </c>
      <c r="D810" s="11" t="s">
        <v>861</v>
      </c>
      <c r="E810" s="48" t="s">
        <v>31</v>
      </c>
      <c r="F810" s="48" t="s">
        <v>74</v>
      </c>
      <c r="G810" s="11" t="s">
        <v>64</v>
      </c>
      <c r="H810" s="48" t="str">
        <f>VLOOKUP(Table1[[#This Row],[Psoft No]],[1]Roster!$C$2:$H$1402,6,)</f>
        <v>AUH1</v>
      </c>
      <c r="I810" s="48" t="b">
        <f>Table1[[#This Row],[Building]]=Table1[[#This Row],[Column1]]</f>
        <v>1</v>
      </c>
      <c r="J810" s="11" t="s">
        <v>75</v>
      </c>
      <c r="K810" s="11">
        <v>1299</v>
      </c>
      <c r="L810" s="49" t="s">
        <v>39</v>
      </c>
      <c r="M810" s="49" t="s">
        <v>76</v>
      </c>
      <c r="N810" s="49" t="s">
        <v>78</v>
      </c>
      <c r="O810" s="49" t="s">
        <v>92</v>
      </c>
      <c r="P810" s="48" t="s">
        <v>79</v>
      </c>
      <c r="Q810" s="49" t="s">
        <v>37</v>
      </c>
      <c r="R810" s="11" t="s">
        <v>80</v>
      </c>
      <c r="S810" s="11" t="s">
        <v>81</v>
      </c>
      <c r="T810" s="11" t="s">
        <v>639</v>
      </c>
      <c r="U810" s="11" t="s">
        <v>2718</v>
      </c>
      <c r="V810" s="116" t="s">
        <v>10</v>
      </c>
      <c r="W810" s="88"/>
      <c r="X810" s="51">
        <v>45565</v>
      </c>
      <c r="Y810" s="97" t="s">
        <v>1577</v>
      </c>
      <c r="Z810" s="135" t="s">
        <v>3023</v>
      </c>
      <c r="AA810" s="135">
        <v>0</v>
      </c>
    </row>
    <row r="811" spans="1:27" ht="13" customHeight="1">
      <c r="A811" s="11">
        <v>805</v>
      </c>
      <c r="B811" s="92">
        <v>205853573</v>
      </c>
      <c r="C811" s="47" t="s">
        <v>862</v>
      </c>
      <c r="D811" s="89" t="s">
        <v>863</v>
      </c>
      <c r="E811" s="48" t="s">
        <v>31</v>
      </c>
      <c r="F811" s="48" t="s">
        <v>74</v>
      </c>
      <c r="G811" s="11" t="s">
        <v>64</v>
      </c>
      <c r="H811" s="48" t="str">
        <f>VLOOKUP(Table1[[#This Row],[Psoft No]],[1]Roster!$C$2:$H$1402,6,)</f>
        <v>AUH1</v>
      </c>
      <c r="I811" s="48" t="b">
        <f>Table1[[#This Row],[Building]]=Table1[[#This Row],[Column1]]</f>
        <v>1</v>
      </c>
      <c r="J811" s="11" t="s">
        <v>75</v>
      </c>
      <c r="K811" s="11">
        <v>1299</v>
      </c>
      <c r="L811" s="49" t="s">
        <v>39</v>
      </c>
      <c r="M811" s="49" t="s">
        <v>76</v>
      </c>
      <c r="N811" s="49" t="s">
        <v>92</v>
      </c>
      <c r="O811" s="49" t="s">
        <v>84</v>
      </c>
      <c r="P811" s="48" t="s">
        <v>89</v>
      </c>
      <c r="Q811" s="49" t="s">
        <v>37</v>
      </c>
      <c r="R811" s="11" t="s">
        <v>80</v>
      </c>
      <c r="S811" s="11" t="s">
        <v>96</v>
      </c>
      <c r="T811" s="11" t="s">
        <v>631</v>
      </c>
      <c r="U811" s="11" t="s">
        <v>632</v>
      </c>
      <c r="V811" s="116" t="s">
        <v>10</v>
      </c>
      <c r="W811" s="88"/>
      <c r="X811" s="51">
        <v>45894</v>
      </c>
      <c r="Y811" s="97" t="s">
        <v>1577</v>
      </c>
      <c r="Z811" s="135" t="s">
        <v>3023</v>
      </c>
      <c r="AA811" s="135">
        <v>0</v>
      </c>
    </row>
    <row r="812" spans="1:27" ht="13" customHeight="1">
      <c r="A812" s="11">
        <v>806</v>
      </c>
      <c r="B812" s="47">
        <v>206915464</v>
      </c>
      <c r="C812" s="89" t="s">
        <v>1910</v>
      </c>
      <c r="D812" s="11" t="s">
        <v>1916</v>
      </c>
      <c r="E812" s="48" t="s">
        <v>31</v>
      </c>
      <c r="F812" s="48" t="s">
        <v>74</v>
      </c>
      <c r="G812" s="11" t="s">
        <v>64</v>
      </c>
      <c r="H812" s="48" t="str">
        <f>VLOOKUP(Table1[[#This Row],[Psoft No]],[1]Roster!$C$2:$H$1402,6,)</f>
        <v>AUH1</v>
      </c>
      <c r="I812" s="48" t="b">
        <f>Table1[[#This Row],[Building]]=Table1[[#This Row],[Column1]]</f>
        <v>1</v>
      </c>
      <c r="J812" s="11" t="s">
        <v>75</v>
      </c>
      <c r="K812" s="11">
        <v>1299</v>
      </c>
      <c r="L812" s="49" t="s">
        <v>39</v>
      </c>
      <c r="M812" s="49" t="s">
        <v>76</v>
      </c>
      <c r="N812" s="49" t="s">
        <v>92</v>
      </c>
      <c r="O812" s="49" t="s">
        <v>84</v>
      </c>
      <c r="P812" s="48" t="s">
        <v>89</v>
      </c>
      <c r="Q812" s="49" t="s">
        <v>37</v>
      </c>
      <c r="R812" s="11" t="s">
        <v>80</v>
      </c>
      <c r="S812" s="11" t="s">
        <v>90</v>
      </c>
      <c r="T812" s="11" t="s">
        <v>647</v>
      </c>
      <c r="U812" s="11" t="s">
        <v>1798</v>
      </c>
      <c r="V812" s="116" t="s">
        <v>10</v>
      </c>
      <c r="W812" s="88"/>
      <c r="X812" s="51">
        <v>46034</v>
      </c>
      <c r="Y812" s="97" t="s">
        <v>1576</v>
      </c>
      <c r="Z812" s="135" t="s">
        <v>3023</v>
      </c>
      <c r="AA812" s="135">
        <v>0</v>
      </c>
    </row>
    <row r="813" spans="1:27" ht="13" customHeight="1">
      <c r="A813" s="11">
        <v>807</v>
      </c>
      <c r="B813" s="47">
        <v>203468748</v>
      </c>
      <c r="C813" s="89" t="s">
        <v>864</v>
      </c>
      <c r="D813" s="11" t="s">
        <v>865</v>
      </c>
      <c r="E813" s="48" t="s">
        <v>31</v>
      </c>
      <c r="F813" s="48" t="s">
        <v>74</v>
      </c>
      <c r="G813" s="11" t="s">
        <v>64</v>
      </c>
      <c r="H813" s="48" t="str">
        <f>VLOOKUP(Table1[[#This Row],[Psoft No]],[1]Roster!$C$2:$H$1402,6,)</f>
        <v>AUH1</v>
      </c>
      <c r="I813" s="48" t="b">
        <f>Table1[[#This Row],[Building]]=Table1[[#This Row],[Column1]]</f>
        <v>1</v>
      </c>
      <c r="J813" s="11" t="s">
        <v>75</v>
      </c>
      <c r="K813" s="11">
        <v>1299</v>
      </c>
      <c r="L813" s="49" t="s">
        <v>39</v>
      </c>
      <c r="M813" s="49" t="s">
        <v>76</v>
      </c>
      <c r="N813" s="49" t="s">
        <v>95</v>
      </c>
      <c r="O813" s="49" t="s">
        <v>77</v>
      </c>
      <c r="P813" s="48" t="s">
        <v>79</v>
      </c>
      <c r="Q813" s="49" t="s">
        <v>37</v>
      </c>
      <c r="R813" s="11" t="s">
        <v>80</v>
      </c>
      <c r="S813" s="11" t="s">
        <v>81</v>
      </c>
      <c r="T813" s="49" t="s">
        <v>631</v>
      </c>
      <c r="U813" s="11" t="s">
        <v>632</v>
      </c>
      <c r="V813" s="116" t="s">
        <v>1</v>
      </c>
      <c r="W813" s="88"/>
      <c r="X813" s="51">
        <v>45456</v>
      </c>
      <c r="Y813" s="97" t="s">
        <v>1579</v>
      </c>
      <c r="Z813" s="135" t="s">
        <v>2</v>
      </c>
      <c r="AA813" s="135">
        <v>0</v>
      </c>
    </row>
    <row r="814" spans="1:27" ht="13" customHeight="1">
      <c r="A814" s="11">
        <v>808</v>
      </c>
      <c r="B814" s="47">
        <v>205199079</v>
      </c>
      <c r="C814" s="89" t="s">
        <v>2076</v>
      </c>
      <c r="D814" s="11" t="s">
        <v>2077</v>
      </c>
      <c r="E814" s="48" t="s">
        <v>31</v>
      </c>
      <c r="F814" s="48" t="s">
        <v>74</v>
      </c>
      <c r="G814" s="11" t="s">
        <v>64</v>
      </c>
      <c r="H814" s="48" t="str">
        <f>VLOOKUP(Table1[[#This Row],[Psoft No]],[1]Roster!$C$2:$H$1402,6,)</f>
        <v>AUH1</v>
      </c>
      <c r="I814" s="48" t="b">
        <f>Table1[[#This Row],[Building]]=Table1[[#This Row],[Column1]]</f>
        <v>1</v>
      </c>
      <c r="J814" s="11" t="s">
        <v>75</v>
      </c>
      <c r="K814" s="11">
        <v>1299</v>
      </c>
      <c r="L814" s="49" t="s">
        <v>39</v>
      </c>
      <c r="M814" s="49" t="s">
        <v>76</v>
      </c>
      <c r="N814" s="49" t="s">
        <v>77</v>
      </c>
      <c r="O814" s="49" t="s">
        <v>78</v>
      </c>
      <c r="P814" s="49" t="s">
        <v>79</v>
      </c>
      <c r="Q814" s="49" t="s">
        <v>37</v>
      </c>
      <c r="R814" s="11" t="s">
        <v>80</v>
      </c>
      <c r="S814" s="11" t="s">
        <v>96</v>
      </c>
      <c r="T814" s="11" t="s">
        <v>2844</v>
      </c>
      <c r="U814" s="11" t="s">
        <v>2716</v>
      </c>
      <c r="V814" s="116" t="s">
        <v>1</v>
      </c>
      <c r="W814" s="88"/>
      <c r="X814" s="51">
        <v>46048</v>
      </c>
      <c r="Y814" s="97" t="s">
        <v>1577</v>
      </c>
      <c r="Z814" s="135" t="s">
        <v>2</v>
      </c>
      <c r="AA814" s="135">
        <v>0</v>
      </c>
    </row>
    <row r="815" spans="1:27" ht="13" customHeight="1">
      <c r="A815" s="11">
        <v>809</v>
      </c>
      <c r="B815" s="47">
        <v>206906444</v>
      </c>
      <c r="C815" s="89" t="s">
        <v>1875</v>
      </c>
      <c r="D815" s="11" t="s">
        <v>1876</v>
      </c>
      <c r="E815" s="48" t="s">
        <v>31</v>
      </c>
      <c r="F815" s="48" t="s">
        <v>74</v>
      </c>
      <c r="G815" s="11" t="s">
        <v>64</v>
      </c>
      <c r="H815" s="48" t="str">
        <f>VLOOKUP(Table1[[#This Row],[Psoft No]],[1]Roster!$C$2:$H$1402,6,)</f>
        <v>AUH1</v>
      </c>
      <c r="I815" s="48" t="b">
        <f>Table1[[#This Row],[Building]]=Table1[[#This Row],[Column1]]</f>
        <v>1</v>
      </c>
      <c r="J815" s="11" t="s">
        <v>75</v>
      </c>
      <c r="K815" s="11">
        <v>1299</v>
      </c>
      <c r="L815" s="49" t="s">
        <v>39</v>
      </c>
      <c r="M815" s="49" t="s">
        <v>76</v>
      </c>
      <c r="N815" s="49" t="s">
        <v>84</v>
      </c>
      <c r="O815" s="49" t="s">
        <v>85</v>
      </c>
      <c r="P815" s="48" t="s">
        <v>89</v>
      </c>
      <c r="Q815" s="49" t="s">
        <v>37</v>
      </c>
      <c r="R815" s="11" t="s">
        <v>80</v>
      </c>
      <c r="S815" s="11" t="s">
        <v>90</v>
      </c>
      <c r="T815" s="49" t="s">
        <v>647</v>
      </c>
      <c r="U815" s="11" t="s">
        <v>1798</v>
      </c>
      <c r="V815" s="116" t="s">
        <v>1</v>
      </c>
      <c r="W815" s="88"/>
      <c r="X815" s="51">
        <v>46030</v>
      </c>
      <c r="Y815" s="97" t="s">
        <v>1577</v>
      </c>
      <c r="Z815" s="135" t="s">
        <v>2</v>
      </c>
      <c r="AA815" s="135">
        <v>0</v>
      </c>
    </row>
    <row r="816" spans="1:27" ht="13" customHeight="1">
      <c r="A816" s="11">
        <v>810</v>
      </c>
      <c r="B816" s="47">
        <v>204138121</v>
      </c>
      <c r="C816" s="89" t="s">
        <v>866</v>
      </c>
      <c r="D816" s="11" t="s">
        <v>867</v>
      </c>
      <c r="E816" s="48" t="s">
        <v>31</v>
      </c>
      <c r="F816" s="48" t="s">
        <v>74</v>
      </c>
      <c r="G816" s="11" t="s">
        <v>64</v>
      </c>
      <c r="H816" s="48" t="str">
        <f>VLOOKUP(Table1[[#This Row],[Psoft No]],[1]Roster!$C$2:$H$1402,6,)</f>
        <v>AUH1</v>
      </c>
      <c r="I816" s="48" t="b">
        <f>Table1[[#This Row],[Building]]=Table1[[#This Row],[Column1]]</f>
        <v>1</v>
      </c>
      <c r="J816" s="11" t="s">
        <v>75</v>
      </c>
      <c r="K816" s="11">
        <v>1299</v>
      </c>
      <c r="L816" s="49" t="s">
        <v>32</v>
      </c>
      <c r="M816" s="49" t="s">
        <v>76</v>
      </c>
      <c r="N816" s="49" t="s">
        <v>88</v>
      </c>
      <c r="O816" s="49" t="s">
        <v>95</v>
      </c>
      <c r="P816" s="48" t="s">
        <v>86</v>
      </c>
      <c r="Q816" s="49" t="s">
        <v>37</v>
      </c>
      <c r="R816" s="11" t="s">
        <v>80</v>
      </c>
      <c r="S816" s="11" t="s">
        <v>87</v>
      </c>
      <c r="T816" s="11" t="s">
        <v>1066</v>
      </c>
      <c r="U816" s="11" t="s">
        <v>2717</v>
      </c>
      <c r="V816" s="116" t="str">
        <f>VLOOKUP(Table1[[#This Row],[Psoft No]],[2]Sheet1!$A$2:$G$386,7,0)</f>
        <v>P</v>
      </c>
      <c r="W816" s="88"/>
      <c r="X816" s="51">
        <v>45565</v>
      </c>
      <c r="Y816" s="97" t="s">
        <v>1579</v>
      </c>
      <c r="Z816" s="135" t="s">
        <v>2</v>
      </c>
      <c r="AA816" s="135">
        <v>0</v>
      </c>
    </row>
    <row r="817" spans="1:27" ht="13" customHeight="1">
      <c r="A817" s="11">
        <v>811</v>
      </c>
      <c r="B817" s="47">
        <v>204299547</v>
      </c>
      <c r="C817" s="89" t="s">
        <v>868</v>
      </c>
      <c r="D817" s="11" t="s">
        <v>869</v>
      </c>
      <c r="E817" s="48" t="s">
        <v>31</v>
      </c>
      <c r="F817" s="48" t="s">
        <v>74</v>
      </c>
      <c r="G817" s="11" t="s">
        <v>64</v>
      </c>
      <c r="H817" s="48" t="str">
        <f>VLOOKUP(Table1[[#This Row],[Psoft No]],[1]Roster!$C$2:$H$1402,6,)</f>
        <v>AUH1</v>
      </c>
      <c r="I817" s="48" t="b">
        <f>Table1[[#This Row],[Building]]=Table1[[#This Row],[Column1]]</f>
        <v>1</v>
      </c>
      <c r="J817" s="11" t="s">
        <v>75</v>
      </c>
      <c r="K817" s="11">
        <v>1299</v>
      </c>
      <c r="L817" s="49" t="s">
        <v>32</v>
      </c>
      <c r="M817" s="49" t="s">
        <v>76</v>
      </c>
      <c r="N817" s="49" t="s">
        <v>84</v>
      </c>
      <c r="O817" s="49" t="s">
        <v>85</v>
      </c>
      <c r="P817" s="48" t="s">
        <v>86</v>
      </c>
      <c r="Q817" s="49" t="s">
        <v>37</v>
      </c>
      <c r="R817" s="11" t="s">
        <v>80</v>
      </c>
      <c r="S817" s="11" t="s">
        <v>87</v>
      </c>
      <c r="T817" s="11" t="s">
        <v>631</v>
      </c>
      <c r="U817" s="11" t="s">
        <v>632</v>
      </c>
      <c r="V817" s="116" t="str">
        <f>VLOOKUP(Table1[[#This Row],[Psoft No]],[2]Sheet1!$A$2:$G$386,7,0)</f>
        <v>P</v>
      </c>
      <c r="W817" s="88"/>
      <c r="X817" s="51">
        <v>45586</v>
      </c>
      <c r="Y817" s="97" t="s">
        <v>1576</v>
      </c>
      <c r="Z817" s="135" t="s">
        <v>2</v>
      </c>
      <c r="AA817" s="135">
        <v>0</v>
      </c>
    </row>
    <row r="818" spans="1:27" ht="13" customHeight="1">
      <c r="A818" s="11">
        <v>812</v>
      </c>
      <c r="B818" s="47">
        <v>203965458</v>
      </c>
      <c r="C818" s="89" t="s">
        <v>870</v>
      </c>
      <c r="D818" s="11" t="s">
        <v>871</v>
      </c>
      <c r="E818" s="48" t="s">
        <v>31</v>
      </c>
      <c r="F818" s="48" t="s">
        <v>74</v>
      </c>
      <c r="G818" s="48" t="s">
        <v>64</v>
      </c>
      <c r="H818" s="48" t="str">
        <f>VLOOKUP(Table1[[#This Row],[Psoft No]],[1]Roster!$C$2:$H$1402,6,)</f>
        <v>AUH1</v>
      </c>
      <c r="I818" s="48" t="b">
        <f>Table1[[#This Row],[Building]]=Table1[[#This Row],[Column1]]</f>
        <v>1</v>
      </c>
      <c r="J818" s="48" t="s">
        <v>75</v>
      </c>
      <c r="K818" s="11">
        <v>1299</v>
      </c>
      <c r="L818" s="49" t="s">
        <v>39</v>
      </c>
      <c r="M818" s="49" t="s">
        <v>76</v>
      </c>
      <c r="N818" s="49" t="s">
        <v>92</v>
      </c>
      <c r="O818" s="49" t="s">
        <v>84</v>
      </c>
      <c r="P818" s="49" t="s">
        <v>79</v>
      </c>
      <c r="Q818" s="49" t="s">
        <v>37</v>
      </c>
      <c r="R818" s="49" t="s">
        <v>80</v>
      </c>
      <c r="S818" s="49" t="s">
        <v>81</v>
      </c>
      <c r="T818" s="49" t="s">
        <v>647</v>
      </c>
      <c r="U818" s="49" t="s">
        <v>1798</v>
      </c>
      <c r="V818" s="116" t="s">
        <v>10</v>
      </c>
      <c r="W818" s="88"/>
      <c r="X818" s="51">
        <v>45544</v>
      </c>
      <c r="Y818" s="97" t="s">
        <v>1578</v>
      </c>
      <c r="Z818" s="135" t="s">
        <v>3023</v>
      </c>
      <c r="AA818" s="135">
        <v>0</v>
      </c>
    </row>
    <row r="819" spans="1:27" ht="13" customHeight="1">
      <c r="A819" s="11">
        <v>813</v>
      </c>
      <c r="B819" s="47">
        <v>203512949</v>
      </c>
      <c r="C819" s="89" t="s">
        <v>872</v>
      </c>
      <c r="D819" s="11" t="s">
        <v>873</v>
      </c>
      <c r="E819" s="48" t="s">
        <v>31</v>
      </c>
      <c r="F819" s="48" t="s">
        <v>74</v>
      </c>
      <c r="G819" s="11" t="s">
        <v>64</v>
      </c>
      <c r="H819" s="48" t="str">
        <f>VLOOKUP(Table1[[#This Row],[Psoft No]],[1]Roster!$C$2:$H$1402,6,)</f>
        <v>AUH1</v>
      </c>
      <c r="I819" s="48" t="b">
        <f>Table1[[#This Row],[Building]]=Table1[[#This Row],[Column1]]</f>
        <v>1</v>
      </c>
      <c r="J819" s="11" t="s">
        <v>75</v>
      </c>
      <c r="K819" s="11">
        <v>1299</v>
      </c>
      <c r="L819" s="49" t="s">
        <v>39</v>
      </c>
      <c r="M819" s="49" t="s">
        <v>76</v>
      </c>
      <c r="N819" s="49" t="s">
        <v>88</v>
      </c>
      <c r="O819" s="49" t="s">
        <v>95</v>
      </c>
      <c r="P819" s="48" t="s">
        <v>79</v>
      </c>
      <c r="Q819" s="49" t="s">
        <v>37</v>
      </c>
      <c r="R819" s="11" t="s">
        <v>80</v>
      </c>
      <c r="S819" s="11" t="s">
        <v>81</v>
      </c>
      <c r="T819" s="11" t="s">
        <v>631</v>
      </c>
      <c r="U819" s="11" t="s">
        <v>632</v>
      </c>
      <c r="V819" s="116" t="s">
        <v>1</v>
      </c>
      <c r="W819" s="88"/>
      <c r="X819" s="51">
        <v>45463</v>
      </c>
      <c r="Y819" s="97" t="s">
        <v>1577</v>
      </c>
      <c r="Z819" s="135" t="s">
        <v>2</v>
      </c>
      <c r="AA819" s="135">
        <v>0</v>
      </c>
    </row>
    <row r="820" spans="1:27" ht="13" customHeight="1">
      <c r="A820" s="11">
        <v>814</v>
      </c>
      <c r="B820" s="47">
        <v>204072302</v>
      </c>
      <c r="C820" s="89" t="s">
        <v>2772</v>
      </c>
      <c r="D820" s="11" t="s">
        <v>2773</v>
      </c>
      <c r="E820" s="48" t="s">
        <v>31</v>
      </c>
      <c r="F820" s="48" t="s">
        <v>74</v>
      </c>
      <c r="G820" s="11" t="s">
        <v>64</v>
      </c>
      <c r="H820" s="48" t="str">
        <f>VLOOKUP(Table1[[#This Row],[Psoft No]],[1]Roster!$C$2:$H$1402,6,)</f>
        <v>AUH1</v>
      </c>
      <c r="I820" s="48" t="b">
        <f>Table1[[#This Row],[Building]]=Table1[[#This Row],[Column1]]</f>
        <v>1</v>
      </c>
      <c r="J820" s="11" t="s">
        <v>75</v>
      </c>
      <c r="K820" s="11">
        <v>1299</v>
      </c>
      <c r="L820" s="49" t="s">
        <v>32</v>
      </c>
      <c r="M820" s="49" t="s">
        <v>76</v>
      </c>
      <c r="N820" s="49" t="s">
        <v>85</v>
      </c>
      <c r="O820" s="49" t="s">
        <v>88</v>
      </c>
      <c r="P820" s="48" t="s">
        <v>86</v>
      </c>
      <c r="Q820" s="49" t="s">
        <v>37</v>
      </c>
      <c r="R820" s="11" t="s">
        <v>80</v>
      </c>
      <c r="S820" s="11" t="s">
        <v>90</v>
      </c>
      <c r="T820" s="49" t="s">
        <v>647</v>
      </c>
      <c r="U820" s="11" t="s">
        <v>2739</v>
      </c>
      <c r="V820" s="116" t="str">
        <f>VLOOKUP(Table1[[#This Row],[Psoft No]],[2]Sheet1!$A$2:$G$386,7,0)</f>
        <v>P</v>
      </c>
      <c r="W820" s="88"/>
      <c r="X820" s="51">
        <v>45684</v>
      </c>
      <c r="Y820" s="97" t="s">
        <v>1577</v>
      </c>
      <c r="Z820" s="135" t="s">
        <v>2</v>
      </c>
      <c r="AA820" s="135">
        <v>0</v>
      </c>
    </row>
    <row r="821" spans="1:27" ht="13" customHeight="1">
      <c r="A821" s="11">
        <v>815</v>
      </c>
      <c r="B821" s="47">
        <v>202249751</v>
      </c>
      <c r="C821" s="89" t="s">
        <v>874</v>
      </c>
      <c r="D821" s="11" t="s">
        <v>875</v>
      </c>
      <c r="E821" s="103" t="s">
        <v>31</v>
      </c>
      <c r="F821" s="48" t="s">
        <v>74</v>
      </c>
      <c r="G821" s="11" t="s">
        <v>64</v>
      </c>
      <c r="H821" s="48" t="str">
        <f>VLOOKUP(Table1[[#This Row],[Psoft No]],[1]Roster!$C$2:$H$1402,6,)</f>
        <v>AUH1</v>
      </c>
      <c r="I821" s="48" t="b">
        <f>Table1[[#This Row],[Building]]=Table1[[#This Row],[Column1]]</f>
        <v>1</v>
      </c>
      <c r="J821" s="11" t="s">
        <v>75</v>
      </c>
      <c r="K821" s="11">
        <v>1299</v>
      </c>
      <c r="L821" s="49" t="s">
        <v>39</v>
      </c>
      <c r="M821" s="49" t="s">
        <v>76</v>
      </c>
      <c r="N821" s="49" t="s">
        <v>85</v>
      </c>
      <c r="O821" s="49" t="s">
        <v>88</v>
      </c>
      <c r="P821" s="49" t="s">
        <v>79</v>
      </c>
      <c r="Q821" s="49" t="s">
        <v>37</v>
      </c>
      <c r="R821" s="49" t="s">
        <v>80</v>
      </c>
      <c r="S821" s="49" t="s">
        <v>81</v>
      </c>
      <c r="T821" s="11" t="s">
        <v>631</v>
      </c>
      <c r="U821" s="49" t="s">
        <v>632</v>
      </c>
      <c r="V821" s="116" t="s">
        <v>1</v>
      </c>
      <c r="W821" s="88"/>
      <c r="X821" s="51">
        <v>45561</v>
      </c>
      <c r="Y821" s="97" t="s">
        <v>1576</v>
      </c>
      <c r="Z821" s="135" t="s">
        <v>2</v>
      </c>
      <c r="AA821" s="135">
        <v>0</v>
      </c>
    </row>
    <row r="822" spans="1:27" ht="13" customHeight="1">
      <c r="A822" s="11">
        <v>816</v>
      </c>
      <c r="B822" s="47">
        <v>204966775</v>
      </c>
      <c r="C822" s="89" t="s">
        <v>876</v>
      </c>
      <c r="D822" s="11" t="s">
        <v>877</v>
      </c>
      <c r="E822" s="48" t="s">
        <v>31</v>
      </c>
      <c r="F822" s="48" t="s">
        <v>74</v>
      </c>
      <c r="G822" s="11" t="s">
        <v>64</v>
      </c>
      <c r="H822" s="48" t="str">
        <f>VLOOKUP(Table1[[#This Row],[Psoft No]],[1]Roster!$C$2:$H$1402,6,)</f>
        <v>AUH1</v>
      </c>
      <c r="I822" s="48" t="b">
        <f>Table1[[#This Row],[Building]]=Table1[[#This Row],[Column1]]</f>
        <v>1</v>
      </c>
      <c r="J822" s="11" t="s">
        <v>75</v>
      </c>
      <c r="K822" s="11">
        <v>1299</v>
      </c>
      <c r="L822" s="49" t="s">
        <v>39</v>
      </c>
      <c r="M822" s="49" t="s">
        <v>76</v>
      </c>
      <c r="N822" s="49" t="s">
        <v>84</v>
      </c>
      <c r="O822" s="49" t="s">
        <v>85</v>
      </c>
      <c r="P822" s="48" t="s">
        <v>86</v>
      </c>
      <c r="Q822" s="49" t="s">
        <v>37</v>
      </c>
      <c r="R822" s="11" t="s">
        <v>80</v>
      </c>
      <c r="S822" s="11" t="s">
        <v>90</v>
      </c>
      <c r="T822" s="49" t="s">
        <v>647</v>
      </c>
      <c r="U822" s="11" t="s">
        <v>1798</v>
      </c>
      <c r="V822" s="116" t="s">
        <v>1</v>
      </c>
      <c r="W822" s="88"/>
      <c r="X822" s="51">
        <v>45719</v>
      </c>
      <c r="Y822" s="97" t="s">
        <v>1577</v>
      </c>
      <c r="Z822" s="135" t="s">
        <v>2</v>
      </c>
      <c r="AA822" s="135">
        <v>0</v>
      </c>
    </row>
    <row r="823" spans="1:27" ht="13" customHeight="1">
      <c r="A823" s="11">
        <v>817</v>
      </c>
      <c r="B823" s="47">
        <v>206915469</v>
      </c>
      <c r="C823" s="89" t="s">
        <v>1913</v>
      </c>
      <c r="D823" s="11" t="s">
        <v>1907</v>
      </c>
      <c r="E823" s="48" t="s">
        <v>31</v>
      </c>
      <c r="F823" s="48" t="s">
        <v>74</v>
      </c>
      <c r="G823" s="11" t="s">
        <v>64</v>
      </c>
      <c r="H823" s="48" t="str">
        <f>VLOOKUP(Table1[[#This Row],[Psoft No]],[1]Roster!$C$2:$H$1402,6,)</f>
        <v>AUH1</v>
      </c>
      <c r="I823" s="48" t="b">
        <f>Table1[[#This Row],[Building]]=Table1[[#This Row],[Column1]]</f>
        <v>1</v>
      </c>
      <c r="J823" s="11" t="s">
        <v>75</v>
      </c>
      <c r="K823" s="11">
        <v>1299</v>
      </c>
      <c r="L823" s="49" t="s">
        <v>39</v>
      </c>
      <c r="M823" s="49" t="s">
        <v>76</v>
      </c>
      <c r="N823" s="49" t="s">
        <v>92</v>
      </c>
      <c r="O823" s="49" t="s">
        <v>84</v>
      </c>
      <c r="P823" s="48" t="s">
        <v>89</v>
      </c>
      <c r="Q823" s="49" t="s">
        <v>37</v>
      </c>
      <c r="R823" s="11" t="s">
        <v>80</v>
      </c>
      <c r="S823" s="11" t="s">
        <v>90</v>
      </c>
      <c r="T823" s="49" t="s">
        <v>2844</v>
      </c>
      <c r="U823" s="11" t="s">
        <v>2716</v>
      </c>
      <c r="V823" s="116" t="s">
        <v>10</v>
      </c>
      <c r="W823" s="88"/>
      <c r="X823" s="51">
        <v>46034</v>
      </c>
      <c r="Y823" s="97" t="s">
        <v>1577</v>
      </c>
      <c r="Z823" s="135" t="s">
        <v>3023</v>
      </c>
      <c r="AA823" s="135">
        <v>0</v>
      </c>
    </row>
    <row r="824" spans="1:27" ht="13" customHeight="1">
      <c r="A824" s="11">
        <v>818</v>
      </c>
      <c r="B824" s="47">
        <v>204116868</v>
      </c>
      <c r="C824" s="90" t="s">
        <v>878</v>
      </c>
      <c r="D824" s="11" t="s">
        <v>879</v>
      </c>
      <c r="E824" s="48" t="s">
        <v>31</v>
      </c>
      <c r="F824" s="48" t="s">
        <v>74</v>
      </c>
      <c r="G824" s="11" t="s">
        <v>64</v>
      </c>
      <c r="H824" s="48" t="str">
        <f>VLOOKUP(Table1[[#This Row],[Psoft No]],[1]Roster!$C$2:$H$1402,6,)</f>
        <v>AUH1</v>
      </c>
      <c r="I824" s="48" t="b">
        <f>Table1[[#This Row],[Building]]=Table1[[#This Row],[Column1]]</f>
        <v>1</v>
      </c>
      <c r="J824" s="11" t="s">
        <v>75</v>
      </c>
      <c r="K824" s="11">
        <v>1299</v>
      </c>
      <c r="L824" s="87" t="s">
        <v>39</v>
      </c>
      <c r="M824" s="49" t="s">
        <v>76</v>
      </c>
      <c r="N824" s="49" t="s">
        <v>85</v>
      </c>
      <c r="O824" s="49" t="s">
        <v>88</v>
      </c>
      <c r="P824" s="49" t="s">
        <v>86</v>
      </c>
      <c r="Q824" s="49" t="s">
        <v>37</v>
      </c>
      <c r="R824" s="11" t="s">
        <v>80</v>
      </c>
      <c r="S824" s="11" t="s">
        <v>87</v>
      </c>
      <c r="T824" s="11" t="s">
        <v>627</v>
      </c>
      <c r="U824" s="11" t="s">
        <v>628</v>
      </c>
      <c r="V824" s="116" t="s">
        <v>1</v>
      </c>
      <c r="W824" s="88"/>
      <c r="X824" s="51">
        <v>45561</v>
      </c>
      <c r="Y824" s="97" t="s">
        <v>1577</v>
      </c>
      <c r="Z824" s="135" t="s">
        <v>2</v>
      </c>
      <c r="AA824" s="135">
        <v>0</v>
      </c>
    </row>
    <row r="825" spans="1:27" ht="13" customHeight="1">
      <c r="A825" s="11">
        <v>819</v>
      </c>
      <c r="B825" s="47">
        <v>203512668</v>
      </c>
      <c r="C825" s="89" t="s">
        <v>880</v>
      </c>
      <c r="D825" s="47" t="s">
        <v>881</v>
      </c>
      <c r="E825" s="47" t="s">
        <v>31</v>
      </c>
      <c r="F825" s="48" t="s">
        <v>74</v>
      </c>
      <c r="G825" s="11" t="s">
        <v>64</v>
      </c>
      <c r="H825" s="48" t="str">
        <f>VLOOKUP(Table1[[#This Row],[Psoft No]],[1]Roster!$C$2:$H$1402,6,)</f>
        <v>AUH1</v>
      </c>
      <c r="I825" s="48" t="b">
        <f>Table1[[#This Row],[Building]]=Table1[[#This Row],[Column1]]</f>
        <v>1</v>
      </c>
      <c r="J825" s="11" t="s">
        <v>75</v>
      </c>
      <c r="K825" s="47">
        <v>1299</v>
      </c>
      <c r="L825" s="49" t="s">
        <v>32</v>
      </c>
      <c r="M825" s="49" t="s">
        <v>76</v>
      </c>
      <c r="N825" s="49" t="s">
        <v>84</v>
      </c>
      <c r="O825" s="49" t="s">
        <v>85</v>
      </c>
      <c r="P825" s="49" t="s">
        <v>79</v>
      </c>
      <c r="Q825" s="49" t="s">
        <v>37</v>
      </c>
      <c r="R825" s="11" t="s">
        <v>80</v>
      </c>
      <c r="S825" s="47" t="s">
        <v>81</v>
      </c>
      <c r="T825" s="11" t="s">
        <v>1066</v>
      </c>
      <c r="U825" s="11" t="s">
        <v>2717</v>
      </c>
      <c r="V825" s="116" t="str">
        <f>VLOOKUP(Table1[[#This Row],[Psoft No]],[2]Sheet1!$A$2:$G$386,7,0)</f>
        <v>P</v>
      </c>
      <c r="W825" s="88"/>
      <c r="X825" s="51">
        <v>45463</v>
      </c>
      <c r="Y825" s="97" t="s">
        <v>1578</v>
      </c>
      <c r="Z825" s="135" t="s">
        <v>2</v>
      </c>
      <c r="AA825" s="135">
        <v>0</v>
      </c>
    </row>
    <row r="826" spans="1:27" ht="13" customHeight="1">
      <c r="A826" s="11">
        <v>820</v>
      </c>
      <c r="B826" s="92">
        <v>204013684</v>
      </c>
      <c r="C826" s="47" t="s">
        <v>882</v>
      </c>
      <c r="D826" s="89" t="s">
        <v>883</v>
      </c>
      <c r="E826" s="48" t="s">
        <v>31</v>
      </c>
      <c r="F826" s="48" t="s">
        <v>74</v>
      </c>
      <c r="G826" s="11" t="s">
        <v>64</v>
      </c>
      <c r="H826" s="48" t="str">
        <f>VLOOKUP(Table1[[#This Row],[Psoft No]],[1]Roster!$C$2:$H$1402,6,)</f>
        <v>AUH1</v>
      </c>
      <c r="I826" s="48" t="b">
        <f>Table1[[#This Row],[Building]]=Table1[[#This Row],[Column1]]</f>
        <v>1</v>
      </c>
      <c r="J826" s="11" t="s">
        <v>75</v>
      </c>
      <c r="K826" s="11">
        <v>1299</v>
      </c>
      <c r="L826" s="49" t="s">
        <v>39</v>
      </c>
      <c r="M826" s="49" t="s">
        <v>76</v>
      </c>
      <c r="N826" s="49" t="s">
        <v>95</v>
      </c>
      <c r="O826" s="49" t="s">
        <v>77</v>
      </c>
      <c r="P826" s="49" t="s">
        <v>79</v>
      </c>
      <c r="Q826" s="49" t="s">
        <v>37</v>
      </c>
      <c r="R826" s="11" t="s">
        <v>80</v>
      </c>
      <c r="S826" s="11" t="s">
        <v>81</v>
      </c>
      <c r="T826" s="11" t="s">
        <v>1066</v>
      </c>
      <c r="U826" s="11" t="s">
        <v>2717</v>
      </c>
      <c r="V826" s="116" t="s">
        <v>1</v>
      </c>
      <c r="W826" s="88"/>
      <c r="X826" s="51">
        <v>45551</v>
      </c>
      <c r="Y826" s="97" t="s">
        <v>1576</v>
      </c>
      <c r="Z826" s="135" t="s">
        <v>2</v>
      </c>
      <c r="AA826" s="135">
        <v>0</v>
      </c>
    </row>
    <row r="827" spans="1:27" ht="13" customHeight="1">
      <c r="A827" s="11">
        <v>821</v>
      </c>
      <c r="B827" s="92">
        <v>206926479</v>
      </c>
      <c r="C827" s="47" t="s">
        <v>2010</v>
      </c>
      <c r="D827" s="89" t="s">
        <v>2017</v>
      </c>
      <c r="E827" s="48" t="s">
        <v>31</v>
      </c>
      <c r="F827" s="48" t="s">
        <v>74</v>
      </c>
      <c r="G827" s="11" t="s">
        <v>64</v>
      </c>
      <c r="H827" s="48" t="str">
        <f>VLOOKUP(Table1[[#This Row],[Psoft No]],[1]Roster!$C$2:$H$1402,6,)</f>
        <v>AUH1</v>
      </c>
      <c r="I827" s="48" t="b">
        <f>Table1[[#This Row],[Building]]=Table1[[#This Row],[Column1]]</f>
        <v>1</v>
      </c>
      <c r="J827" s="11" t="s">
        <v>1332</v>
      </c>
      <c r="K827" s="11">
        <v>1299</v>
      </c>
      <c r="L827" s="49" t="s">
        <v>32</v>
      </c>
      <c r="M827" s="49" t="s">
        <v>76</v>
      </c>
      <c r="N827" s="49" t="s">
        <v>84</v>
      </c>
      <c r="O827" s="49" t="s">
        <v>85</v>
      </c>
      <c r="P827" s="49" t="s">
        <v>89</v>
      </c>
      <c r="Q827" s="49" t="s">
        <v>37</v>
      </c>
      <c r="R827" s="11" t="s">
        <v>80</v>
      </c>
      <c r="S827" s="11" t="s">
        <v>90</v>
      </c>
      <c r="T827" s="11" t="s">
        <v>647</v>
      </c>
      <c r="U827" s="11" t="s">
        <v>1798</v>
      </c>
      <c r="V827" s="116" t="str">
        <f>VLOOKUP(Table1[[#This Row],[Psoft No]],[2]Sheet1!$A$2:$G$386,7,0)</f>
        <v>P</v>
      </c>
      <c r="W827" s="88"/>
      <c r="X827" s="51">
        <v>46037</v>
      </c>
      <c r="Y827" s="97" t="s">
        <v>2020</v>
      </c>
      <c r="Z827" s="135" t="s">
        <v>2</v>
      </c>
      <c r="AA827" s="135">
        <v>0</v>
      </c>
    </row>
    <row r="828" spans="1:27" ht="13" customHeight="1">
      <c r="A828" s="11">
        <v>822</v>
      </c>
      <c r="B828" s="47">
        <v>108019714</v>
      </c>
      <c r="C828" s="89" t="s">
        <v>884</v>
      </c>
      <c r="D828" s="11" t="s">
        <v>885</v>
      </c>
      <c r="E828" s="48" t="s">
        <v>34</v>
      </c>
      <c r="F828" s="48" t="s">
        <v>74</v>
      </c>
      <c r="G828" s="11" t="s">
        <v>64</v>
      </c>
      <c r="H828" s="48" t="str">
        <f>VLOOKUP(Table1[[#This Row],[Psoft No]],[1]Roster!$C$2:$H$1402,6,)</f>
        <v>AUH1</v>
      </c>
      <c r="I828" s="48" t="b">
        <f>Table1[[#This Row],[Building]]=Table1[[#This Row],[Column1]]</f>
        <v>1</v>
      </c>
      <c r="J828" s="11" t="s">
        <v>75</v>
      </c>
      <c r="K828" s="11">
        <v>1299</v>
      </c>
      <c r="L828" s="49" t="s">
        <v>32</v>
      </c>
      <c r="M828" s="49" t="s">
        <v>76</v>
      </c>
      <c r="N828" s="49" t="s">
        <v>95</v>
      </c>
      <c r="O828" s="49" t="s">
        <v>77</v>
      </c>
      <c r="P828" s="48" t="s">
        <v>97</v>
      </c>
      <c r="Q828" s="49" t="s">
        <v>37</v>
      </c>
      <c r="R828" s="11" t="s">
        <v>80</v>
      </c>
      <c r="S828" s="11" t="s">
        <v>98</v>
      </c>
      <c r="T828" s="11" t="s">
        <v>627</v>
      </c>
      <c r="U828" s="11" t="s">
        <v>628</v>
      </c>
      <c r="V828" s="116" t="str">
        <f>VLOOKUP(Table1[[#This Row],[Psoft No]],[2]Sheet1!$A$2:$G$386,7,0)</f>
        <v>P</v>
      </c>
      <c r="W828" s="88"/>
      <c r="X828" s="51">
        <v>44757</v>
      </c>
      <c r="Y828" s="97" t="s">
        <v>1581</v>
      </c>
      <c r="Z828" s="135" t="s">
        <v>2</v>
      </c>
      <c r="AA828" s="135">
        <v>0</v>
      </c>
    </row>
    <row r="829" spans="1:27" ht="13" customHeight="1">
      <c r="A829" s="11">
        <v>823</v>
      </c>
      <c r="B829" s="47">
        <v>203965181</v>
      </c>
      <c r="C829" s="89" t="s">
        <v>886</v>
      </c>
      <c r="D829" s="11" t="s">
        <v>887</v>
      </c>
      <c r="E829" s="48" t="s">
        <v>31</v>
      </c>
      <c r="F829" s="48" t="s">
        <v>74</v>
      </c>
      <c r="G829" s="11" t="s">
        <v>64</v>
      </c>
      <c r="H829" s="48" t="str">
        <f>VLOOKUP(Table1[[#This Row],[Psoft No]],[1]Roster!$C$2:$H$1402,6,)</f>
        <v>AUH1</v>
      </c>
      <c r="I829" s="48" t="b">
        <f>Table1[[#This Row],[Building]]=Table1[[#This Row],[Column1]]</f>
        <v>1</v>
      </c>
      <c r="J829" s="11" t="s">
        <v>75</v>
      </c>
      <c r="K829" s="11">
        <v>1299</v>
      </c>
      <c r="L829" s="49" t="s">
        <v>39</v>
      </c>
      <c r="M829" s="49" t="s">
        <v>76</v>
      </c>
      <c r="N829" s="49" t="s">
        <v>84</v>
      </c>
      <c r="O829" s="49" t="s">
        <v>85</v>
      </c>
      <c r="P829" s="49" t="s">
        <v>79</v>
      </c>
      <c r="Q829" s="49" t="s">
        <v>37</v>
      </c>
      <c r="R829" s="11" t="s">
        <v>80</v>
      </c>
      <c r="S829" s="11" t="s">
        <v>81</v>
      </c>
      <c r="T829" s="11" t="s">
        <v>627</v>
      </c>
      <c r="U829" s="11" t="s">
        <v>628</v>
      </c>
      <c r="V829" s="116" t="s">
        <v>1</v>
      </c>
      <c r="W829" s="88"/>
      <c r="X829" s="51">
        <v>45544</v>
      </c>
      <c r="Y829" s="97" t="s">
        <v>1577</v>
      </c>
      <c r="Z829" s="135" t="s">
        <v>2</v>
      </c>
      <c r="AA829" s="135">
        <v>0</v>
      </c>
    </row>
    <row r="830" spans="1:27" ht="13" customHeight="1">
      <c r="A830" s="11">
        <v>824</v>
      </c>
      <c r="B830" s="47">
        <v>203468745</v>
      </c>
      <c r="C830" s="89" t="s">
        <v>888</v>
      </c>
      <c r="D830" s="11" t="s">
        <v>889</v>
      </c>
      <c r="E830" s="48" t="s">
        <v>31</v>
      </c>
      <c r="F830" s="48" t="s">
        <v>74</v>
      </c>
      <c r="G830" s="11" t="s">
        <v>64</v>
      </c>
      <c r="H830" s="48" t="str">
        <f>VLOOKUP(Table1[[#This Row],[Psoft No]],[1]Roster!$C$2:$H$1402,6,)</f>
        <v>AUH1</v>
      </c>
      <c r="I830" s="48" t="b">
        <f>Table1[[#This Row],[Building]]=Table1[[#This Row],[Column1]]</f>
        <v>1</v>
      </c>
      <c r="J830" s="11" t="s">
        <v>75</v>
      </c>
      <c r="K830" s="11">
        <v>1299</v>
      </c>
      <c r="L830" s="49" t="s">
        <v>32</v>
      </c>
      <c r="M830" s="49" t="s">
        <v>76</v>
      </c>
      <c r="N830" s="49" t="s">
        <v>85</v>
      </c>
      <c r="O830" s="49" t="s">
        <v>88</v>
      </c>
      <c r="P830" s="48" t="s">
        <v>79</v>
      </c>
      <c r="Q830" s="49" t="s">
        <v>37</v>
      </c>
      <c r="R830" s="11" t="s">
        <v>80</v>
      </c>
      <c r="S830" s="11" t="s">
        <v>81</v>
      </c>
      <c r="T830" s="49" t="s">
        <v>631</v>
      </c>
      <c r="U830" s="11" t="s">
        <v>632</v>
      </c>
      <c r="V830" s="116" t="s">
        <v>3</v>
      </c>
      <c r="W830" s="88"/>
      <c r="X830" s="51">
        <v>45456</v>
      </c>
      <c r="Y830" s="97" t="s">
        <v>1579</v>
      </c>
      <c r="Z830" s="135" t="s">
        <v>3023</v>
      </c>
      <c r="AA830" s="135">
        <v>0</v>
      </c>
    </row>
    <row r="831" spans="1:27" ht="13" customHeight="1">
      <c r="A831" s="11">
        <v>825</v>
      </c>
      <c r="B831" s="100">
        <v>203993450</v>
      </c>
      <c r="C831" s="78" t="s">
        <v>890</v>
      </c>
      <c r="D831" s="89" t="s">
        <v>891</v>
      </c>
      <c r="E831" s="80" t="s">
        <v>31</v>
      </c>
      <c r="F831" s="48" t="s">
        <v>74</v>
      </c>
      <c r="G831" s="11" t="s">
        <v>64</v>
      </c>
      <c r="H831" s="48" t="str">
        <f>VLOOKUP(Table1[[#This Row],[Psoft No]],[1]Roster!$C$2:$H$1402,6,)</f>
        <v>AUH1</v>
      </c>
      <c r="I831" s="48" t="b">
        <f>Table1[[#This Row],[Building]]=Table1[[#This Row],[Column1]]</f>
        <v>1</v>
      </c>
      <c r="J831" s="11" t="s">
        <v>75</v>
      </c>
      <c r="K831" s="74">
        <v>1299</v>
      </c>
      <c r="L831" s="49" t="s">
        <v>39</v>
      </c>
      <c r="M831" s="49" t="s">
        <v>76</v>
      </c>
      <c r="N831" s="49" t="s">
        <v>77</v>
      </c>
      <c r="O831" s="49" t="s">
        <v>78</v>
      </c>
      <c r="P831" s="49" t="s">
        <v>86</v>
      </c>
      <c r="Q831" s="49" t="s">
        <v>37</v>
      </c>
      <c r="R831" s="11" t="s">
        <v>80</v>
      </c>
      <c r="S831" s="74" t="s">
        <v>90</v>
      </c>
      <c r="T831" s="11" t="s">
        <v>627</v>
      </c>
      <c r="U831" s="74" t="s">
        <v>628</v>
      </c>
      <c r="V831" s="116" t="s">
        <v>1</v>
      </c>
      <c r="W831" s="88"/>
      <c r="X831" s="51">
        <v>45547</v>
      </c>
      <c r="Y831" s="97" t="s">
        <v>1576</v>
      </c>
      <c r="Z831" s="135" t="s">
        <v>2</v>
      </c>
      <c r="AA831" s="135">
        <v>0</v>
      </c>
    </row>
    <row r="832" spans="1:27" ht="13" customHeight="1">
      <c r="A832" s="11">
        <v>826</v>
      </c>
      <c r="B832" s="47">
        <v>203881657</v>
      </c>
      <c r="C832" s="89" t="s">
        <v>892</v>
      </c>
      <c r="D832" s="11" t="s">
        <v>893</v>
      </c>
      <c r="E832" s="48" t="s">
        <v>31</v>
      </c>
      <c r="F832" s="48" t="s">
        <v>74</v>
      </c>
      <c r="G832" s="11" t="s">
        <v>64</v>
      </c>
      <c r="H832" s="48" t="str">
        <f>VLOOKUP(Table1[[#This Row],[Psoft No]],[1]Roster!$C$2:$H$1402,6,)</f>
        <v>AUH1</v>
      </c>
      <c r="I832" s="48" t="b">
        <f>Table1[[#This Row],[Building]]=Table1[[#This Row],[Column1]]</f>
        <v>1</v>
      </c>
      <c r="J832" s="11" t="s">
        <v>75</v>
      </c>
      <c r="K832" s="11">
        <v>1299</v>
      </c>
      <c r="L832" s="49" t="s">
        <v>39</v>
      </c>
      <c r="M832" s="49" t="s">
        <v>76</v>
      </c>
      <c r="N832" s="49" t="s">
        <v>95</v>
      </c>
      <c r="O832" s="49" t="s">
        <v>77</v>
      </c>
      <c r="P832" s="48" t="s">
        <v>79</v>
      </c>
      <c r="Q832" s="49" t="s">
        <v>37</v>
      </c>
      <c r="R832" s="11" t="s">
        <v>80</v>
      </c>
      <c r="S832" s="11" t="s">
        <v>81</v>
      </c>
      <c r="T832" s="49" t="s">
        <v>627</v>
      </c>
      <c r="U832" s="11" t="s">
        <v>628</v>
      </c>
      <c r="V832" s="116" t="s">
        <v>1</v>
      </c>
      <c r="W832" s="88"/>
      <c r="X832" s="51">
        <v>45530</v>
      </c>
      <c r="Y832" s="97" t="s">
        <v>1577</v>
      </c>
      <c r="Z832" s="135" t="s">
        <v>2</v>
      </c>
      <c r="AA832" s="135">
        <v>0</v>
      </c>
    </row>
    <row r="833" spans="1:27" ht="13" customHeight="1">
      <c r="A833" s="11">
        <v>827</v>
      </c>
      <c r="B833" s="47">
        <v>204976025</v>
      </c>
      <c r="C833" s="89" t="s">
        <v>2080</v>
      </c>
      <c r="D833" s="47" t="s">
        <v>2081</v>
      </c>
      <c r="E833" s="47" t="s">
        <v>31</v>
      </c>
      <c r="F833" s="48" t="s">
        <v>74</v>
      </c>
      <c r="G833" s="11" t="s">
        <v>64</v>
      </c>
      <c r="H833" s="48" t="str">
        <f>VLOOKUP(Table1[[#This Row],[Psoft No]],[1]Roster!$C$2:$H$1402,6,)</f>
        <v>AUH1</v>
      </c>
      <c r="I833" s="48" t="b">
        <f>Table1[[#This Row],[Building]]=Table1[[#This Row],[Column1]]</f>
        <v>1</v>
      </c>
      <c r="J833" s="11" t="s">
        <v>75</v>
      </c>
      <c r="K833" s="47">
        <v>1299</v>
      </c>
      <c r="L833" s="49" t="s">
        <v>39</v>
      </c>
      <c r="M833" s="49" t="s">
        <v>76</v>
      </c>
      <c r="N833" s="49" t="s">
        <v>77</v>
      </c>
      <c r="O833" s="49" t="s">
        <v>78</v>
      </c>
      <c r="P833" s="49" t="s">
        <v>89</v>
      </c>
      <c r="Q833" s="49" t="s">
        <v>37</v>
      </c>
      <c r="R833" s="11" t="s">
        <v>80</v>
      </c>
      <c r="S833" s="47" t="s">
        <v>96</v>
      </c>
      <c r="T833" s="11" t="s">
        <v>2844</v>
      </c>
      <c r="U833" s="11" t="s">
        <v>2716</v>
      </c>
      <c r="V833" s="116" t="s">
        <v>1</v>
      </c>
      <c r="W833" s="88"/>
      <c r="X833" s="51">
        <v>46048</v>
      </c>
      <c r="Y833" s="97" t="s">
        <v>1577</v>
      </c>
      <c r="Z833" s="135" t="s">
        <v>2</v>
      </c>
      <c r="AA833" s="135">
        <v>0</v>
      </c>
    </row>
    <row r="834" spans="1:27" ht="13" customHeight="1">
      <c r="A834" s="11">
        <v>828</v>
      </c>
      <c r="B834" s="47">
        <v>206850964</v>
      </c>
      <c r="C834" s="89" t="s">
        <v>1801</v>
      </c>
      <c r="D834" s="11" t="s">
        <v>1802</v>
      </c>
      <c r="E834" s="48" t="s">
        <v>31</v>
      </c>
      <c r="F834" s="48" t="s">
        <v>74</v>
      </c>
      <c r="G834" s="11" t="s">
        <v>64</v>
      </c>
      <c r="H834" s="48" t="str">
        <f>VLOOKUP(Table1[[#This Row],[Psoft No]],[1]Roster!$C$2:$H$1402,6,)</f>
        <v>AUH1</v>
      </c>
      <c r="I834" s="48" t="b">
        <f>Table1[[#This Row],[Building]]=Table1[[#This Row],[Column1]]</f>
        <v>1</v>
      </c>
      <c r="J834" s="11" t="s">
        <v>75</v>
      </c>
      <c r="K834" s="11">
        <v>1299</v>
      </c>
      <c r="L834" s="49" t="s">
        <v>39</v>
      </c>
      <c r="M834" s="49" t="s">
        <v>76</v>
      </c>
      <c r="N834" s="49" t="s">
        <v>88</v>
      </c>
      <c r="O834" s="49" t="s">
        <v>95</v>
      </c>
      <c r="P834" s="48" t="s">
        <v>89</v>
      </c>
      <c r="Q834" s="49" t="s">
        <v>37</v>
      </c>
      <c r="R834" s="11" t="s">
        <v>80</v>
      </c>
      <c r="S834" s="11" t="s">
        <v>90</v>
      </c>
      <c r="T834" s="11" t="s">
        <v>1066</v>
      </c>
      <c r="U834" s="11" t="s">
        <v>2717</v>
      </c>
      <c r="V834" s="116" t="s">
        <v>1</v>
      </c>
      <c r="W834" s="88"/>
      <c r="X834" s="51">
        <v>46013</v>
      </c>
      <c r="Y834" s="97" t="s">
        <v>1577</v>
      </c>
      <c r="Z834" s="135" t="s">
        <v>2</v>
      </c>
      <c r="AA834" s="135">
        <v>0</v>
      </c>
    </row>
    <row r="835" spans="1:27" ht="13" customHeight="1">
      <c r="A835" s="11">
        <v>829</v>
      </c>
      <c r="B835" s="47">
        <v>204072304</v>
      </c>
      <c r="C835" s="89" t="s">
        <v>2774</v>
      </c>
      <c r="D835" s="47" t="s">
        <v>2775</v>
      </c>
      <c r="E835" s="47" t="s">
        <v>31</v>
      </c>
      <c r="F835" s="48" t="s">
        <v>74</v>
      </c>
      <c r="G835" s="11" t="s">
        <v>64</v>
      </c>
      <c r="H835" s="48" t="str">
        <f>VLOOKUP(Table1[[#This Row],[Psoft No]],[1]Roster!$C$2:$H$1402,6,)</f>
        <v>AUH1</v>
      </c>
      <c r="I835" s="48" t="b">
        <f>Table1[[#This Row],[Building]]=Table1[[#This Row],[Column1]]</f>
        <v>1</v>
      </c>
      <c r="J835" s="11" t="s">
        <v>75</v>
      </c>
      <c r="K835" s="47">
        <v>1299</v>
      </c>
      <c r="L835" s="49" t="s">
        <v>39</v>
      </c>
      <c r="M835" s="49" t="s">
        <v>76</v>
      </c>
      <c r="N835" s="49" t="s">
        <v>92</v>
      </c>
      <c r="O835" s="49" t="s">
        <v>84</v>
      </c>
      <c r="P835" s="49" t="s">
        <v>89</v>
      </c>
      <c r="Q835" s="49" t="s">
        <v>37</v>
      </c>
      <c r="R835" s="11" t="s">
        <v>80</v>
      </c>
      <c r="S835" s="47" t="s">
        <v>90</v>
      </c>
      <c r="T835" s="11" t="s">
        <v>2845</v>
      </c>
      <c r="U835" s="47" t="s">
        <v>2846</v>
      </c>
      <c r="V835" s="116" t="s">
        <v>10</v>
      </c>
      <c r="W835" s="88"/>
      <c r="X835" s="51">
        <v>45558</v>
      </c>
      <c r="Y835" s="97" t="s">
        <v>1577</v>
      </c>
      <c r="Z835" s="135" t="s">
        <v>3023</v>
      </c>
      <c r="AA835" s="135">
        <v>0</v>
      </c>
    </row>
    <row r="836" spans="1:27" ht="13" customHeight="1">
      <c r="A836" s="11">
        <v>830</v>
      </c>
      <c r="B836" s="47">
        <v>203850785</v>
      </c>
      <c r="C836" s="89" t="s">
        <v>2776</v>
      </c>
      <c r="D836" s="11" t="s">
        <v>2777</v>
      </c>
      <c r="E836" s="48" t="s">
        <v>31</v>
      </c>
      <c r="F836" s="48" t="s">
        <v>74</v>
      </c>
      <c r="G836" s="11" t="s">
        <v>64</v>
      </c>
      <c r="H836" s="48" t="str">
        <f>VLOOKUP(Table1[[#This Row],[Psoft No]],[1]Roster!$C$2:$H$1402,6,)</f>
        <v>AUH1</v>
      </c>
      <c r="I836" s="48" t="b">
        <f>Table1[[#This Row],[Building]]=Table1[[#This Row],[Column1]]</f>
        <v>1</v>
      </c>
      <c r="J836" s="11" t="s">
        <v>75</v>
      </c>
      <c r="K836" s="11">
        <v>1299</v>
      </c>
      <c r="L836" s="49" t="s">
        <v>39</v>
      </c>
      <c r="M836" s="49" t="s">
        <v>76</v>
      </c>
      <c r="N836" s="49" t="s">
        <v>78</v>
      </c>
      <c r="O836" s="49" t="s">
        <v>92</v>
      </c>
      <c r="P836" s="48" t="s">
        <v>89</v>
      </c>
      <c r="Q836" s="49" t="s">
        <v>37</v>
      </c>
      <c r="R836" s="11" t="s">
        <v>80</v>
      </c>
      <c r="S836" s="11" t="s">
        <v>90</v>
      </c>
      <c r="T836" s="11" t="s">
        <v>647</v>
      </c>
      <c r="U836" s="11" t="s">
        <v>2739</v>
      </c>
      <c r="V836" s="116" t="s">
        <v>10</v>
      </c>
      <c r="W836" s="88"/>
      <c r="X836" s="51">
        <v>45524</v>
      </c>
      <c r="Y836" s="97" t="s">
        <v>1577</v>
      </c>
      <c r="Z836" s="135" t="s">
        <v>3023</v>
      </c>
      <c r="AA836" s="135">
        <v>0</v>
      </c>
    </row>
    <row r="837" spans="1:27" ht="13" customHeight="1">
      <c r="A837" s="11">
        <v>831</v>
      </c>
      <c r="B837" s="47">
        <v>105444856</v>
      </c>
      <c r="C837" s="89" t="s">
        <v>2100</v>
      </c>
      <c r="D837" s="11" t="s">
        <v>2101</v>
      </c>
      <c r="E837" s="48" t="s">
        <v>34</v>
      </c>
      <c r="F837" s="48" t="s">
        <v>74</v>
      </c>
      <c r="G837" s="11" t="s">
        <v>64</v>
      </c>
      <c r="H837" s="48" t="str">
        <f>VLOOKUP(Table1[[#This Row],[Psoft No]],[1]Roster!$C$2:$H$1402,6,)</f>
        <v>AUH1</v>
      </c>
      <c r="I837" s="48" t="b">
        <f>Table1[[#This Row],[Building]]=Table1[[#This Row],[Column1]]</f>
        <v>1</v>
      </c>
      <c r="J837" s="11" t="s">
        <v>75</v>
      </c>
      <c r="K837" s="11">
        <v>1299</v>
      </c>
      <c r="L837" s="49" t="s">
        <v>39</v>
      </c>
      <c r="M837" s="49" t="s">
        <v>76</v>
      </c>
      <c r="N837" s="49" t="s">
        <v>88</v>
      </c>
      <c r="O837" s="49" t="s">
        <v>95</v>
      </c>
      <c r="P837" s="48" t="s">
        <v>97</v>
      </c>
      <c r="Q837" s="49" t="s">
        <v>37</v>
      </c>
      <c r="R837" s="11" t="s">
        <v>80</v>
      </c>
      <c r="S837" s="11" t="s">
        <v>98</v>
      </c>
      <c r="T837" s="49" t="s">
        <v>2845</v>
      </c>
      <c r="U837" s="11" t="s">
        <v>2846</v>
      </c>
      <c r="V837" s="116" t="s">
        <v>1</v>
      </c>
      <c r="W837" s="88"/>
      <c r="X837" s="51">
        <v>46048</v>
      </c>
      <c r="Y837" s="97" t="s">
        <v>1581</v>
      </c>
      <c r="Z837" s="135" t="s">
        <v>2</v>
      </c>
      <c r="AA837" s="135">
        <v>0</v>
      </c>
    </row>
    <row r="838" spans="1:27" ht="13" customHeight="1">
      <c r="A838" s="11">
        <v>832</v>
      </c>
      <c r="B838" s="47">
        <v>206138254</v>
      </c>
      <c r="C838" s="89" t="s">
        <v>894</v>
      </c>
      <c r="D838" s="11" t="s">
        <v>895</v>
      </c>
      <c r="E838" s="48" t="s">
        <v>31</v>
      </c>
      <c r="F838" s="48" t="s">
        <v>74</v>
      </c>
      <c r="G838" s="11" t="s">
        <v>64</v>
      </c>
      <c r="H838" s="48" t="str">
        <f>VLOOKUP(Table1[[#This Row],[Psoft No]],[1]Roster!$C$2:$H$1402,6,)</f>
        <v>AUH1</v>
      </c>
      <c r="I838" s="48" t="b">
        <f>Table1[[#This Row],[Building]]=Table1[[#This Row],[Column1]]</f>
        <v>1</v>
      </c>
      <c r="J838" s="11" t="s">
        <v>75</v>
      </c>
      <c r="K838" s="11">
        <v>1299</v>
      </c>
      <c r="L838" s="49" t="s">
        <v>39</v>
      </c>
      <c r="M838" s="49" t="s">
        <v>76</v>
      </c>
      <c r="N838" s="49" t="s">
        <v>77</v>
      </c>
      <c r="O838" s="49" t="s">
        <v>78</v>
      </c>
      <c r="P838" s="48" t="s">
        <v>89</v>
      </c>
      <c r="Q838" s="49" t="s">
        <v>37</v>
      </c>
      <c r="R838" s="11" t="s">
        <v>80</v>
      </c>
      <c r="S838" s="11" t="s">
        <v>81</v>
      </c>
      <c r="T838" s="11" t="s">
        <v>631</v>
      </c>
      <c r="U838" s="11" t="s">
        <v>632</v>
      </c>
      <c r="V838" s="116" t="s">
        <v>1</v>
      </c>
      <c r="W838" s="88"/>
      <c r="X838" s="51">
        <v>45929</v>
      </c>
      <c r="Y838" s="97" t="s">
        <v>1577</v>
      </c>
      <c r="Z838" s="135" t="s">
        <v>2</v>
      </c>
      <c r="AA838" s="135">
        <v>0</v>
      </c>
    </row>
    <row r="839" spans="1:27" ht="13" customHeight="1">
      <c r="A839" s="11">
        <v>833</v>
      </c>
      <c r="B839" s="47">
        <v>204951503</v>
      </c>
      <c r="C839" s="89" t="s">
        <v>2402</v>
      </c>
      <c r="D839" s="47" t="s">
        <v>2403</v>
      </c>
      <c r="E839" s="47" t="s">
        <v>31</v>
      </c>
      <c r="F839" s="48" t="s">
        <v>74</v>
      </c>
      <c r="G839" s="11" t="s">
        <v>64</v>
      </c>
      <c r="H839" s="48" t="str">
        <f>VLOOKUP(Table1[[#This Row],[Psoft No]],[1]Roster!$C$2:$H$1402,6,)</f>
        <v>AUH1</v>
      </c>
      <c r="I839" s="48" t="b">
        <f>Table1[[#This Row],[Building]]=Table1[[#This Row],[Column1]]</f>
        <v>1</v>
      </c>
      <c r="J839" s="11" t="s">
        <v>75</v>
      </c>
      <c r="K839" s="47">
        <v>1299</v>
      </c>
      <c r="L839" s="49" t="s">
        <v>32</v>
      </c>
      <c r="M839" s="49" t="s">
        <v>76</v>
      </c>
      <c r="N839" s="49" t="s">
        <v>85</v>
      </c>
      <c r="O839" s="49" t="s">
        <v>88</v>
      </c>
      <c r="P839" s="49" t="s">
        <v>86</v>
      </c>
      <c r="Q839" s="49" t="s">
        <v>37</v>
      </c>
      <c r="R839" s="11" t="s">
        <v>80</v>
      </c>
      <c r="S839" s="47" t="s">
        <v>90</v>
      </c>
      <c r="T839" s="49" t="s">
        <v>647</v>
      </c>
      <c r="U839" s="47" t="s">
        <v>1798</v>
      </c>
      <c r="V839" s="116" t="str">
        <f>VLOOKUP(Table1[[#This Row],[Psoft No]],[2]Sheet1!$A$2:$G$386,7,0)</f>
        <v>P</v>
      </c>
      <c r="W839" s="88"/>
      <c r="X839" s="51">
        <v>45719</v>
      </c>
      <c r="Y839" s="97" t="s">
        <v>1577</v>
      </c>
      <c r="Z839" s="135" t="s">
        <v>2</v>
      </c>
      <c r="AA839" s="135">
        <v>0</v>
      </c>
    </row>
    <row r="840" spans="1:27" ht="13" customHeight="1">
      <c r="A840" s="11">
        <v>834</v>
      </c>
      <c r="B840" s="47">
        <v>203850807</v>
      </c>
      <c r="C840" s="89" t="s">
        <v>2778</v>
      </c>
      <c r="D840" s="11" t="s">
        <v>2779</v>
      </c>
      <c r="E840" s="48" t="s">
        <v>31</v>
      </c>
      <c r="F840" s="48" t="s">
        <v>74</v>
      </c>
      <c r="G840" s="11" t="s">
        <v>64</v>
      </c>
      <c r="H840" s="48" t="str">
        <f>VLOOKUP(Table1[[#This Row],[Psoft No]],[1]Roster!$C$2:$H$1402,6,)</f>
        <v>AUH1</v>
      </c>
      <c r="I840" s="48" t="b">
        <f>Table1[[#This Row],[Building]]=Table1[[#This Row],[Column1]]</f>
        <v>1</v>
      </c>
      <c r="J840" s="11" t="s">
        <v>75</v>
      </c>
      <c r="K840" s="11">
        <v>1299</v>
      </c>
      <c r="L840" s="49" t="s">
        <v>39</v>
      </c>
      <c r="M840" s="49" t="s">
        <v>76</v>
      </c>
      <c r="N840" s="49" t="s">
        <v>78</v>
      </c>
      <c r="O840" s="49" t="s">
        <v>92</v>
      </c>
      <c r="P840" s="49" t="s">
        <v>89</v>
      </c>
      <c r="Q840" s="49" t="s">
        <v>37</v>
      </c>
      <c r="R840" s="11" t="s">
        <v>80</v>
      </c>
      <c r="S840" s="11" t="s">
        <v>90</v>
      </c>
      <c r="T840" s="11" t="s">
        <v>647</v>
      </c>
      <c r="U840" s="11" t="s">
        <v>2739</v>
      </c>
      <c r="V840" s="116" t="s">
        <v>10</v>
      </c>
      <c r="W840" s="88"/>
      <c r="X840" s="51">
        <v>45524</v>
      </c>
      <c r="Y840" s="97" t="s">
        <v>1577</v>
      </c>
      <c r="Z840" s="135" t="s">
        <v>3023</v>
      </c>
      <c r="AA840" s="135">
        <v>0</v>
      </c>
    </row>
    <row r="841" spans="1:27" ht="13" customHeight="1">
      <c r="A841" s="11">
        <v>835</v>
      </c>
      <c r="B841" s="47">
        <v>112181816</v>
      </c>
      <c r="C841" s="90" t="s">
        <v>896</v>
      </c>
      <c r="D841" s="11" t="s">
        <v>897</v>
      </c>
      <c r="E841" s="48" t="s">
        <v>31</v>
      </c>
      <c r="F841" s="48" t="s">
        <v>74</v>
      </c>
      <c r="G841" s="11" t="s">
        <v>64</v>
      </c>
      <c r="H841" s="48" t="str">
        <f>VLOOKUP(Table1[[#This Row],[Psoft No]],[1]Roster!$C$2:$H$1402,6,)</f>
        <v>AUH1</v>
      </c>
      <c r="I841" s="48" t="b">
        <f>Table1[[#This Row],[Building]]=Table1[[#This Row],[Column1]]</f>
        <v>1</v>
      </c>
      <c r="J841" s="11" t="s">
        <v>75</v>
      </c>
      <c r="K841" s="11">
        <v>1299</v>
      </c>
      <c r="L841" s="87" t="s">
        <v>39</v>
      </c>
      <c r="M841" s="49" t="s">
        <v>76</v>
      </c>
      <c r="N841" s="49" t="s">
        <v>85</v>
      </c>
      <c r="O841" s="49" t="s">
        <v>88</v>
      </c>
      <c r="P841" s="49" t="s">
        <v>79</v>
      </c>
      <c r="Q841" s="49" t="s">
        <v>37</v>
      </c>
      <c r="R841" s="11" t="s">
        <v>80</v>
      </c>
      <c r="S841" s="11" t="s">
        <v>81</v>
      </c>
      <c r="T841" s="11" t="s">
        <v>647</v>
      </c>
      <c r="U841" s="11" t="s">
        <v>1798</v>
      </c>
      <c r="V841" s="116" t="s">
        <v>1</v>
      </c>
      <c r="W841" s="88"/>
      <c r="X841" s="51">
        <v>45502</v>
      </c>
      <c r="Y841" s="97" t="s">
        <v>1577</v>
      </c>
      <c r="Z841" s="135" t="s">
        <v>2</v>
      </c>
      <c r="AA841" s="135">
        <v>0</v>
      </c>
    </row>
    <row r="842" spans="1:27" ht="13" customHeight="1">
      <c r="A842" s="11">
        <v>836</v>
      </c>
      <c r="B842" s="47">
        <v>206850962</v>
      </c>
      <c r="C842" s="89" t="s">
        <v>1811</v>
      </c>
      <c r="D842" s="11" t="s">
        <v>1812</v>
      </c>
      <c r="E842" s="48" t="s">
        <v>31</v>
      </c>
      <c r="F842" s="48" t="s">
        <v>74</v>
      </c>
      <c r="G842" s="11" t="s">
        <v>64</v>
      </c>
      <c r="H842" s="48" t="str">
        <f>VLOOKUP(Table1[[#This Row],[Psoft No]],[1]Roster!$C$2:$H$1402,6,)</f>
        <v>AUH1</v>
      </c>
      <c r="I842" s="48" t="b">
        <f>Table1[[#This Row],[Building]]=Table1[[#This Row],[Column1]]</f>
        <v>1</v>
      </c>
      <c r="J842" s="11" t="s">
        <v>75</v>
      </c>
      <c r="K842" s="11">
        <v>1299</v>
      </c>
      <c r="L842" s="49" t="s">
        <v>32</v>
      </c>
      <c r="M842" s="49" t="s">
        <v>76</v>
      </c>
      <c r="N842" s="49" t="s">
        <v>77</v>
      </c>
      <c r="O842" s="49" t="s">
        <v>78</v>
      </c>
      <c r="P842" s="48" t="s">
        <v>89</v>
      </c>
      <c r="Q842" s="49" t="s">
        <v>37</v>
      </c>
      <c r="R842" s="11" t="s">
        <v>80</v>
      </c>
      <c r="S842" s="11" t="s">
        <v>90</v>
      </c>
      <c r="T842" s="11" t="s">
        <v>2845</v>
      </c>
      <c r="U842" s="11" t="s">
        <v>2846</v>
      </c>
      <c r="V842" s="116" t="str">
        <f>VLOOKUP(Table1[[#This Row],[Psoft No]],[2]Sheet1!$A$2:$G$386,7,0)</f>
        <v>P</v>
      </c>
      <c r="W842" s="88"/>
      <c r="X842" s="51">
        <v>46013</v>
      </c>
      <c r="Y842" s="97" t="s">
        <v>1577</v>
      </c>
      <c r="Z842" s="135" t="s">
        <v>2</v>
      </c>
      <c r="AA842" s="135">
        <v>0</v>
      </c>
    </row>
    <row r="843" spans="1:27" ht="13" customHeight="1">
      <c r="A843" s="11">
        <v>837</v>
      </c>
      <c r="B843" s="47">
        <v>203993281</v>
      </c>
      <c r="C843" s="89" t="s">
        <v>898</v>
      </c>
      <c r="D843" s="11" t="s">
        <v>899</v>
      </c>
      <c r="E843" s="48" t="s">
        <v>31</v>
      </c>
      <c r="F843" s="48" t="s">
        <v>74</v>
      </c>
      <c r="G843" s="11" t="s">
        <v>64</v>
      </c>
      <c r="H843" s="48" t="str">
        <f>VLOOKUP(Table1[[#This Row],[Psoft No]],[1]Roster!$C$2:$H$1402,6,)</f>
        <v>AUH1</v>
      </c>
      <c r="I843" s="48" t="b">
        <f>Table1[[#This Row],[Building]]=Table1[[#This Row],[Column1]]</f>
        <v>1</v>
      </c>
      <c r="J843" s="11" t="s">
        <v>75</v>
      </c>
      <c r="K843" s="11">
        <v>1299</v>
      </c>
      <c r="L843" s="49" t="s">
        <v>32</v>
      </c>
      <c r="M843" s="49" t="s">
        <v>76</v>
      </c>
      <c r="N843" s="49" t="s">
        <v>95</v>
      </c>
      <c r="O843" s="49" t="s">
        <v>77</v>
      </c>
      <c r="P843" s="49" t="s">
        <v>79</v>
      </c>
      <c r="Q843" s="48" t="s">
        <v>37</v>
      </c>
      <c r="R843" s="48" t="s">
        <v>80</v>
      </c>
      <c r="S843" s="11" t="s">
        <v>81</v>
      </c>
      <c r="T843" s="49" t="s">
        <v>647</v>
      </c>
      <c r="U843" s="11" t="s">
        <v>1798</v>
      </c>
      <c r="V843" s="116" t="str">
        <f>VLOOKUP(Table1[[#This Row],[Psoft No]],[2]Sheet1!$A$2:$G$386,7,0)</f>
        <v>P</v>
      </c>
      <c r="W843" s="88"/>
      <c r="X843" s="51">
        <v>45547</v>
      </c>
      <c r="Y843" s="97" t="s">
        <v>1577</v>
      </c>
      <c r="Z843" s="135" t="s">
        <v>2</v>
      </c>
      <c r="AA843" s="135">
        <v>0</v>
      </c>
    </row>
    <row r="844" spans="1:27" ht="13" customHeight="1">
      <c r="A844" s="11">
        <v>838</v>
      </c>
      <c r="B844" s="47">
        <v>206846308</v>
      </c>
      <c r="C844" s="89" t="s">
        <v>1813</v>
      </c>
      <c r="D844" s="11" t="s">
        <v>1814</v>
      </c>
      <c r="E844" s="48" t="s">
        <v>31</v>
      </c>
      <c r="F844" s="48" t="s">
        <v>74</v>
      </c>
      <c r="G844" s="11" t="s">
        <v>64</v>
      </c>
      <c r="H844" s="48" t="str">
        <f>VLOOKUP(Table1[[#This Row],[Psoft No]],[1]Roster!$C$2:$H$1402,6,)</f>
        <v>AUH1</v>
      </c>
      <c r="I844" s="48" t="b">
        <f>Table1[[#This Row],[Building]]=Table1[[#This Row],[Column1]]</f>
        <v>1</v>
      </c>
      <c r="J844" s="11" t="s">
        <v>75</v>
      </c>
      <c r="K844" s="11">
        <v>1299</v>
      </c>
      <c r="L844" s="49" t="s">
        <v>39</v>
      </c>
      <c r="M844" s="49" t="s">
        <v>76</v>
      </c>
      <c r="N844" s="49" t="s">
        <v>78</v>
      </c>
      <c r="O844" s="49" t="s">
        <v>92</v>
      </c>
      <c r="P844" s="48" t="s">
        <v>89</v>
      </c>
      <c r="Q844" s="49" t="s">
        <v>37</v>
      </c>
      <c r="R844" s="11" t="s">
        <v>80</v>
      </c>
      <c r="S844" s="11" t="s">
        <v>90</v>
      </c>
      <c r="T844" s="49" t="s">
        <v>2844</v>
      </c>
      <c r="U844" s="11" t="s">
        <v>2716</v>
      </c>
      <c r="V844" s="116" t="s">
        <v>10</v>
      </c>
      <c r="W844" s="88"/>
      <c r="X844" s="51">
        <v>46013</v>
      </c>
      <c r="Y844" s="97" t="s">
        <v>1577</v>
      </c>
      <c r="Z844" s="135" t="s">
        <v>3023</v>
      </c>
      <c r="AA844" s="135">
        <v>0</v>
      </c>
    </row>
    <row r="845" spans="1:27" ht="13" customHeight="1">
      <c r="A845" s="11">
        <v>839</v>
      </c>
      <c r="B845" s="47">
        <v>203736752</v>
      </c>
      <c r="C845" s="89" t="s">
        <v>900</v>
      </c>
      <c r="D845" s="11" t="s">
        <v>901</v>
      </c>
      <c r="E845" s="11" t="s">
        <v>31</v>
      </c>
      <c r="F845" s="48" t="s">
        <v>74</v>
      </c>
      <c r="G845" s="11" t="s">
        <v>64</v>
      </c>
      <c r="H845" s="48" t="str">
        <f>VLOOKUP(Table1[[#This Row],[Psoft No]],[1]Roster!$C$2:$H$1402,6,)</f>
        <v>AUH1</v>
      </c>
      <c r="I845" s="48" t="b">
        <f>Table1[[#This Row],[Building]]=Table1[[#This Row],[Column1]]</f>
        <v>1</v>
      </c>
      <c r="J845" s="11" t="s">
        <v>75</v>
      </c>
      <c r="K845" s="11">
        <v>1299</v>
      </c>
      <c r="L845" s="49" t="s">
        <v>32</v>
      </c>
      <c r="M845" s="49" t="s">
        <v>76</v>
      </c>
      <c r="N845" s="49" t="s">
        <v>95</v>
      </c>
      <c r="O845" s="49" t="s">
        <v>77</v>
      </c>
      <c r="P845" s="49" t="s">
        <v>86</v>
      </c>
      <c r="Q845" s="49" t="s">
        <v>37</v>
      </c>
      <c r="R845" s="11" t="s">
        <v>80</v>
      </c>
      <c r="S845" s="11" t="s">
        <v>99</v>
      </c>
      <c r="T845" s="11" t="s">
        <v>639</v>
      </c>
      <c r="U845" s="11" t="s">
        <v>2718</v>
      </c>
      <c r="V845" s="116" t="str">
        <f>VLOOKUP(Table1[[#This Row],[Psoft No]],[2]Sheet1!$A$2:$G$386,7,0)</f>
        <v>P</v>
      </c>
      <c r="W845" s="88"/>
      <c r="X845" s="51">
        <v>45502</v>
      </c>
      <c r="Y845" s="97" t="s">
        <v>1577</v>
      </c>
      <c r="Z845" s="135" t="s">
        <v>2</v>
      </c>
      <c r="AA845" s="135">
        <v>0</v>
      </c>
    </row>
    <row r="846" spans="1:27" ht="13" customHeight="1">
      <c r="A846" s="11">
        <v>840</v>
      </c>
      <c r="B846" s="47">
        <v>204886570</v>
      </c>
      <c r="C846" s="89" t="s">
        <v>902</v>
      </c>
      <c r="D846" s="11" t="s">
        <v>903</v>
      </c>
      <c r="E846" s="48" t="s">
        <v>31</v>
      </c>
      <c r="F846" s="48" t="s">
        <v>74</v>
      </c>
      <c r="G846" s="11" t="s">
        <v>64</v>
      </c>
      <c r="H846" s="48" t="str">
        <f>VLOOKUP(Table1[[#This Row],[Psoft No]],[1]Roster!$C$2:$H$1402,6,)</f>
        <v>AUH1</v>
      </c>
      <c r="I846" s="48" t="b">
        <f>Table1[[#This Row],[Building]]=Table1[[#This Row],[Column1]]</f>
        <v>1</v>
      </c>
      <c r="J846" s="11" t="s">
        <v>75</v>
      </c>
      <c r="K846" s="11">
        <v>1299</v>
      </c>
      <c r="L846" s="49" t="s">
        <v>39</v>
      </c>
      <c r="M846" s="49" t="s">
        <v>76</v>
      </c>
      <c r="N846" s="49" t="s">
        <v>85</v>
      </c>
      <c r="O846" s="49" t="s">
        <v>88</v>
      </c>
      <c r="P846" s="48" t="s">
        <v>86</v>
      </c>
      <c r="Q846" s="49" t="s">
        <v>37</v>
      </c>
      <c r="R846" s="11" t="s">
        <v>80</v>
      </c>
      <c r="S846" s="11" t="s">
        <v>90</v>
      </c>
      <c r="T846" s="11" t="s">
        <v>647</v>
      </c>
      <c r="U846" s="11" t="s">
        <v>1798</v>
      </c>
      <c r="V846" s="116" t="s">
        <v>1</v>
      </c>
      <c r="W846" s="88"/>
      <c r="X846" s="51">
        <v>45719</v>
      </c>
      <c r="Y846" s="97" t="s">
        <v>1577</v>
      </c>
      <c r="Z846" s="135" t="s">
        <v>2</v>
      </c>
      <c r="AA846" s="135">
        <v>0</v>
      </c>
    </row>
    <row r="847" spans="1:27" ht="13" customHeight="1">
      <c r="A847" s="11">
        <v>841</v>
      </c>
      <c r="B847" s="47">
        <v>204060922</v>
      </c>
      <c r="C847" s="89" t="s">
        <v>904</v>
      </c>
      <c r="D847" s="11" t="s">
        <v>905</v>
      </c>
      <c r="E847" s="48" t="s">
        <v>31</v>
      </c>
      <c r="F847" s="48" t="s">
        <v>74</v>
      </c>
      <c r="G847" s="11" t="s">
        <v>64</v>
      </c>
      <c r="H847" s="48" t="str">
        <f>VLOOKUP(Table1[[#This Row],[Psoft No]],[1]Roster!$C$2:$H$1402,6,)</f>
        <v>AUH1</v>
      </c>
      <c r="I847" s="48" t="b">
        <f>Table1[[#This Row],[Building]]=Table1[[#This Row],[Column1]]</f>
        <v>1</v>
      </c>
      <c r="J847" s="11" t="s">
        <v>75</v>
      </c>
      <c r="K847" s="11">
        <v>1299</v>
      </c>
      <c r="L847" s="49" t="s">
        <v>32</v>
      </c>
      <c r="M847" s="49" t="s">
        <v>76</v>
      </c>
      <c r="N847" s="49" t="s">
        <v>84</v>
      </c>
      <c r="O847" s="49" t="s">
        <v>85</v>
      </c>
      <c r="P847" s="48" t="s">
        <v>86</v>
      </c>
      <c r="Q847" s="49" t="s">
        <v>37</v>
      </c>
      <c r="R847" s="11" t="s">
        <v>80</v>
      </c>
      <c r="S847" s="11" t="s">
        <v>90</v>
      </c>
      <c r="T847" s="49" t="s">
        <v>2845</v>
      </c>
      <c r="U847" s="11" t="s">
        <v>2846</v>
      </c>
      <c r="V847" s="116" t="str">
        <f>VLOOKUP(Table1[[#This Row],[Psoft No]],[2]Sheet1!$A$2:$G$386,7,0)</f>
        <v>P</v>
      </c>
      <c r="W847" s="88"/>
      <c r="X847" s="51">
        <v>45558</v>
      </c>
      <c r="Y847" s="97" t="s">
        <v>1577</v>
      </c>
      <c r="Z847" s="135" t="s">
        <v>2</v>
      </c>
      <c r="AA847" s="135">
        <v>0</v>
      </c>
    </row>
    <row r="848" spans="1:27" ht="13" customHeight="1">
      <c r="A848" s="11">
        <v>842</v>
      </c>
      <c r="B848" s="47">
        <v>206846309</v>
      </c>
      <c r="C848" s="89" t="s">
        <v>1827</v>
      </c>
      <c r="D848" s="11" t="s">
        <v>1828</v>
      </c>
      <c r="E848" s="48" t="s">
        <v>31</v>
      </c>
      <c r="F848" s="48" t="s">
        <v>74</v>
      </c>
      <c r="G848" s="11" t="s">
        <v>64</v>
      </c>
      <c r="H848" s="48" t="str">
        <f>VLOOKUP(Table1[[#This Row],[Psoft No]],[1]Roster!$C$2:$H$1402,6,)</f>
        <v>AUH1</v>
      </c>
      <c r="I848" s="48" t="b">
        <f>Table1[[#This Row],[Building]]=Table1[[#This Row],[Column1]]</f>
        <v>1</v>
      </c>
      <c r="J848" s="11" t="s">
        <v>75</v>
      </c>
      <c r="K848" s="11">
        <v>1299</v>
      </c>
      <c r="L848" s="49" t="s">
        <v>39</v>
      </c>
      <c r="M848" s="49" t="s">
        <v>76</v>
      </c>
      <c r="N848" s="49" t="s">
        <v>84</v>
      </c>
      <c r="O848" s="49" t="s">
        <v>85</v>
      </c>
      <c r="P848" s="48" t="s">
        <v>89</v>
      </c>
      <c r="Q848" s="49" t="s">
        <v>37</v>
      </c>
      <c r="R848" s="11" t="s">
        <v>80</v>
      </c>
      <c r="S848" s="11" t="s">
        <v>90</v>
      </c>
      <c r="T848" s="49" t="s">
        <v>2719</v>
      </c>
      <c r="U848" s="11" t="s">
        <v>642</v>
      </c>
      <c r="V848" s="116" t="s">
        <v>1</v>
      </c>
      <c r="W848" s="88"/>
      <c r="X848" s="51">
        <v>46013</v>
      </c>
      <c r="Y848" s="97" t="s">
        <v>1577</v>
      </c>
      <c r="Z848" s="135" t="s">
        <v>2</v>
      </c>
      <c r="AA848" s="135">
        <v>0</v>
      </c>
    </row>
    <row r="849" spans="1:27" ht="13" customHeight="1">
      <c r="A849" s="11">
        <v>843</v>
      </c>
      <c r="B849" s="47">
        <v>203993118</v>
      </c>
      <c r="C849" s="89" t="s">
        <v>906</v>
      </c>
      <c r="D849" s="11" t="s">
        <v>907</v>
      </c>
      <c r="E849" s="48" t="s">
        <v>31</v>
      </c>
      <c r="F849" s="48" t="s">
        <v>74</v>
      </c>
      <c r="G849" s="11" t="s">
        <v>64</v>
      </c>
      <c r="H849" s="48" t="str">
        <f>VLOOKUP(Table1[[#This Row],[Psoft No]],[1]Roster!$C$2:$H$1402,6,)</f>
        <v>AUH1</v>
      </c>
      <c r="I849" s="48" t="b">
        <f>Table1[[#This Row],[Building]]=Table1[[#This Row],[Column1]]</f>
        <v>1</v>
      </c>
      <c r="J849" s="11" t="s">
        <v>75</v>
      </c>
      <c r="K849" s="11">
        <v>1299</v>
      </c>
      <c r="L849" s="49" t="s">
        <v>39</v>
      </c>
      <c r="M849" s="49" t="s">
        <v>76</v>
      </c>
      <c r="N849" s="49" t="s">
        <v>78</v>
      </c>
      <c r="O849" s="49" t="s">
        <v>92</v>
      </c>
      <c r="P849" s="48" t="s">
        <v>89</v>
      </c>
      <c r="Q849" s="49" t="s">
        <v>37</v>
      </c>
      <c r="R849" s="11" t="s">
        <v>80</v>
      </c>
      <c r="S849" s="11" t="s">
        <v>90</v>
      </c>
      <c r="T849" s="11" t="s">
        <v>631</v>
      </c>
      <c r="U849" s="11" t="s">
        <v>632</v>
      </c>
      <c r="V849" s="116" t="s">
        <v>10</v>
      </c>
      <c r="W849" s="88"/>
      <c r="X849" s="51">
        <v>45547</v>
      </c>
      <c r="Y849" s="97" t="s">
        <v>1577</v>
      </c>
      <c r="Z849" s="135" t="s">
        <v>3023</v>
      </c>
      <c r="AA849" s="135">
        <v>0</v>
      </c>
    </row>
    <row r="850" spans="1:27" ht="13" customHeight="1">
      <c r="A850" s="11">
        <v>844</v>
      </c>
      <c r="B850" s="47">
        <v>205199352</v>
      </c>
      <c r="C850" s="89" t="s">
        <v>2064</v>
      </c>
      <c r="D850" s="11" t="s">
        <v>2065</v>
      </c>
      <c r="E850" s="48" t="s">
        <v>31</v>
      </c>
      <c r="F850" s="48" t="s">
        <v>74</v>
      </c>
      <c r="G850" s="11" t="s">
        <v>64</v>
      </c>
      <c r="H850" s="48" t="str">
        <f>VLOOKUP(Table1[[#This Row],[Psoft No]],[1]Roster!$C$2:$H$1402,6,)</f>
        <v>AUH1</v>
      </c>
      <c r="I850" s="48" t="b">
        <f>Table1[[#This Row],[Building]]=Table1[[#This Row],[Column1]]</f>
        <v>1</v>
      </c>
      <c r="J850" s="11" t="s">
        <v>75</v>
      </c>
      <c r="K850" s="11">
        <v>1299</v>
      </c>
      <c r="L850" s="49" t="s">
        <v>39</v>
      </c>
      <c r="M850" s="49" t="s">
        <v>76</v>
      </c>
      <c r="N850" s="49" t="s">
        <v>95</v>
      </c>
      <c r="O850" s="49" t="s">
        <v>77</v>
      </c>
      <c r="P850" s="48" t="s">
        <v>79</v>
      </c>
      <c r="Q850" s="49" t="s">
        <v>37</v>
      </c>
      <c r="R850" s="11" t="s">
        <v>80</v>
      </c>
      <c r="S850" s="11" t="s">
        <v>96</v>
      </c>
      <c r="T850" s="11" t="s">
        <v>2845</v>
      </c>
      <c r="U850" s="11" t="s">
        <v>2846</v>
      </c>
      <c r="V850" s="116" t="s">
        <v>1</v>
      </c>
      <c r="W850" s="88"/>
      <c r="X850" s="51">
        <v>46048</v>
      </c>
      <c r="Y850" s="97" t="s">
        <v>1577</v>
      </c>
      <c r="Z850" s="135" t="s">
        <v>2</v>
      </c>
      <c r="AA850" s="135">
        <v>0</v>
      </c>
    </row>
    <row r="851" spans="1:27" ht="13" customHeight="1">
      <c r="A851" s="11">
        <v>845</v>
      </c>
      <c r="B851" s="47">
        <v>204010090</v>
      </c>
      <c r="C851" s="89" t="s">
        <v>2333</v>
      </c>
      <c r="D851" s="11" t="s">
        <v>2334</v>
      </c>
      <c r="E851" s="11" t="s">
        <v>31</v>
      </c>
      <c r="F851" s="48" t="s">
        <v>74</v>
      </c>
      <c r="G851" s="11" t="s">
        <v>64</v>
      </c>
      <c r="H851" s="48" t="str">
        <f>VLOOKUP(Table1[[#This Row],[Psoft No]],[1]Roster!$C$2:$H$1402,6,)</f>
        <v>AUH1</v>
      </c>
      <c r="I851" s="48" t="b">
        <f>Table1[[#This Row],[Building]]=Table1[[#This Row],[Column1]]</f>
        <v>1</v>
      </c>
      <c r="J851" s="11" t="s">
        <v>75</v>
      </c>
      <c r="K851" s="11">
        <v>1299</v>
      </c>
      <c r="L851" s="49" t="s">
        <v>32</v>
      </c>
      <c r="M851" s="49" t="s">
        <v>76</v>
      </c>
      <c r="N851" s="49" t="s">
        <v>78</v>
      </c>
      <c r="O851" s="49" t="s">
        <v>92</v>
      </c>
      <c r="P851" s="49" t="s">
        <v>86</v>
      </c>
      <c r="Q851" s="49" t="s">
        <v>37</v>
      </c>
      <c r="R851" s="11" t="s">
        <v>80</v>
      </c>
      <c r="S851" s="11" t="s">
        <v>90</v>
      </c>
      <c r="T851" s="11" t="s">
        <v>639</v>
      </c>
      <c r="U851" s="11" t="s">
        <v>2718</v>
      </c>
      <c r="V851" s="116" t="s">
        <v>10</v>
      </c>
      <c r="W851" s="88"/>
      <c r="X851" s="51">
        <v>45551</v>
      </c>
      <c r="Y851" s="97" t="s">
        <v>1578</v>
      </c>
      <c r="Z851" s="135" t="s">
        <v>3023</v>
      </c>
      <c r="AA851" s="135">
        <v>0</v>
      </c>
    </row>
    <row r="852" spans="1:27" ht="13" customHeight="1">
      <c r="A852" s="11">
        <v>846</v>
      </c>
      <c r="B852" s="47">
        <v>206850966</v>
      </c>
      <c r="C852" s="89" t="s">
        <v>1861</v>
      </c>
      <c r="D852" s="11" t="s">
        <v>1862</v>
      </c>
      <c r="E852" s="48" t="s">
        <v>31</v>
      </c>
      <c r="F852" s="48" t="s">
        <v>74</v>
      </c>
      <c r="G852" s="11" t="s">
        <v>64</v>
      </c>
      <c r="H852" s="48" t="str">
        <f>VLOOKUP(Table1[[#This Row],[Psoft No]],[1]Roster!$C$2:$H$1402,6,)</f>
        <v>AUH1</v>
      </c>
      <c r="I852" s="48" t="b">
        <f>Table1[[#This Row],[Building]]=Table1[[#This Row],[Column1]]</f>
        <v>1</v>
      </c>
      <c r="J852" s="11" t="s">
        <v>75</v>
      </c>
      <c r="K852" s="11">
        <v>1299</v>
      </c>
      <c r="L852" s="49" t="s">
        <v>39</v>
      </c>
      <c r="M852" s="49" t="s">
        <v>76</v>
      </c>
      <c r="N852" s="49" t="s">
        <v>88</v>
      </c>
      <c r="O852" s="49" t="s">
        <v>95</v>
      </c>
      <c r="P852" s="48" t="s">
        <v>89</v>
      </c>
      <c r="Q852" s="49" t="s">
        <v>37</v>
      </c>
      <c r="R852" s="11" t="s">
        <v>80</v>
      </c>
      <c r="S852" s="11" t="s">
        <v>90</v>
      </c>
      <c r="T852" s="49" t="s">
        <v>647</v>
      </c>
      <c r="U852" s="11" t="s">
        <v>1798</v>
      </c>
      <c r="V852" s="116" t="s">
        <v>1</v>
      </c>
      <c r="W852" s="88"/>
      <c r="X852" s="51">
        <v>46030</v>
      </c>
      <c r="Y852" s="97" t="s">
        <v>1577</v>
      </c>
      <c r="Z852" s="135" t="s">
        <v>2</v>
      </c>
      <c r="AA852" s="135">
        <v>0</v>
      </c>
    </row>
    <row r="853" spans="1:27" ht="13" customHeight="1">
      <c r="A853" s="11">
        <v>847</v>
      </c>
      <c r="B853" s="47">
        <v>203850808</v>
      </c>
      <c r="C853" s="89" t="s">
        <v>2404</v>
      </c>
      <c r="D853" s="11" t="s">
        <v>2405</v>
      </c>
      <c r="E853" s="48" t="s">
        <v>31</v>
      </c>
      <c r="F853" s="48" t="s">
        <v>74</v>
      </c>
      <c r="G853" s="11" t="s">
        <v>64</v>
      </c>
      <c r="H853" s="48" t="str">
        <f>VLOOKUP(Table1[[#This Row],[Psoft No]],[1]Roster!$C$2:$H$1402,6,)</f>
        <v>AUH1</v>
      </c>
      <c r="I853" s="48" t="b">
        <f>Table1[[#This Row],[Building]]=Table1[[#This Row],[Column1]]</f>
        <v>1</v>
      </c>
      <c r="J853" s="11" t="s">
        <v>75</v>
      </c>
      <c r="K853" s="11">
        <v>1299</v>
      </c>
      <c r="L853" s="87" t="s">
        <v>39</v>
      </c>
      <c r="M853" s="49" t="s">
        <v>76</v>
      </c>
      <c r="N853" s="49" t="s">
        <v>88</v>
      </c>
      <c r="O853" s="49" t="s">
        <v>95</v>
      </c>
      <c r="P853" s="49" t="s">
        <v>86</v>
      </c>
      <c r="Q853" s="49" t="s">
        <v>37</v>
      </c>
      <c r="R853" s="11" t="s">
        <v>80</v>
      </c>
      <c r="S853" s="11" t="s">
        <v>90</v>
      </c>
      <c r="T853" s="11" t="s">
        <v>647</v>
      </c>
      <c r="U853" s="11" t="s">
        <v>1798</v>
      </c>
      <c r="V853" s="116" t="s">
        <v>1</v>
      </c>
      <c r="W853" s="88"/>
      <c r="X853" s="51">
        <v>45524</v>
      </c>
      <c r="Y853" s="97" t="s">
        <v>1577</v>
      </c>
      <c r="Z853" s="135" t="s">
        <v>2</v>
      </c>
      <c r="AA853" s="135">
        <v>0</v>
      </c>
    </row>
    <row r="854" spans="1:27" ht="13" customHeight="1">
      <c r="A854" s="11">
        <v>848</v>
      </c>
      <c r="B854" s="47">
        <v>206890217</v>
      </c>
      <c r="C854" s="89" t="s">
        <v>1831</v>
      </c>
      <c r="D854" s="11" t="s">
        <v>1832</v>
      </c>
      <c r="E854" s="48" t="s">
        <v>31</v>
      </c>
      <c r="F854" s="48" t="s">
        <v>74</v>
      </c>
      <c r="G854" s="48" t="s">
        <v>64</v>
      </c>
      <c r="H854" s="48" t="str">
        <f>VLOOKUP(Table1[[#This Row],[Psoft No]],[1]Roster!$C$2:$H$1402,6,)</f>
        <v>AUH1</v>
      </c>
      <c r="I854" s="48" t="b">
        <f>Table1[[#This Row],[Building]]=Table1[[#This Row],[Column1]]</f>
        <v>1</v>
      </c>
      <c r="J854" s="48" t="s">
        <v>75</v>
      </c>
      <c r="K854" s="11">
        <v>1299</v>
      </c>
      <c r="L854" s="49" t="s">
        <v>32</v>
      </c>
      <c r="M854" s="49" t="s">
        <v>76</v>
      </c>
      <c r="N854" s="49" t="s">
        <v>88</v>
      </c>
      <c r="O854" s="49" t="s">
        <v>95</v>
      </c>
      <c r="P854" s="49" t="s">
        <v>89</v>
      </c>
      <c r="Q854" s="49" t="s">
        <v>37</v>
      </c>
      <c r="R854" s="49" t="s">
        <v>80</v>
      </c>
      <c r="S854" s="49" t="s">
        <v>96</v>
      </c>
      <c r="T854" s="49" t="s">
        <v>2845</v>
      </c>
      <c r="U854" s="49" t="s">
        <v>2846</v>
      </c>
      <c r="V854" s="116" t="str">
        <f>VLOOKUP(Table1[[#This Row],[Psoft No]],[2]Sheet1!$A$2:$G$386,7,0)</f>
        <v>P</v>
      </c>
      <c r="W854" s="88"/>
      <c r="X854" s="51">
        <v>46027</v>
      </c>
      <c r="Y854" s="97" t="s">
        <v>1577</v>
      </c>
      <c r="Z854" s="135" t="s">
        <v>2</v>
      </c>
      <c r="AA854" s="135">
        <v>0</v>
      </c>
    </row>
    <row r="855" spans="1:27" ht="13" customHeight="1">
      <c r="A855" s="11">
        <v>849</v>
      </c>
      <c r="B855" s="47">
        <v>203355686</v>
      </c>
      <c r="C855" s="89" t="s">
        <v>908</v>
      </c>
      <c r="D855" s="11" t="s">
        <v>909</v>
      </c>
      <c r="E855" s="103" t="s">
        <v>31</v>
      </c>
      <c r="F855" s="48" t="s">
        <v>74</v>
      </c>
      <c r="G855" s="11" t="s">
        <v>64</v>
      </c>
      <c r="H855" s="48" t="str">
        <f>VLOOKUP(Table1[[#This Row],[Psoft No]],[1]Roster!$C$2:$H$1402,6,)</f>
        <v>AUH1</v>
      </c>
      <c r="I855" s="48" t="b">
        <f>Table1[[#This Row],[Building]]=Table1[[#This Row],[Column1]]</f>
        <v>1</v>
      </c>
      <c r="J855" s="11" t="s">
        <v>75</v>
      </c>
      <c r="K855" s="11">
        <v>1299</v>
      </c>
      <c r="L855" s="87" t="s">
        <v>39</v>
      </c>
      <c r="M855" s="49" t="s">
        <v>76</v>
      </c>
      <c r="N855" s="49" t="s">
        <v>95</v>
      </c>
      <c r="O855" s="49" t="s">
        <v>77</v>
      </c>
      <c r="P855" s="49" t="s">
        <v>86</v>
      </c>
      <c r="Q855" s="49" t="s">
        <v>37</v>
      </c>
      <c r="R855" s="49" t="s">
        <v>80</v>
      </c>
      <c r="S855" s="49" t="s">
        <v>99</v>
      </c>
      <c r="T855" s="11" t="s">
        <v>1066</v>
      </c>
      <c r="U855" s="49" t="s">
        <v>2717</v>
      </c>
      <c r="V855" s="116" t="s">
        <v>1</v>
      </c>
      <c r="W855" s="88"/>
      <c r="X855" s="51">
        <v>45432</v>
      </c>
      <c r="Y855" s="97" t="s">
        <v>1577</v>
      </c>
      <c r="Z855" s="135" t="s">
        <v>2</v>
      </c>
      <c r="AA855" s="135">
        <v>0</v>
      </c>
    </row>
    <row r="856" spans="1:27" ht="13" customHeight="1">
      <c r="A856" s="11">
        <v>850</v>
      </c>
      <c r="B856" s="47">
        <v>203911255</v>
      </c>
      <c r="C856" s="89" t="s">
        <v>910</v>
      </c>
      <c r="D856" s="11" t="s">
        <v>911</v>
      </c>
      <c r="E856" s="48" t="s">
        <v>31</v>
      </c>
      <c r="F856" s="48" t="s">
        <v>74</v>
      </c>
      <c r="G856" s="11" t="s">
        <v>64</v>
      </c>
      <c r="H856" s="48" t="str">
        <f>VLOOKUP(Table1[[#This Row],[Psoft No]],[1]Roster!$C$2:$H$1402,6,)</f>
        <v>AUH1</v>
      </c>
      <c r="I856" s="48" t="b">
        <f>Table1[[#This Row],[Building]]=Table1[[#This Row],[Column1]]</f>
        <v>1</v>
      </c>
      <c r="J856" s="11" t="s">
        <v>75</v>
      </c>
      <c r="K856" s="11">
        <v>1299</v>
      </c>
      <c r="L856" s="49" t="s">
        <v>39</v>
      </c>
      <c r="M856" s="49" t="s">
        <v>76</v>
      </c>
      <c r="N856" s="49" t="s">
        <v>77</v>
      </c>
      <c r="O856" s="49" t="s">
        <v>78</v>
      </c>
      <c r="P856" s="48" t="s">
        <v>86</v>
      </c>
      <c r="Q856" s="49" t="s">
        <v>37</v>
      </c>
      <c r="R856" s="11" t="s">
        <v>80</v>
      </c>
      <c r="S856" s="11" t="s">
        <v>99</v>
      </c>
      <c r="T856" s="49" t="s">
        <v>627</v>
      </c>
      <c r="U856" s="11" t="s">
        <v>628</v>
      </c>
      <c r="V856" s="116" t="s">
        <v>1</v>
      </c>
      <c r="W856" s="88"/>
      <c r="X856" s="51">
        <v>45537</v>
      </c>
      <c r="Y856" s="97" t="s">
        <v>1577</v>
      </c>
      <c r="Z856" s="135" t="s">
        <v>2</v>
      </c>
      <c r="AA856" s="135">
        <v>0</v>
      </c>
    </row>
    <row r="857" spans="1:27" ht="13" customHeight="1">
      <c r="A857" s="11">
        <v>851</v>
      </c>
      <c r="B857" s="47">
        <v>206136731</v>
      </c>
      <c r="C857" s="89" t="s">
        <v>912</v>
      </c>
      <c r="D857" s="11" t="s">
        <v>913</v>
      </c>
      <c r="E857" s="48" t="s">
        <v>31</v>
      </c>
      <c r="F857" s="48" t="s">
        <v>74</v>
      </c>
      <c r="G857" s="11" t="s">
        <v>64</v>
      </c>
      <c r="H857" s="48" t="str">
        <f>VLOOKUP(Table1[[#This Row],[Psoft No]],[1]Roster!$C$2:$H$1402,6,)</f>
        <v>AUH1</v>
      </c>
      <c r="I857" s="48" t="b">
        <f>Table1[[#This Row],[Building]]=Table1[[#This Row],[Column1]]</f>
        <v>1</v>
      </c>
      <c r="J857" s="11" t="s">
        <v>75</v>
      </c>
      <c r="K857" s="11">
        <v>1299</v>
      </c>
      <c r="L857" s="49" t="s">
        <v>39</v>
      </c>
      <c r="M857" s="49" t="s">
        <v>76</v>
      </c>
      <c r="N857" s="49" t="s">
        <v>95</v>
      </c>
      <c r="O857" s="49" t="s">
        <v>77</v>
      </c>
      <c r="P857" s="48" t="s">
        <v>79</v>
      </c>
      <c r="Q857" s="49" t="s">
        <v>37</v>
      </c>
      <c r="R857" s="11" t="s">
        <v>80</v>
      </c>
      <c r="S857" s="11" t="s">
        <v>81</v>
      </c>
      <c r="T857" s="49" t="s">
        <v>2719</v>
      </c>
      <c r="U857" s="11" t="s">
        <v>642</v>
      </c>
      <c r="V857" s="116" t="s">
        <v>1</v>
      </c>
      <c r="W857" s="88"/>
      <c r="X857" s="51">
        <v>45929</v>
      </c>
      <c r="Y857" s="97" t="s">
        <v>1577</v>
      </c>
      <c r="Z857" s="135" t="s">
        <v>2</v>
      </c>
      <c r="AA857" s="135">
        <v>0</v>
      </c>
    </row>
    <row r="858" spans="1:27" ht="13" customHeight="1">
      <c r="A858" s="11">
        <v>852</v>
      </c>
      <c r="B858" s="47">
        <v>203521137</v>
      </c>
      <c r="C858" s="89" t="s">
        <v>914</v>
      </c>
      <c r="D858" s="11" t="s">
        <v>915</v>
      </c>
      <c r="E858" s="48" t="s">
        <v>31</v>
      </c>
      <c r="F858" s="48" t="s">
        <v>74</v>
      </c>
      <c r="G858" s="11" t="s">
        <v>64</v>
      </c>
      <c r="H858" s="48" t="str">
        <f>VLOOKUP(Table1[[#This Row],[Psoft No]],[1]Roster!$C$2:$H$1402,6,)</f>
        <v>AUH1</v>
      </c>
      <c r="I858" s="48" t="b">
        <f>Table1[[#This Row],[Building]]=Table1[[#This Row],[Column1]]</f>
        <v>1</v>
      </c>
      <c r="J858" s="11" t="s">
        <v>75</v>
      </c>
      <c r="K858" s="11">
        <v>1299</v>
      </c>
      <c r="L858" s="49" t="s">
        <v>32</v>
      </c>
      <c r="M858" s="49" t="s">
        <v>76</v>
      </c>
      <c r="N858" s="49" t="s">
        <v>85</v>
      </c>
      <c r="O858" s="49" t="s">
        <v>88</v>
      </c>
      <c r="P858" s="49" t="s">
        <v>79</v>
      </c>
      <c r="Q858" s="49" t="s">
        <v>37</v>
      </c>
      <c r="R858" s="11" t="s">
        <v>80</v>
      </c>
      <c r="S858" s="11" t="s">
        <v>81</v>
      </c>
      <c r="T858" s="49" t="s">
        <v>1066</v>
      </c>
      <c r="U858" s="11" t="s">
        <v>2717</v>
      </c>
      <c r="V858" s="116" t="str">
        <f>VLOOKUP(Table1[[#This Row],[Psoft No]],[2]Sheet1!$A$2:$G$386,7,0)</f>
        <v>P</v>
      </c>
      <c r="W858" s="88"/>
      <c r="X858" s="51">
        <v>45463</v>
      </c>
      <c r="Y858" s="97" t="s">
        <v>1577</v>
      </c>
      <c r="Z858" s="135" t="s">
        <v>2</v>
      </c>
      <c r="AA858" s="135">
        <v>0</v>
      </c>
    </row>
    <row r="859" spans="1:27" ht="13" customHeight="1">
      <c r="A859" s="11">
        <v>853</v>
      </c>
      <c r="B859" s="47">
        <v>104277448</v>
      </c>
      <c r="C859" s="89" t="s">
        <v>916</v>
      </c>
      <c r="D859" s="11" t="s">
        <v>917</v>
      </c>
      <c r="E859" s="48" t="s">
        <v>34</v>
      </c>
      <c r="F859" s="48" t="s">
        <v>74</v>
      </c>
      <c r="G859" s="11" t="s">
        <v>64</v>
      </c>
      <c r="H859" s="48" t="str">
        <f>VLOOKUP(Table1[[#This Row],[Psoft No]],[1]Roster!$C$2:$H$1402,6,)</f>
        <v>AUH1</v>
      </c>
      <c r="I859" s="48" t="b">
        <f>Table1[[#This Row],[Building]]=Table1[[#This Row],[Column1]]</f>
        <v>1</v>
      </c>
      <c r="J859" s="11" t="s">
        <v>75</v>
      </c>
      <c r="K859" s="11">
        <v>1299</v>
      </c>
      <c r="L859" s="49" t="s">
        <v>32</v>
      </c>
      <c r="M859" s="49" t="s">
        <v>76</v>
      </c>
      <c r="N859" s="49" t="s">
        <v>36</v>
      </c>
      <c r="O859" s="49" t="s">
        <v>92</v>
      </c>
      <c r="P859" s="48" t="s">
        <v>97</v>
      </c>
      <c r="Q859" s="49" t="s">
        <v>37</v>
      </c>
      <c r="R859" s="11" t="s">
        <v>80</v>
      </c>
      <c r="S859" s="11" t="s">
        <v>98</v>
      </c>
      <c r="T859" s="11" t="s">
        <v>627</v>
      </c>
      <c r="U859" s="11" t="s">
        <v>628</v>
      </c>
      <c r="V859" s="116" t="s">
        <v>10</v>
      </c>
      <c r="W859" s="88"/>
      <c r="X859" s="51">
        <v>44067</v>
      </c>
      <c r="Y859" s="97" t="s">
        <v>1581</v>
      </c>
      <c r="Z859" s="135" t="s">
        <v>3023</v>
      </c>
      <c r="AA859" s="135">
        <v>0</v>
      </c>
    </row>
    <row r="860" spans="1:27" ht="13" customHeight="1">
      <c r="A860" s="11">
        <v>854</v>
      </c>
      <c r="B860" s="11">
        <v>206886730</v>
      </c>
      <c r="C860" s="89" t="s">
        <v>1833</v>
      </c>
      <c r="D860" s="11" t="s">
        <v>1834</v>
      </c>
      <c r="E860" s="48" t="s">
        <v>31</v>
      </c>
      <c r="F860" s="48" t="s">
        <v>74</v>
      </c>
      <c r="G860" s="11" t="s">
        <v>64</v>
      </c>
      <c r="H860" s="48" t="str">
        <f>VLOOKUP(Table1[[#This Row],[Psoft No]],[1]Roster!$C$2:$H$1402,6,)</f>
        <v>AUH1</v>
      </c>
      <c r="I860" s="48" t="b">
        <f>Table1[[#This Row],[Building]]=Table1[[#This Row],[Column1]]</f>
        <v>1</v>
      </c>
      <c r="J860" s="11" t="s">
        <v>75</v>
      </c>
      <c r="K860" s="11">
        <v>1299</v>
      </c>
      <c r="L860" s="87" t="s">
        <v>32</v>
      </c>
      <c r="M860" s="49" t="s">
        <v>76</v>
      </c>
      <c r="N860" s="49" t="s">
        <v>88</v>
      </c>
      <c r="O860" s="49" t="s">
        <v>95</v>
      </c>
      <c r="P860" s="49" t="s">
        <v>89</v>
      </c>
      <c r="Q860" s="49" t="s">
        <v>37</v>
      </c>
      <c r="R860" s="11" t="s">
        <v>80</v>
      </c>
      <c r="S860" s="2" t="s">
        <v>96</v>
      </c>
      <c r="T860" s="11" t="s">
        <v>2845</v>
      </c>
      <c r="U860" s="54" t="s">
        <v>2846</v>
      </c>
      <c r="V860" s="116" t="str">
        <f>VLOOKUP(Table1[[#This Row],[Psoft No]],[2]Sheet1!$A$2:$G$386,7,0)</f>
        <v>P</v>
      </c>
      <c r="W860" s="88"/>
      <c r="X860" s="51">
        <v>46027</v>
      </c>
      <c r="Y860" s="97" t="s">
        <v>1577</v>
      </c>
      <c r="Z860" s="135" t="s">
        <v>2</v>
      </c>
      <c r="AA860" s="135">
        <v>0</v>
      </c>
    </row>
    <row r="861" spans="1:27" ht="13" customHeight="1">
      <c r="A861" s="11">
        <v>855</v>
      </c>
      <c r="B861" s="92">
        <v>203965183</v>
      </c>
      <c r="C861" s="47" t="s">
        <v>918</v>
      </c>
      <c r="D861" s="89" t="s">
        <v>919</v>
      </c>
      <c r="E861" s="48" t="s">
        <v>31</v>
      </c>
      <c r="F861" s="48" t="s">
        <v>74</v>
      </c>
      <c r="G861" s="11" t="s">
        <v>64</v>
      </c>
      <c r="H861" s="48" t="str">
        <f>VLOOKUP(Table1[[#This Row],[Psoft No]],[1]Roster!$C$2:$H$1402,6,)</f>
        <v>AUH1</v>
      </c>
      <c r="I861" s="48" t="b">
        <f>Table1[[#This Row],[Building]]=Table1[[#This Row],[Column1]]</f>
        <v>1</v>
      </c>
      <c r="J861" s="11" t="s">
        <v>75</v>
      </c>
      <c r="K861" s="11">
        <v>1299</v>
      </c>
      <c r="L861" s="49" t="s">
        <v>39</v>
      </c>
      <c r="M861" s="49" t="s">
        <v>76</v>
      </c>
      <c r="N861" s="49" t="s">
        <v>78</v>
      </c>
      <c r="O861" s="49" t="s">
        <v>92</v>
      </c>
      <c r="P861" s="48" t="s">
        <v>79</v>
      </c>
      <c r="Q861" s="49" t="s">
        <v>37</v>
      </c>
      <c r="R861" s="11" t="s">
        <v>80</v>
      </c>
      <c r="S861" s="11" t="s">
        <v>81</v>
      </c>
      <c r="T861" s="11" t="s">
        <v>627</v>
      </c>
      <c r="U861" s="11" t="s">
        <v>628</v>
      </c>
      <c r="V861" s="116" t="s">
        <v>10</v>
      </c>
      <c r="W861" s="88"/>
      <c r="X861" s="51">
        <v>45544</v>
      </c>
      <c r="Y861" s="97" t="s">
        <v>1577</v>
      </c>
      <c r="Z861" s="135" t="s">
        <v>3023</v>
      </c>
      <c r="AA861" s="135">
        <v>0</v>
      </c>
    </row>
    <row r="862" spans="1:27" ht="13" customHeight="1">
      <c r="A862" s="11">
        <v>856</v>
      </c>
      <c r="B862" s="47">
        <v>206138682</v>
      </c>
      <c r="C862" s="89" t="s">
        <v>920</v>
      </c>
      <c r="D862" s="11" t="s">
        <v>921</v>
      </c>
      <c r="E862" s="48" t="s">
        <v>31</v>
      </c>
      <c r="F862" s="48" t="s">
        <v>74</v>
      </c>
      <c r="G862" s="11" t="s">
        <v>64</v>
      </c>
      <c r="H862" s="48" t="str">
        <f>VLOOKUP(Table1[[#This Row],[Psoft No]],[1]Roster!$C$2:$H$1402,6,)</f>
        <v>AUH1</v>
      </c>
      <c r="I862" s="48" t="b">
        <f>Table1[[#This Row],[Building]]=Table1[[#This Row],[Column1]]</f>
        <v>1</v>
      </c>
      <c r="J862" s="11" t="s">
        <v>75</v>
      </c>
      <c r="K862" s="11">
        <v>1299</v>
      </c>
      <c r="L862" s="49" t="s">
        <v>39</v>
      </c>
      <c r="M862" s="49" t="s">
        <v>76</v>
      </c>
      <c r="N862" s="49" t="s">
        <v>84</v>
      </c>
      <c r="O862" s="49" t="s">
        <v>85</v>
      </c>
      <c r="P862" s="48" t="s">
        <v>89</v>
      </c>
      <c r="Q862" s="49" t="s">
        <v>37</v>
      </c>
      <c r="R862" s="11" t="s">
        <v>80</v>
      </c>
      <c r="S862" s="11" t="s">
        <v>96</v>
      </c>
      <c r="T862" s="11" t="s">
        <v>2845</v>
      </c>
      <c r="U862" s="11" t="s">
        <v>2846</v>
      </c>
      <c r="V862" s="116" t="s">
        <v>1</v>
      </c>
      <c r="W862" s="88"/>
      <c r="X862" s="51">
        <v>45929</v>
      </c>
      <c r="Y862" s="97" t="s">
        <v>1577</v>
      </c>
      <c r="Z862" s="135" t="s">
        <v>2</v>
      </c>
      <c r="AA862" s="135">
        <v>0</v>
      </c>
    </row>
    <row r="863" spans="1:27" ht="13" customHeight="1">
      <c r="A863" s="11">
        <v>857</v>
      </c>
      <c r="B863" s="92">
        <v>206230579</v>
      </c>
      <c r="C863" s="47" t="s">
        <v>2875</v>
      </c>
      <c r="D863" s="89" t="s">
        <v>2876</v>
      </c>
      <c r="E863" s="48" t="s">
        <v>31</v>
      </c>
      <c r="F863" s="48" t="s">
        <v>74</v>
      </c>
      <c r="G863" s="11" t="s">
        <v>64</v>
      </c>
      <c r="H863" s="48" t="str">
        <f>VLOOKUP(Table1[[#This Row],[Psoft No]],[1]Roster!$C$2:$H$1402,6,)</f>
        <v>AUH1</v>
      </c>
      <c r="I863" s="48" t="b">
        <f>Table1[[#This Row],[Building]]=Table1[[#This Row],[Column1]]</f>
        <v>1</v>
      </c>
      <c r="J863" s="11" t="s">
        <v>75</v>
      </c>
      <c r="K863" s="11">
        <v>1299</v>
      </c>
      <c r="L863" s="49" t="s">
        <v>39</v>
      </c>
      <c r="M863" s="49" t="s">
        <v>76</v>
      </c>
      <c r="N863" s="49" t="s">
        <v>85</v>
      </c>
      <c r="O863" s="49" t="s">
        <v>88</v>
      </c>
      <c r="P863" s="48" t="s">
        <v>89</v>
      </c>
      <c r="Q863" s="49" t="s">
        <v>37</v>
      </c>
      <c r="R863" s="11" t="s">
        <v>80</v>
      </c>
      <c r="S863" s="11" t="s">
        <v>96</v>
      </c>
      <c r="T863" s="11" t="s">
        <v>1066</v>
      </c>
      <c r="U863" s="11" t="s">
        <v>2717</v>
      </c>
      <c r="V863" s="116" t="s">
        <v>1</v>
      </c>
      <c r="W863" s="88"/>
      <c r="X863" s="51">
        <v>46238</v>
      </c>
      <c r="Y863" s="97" t="s">
        <v>1577</v>
      </c>
      <c r="Z863" s="135" t="s">
        <v>2</v>
      </c>
      <c r="AA863" s="135">
        <v>0</v>
      </c>
    </row>
    <row r="864" spans="1:27" ht="13" customHeight="1">
      <c r="A864" s="11">
        <v>858</v>
      </c>
      <c r="B864" s="47">
        <v>206930336</v>
      </c>
      <c r="C864" s="89" t="s">
        <v>2008</v>
      </c>
      <c r="D864" s="11" t="s">
        <v>2193</v>
      </c>
      <c r="E864" s="48" t="s">
        <v>31</v>
      </c>
      <c r="F864" s="48" t="s">
        <v>74</v>
      </c>
      <c r="G864" s="11" t="s">
        <v>64</v>
      </c>
      <c r="H864" s="48" t="str">
        <f>VLOOKUP(Table1[[#This Row],[Psoft No]],[1]Roster!$C$2:$H$1402,6,)</f>
        <v>AUH1</v>
      </c>
      <c r="I864" s="48" t="b">
        <f>Table1[[#This Row],[Building]]=Table1[[#This Row],[Column1]]</f>
        <v>1</v>
      </c>
      <c r="J864" s="11" t="s">
        <v>1332</v>
      </c>
      <c r="K864" s="11">
        <v>1299</v>
      </c>
      <c r="L864" s="49" t="s">
        <v>32</v>
      </c>
      <c r="M864" s="49" t="s">
        <v>76</v>
      </c>
      <c r="N864" s="49" t="s">
        <v>84</v>
      </c>
      <c r="O864" s="49" t="s">
        <v>85</v>
      </c>
      <c r="P864" s="48" t="s">
        <v>89</v>
      </c>
      <c r="Q864" s="49" t="s">
        <v>37</v>
      </c>
      <c r="R864" s="11" t="s">
        <v>80</v>
      </c>
      <c r="S864" s="11" t="s">
        <v>96</v>
      </c>
      <c r="T864" s="11" t="s">
        <v>627</v>
      </c>
      <c r="U864" s="11" t="s">
        <v>628</v>
      </c>
      <c r="V864" s="116" t="str">
        <f>VLOOKUP(Table1[[#This Row],[Psoft No]],[2]Sheet1!$A$2:$G$386,7,0)</f>
        <v>P</v>
      </c>
      <c r="W864" s="88"/>
      <c r="X864" s="51">
        <v>46037</v>
      </c>
      <c r="Y864" s="97" t="s">
        <v>2020</v>
      </c>
      <c r="Z864" s="135" t="s">
        <v>2</v>
      </c>
      <c r="AA864" s="135">
        <v>0</v>
      </c>
    </row>
    <row r="865" spans="1:27" ht="13" customHeight="1">
      <c r="A865" s="11">
        <v>859</v>
      </c>
      <c r="B865" s="47">
        <v>206517353</v>
      </c>
      <c r="C865" s="89" t="s">
        <v>2150</v>
      </c>
      <c r="D865" s="11" t="s">
        <v>2151</v>
      </c>
      <c r="E865" s="48" t="s">
        <v>31</v>
      </c>
      <c r="F865" s="48" t="s">
        <v>74</v>
      </c>
      <c r="G865" s="11" t="s">
        <v>64</v>
      </c>
      <c r="H865" s="48" t="str">
        <f>VLOOKUP(Table1[[#This Row],[Psoft No]],[1]Roster!$C$2:$H$1402,6,)</f>
        <v>AUH1</v>
      </c>
      <c r="I865" s="48" t="b">
        <f>Table1[[#This Row],[Building]]=Table1[[#This Row],[Column1]]</f>
        <v>1</v>
      </c>
      <c r="J865" s="11" t="s">
        <v>75</v>
      </c>
      <c r="K865" s="11">
        <v>1299</v>
      </c>
      <c r="L865" s="49" t="s">
        <v>39</v>
      </c>
      <c r="M865" s="49" t="s">
        <v>76</v>
      </c>
      <c r="N865" s="49" t="s">
        <v>88</v>
      </c>
      <c r="O865" s="49" t="s">
        <v>95</v>
      </c>
      <c r="P865" s="48" t="s">
        <v>89</v>
      </c>
      <c r="Q865" s="49" t="s">
        <v>37</v>
      </c>
      <c r="R865" s="11" t="s">
        <v>80</v>
      </c>
      <c r="S865" s="11" t="s">
        <v>96</v>
      </c>
      <c r="T865" s="49" t="s">
        <v>1066</v>
      </c>
      <c r="U865" s="11" t="s">
        <v>2717</v>
      </c>
      <c r="V865" s="116" t="s">
        <v>1</v>
      </c>
      <c r="W865" s="88"/>
      <c r="X865" s="51">
        <v>46048</v>
      </c>
      <c r="Y865" s="97" t="s">
        <v>1577</v>
      </c>
      <c r="Z865" s="135" t="s">
        <v>2</v>
      </c>
      <c r="AA865" s="135">
        <v>0</v>
      </c>
    </row>
    <row r="866" spans="1:27" ht="13" customHeight="1">
      <c r="A866" s="11">
        <v>860</v>
      </c>
      <c r="B866" s="92">
        <v>204009951</v>
      </c>
      <c r="C866" s="47" t="s">
        <v>922</v>
      </c>
      <c r="D866" s="89" t="s">
        <v>923</v>
      </c>
      <c r="E866" s="48" t="s">
        <v>31</v>
      </c>
      <c r="F866" s="48" t="s">
        <v>74</v>
      </c>
      <c r="G866" s="11" t="s">
        <v>64</v>
      </c>
      <c r="H866" s="48" t="str">
        <f>VLOOKUP(Table1[[#This Row],[Psoft No]],[1]Roster!$C$2:$H$1402,6,)</f>
        <v>AUH1</v>
      </c>
      <c r="I866" s="48" t="b">
        <f>Table1[[#This Row],[Building]]=Table1[[#This Row],[Column1]]</f>
        <v>1</v>
      </c>
      <c r="J866" s="11" t="s">
        <v>75</v>
      </c>
      <c r="K866" s="11">
        <v>1299</v>
      </c>
      <c r="L866" s="49" t="s">
        <v>39</v>
      </c>
      <c r="M866" s="49" t="s">
        <v>76</v>
      </c>
      <c r="N866" s="49" t="s">
        <v>77</v>
      </c>
      <c r="O866" s="49" t="s">
        <v>78</v>
      </c>
      <c r="P866" s="48" t="s">
        <v>86</v>
      </c>
      <c r="Q866" s="49" t="s">
        <v>37</v>
      </c>
      <c r="R866" s="11" t="s">
        <v>80</v>
      </c>
      <c r="S866" s="11" t="s">
        <v>90</v>
      </c>
      <c r="T866" s="11" t="s">
        <v>647</v>
      </c>
      <c r="U866" s="11" t="s">
        <v>1798</v>
      </c>
      <c r="V866" s="116" t="s">
        <v>7</v>
      </c>
      <c r="W866" s="88"/>
      <c r="X866" s="51">
        <v>45551</v>
      </c>
      <c r="Y866" s="97" t="s">
        <v>1577</v>
      </c>
      <c r="Z866" s="135" t="s">
        <v>3023</v>
      </c>
      <c r="AA866" s="135" t="s">
        <v>3024</v>
      </c>
    </row>
    <row r="867" spans="1:27" ht="13" customHeight="1">
      <c r="A867" s="11">
        <v>861</v>
      </c>
      <c r="B867" s="47">
        <v>203850806</v>
      </c>
      <c r="C867" s="89" t="s">
        <v>924</v>
      </c>
      <c r="D867" s="11" t="s">
        <v>925</v>
      </c>
      <c r="E867" s="48" t="s">
        <v>31</v>
      </c>
      <c r="F867" s="48" t="s">
        <v>74</v>
      </c>
      <c r="G867" s="11" t="s">
        <v>64</v>
      </c>
      <c r="H867" s="48" t="str">
        <f>VLOOKUP(Table1[[#This Row],[Psoft No]],[1]Roster!$C$2:$H$1402,6,)</f>
        <v>AUH1</v>
      </c>
      <c r="I867" s="48" t="b">
        <f>Table1[[#This Row],[Building]]=Table1[[#This Row],[Column1]]</f>
        <v>1</v>
      </c>
      <c r="J867" s="11" t="s">
        <v>75</v>
      </c>
      <c r="K867" s="11">
        <v>1299</v>
      </c>
      <c r="L867" s="87" t="s">
        <v>39</v>
      </c>
      <c r="M867" s="49" t="s">
        <v>76</v>
      </c>
      <c r="N867" s="49" t="s">
        <v>92</v>
      </c>
      <c r="O867" s="49" t="s">
        <v>84</v>
      </c>
      <c r="P867" s="49" t="s">
        <v>86</v>
      </c>
      <c r="Q867" s="49" t="s">
        <v>37</v>
      </c>
      <c r="R867" s="11" t="s">
        <v>80</v>
      </c>
      <c r="S867" s="11" t="s">
        <v>90</v>
      </c>
      <c r="T867" s="49" t="s">
        <v>647</v>
      </c>
      <c r="U867" s="11" t="s">
        <v>1798</v>
      </c>
      <c r="V867" s="116" t="s">
        <v>10</v>
      </c>
      <c r="W867" s="88"/>
      <c r="X867" s="51">
        <v>45524</v>
      </c>
      <c r="Y867" s="97" t="s">
        <v>1577</v>
      </c>
      <c r="Z867" s="135" t="s">
        <v>3023</v>
      </c>
      <c r="AA867" s="135">
        <v>0</v>
      </c>
    </row>
    <row r="868" spans="1:27" ht="13" customHeight="1">
      <c r="A868" s="11">
        <v>862</v>
      </c>
      <c r="B868" s="47">
        <v>203908885</v>
      </c>
      <c r="C868" s="89" t="s">
        <v>2406</v>
      </c>
      <c r="D868" s="11" t="s">
        <v>2407</v>
      </c>
      <c r="E868" s="48" t="s">
        <v>31</v>
      </c>
      <c r="F868" s="48" t="s">
        <v>74</v>
      </c>
      <c r="G868" s="11" t="s">
        <v>64</v>
      </c>
      <c r="H868" s="48" t="str">
        <f>VLOOKUP(Table1[[#This Row],[Psoft No]],[1]Roster!$C$2:$H$1402,6,)</f>
        <v>AUH1</v>
      </c>
      <c r="I868" s="48" t="b">
        <f>Table1[[#This Row],[Building]]=Table1[[#This Row],[Column1]]</f>
        <v>1</v>
      </c>
      <c r="J868" s="11" t="s">
        <v>75</v>
      </c>
      <c r="K868" s="11">
        <v>1299</v>
      </c>
      <c r="L868" s="49" t="s">
        <v>39</v>
      </c>
      <c r="M868" s="49" t="s">
        <v>76</v>
      </c>
      <c r="N868" s="49" t="s">
        <v>88</v>
      </c>
      <c r="O868" s="49" t="s">
        <v>95</v>
      </c>
      <c r="P868" s="49" t="s">
        <v>89</v>
      </c>
      <c r="Q868" s="49" t="s">
        <v>37</v>
      </c>
      <c r="R868" s="11" t="s">
        <v>80</v>
      </c>
      <c r="S868" s="11" t="s">
        <v>90</v>
      </c>
      <c r="T868" s="11" t="s">
        <v>627</v>
      </c>
      <c r="U868" s="11" t="s">
        <v>628</v>
      </c>
      <c r="V868" s="116" t="s">
        <v>1</v>
      </c>
      <c r="W868" s="88"/>
      <c r="X868" s="51">
        <v>45537</v>
      </c>
      <c r="Y868" s="97" t="s">
        <v>1577</v>
      </c>
      <c r="Z868" s="135" t="s">
        <v>2</v>
      </c>
      <c r="AA868" s="135">
        <v>0</v>
      </c>
    </row>
    <row r="869" spans="1:27" ht="13" customHeight="1">
      <c r="A869" s="11">
        <v>863</v>
      </c>
      <c r="B869" s="47">
        <v>205231290</v>
      </c>
      <c r="C869" s="89" t="s">
        <v>2857</v>
      </c>
      <c r="D869" s="11" t="s">
        <v>2858</v>
      </c>
      <c r="E869" s="48" t="s">
        <v>31</v>
      </c>
      <c r="F869" s="48" t="s">
        <v>74</v>
      </c>
      <c r="G869" s="11" t="s">
        <v>64</v>
      </c>
      <c r="H869" s="48" t="str">
        <f>VLOOKUP(Table1[[#This Row],[Psoft No]],[1]Roster!$C$2:$H$1402,6,)</f>
        <v>AUH1</v>
      </c>
      <c r="I869" s="48" t="b">
        <f>Table1[[#This Row],[Building]]=Table1[[#This Row],[Column1]]</f>
        <v>1</v>
      </c>
      <c r="J869" s="11" t="s">
        <v>75</v>
      </c>
      <c r="K869" s="11">
        <v>1299</v>
      </c>
      <c r="L869" s="49" t="s">
        <v>39</v>
      </c>
      <c r="M869" s="49" t="s">
        <v>76</v>
      </c>
      <c r="N869" s="49" t="s">
        <v>88</v>
      </c>
      <c r="O869" s="49" t="s">
        <v>95</v>
      </c>
      <c r="P869" s="48" t="s">
        <v>89</v>
      </c>
      <c r="Q869" s="49" t="s">
        <v>37</v>
      </c>
      <c r="R869" s="11" t="s">
        <v>80</v>
      </c>
      <c r="S869" s="11" t="s">
        <v>96</v>
      </c>
      <c r="T869" s="11" t="s">
        <v>1066</v>
      </c>
      <c r="U869" s="11" t="s">
        <v>2717</v>
      </c>
      <c r="V869" s="116" t="s">
        <v>1</v>
      </c>
      <c r="W869" s="88"/>
      <c r="X869" s="51">
        <v>46238</v>
      </c>
      <c r="Y869" s="97" t="s">
        <v>1578</v>
      </c>
      <c r="Z869" s="135" t="s">
        <v>2</v>
      </c>
      <c r="AA869" s="135" t="s">
        <v>3015</v>
      </c>
    </row>
    <row r="870" spans="1:27" ht="13" customHeight="1">
      <c r="A870" s="11">
        <v>864</v>
      </c>
      <c r="B870" s="47">
        <v>203965411</v>
      </c>
      <c r="C870" s="89" t="s">
        <v>926</v>
      </c>
      <c r="D870" s="11" t="s">
        <v>927</v>
      </c>
      <c r="E870" s="48" t="s">
        <v>31</v>
      </c>
      <c r="F870" s="48" t="s">
        <v>74</v>
      </c>
      <c r="G870" s="11" t="s">
        <v>64</v>
      </c>
      <c r="H870" s="48" t="str">
        <f>VLOOKUP(Table1[[#This Row],[Psoft No]],[1]Roster!$C$2:$H$1402,6,)</f>
        <v>AUH1</v>
      </c>
      <c r="I870" s="48" t="b">
        <f>Table1[[#This Row],[Building]]=Table1[[#This Row],[Column1]]</f>
        <v>1</v>
      </c>
      <c r="J870" s="11" t="s">
        <v>75</v>
      </c>
      <c r="K870" s="11">
        <v>1299</v>
      </c>
      <c r="L870" s="49" t="s">
        <v>39</v>
      </c>
      <c r="M870" s="49" t="s">
        <v>76</v>
      </c>
      <c r="N870" s="49" t="s">
        <v>92</v>
      </c>
      <c r="O870" s="49" t="s">
        <v>84</v>
      </c>
      <c r="P870" s="49" t="s">
        <v>79</v>
      </c>
      <c r="Q870" s="49" t="s">
        <v>37</v>
      </c>
      <c r="R870" s="11" t="s">
        <v>80</v>
      </c>
      <c r="S870" s="11" t="s">
        <v>81</v>
      </c>
      <c r="T870" s="11" t="s">
        <v>647</v>
      </c>
      <c r="U870" s="11" t="s">
        <v>1798</v>
      </c>
      <c r="V870" s="116" t="s">
        <v>10</v>
      </c>
      <c r="W870" s="88"/>
      <c r="X870" s="51">
        <v>45544</v>
      </c>
      <c r="Y870" s="97" t="s">
        <v>1577</v>
      </c>
      <c r="Z870" s="135" t="s">
        <v>3023</v>
      </c>
      <c r="AA870" s="135">
        <v>0</v>
      </c>
    </row>
    <row r="871" spans="1:27" ht="13" customHeight="1">
      <c r="A871" s="11">
        <v>865</v>
      </c>
      <c r="B871" s="47">
        <v>205923172</v>
      </c>
      <c r="C871" s="89" t="s">
        <v>2194</v>
      </c>
      <c r="D871" s="11" t="s">
        <v>2195</v>
      </c>
      <c r="E871" s="48" t="s">
        <v>31</v>
      </c>
      <c r="F871" s="48" t="s">
        <v>74</v>
      </c>
      <c r="G871" s="11" t="s">
        <v>64</v>
      </c>
      <c r="H871" s="48" t="str">
        <f>VLOOKUP(Table1[[#This Row],[Psoft No]],[1]Roster!$C$2:$H$1402,6,)</f>
        <v>AUH1</v>
      </c>
      <c r="I871" s="48" t="b">
        <f>Table1[[#This Row],[Building]]=Table1[[#This Row],[Column1]]</f>
        <v>1</v>
      </c>
      <c r="J871" s="11" t="s">
        <v>75</v>
      </c>
      <c r="K871" s="11">
        <v>1299</v>
      </c>
      <c r="L871" s="49" t="s">
        <v>39</v>
      </c>
      <c r="M871" s="49" t="s">
        <v>76</v>
      </c>
      <c r="N871" s="49" t="s">
        <v>78</v>
      </c>
      <c r="O871" s="49" t="s">
        <v>92</v>
      </c>
      <c r="P871" s="49" t="s">
        <v>79</v>
      </c>
      <c r="Q871" s="48" t="s">
        <v>37</v>
      </c>
      <c r="R871" s="48" t="s">
        <v>80</v>
      </c>
      <c r="S871" s="11" t="s">
        <v>96</v>
      </c>
      <c r="T871" s="11" t="s">
        <v>1066</v>
      </c>
      <c r="U871" s="11" t="s">
        <v>2717</v>
      </c>
      <c r="V871" s="116" t="s">
        <v>10</v>
      </c>
      <c r="W871" s="88"/>
      <c r="X871" s="51">
        <v>46051</v>
      </c>
      <c r="Y871" s="97" t="s">
        <v>1577</v>
      </c>
      <c r="Z871" s="135" t="s">
        <v>3023</v>
      </c>
      <c r="AA871" s="135">
        <v>0</v>
      </c>
    </row>
    <row r="872" spans="1:27" ht="13" customHeight="1">
      <c r="A872" s="11">
        <v>866</v>
      </c>
      <c r="B872" s="47">
        <v>203850804</v>
      </c>
      <c r="C872" s="89" t="s">
        <v>2780</v>
      </c>
      <c r="D872" s="11" t="s">
        <v>2781</v>
      </c>
      <c r="E872" s="48" t="s">
        <v>31</v>
      </c>
      <c r="F872" s="48" t="s">
        <v>74</v>
      </c>
      <c r="G872" s="11" t="s">
        <v>64</v>
      </c>
      <c r="H872" s="48" t="str">
        <f>VLOOKUP(Table1[[#This Row],[Psoft No]],[1]Roster!$C$2:$H$1402,6,)</f>
        <v>AUH1</v>
      </c>
      <c r="I872" s="48" t="b">
        <f>Table1[[#This Row],[Building]]=Table1[[#This Row],[Column1]]</f>
        <v>1</v>
      </c>
      <c r="J872" s="11" t="s">
        <v>75</v>
      </c>
      <c r="K872" s="11">
        <v>1299</v>
      </c>
      <c r="L872" s="49" t="s">
        <v>32</v>
      </c>
      <c r="M872" s="49" t="s">
        <v>76</v>
      </c>
      <c r="N872" s="49" t="s">
        <v>88</v>
      </c>
      <c r="O872" s="49" t="s">
        <v>95</v>
      </c>
      <c r="P872" s="48" t="s">
        <v>86</v>
      </c>
      <c r="Q872" s="49" t="s">
        <v>37</v>
      </c>
      <c r="R872" s="11" t="s">
        <v>80</v>
      </c>
      <c r="S872" s="11" t="s">
        <v>90</v>
      </c>
      <c r="T872" s="11" t="s">
        <v>2845</v>
      </c>
      <c r="U872" s="11" t="s">
        <v>2846</v>
      </c>
      <c r="V872" s="116" t="str">
        <f>VLOOKUP(Table1[[#This Row],[Psoft No]],[2]Sheet1!$A$2:$G$386,7,0)</f>
        <v>P</v>
      </c>
      <c r="W872" s="88"/>
      <c r="X872" s="51">
        <v>45524</v>
      </c>
      <c r="Y872" s="97" t="s">
        <v>1577</v>
      </c>
      <c r="Z872" s="135" t="s">
        <v>2</v>
      </c>
      <c r="AA872" s="135">
        <v>0</v>
      </c>
    </row>
    <row r="873" spans="1:27" ht="13" customHeight="1">
      <c r="A873" s="11">
        <v>867</v>
      </c>
      <c r="B873" s="47">
        <v>204072306</v>
      </c>
      <c r="C873" s="89" t="s">
        <v>928</v>
      </c>
      <c r="D873" s="11" t="s">
        <v>929</v>
      </c>
      <c r="E873" s="48" t="s">
        <v>31</v>
      </c>
      <c r="F873" s="48" t="s">
        <v>74</v>
      </c>
      <c r="G873" s="11" t="s">
        <v>64</v>
      </c>
      <c r="H873" s="48" t="str">
        <f>VLOOKUP(Table1[[#This Row],[Psoft No]],[1]Roster!$C$2:$H$1402,6,)</f>
        <v>AUH1</v>
      </c>
      <c r="I873" s="48" t="b">
        <f>Table1[[#This Row],[Building]]=Table1[[#This Row],[Column1]]</f>
        <v>1</v>
      </c>
      <c r="J873" s="11" t="s">
        <v>75</v>
      </c>
      <c r="K873" s="11">
        <v>1299</v>
      </c>
      <c r="L873" s="49" t="s">
        <v>32</v>
      </c>
      <c r="M873" s="49" t="s">
        <v>76</v>
      </c>
      <c r="N873" s="49" t="s">
        <v>85</v>
      </c>
      <c r="O873" s="49" t="s">
        <v>88</v>
      </c>
      <c r="P873" s="48" t="s">
        <v>86</v>
      </c>
      <c r="Q873" s="49" t="s">
        <v>37</v>
      </c>
      <c r="R873" s="11" t="s">
        <v>80</v>
      </c>
      <c r="S873" s="11" t="s">
        <v>90</v>
      </c>
      <c r="T873" s="49" t="s">
        <v>2845</v>
      </c>
      <c r="U873" s="11" t="s">
        <v>2846</v>
      </c>
      <c r="V873" s="116" t="str">
        <f>VLOOKUP(Table1[[#This Row],[Psoft No]],[2]Sheet1!$A$2:$G$386,7,0)</f>
        <v>P</v>
      </c>
      <c r="W873" s="88"/>
      <c r="X873" s="51">
        <v>45558</v>
      </c>
      <c r="Y873" s="97" t="s">
        <v>1577</v>
      </c>
      <c r="Z873" s="135" t="s">
        <v>2</v>
      </c>
      <c r="AA873" s="135">
        <v>0</v>
      </c>
    </row>
    <row r="874" spans="1:27" ht="13" customHeight="1">
      <c r="A874" s="11">
        <v>868</v>
      </c>
      <c r="B874" s="92">
        <v>203850884</v>
      </c>
      <c r="C874" s="47" t="s">
        <v>2782</v>
      </c>
      <c r="D874" s="89" t="s">
        <v>2783</v>
      </c>
      <c r="E874" s="48" t="s">
        <v>31</v>
      </c>
      <c r="F874" s="48" t="s">
        <v>74</v>
      </c>
      <c r="G874" s="11" t="s">
        <v>64</v>
      </c>
      <c r="H874" s="48" t="str">
        <f>VLOOKUP(Table1[[#This Row],[Psoft No]],[1]Roster!$C$2:$H$1402,6,)</f>
        <v>AUH1</v>
      </c>
      <c r="I874" s="48" t="b">
        <f>Table1[[#This Row],[Building]]=Table1[[#This Row],[Column1]]</f>
        <v>1</v>
      </c>
      <c r="J874" s="11" t="s">
        <v>75</v>
      </c>
      <c r="K874" s="11">
        <v>1299</v>
      </c>
      <c r="L874" s="49" t="s">
        <v>32</v>
      </c>
      <c r="M874" s="49" t="s">
        <v>76</v>
      </c>
      <c r="N874" s="49" t="s">
        <v>85</v>
      </c>
      <c r="O874" s="49" t="s">
        <v>88</v>
      </c>
      <c r="P874" s="48" t="s">
        <v>86</v>
      </c>
      <c r="Q874" s="49" t="s">
        <v>37</v>
      </c>
      <c r="R874" s="11" t="s">
        <v>80</v>
      </c>
      <c r="S874" s="11" t="s">
        <v>90</v>
      </c>
      <c r="T874" s="11" t="s">
        <v>627</v>
      </c>
      <c r="U874" s="11" t="s">
        <v>628</v>
      </c>
      <c r="V874" s="116" t="str">
        <f>VLOOKUP(Table1[[#This Row],[Psoft No]],[2]Sheet1!$A$2:$G$386,7,0)</f>
        <v>P</v>
      </c>
      <c r="W874" s="88"/>
      <c r="X874" s="51">
        <v>45524</v>
      </c>
      <c r="Y874" s="97" t="s">
        <v>1577</v>
      </c>
      <c r="Z874" s="135" t="s">
        <v>2</v>
      </c>
      <c r="AA874" s="135">
        <v>0</v>
      </c>
    </row>
    <row r="875" spans="1:27" ht="13" customHeight="1">
      <c r="A875" s="11">
        <v>869</v>
      </c>
      <c r="B875" s="47">
        <v>203813081</v>
      </c>
      <c r="C875" s="89" t="s">
        <v>930</v>
      </c>
      <c r="D875" s="11" t="s">
        <v>931</v>
      </c>
      <c r="E875" s="48" t="s">
        <v>31</v>
      </c>
      <c r="F875" s="48" t="s">
        <v>74</v>
      </c>
      <c r="G875" s="11" t="s">
        <v>64</v>
      </c>
      <c r="H875" s="48" t="str">
        <f>VLOOKUP(Table1[[#This Row],[Psoft No]],[1]Roster!$C$2:$H$1402,6,)</f>
        <v>AUH1</v>
      </c>
      <c r="I875" s="48" t="b">
        <f>Table1[[#This Row],[Building]]=Table1[[#This Row],[Column1]]</f>
        <v>1</v>
      </c>
      <c r="J875" s="11" t="s">
        <v>75</v>
      </c>
      <c r="K875" s="11">
        <v>1299</v>
      </c>
      <c r="L875" s="49" t="s">
        <v>39</v>
      </c>
      <c r="M875" s="49" t="s">
        <v>76</v>
      </c>
      <c r="N875" s="49" t="s">
        <v>78</v>
      </c>
      <c r="O875" s="49" t="s">
        <v>92</v>
      </c>
      <c r="P875" s="48" t="s">
        <v>86</v>
      </c>
      <c r="Q875" s="49" t="s">
        <v>37</v>
      </c>
      <c r="R875" s="11" t="s">
        <v>80</v>
      </c>
      <c r="S875" s="11" t="s">
        <v>99</v>
      </c>
      <c r="T875" s="11" t="s">
        <v>639</v>
      </c>
      <c r="U875" s="11" t="s">
        <v>2718</v>
      </c>
      <c r="V875" s="116" t="s">
        <v>10</v>
      </c>
      <c r="W875" s="88"/>
      <c r="X875" s="51">
        <v>45517</v>
      </c>
      <c r="Y875" s="97" t="s">
        <v>1577</v>
      </c>
      <c r="Z875" s="135" t="s">
        <v>3023</v>
      </c>
      <c r="AA875" s="135">
        <v>0</v>
      </c>
    </row>
    <row r="876" spans="1:27" ht="13" customHeight="1">
      <c r="A876" s="11">
        <v>870</v>
      </c>
      <c r="B876" s="92">
        <v>206015628</v>
      </c>
      <c r="C876" s="47" t="s">
        <v>932</v>
      </c>
      <c r="D876" s="89" t="s">
        <v>933</v>
      </c>
      <c r="E876" s="48" t="s">
        <v>31</v>
      </c>
      <c r="F876" s="48" t="s">
        <v>74</v>
      </c>
      <c r="G876" s="11" t="s">
        <v>64</v>
      </c>
      <c r="H876" s="48" t="str">
        <f>VLOOKUP(Table1[[#This Row],[Psoft No]],[1]Roster!$C$2:$H$1402,6,)</f>
        <v>AUH1</v>
      </c>
      <c r="I876" s="48" t="b">
        <f>Table1[[#This Row],[Building]]=Table1[[#This Row],[Column1]]</f>
        <v>1</v>
      </c>
      <c r="J876" s="11" t="s">
        <v>75</v>
      </c>
      <c r="K876" s="11">
        <v>1299</v>
      </c>
      <c r="L876" s="49" t="s">
        <v>32</v>
      </c>
      <c r="M876" s="49" t="s">
        <v>76</v>
      </c>
      <c r="N876" s="49" t="s">
        <v>95</v>
      </c>
      <c r="O876" s="49" t="s">
        <v>77</v>
      </c>
      <c r="P876" s="49" t="s">
        <v>79</v>
      </c>
      <c r="Q876" s="49" t="s">
        <v>37</v>
      </c>
      <c r="R876" s="11" t="s">
        <v>80</v>
      </c>
      <c r="S876" s="11" t="s">
        <v>81</v>
      </c>
      <c r="T876" s="11" t="s">
        <v>647</v>
      </c>
      <c r="U876" s="11" t="s">
        <v>1798</v>
      </c>
      <c r="V876" s="116" t="str">
        <f>VLOOKUP(Table1[[#This Row],[Psoft No]],[2]Sheet1!$A$2:$G$386,7,0)</f>
        <v>P</v>
      </c>
      <c r="W876" s="88"/>
      <c r="X876" s="51">
        <v>45922</v>
      </c>
      <c r="Y876" s="97" t="s">
        <v>1577</v>
      </c>
      <c r="Z876" s="135" t="s">
        <v>2</v>
      </c>
      <c r="AA876" s="135">
        <v>0</v>
      </c>
    </row>
    <row r="877" spans="1:27" ht="13" customHeight="1">
      <c r="A877" s="11">
        <v>871</v>
      </c>
      <c r="B877" s="47">
        <v>204011579</v>
      </c>
      <c r="C877" s="89" t="s">
        <v>2784</v>
      </c>
      <c r="D877" s="11" t="s">
        <v>2785</v>
      </c>
      <c r="E877" s="48" t="s">
        <v>31</v>
      </c>
      <c r="F877" s="48" t="s">
        <v>74</v>
      </c>
      <c r="G877" s="11" t="s">
        <v>64</v>
      </c>
      <c r="H877" s="48" t="str">
        <f>VLOOKUP(Table1[[#This Row],[Psoft No]],[1]Roster!$C$2:$H$1402,6,)</f>
        <v>AUH1</v>
      </c>
      <c r="I877" s="48" t="b">
        <f>Table1[[#This Row],[Building]]=Table1[[#This Row],[Column1]]</f>
        <v>1</v>
      </c>
      <c r="J877" s="11" t="s">
        <v>75</v>
      </c>
      <c r="K877" s="11">
        <v>1299</v>
      </c>
      <c r="L877" s="49" t="s">
        <v>39</v>
      </c>
      <c r="M877" s="49" t="s">
        <v>76</v>
      </c>
      <c r="N877" s="49" t="s">
        <v>85</v>
      </c>
      <c r="O877" s="49" t="s">
        <v>88</v>
      </c>
      <c r="P877" s="49" t="s">
        <v>86</v>
      </c>
      <c r="Q877" s="49" t="s">
        <v>37</v>
      </c>
      <c r="R877" s="11" t="s">
        <v>80</v>
      </c>
      <c r="S877" s="11" t="s">
        <v>90</v>
      </c>
      <c r="T877" s="49" t="s">
        <v>1066</v>
      </c>
      <c r="U877" s="11" t="s">
        <v>2749</v>
      </c>
      <c r="V877" s="116" t="s">
        <v>1</v>
      </c>
      <c r="W877" s="88"/>
      <c r="X877" s="51">
        <v>45551</v>
      </c>
      <c r="Y877" s="97" t="s">
        <v>1577</v>
      </c>
      <c r="Z877" s="135" t="s">
        <v>2</v>
      </c>
      <c r="AA877" s="135">
        <v>0</v>
      </c>
    </row>
    <row r="878" spans="1:27" ht="13" customHeight="1">
      <c r="A878" s="11">
        <v>872</v>
      </c>
      <c r="B878" s="47">
        <v>206607036</v>
      </c>
      <c r="C878" s="89" t="s">
        <v>2092</v>
      </c>
      <c r="D878" s="11" t="s">
        <v>2093</v>
      </c>
      <c r="E878" s="48" t="s">
        <v>31</v>
      </c>
      <c r="F878" s="48" t="s">
        <v>74</v>
      </c>
      <c r="G878" s="11" t="s">
        <v>64</v>
      </c>
      <c r="H878" s="48" t="str">
        <f>VLOOKUP(Table1[[#This Row],[Psoft No]],[1]Roster!$C$2:$H$1402,6,)</f>
        <v>AUH1</v>
      </c>
      <c r="I878" s="48" t="b">
        <f>Table1[[#This Row],[Building]]=Table1[[#This Row],[Column1]]</f>
        <v>1</v>
      </c>
      <c r="J878" s="11" t="s">
        <v>75</v>
      </c>
      <c r="K878" s="11">
        <v>1299</v>
      </c>
      <c r="L878" s="49" t="s">
        <v>39</v>
      </c>
      <c r="M878" s="49" t="s">
        <v>76</v>
      </c>
      <c r="N878" s="49" t="s">
        <v>84</v>
      </c>
      <c r="O878" s="49" t="s">
        <v>85</v>
      </c>
      <c r="P878" s="48" t="s">
        <v>89</v>
      </c>
      <c r="Q878" s="49" t="s">
        <v>37</v>
      </c>
      <c r="R878" s="11" t="s">
        <v>80</v>
      </c>
      <c r="S878" s="11" t="s">
        <v>96</v>
      </c>
      <c r="T878" s="11" t="s">
        <v>627</v>
      </c>
      <c r="U878" s="11" t="s">
        <v>628</v>
      </c>
      <c r="V878" s="116" t="s">
        <v>1</v>
      </c>
      <c r="W878" s="88"/>
      <c r="X878" s="51">
        <v>46048</v>
      </c>
      <c r="Y878" s="97" t="s">
        <v>1577</v>
      </c>
      <c r="Z878" s="135" t="s">
        <v>2</v>
      </c>
      <c r="AA878" s="135">
        <v>0</v>
      </c>
    </row>
    <row r="879" spans="1:27" ht="13" customHeight="1">
      <c r="A879" s="11">
        <v>873</v>
      </c>
      <c r="B879" s="47">
        <v>205853575</v>
      </c>
      <c r="C879" s="89" t="s">
        <v>934</v>
      </c>
      <c r="D879" s="11" t="s">
        <v>935</v>
      </c>
      <c r="E879" s="48" t="s">
        <v>31</v>
      </c>
      <c r="F879" s="48" t="s">
        <v>74</v>
      </c>
      <c r="G879" s="11" t="s">
        <v>64</v>
      </c>
      <c r="H879" s="48" t="str">
        <f>VLOOKUP(Table1[[#This Row],[Psoft No]],[1]Roster!$C$2:$H$1402,6,)</f>
        <v>AUH1</v>
      </c>
      <c r="I879" s="48" t="b">
        <f>Table1[[#This Row],[Building]]=Table1[[#This Row],[Column1]]</f>
        <v>1</v>
      </c>
      <c r="J879" s="11" t="s">
        <v>75</v>
      </c>
      <c r="K879" s="11">
        <v>1299</v>
      </c>
      <c r="L879" s="49" t="s">
        <v>39</v>
      </c>
      <c r="M879" s="49" t="s">
        <v>76</v>
      </c>
      <c r="N879" s="49" t="s">
        <v>92</v>
      </c>
      <c r="O879" s="49" t="s">
        <v>84</v>
      </c>
      <c r="P879" s="48" t="s">
        <v>89</v>
      </c>
      <c r="Q879" s="49" t="s">
        <v>37</v>
      </c>
      <c r="R879" s="11" t="s">
        <v>80</v>
      </c>
      <c r="S879" s="11" t="s">
        <v>96</v>
      </c>
      <c r="T879" s="49" t="s">
        <v>631</v>
      </c>
      <c r="U879" s="11" t="s">
        <v>632</v>
      </c>
      <c r="V879" s="116" t="s">
        <v>10</v>
      </c>
      <c r="W879" s="88"/>
      <c r="X879" s="51">
        <v>45894</v>
      </c>
      <c r="Y879" s="97" t="s">
        <v>1577</v>
      </c>
      <c r="Z879" s="135" t="s">
        <v>3023</v>
      </c>
      <c r="AA879" s="135">
        <v>0</v>
      </c>
    </row>
    <row r="880" spans="1:27" ht="13" customHeight="1">
      <c r="A880" s="11">
        <v>874</v>
      </c>
      <c r="B880" s="47">
        <v>203285820</v>
      </c>
      <c r="C880" s="89" t="s">
        <v>936</v>
      </c>
      <c r="D880" s="47" t="s">
        <v>937</v>
      </c>
      <c r="E880" s="47" t="s">
        <v>31</v>
      </c>
      <c r="F880" s="48" t="s">
        <v>74</v>
      </c>
      <c r="G880" s="11" t="s">
        <v>64</v>
      </c>
      <c r="H880" s="48" t="str">
        <f>VLOOKUP(Table1[[#This Row],[Psoft No]],[1]Roster!$C$2:$H$1402,6,)</f>
        <v>AUH1</v>
      </c>
      <c r="I880" s="48" t="b">
        <f>Table1[[#This Row],[Building]]=Table1[[#This Row],[Column1]]</f>
        <v>1</v>
      </c>
      <c r="J880" s="11" t="s">
        <v>75</v>
      </c>
      <c r="K880" s="47">
        <v>1299</v>
      </c>
      <c r="L880" s="49" t="s">
        <v>39</v>
      </c>
      <c r="M880" s="49" t="s">
        <v>76</v>
      </c>
      <c r="N880" s="49" t="s">
        <v>84</v>
      </c>
      <c r="O880" s="49" t="s">
        <v>85</v>
      </c>
      <c r="P880" s="49" t="s">
        <v>79</v>
      </c>
      <c r="Q880" s="49" t="s">
        <v>37</v>
      </c>
      <c r="R880" s="11" t="s">
        <v>80</v>
      </c>
      <c r="S880" s="47" t="s">
        <v>81</v>
      </c>
      <c r="T880" s="11" t="s">
        <v>631</v>
      </c>
      <c r="U880" s="11" t="s">
        <v>632</v>
      </c>
      <c r="V880" s="116" t="s">
        <v>1</v>
      </c>
      <c r="W880" s="88"/>
      <c r="X880" s="51">
        <v>45561</v>
      </c>
      <c r="Y880" s="97" t="s">
        <v>1576</v>
      </c>
      <c r="Z880" s="135" t="s">
        <v>2</v>
      </c>
      <c r="AA880" s="135">
        <v>0</v>
      </c>
    </row>
    <row r="881" spans="1:27" ht="13" customHeight="1">
      <c r="A881" s="11">
        <v>875</v>
      </c>
      <c r="B881" s="47">
        <v>205853580</v>
      </c>
      <c r="C881" s="89" t="s">
        <v>938</v>
      </c>
      <c r="D881" s="11" t="s">
        <v>939</v>
      </c>
      <c r="E881" s="48" t="s">
        <v>31</v>
      </c>
      <c r="F881" s="48" t="s">
        <v>74</v>
      </c>
      <c r="G881" s="11" t="s">
        <v>64</v>
      </c>
      <c r="H881" s="48" t="str">
        <f>VLOOKUP(Table1[[#This Row],[Psoft No]],[1]Roster!$C$2:$H$1402,6,)</f>
        <v>AUH1</v>
      </c>
      <c r="I881" s="48" t="b">
        <f>Table1[[#This Row],[Building]]=Table1[[#This Row],[Column1]]</f>
        <v>1</v>
      </c>
      <c r="J881" s="11" t="s">
        <v>75</v>
      </c>
      <c r="K881" s="11">
        <v>1299</v>
      </c>
      <c r="L881" s="49" t="s">
        <v>39</v>
      </c>
      <c r="M881" s="49" t="s">
        <v>76</v>
      </c>
      <c r="N881" s="49" t="s">
        <v>78</v>
      </c>
      <c r="O881" s="49" t="s">
        <v>92</v>
      </c>
      <c r="P881" s="48" t="s">
        <v>79</v>
      </c>
      <c r="Q881" s="49" t="s">
        <v>37</v>
      </c>
      <c r="R881" s="11" t="s">
        <v>80</v>
      </c>
      <c r="S881" s="11" t="s">
        <v>96</v>
      </c>
      <c r="T881" s="11" t="s">
        <v>1066</v>
      </c>
      <c r="U881" s="11" t="s">
        <v>2717</v>
      </c>
      <c r="V881" s="116" t="s">
        <v>10</v>
      </c>
      <c r="W881" s="88"/>
      <c r="X881" s="51">
        <v>45894</v>
      </c>
      <c r="Y881" s="97" t="s">
        <v>1577</v>
      </c>
      <c r="Z881" s="135" t="s">
        <v>3023</v>
      </c>
      <c r="AA881" s="135">
        <v>0</v>
      </c>
    </row>
    <row r="882" spans="1:27" ht="13" customHeight="1">
      <c r="A882" s="11">
        <v>876</v>
      </c>
      <c r="B882" s="47">
        <v>206902845</v>
      </c>
      <c r="C882" s="89" t="s">
        <v>1879</v>
      </c>
      <c r="D882" s="11" t="s">
        <v>1880</v>
      </c>
      <c r="E882" s="48" t="s">
        <v>31</v>
      </c>
      <c r="F882" s="48" t="s">
        <v>74</v>
      </c>
      <c r="G882" s="11" t="s">
        <v>64</v>
      </c>
      <c r="H882" s="48" t="str">
        <f>VLOOKUP(Table1[[#This Row],[Psoft No]],[1]Roster!$C$2:$H$1402,6,)</f>
        <v>AUH1</v>
      </c>
      <c r="I882" s="48" t="b">
        <f>Table1[[#This Row],[Building]]=Table1[[#This Row],[Column1]]</f>
        <v>1</v>
      </c>
      <c r="J882" s="11" t="s">
        <v>75</v>
      </c>
      <c r="K882" s="11">
        <v>1290</v>
      </c>
      <c r="L882" s="49" t="s">
        <v>39</v>
      </c>
      <c r="M882" s="49" t="s">
        <v>76</v>
      </c>
      <c r="N882" s="49" t="s">
        <v>92</v>
      </c>
      <c r="O882" s="49" t="s">
        <v>84</v>
      </c>
      <c r="P882" s="48" t="s">
        <v>89</v>
      </c>
      <c r="Q882" s="49" t="s">
        <v>37</v>
      </c>
      <c r="R882" s="11" t="s">
        <v>80</v>
      </c>
      <c r="S882" s="11" t="s">
        <v>90</v>
      </c>
      <c r="T882" s="11" t="s">
        <v>647</v>
      </c>
      <c r="U882" s="11" t="s">
        <v>1798</v>
      </c>
      <c r="V882" s="116" t="s">
        <v>10</v>
      </c>
      <c r="W882" s="88"/>
      <c r="X882" s="51">
        <v>46030</v>
      </c>
      <c r="Y882" s="97" t="s">
        <v>1577</v>
      </c>
      <c r="Z882" s="135" t="s">
        <v>3023</v>
      </c>
      <c r="AA882" s="135">
        <v>0</v>
      </c>
    </row>
    <row r="883" spans="1:27" ht="13" customHeight="1">
      <c r="A883" s="11">
        <v>877</v>
      </c>
      <c r="B883" s="92">
        <v>204967041</v>
      </c>
      <c r="C883" s="47" t="s">
        <v>940</v>
      </c>
      <c r="D883" s="89" t="s">
        <v>941</v>
      </c>
      <c r="E883" s="48" t="s">
        <v>31</v>
      </c>
      <c r="F883" s="48" t="s">
        <v>74</v>
      </c>
      <c r="G883" s="11" t="s">
        <v>64</v>
      </c>
      <c r="H883" s="48" t="str">
        <f>VLOOKUP(Table1[[#This Row],[Psoft No]],[1]Roster!$C$2:$H$1402,6,)</f>
        <v>AUH1</v>
      </c>
      <c r="I883" s="48" t="b">
        <f>Table1[[#This Row],[Building]]=Table1[[#This Row],[Column1]]</f>
        <v>1</v>
      </c>
      <c r="J883" s="11" t="s">
        <v>75</v>
      </c>
      <c r="K883" s="11">
        <v>1299</v>
      </c>
      <c r="L883" s="49" t="s">
        <v>32</v>
      </c>
      <c r="M883" s="49" t="s">
        <v>76</v>
      </c>
      <c r="N883" s="49" t="s">
        <v>77</v>
      </c>
      <c r="O883" s="49" t="s">
        <v>78</v>
      </c>
      <c r="P883" s="48" t="s">
        <v>86</v>
      </c>
      <c r="Q883" s="49" t="s">
        <v>37</v>
      </c>
      <c r="R883" s="11" t="s">
        <v>80</v>
      </c>
      <c r="S883" s="11" t="s">
        <v>90</v>
      </c>
      <c r="T883" s="11" t="s">
        <v>647</v>
      </c>
      <c r="U883" s="11" t="s">
        <v>1798</v>
      </c>
      <c r="V883" s="116" t="str">
        <f>VLOOKUP(Table1[[#This Row],[Psoft No]],[2]Sheet1!$A$2:$G$386,7,0)</f>
        <v>P</v>
      </c>
      <c r="W883" s="88"/>
      <c r="X883" s="51">
        <v>45719</v>
      </c>
      <c r="Y883" s="97" t="s">
        <v>1577</v>
      </c>
      <c r="Z883" s="135" t="s">
        <v>2</v>
      </c>
      <c r="AA883" s="135">
        <v>0</v>
      </c>
    </row>
    <row r="884" spans="1:27" ht="13" customHeight="1">
      <c r="A884" s="11">
        <v>878</v>
      </c>
      <c r="B884" s="92">
        <v>203512666</v>
      </c>
      <c r="C884" s="47" t="s">
        <v>942</v>
      </c>
      <c r="D884" s="89" t="s">
        <v>943</v>
      </c>
      <c r="E884" s="48" t="s">
        <v>31</v>
      </c>
      <c r="F884" s="48" t="s">
        <v>74</v>
      </c>
      <c r="G884" s="11" t="s">
        <v>64</v>
      </c>
      <c r="H884" s="48" t="str">
        <f>VLOOKUP(Table1[[#This Row],[Psoft No]],[1]Roster!$C$2:$H$1402,6,)</f>
        <v>AUH1</v>
      </c>
      <c r="I884" s="48" t="b">
        <f>Table1[[#This Row],[Building]]=Table1[[#This Row],[Column1]]</f>
        <v>1</v>
      </c>
      <c r="J884" s="11" t="s">
        <v>75</v>
      </c>
      <c r="K884" s="11">
        <v>1299</v>
      </c>
      <c r="L884" s="49" t="s">
        <v>32</v>
      </c>
      <c r="M884" s="49" t="s">
        <v>76</v>
      </c>
      <c r="N884" s="49" t="s">
        <v>88</v>
      </c>
      <c r="O884" s="49" t="s">
        <v>95</v>
      </c>
      <c r="P884" s="48" t="s">
        <v>79</v>
      </c>
      <c r="Q884" s="49" t="s">
        <v>37</v>
      </c>
      <c r="R884" s="11" t="s">
        <v>80</v>
      </c>
      <c r="S884" s="11" t="s">
        <v>81</v>
      </c>
      <c r="T884" s="11" t="s">
        <v>647</v>
      </c>
      <c r="U884" s="11" t="s">
        <v>1798</v>
      </c>
      <c r="V884" s="116" t="str">
        <f>VLOOKUP(Table1[[#This Row],[Psoft No]],[2]Sheet1!$A$2:$G$386,7,0)</f>
        <v>P</v>
      </c>
      <c r="W884" s="88"/>
      <c r="X884" s="51">
        <v>45463</v>
      </c>
      <c r="Y884" s="97" t="s">
        <v>1579</v>
      </c>
      <c r="Z884" s="135" t="s">
        <v>2</v>
      </c>
      <c r="AA884" s="135">
        <v>0</v>
      </c>
    </row>
    <row r="885" spans="1:27" ht="13" customHeight="1">
      <c r="A885" s="11">
        <v>879</v>
      </c>
      <c r="B885" s="47">
        <v>204009978</v>
      </c>
      <c r="C885" s="89" t="s">
        <v>2786</v>
      </c>
      <c r="D885" s="11" t="s">
        <v>2787</v>
      </c>
      <c r="E885" s="48" t="s">
        <v>31</v>
      </c>
      <c r="F885" s="48" t="s">
        <v>74</v>
      </c>
      <c r="G885" s="11" t="s">
        <v>64</v>
      </c>
      <c r="H885" s="48" t="str">
        <f>VLOOKUP(Table1[[#This Row],[Psoft No]],[1]Roster!$C$2:$H$1402,6,)</f>
        <v>AUH1</v>
      </c>
      <c r="I885" s="48" t="b">
        <f>Table1[[#This Row],[Building]]=Table1[[#This Row],[Column1]]</f>
        <v>1</v>
      </c>
      <c r="J885" s="11" t="s">
        <v>75</v>
      </c>
      <c r="K885" s="11">
        <v>1299</v>
      </c>
      <c r="L885" s="49" t="s">
        <v>39</v>
      </c>
      <c r="M885" s="49" t="s">
        <v>76</v>
      </c>
      <c r="N885" s="49" t="s">
        <v>95</v>
      </c>
      <c r="O885" s="49" t="s">
        <v>77</v>
      </c>
      <c r="P885" s="48" t="s">
        <v>86</v>
      </c>
      <c r="Q885" s="49" t="s">
        <v>37</v>
      </c>
      <c r="R885" s="11" t="s">
        <v>80</v>
      </c>
      <c r="S885" s="11" t="s">
        <v>90</v>
      </c>
      <c r="T885" s="11" t="s">
        <v>647</v>
      </c>
      <c r="U885" s="11" t="s">
        <v>2739</v>
      </c>
      <c r="V885" s="116" t="s">
        <v>7</v>
      </c>
      <c r="W885" s="88"/>
      <c r="X885" s="51">
        <v>45551</v>
      </c>
      <c r="Y885" s="97" t="s">
        <v>1577</v>
      </c>
      <c r="Z885" s="135" t="s">
        <v>3023</v>
      </c>
      <c r="AA885" s="135" t="s">
        <v>3024</v>
      </c>
    </row>
    <row r="886" spans="1:27" ht="13" customHeight="1">
      <c r="A886" s="11">
        <v>880</v>
      </c>
      <c r="B886" s="47">
        <v>203850879</v>
      </c>
      <c r="C886" s="89" t="s">
        <v>2349</v>
      </c>
      <c r="D886" s="11" t="s">
        <v>2350</v>
      </c>
      <c r="E886" s="48" t="s">
        <v>31</v>
      </c>
      <c r="F886" s="48" t="s">
        <v>74</v>
      </c>
      <c r="G886" s="11" t="s">
        <v>64</v>
      </c>
      <c r="H886" s="48" t="str">
        <f>VLOOKUP(Table1[[#This Row],[Psoft No]],[1]Roster!$C$2:$H$1402,6,)</f>
        <v>AUH1</v>
      </c>
      <c r="I886" s="48" t="b">
        <f>Table1[[#This Row],[Building]]=Table1[[#This Row],[Column1]]</f>
        <v>1</v>
      </c>
      <c r="J886" s="11" t="s">
        <v>75</v>
      </c>
      <c r="K886" s="11">
        <v>1299</v>
      </c>
      <c r="L886" s="49" t="s">
        <v>32</v>
      </c>
      <c r="M886" s="49" t="s">
        <v>76</v>
      </c>
      <c r="N886" s="49" t="s">
        <v>95</v>
      </c>
      <c r="O886" s="49" t="s">
        <v>77</v>
      </c>
      <c r="P886" s="48" t="s">
        <v>86</v>
      </c>
      <c r="Q886" s="49" t="s">
        <v>37</v>
      </c>
      <c r="R886" s="11" t="s">
        <v>80</v>
      </c>
      <c r="S886" s="11" t="s">
        <v>90</v>
      </c>
      <c r="T886" s="11" t="s">
        <v>2845</v>
      </c>
      <c r="U886" s="11" t="s">
        <v>2846</v>
      </c>
      <c r="V886" s="116" t="str">
        <f>VLOOKUP(Table1[[#This Row],[Psoft No]],[2]Sheet1!$A$2:$G$386,7,0)</f>
        <v>P</v>
      </c>
      <c r="W886" s="88"/>
      <c r="X886" s="51">
        <v>45524</v>
      </c>
      <c r="Y886" s="97" t="s">
        <v>1577</v>
      </c>
      <c r="Z886" s="135" t="s">
        <v>2</v>
      </c>
      <c r="AA886" s="135">
        <v>0</v>
      </c>
    </row>
    <row r="887" spans="1:27" ht="13" customHeight="1">
      <c r="A887" s="11">
        <v>881</v>
      </c>
      <c r="B887" s="92">
        <v>203993431</v>
      </c>
      <c r="C887" s="47" t="s">
        <v>2788</v>
      </c>
      <c r="D887" s="89" t="s">
        <v>2789</v>
      </c>
      <c r="E887" s="48" t="s">
        <v>31</v>
      </c>
      <c r="F887" s="48" t="s">
        <v>74</v>
      </c>
      <c r="G887" s="11" t="s">
        <v>64</v>
      </c>
      <c r="H887" s="48" t="str">
        <f>VLOOKUP(Table1[[#This Row],[Psoft No]],[1]Roster!$C$2:$H$1402,6,)</f>
        <v>AUH1</v>
      </c>
      <c r="I887" s="48" t="b">
        <f>Table1[[#This Row],[Building]]=Table1[[#This Row],[Column1]]</f>
        <v>1</v>
      </c>
      <c r="J887" s="11" t="s">
        <v>75</v>
      </c>
      <c r="K887" s="11">
        <v>1299</v>
      </c>
      <c r="L887" s="49" t="s">
        <v>39</v>
      </c>
      <c r="M887" s="49" t="s">
        <v>76</v>
      </c>
      <c r="N887" s="49" t="s">
        <v>77</v>
      </c>
      <c r="O887" s="49" t="s">
        <v>78</v>
      </c>
      <c r="P887" s="48" t="s">
        <v>89</v>
      </c>
      <c r="Q887" s="49" t="s">
        <v>37</v>
      </c>
      <c r="R887" s="11" t="s">
        <v>80</v>
      </c>
      <c r="S887" s="11" t="s">
        <v>90</v>
      </c>
      <c r="T887" s="11" t="s">
        <v>2845</v>
      </c>
      <c r="U887" s="11" t="s">
        <v>2846</v>
      </c>
      <c r="V887" s="116" t="s">
        <v>1</v>
      </c>
      <c r="W887" s="88"/>
      <c r="X887" s="51">
        <v>45547</v>
      </c>
      <c r="Y887" s="97" t="s">
        <v>1577</v>
      </c>
      <c r="Z887" s="135" t="s">
        <v>2</v>
      </c>
      <c r="AA887" s="135">
        <v>0</v>
      </c>
    </row>
    <row r="888" spans="1:27" ht="13" customHeight="1">
      <c r="A888" s="11">
        <v>882</v>
      </c>
      <c r="B888" s="47">
        <v>203521131</v>
      </c>
      <c r="C888" s="89" t="s">
        <v>418</v>
      </c>
      <c r="D888" s="11" t="s">
        <v>419</v>
      </c>
      <c r="E888" s="48" t="s">
        <v>31</v>
      </c>
      <c r="F888" s="48" t="s">
        <v>74</v>
      </c>
      <c r="G888" s="11" t="s">
        <v>64</v>
      </c>
      <c r="H888" s="48" t="str">
        <f>VLOOKUP(Table1[[#This Row],[Psoft No]],[1]Roster!$C$2:$H$1402,6,)</f>
        <v>AUH1</v>
      </c>
      <c r="I888" s="48" t="b">
        <f>Table1[[#This Row],[Building]]=Table1[[#This Row],[Column1]]</f>
        <v>1</v>
      </c>
      <c r="J888" s="11" t="s">
        <v>75</v>
      </c>
      <c r="K888" s="11">
        <v>1299</v>
      </c>
      <c r="L888" s="49" t="s">
        <v>32</v>
      </c>
      <c r="M888" s="49" t="s">
        <v>76</v>
      </c>
      <c r="N888" s="49" t="s">
        <v>77</v>
      </c>
      <c r="O888" s="49" t="s">
        <v>78</v>
      </c>
      <c r="P888" s="48" t="s">
        <v>79</v>
      </c>
      <c r="Q888" s="49" t="s">
        <v>35</v>
      </c>
      <c r="R888" s="11" t="s">
        <v>80</v>
      </c>
      <c r="S888" s="11" t="s">
        <v>81</v>
      </c>
      <c r="T888" s="11" t="s">
        <v>224</v>
      </c>
      <c r="U888" s="11" t="s">
        <v>2715</v>
      </c>
      <c r="V888" s="116" t="str">
        <f>VLOOKUP(Table1[[#This Row],[AMZ ID]],[2]Sheet3!$A$2:$E$50,5,0)</f>
        <v>PL</v>
      </c>
      <c r="W888" s="88" t="s">
        <v>3015</v>
      </c>
      <c r="X888" s="51">
        <v>45463</v>
      </c>
      <c r="Y888" s="97" t="s">
        <v>1573</v>
      </c>
      <c r="Z888" s="135" t="s">
        <v>3023</v>
      </c>
      <c r="AA888" s="135" t="s">
        <v>3015</v>
      </c>
    </row>
    <row r="889" spans="1:27" ht="13" customHeight="1">
      <c r="A889" s="11">
        <v>883</v>
      </c>
      <c r="B889" s="47">
        <v>206250876</v>
      </c>
      <c r="C889" s="89" t="s">
        <v>1651</v>
      </c>
      <c r="D889" s="11" t="s">
        <v>1627</v>
      </c>
      <c r="E889" s="48" t="s">
        <v>31</v>
      </c>
      <c r="F889" s="48" t="s">
        <v>74</v>
      </c>
      <c r="G889" s="11" t="s">
        <v>64</v>
      </c>
      <c r="H889" s="48" t="str">
        <f>VLOOKUP(Table1[[#This Row],[Psoft No]],[1]Roster!$C$2:$H$1402,6,)</f>
        <v>AUH1</v>
      </c>
      <c r="I889" s="48" t="b">
        <f>Table1[[#This Row],[Building]]=Table1[[#This Row],[Column1]]</f>
        <v>1</v>
      </c>
      <c r="J889" s="11" t="s">
        <v>75</v>
      </c>
      <c r="K889" s="11">
        <v>1299</v>
      </c>
      <c r="L889" s="49" t="s">
        <v>32</v>
      </c>
      <c r="M889" s="49" t="s">
        <v>76</v>
      </c>
      <c r="N889" s="49" t="s">
        <v>92</v>
      </c>
      <c r="O889" s="49" t="s">
        <v>84</v>
      </c>
      <c r="P889" s="49" t="s">
        <v>79</v>
      </c>
      <c r="Q889" s="49" t="s">
        <v>37</v>
      </c>
      <c r="R889" s="11" t="s">
        <v>80</v>
      </c>
      <c r="S889" s="11" t="s">
        <v>81</v>
      </c>
      <c r="T889" s="49" t="s">
        <v>1066</v>
      </c>
      <c r="U889" s="11" t="s">
        <v>2717</v>
      </c>
      <c r="V889" s="116" t="s">
        <v>10</v>
      </c>
      <c r="W889" s="88"/>
      <c r="X889" s="51">
        <v>45943</v>
      </c>
      <c r="Y889" s="97" t="s">
        <v>1577</v>
      </c>
      <c r="Z889" s="135" t="s">
        <v>3023</v>
      </c>
      <c r="AA889" s="135">
        <v>0</v>
      </c>
    </row>
    <row r="890" spans="1:27" ht="13" customHeight="1">
      <c r="A890" s="11">
        <v>884</v>
      </c>
      <c r="B890" s="47">
        <v>202198840</v>
      </c>
      <c r="C890" s="89" t="s">
        <v>946</v>
      </c>
      <c r="D890" s="11" t="s">
        <v>947</v>
      </c>
      <c r="E890" s="48" t="s">
        <v>31</v>
      </c>
      <c r="F890" s="48" t="s">
        <v>74</v>
      </c>
      <c r="G890" s="11" t="s">
        <v>64</v>
      </c>
      <c r="H890" s="48" t="str">
        <f>VLOOKUP(Table1[[#This Row],[Psoft No]],[1]Roster!$C$2:$H$1402,6,)</f>
        <v>AUH1</v>
      </c>
      <c r="I890" s="48" t="b">
        <f>Table1[[#This Row],[Building]]=Table1[[#This Row],[Column1]]</f>
        <v>1</v>
      </c>
      <c r="J890" s="11" t="s">
        <v>75</v>
      </c>
      <c r="K890" s="11">
        <v>1299</v>
      </c>
      <c r="L890" s="49" t="s">
        <v>39</v>
      </c>
      <c r="M890" s="49" t="s">
        <v>76</v>
      </c>
      <c r="N890" s="49" t="s">
        <v>84</v>
      </c>
      <c r="O890" s="49" t="s">
        <v>85</v>
      </c>
      <c r="P890" s="48" t="s">
        <v>86</v>
      </c>
      <c r="Q890" s="49" t="s">
        <v>37</v>
      </c>
      <c r="R890" s="11" t="s">
        <v>80</v>
      </c>
      <c r="S890" s="11" t="s">
        <v>87</v>
      </c>
      <c r="T890" s="11" t="s">
        <v>627</v>
      </c>
      <c r="U890" s="11" t="s">
        <v>628</v>
      </c>
      <c r="V890" s="116" t="s">
        <v>1</v>
      </c>
      <c r="W890" s="88"/>
      <c r="X890" s="51">
        <v>45586</v>
      </c>
      <c r="Y890" s="97" t="s">
        <v>1576</v>
      </c>
      <c r="Z890" s="135" t="s">
        <v>2</v>
      </c>
      <c r="AA890" s="135">
        <v>0</v>
      </c>
    </row>
    <row r="891" spans="1:27" ht="13" customHeight="1">
      <c r="A891" s="11">
        <v>885</v>
      </c>
      <c r="B891" s="47">
        <v>206850963</v>
      </c>
      <c r="C891" s="89" t="s">
        <v>1807</v>
      </c>
      <c r="D891" s="11" t="s">
        <v>1808</v>
      </c>
      <c r="E891" s="48" t="s">
        <v>31</v>
      </c>
      <c r="F891" s="48" t="s">
        <v>74</v>
      </c>
      <c r="G891" s="11" t="s">
        <v>64</v>
      </c>
      <c r="H891" s="48" t="str">
        <f>VLOOKUP(Table1[[#This Row],[Psoft No]],[1]Roster!$C$2:$H$1402,6,)</f>
        <v>AUH1</v>
      </c>
      <c r="I891" s="48" t="b">
        <f>Table1[[#This Row],[Building]]=Table1[[#This Row],[Column1]]</f>
        <v>1</v>
      </c>
      <c r="J891" s="11" t="s">
        <v>75</v>
      </c>
      <c r="K891" s="11">
        <v>1299</v>
      </c>
      <c r="L891" s="87" t="s">
        <v>32</v>
      </c>
      <c r="M891" s="49" t="s">
        <v>76</v>
      </c>
      <c r="N891" s="49" t="s">
        <v>77</v>
      </c>
      <c r="O891" s="49" t="s">
        <v>78</v>
      </c>
      <c r="P891" s="49" t="s">
        <v>89</v>
      </c>
      <c r="Q891" s="49" t="s">
        <v>37</v>
      </c>
      <c r="R891" s="11" t="s">
        <v>80</v>
      </c>
      <c r="S891" s="11" t="s">
        <v>90</v>
      </c>
      <c r="T891" s="49" t="s">
        <v>2845</v>
      </c>
      <c r="U891" s="11" t="s">
        <v>2846</v>
      </c>
      <c r="V891" s="116" t="str">
        <f>VLOOKUP(Table1[[#This Row],[Psoft No]],[2]Sheet1!$A$2:$G$386,7,0)</f>
        <v>P</v>
      </c>
      <c r="W891" s="88"/>
      <c r="X891" s="51">
        <v>46013</v>
      </c>
      <c r="Y891" s="97" t="s">
        <v>1577</v>
      </c>
      <c r="Z891" s="135" t="s">
        <v>2</v>
      </c>
      <c r="AA891" s="135">
        <v>0</v>
      </c>
    </row>
    <row r="892" spans="1:27" ht="13" customHeight="1">
      <c r="A892" s="11">
        <v>886</v>
      </c>
      <c r="B892" s="47">
        <v>203512669</v>
      </c>
      <c r="C892" s="89" t="s">
        <v>948</v>
      </c>
      <c r="D892" s="11" t="s">
        <v>949</v>
      </c>
      <c r="E892" s="48" t="s">
        <v>31</v>
      </c>
      <c r="F892" s="48" t="s">
        <v>74</v>
      </c>
      <c r="G892" s="11" t="s">
        <v>64</v>
      </c>
      <c r="H892" s="48" t="str">
        <f>VLOOKUP(Table1[[#This Row],[Psoft No]],[1]Roster!$C$2:$H$1402,6,)</f>
        <v>AUH1</v>
      </c>
      <c r="I892" s="48" t="b">
        <f>Table1[[#This Row],[Building]]=Table1[[#This Row],[Column1]]</f>
        <v>1</v>
      </c>
      <c r="J892" s="11" t="s">
        <v>75</v>
      </c>
      <c r="K892" s="11">
        <v>1299</v>
      </c>
      <c r="L892" s="87" t="s">
        <v>32</v>
      </c>
      <c r="M892" s="49" t="s">
        <v>76</v>
      </c>
      <c r="N892" s="49" t="s">
        <v>84</v>
      </c>
      <c r="O892" s="49" t="s">
        <v>85</v>
      </c>
      <c r="P892" s="49" t="s">
        <v>79</v>
      </c>
      <c r="Q892" s="49" t="s">
        <v>37</v>
      </c>
      <c r="R892" s="11" t="s">
        <v>80</v>
      </c>
      <c r="S892" s="11" t="s">
        <v>81</v>
      </c>
      <c r="T892" s="11" t="s">
        <v>1066</v>
      </c>
      <c r="U892" s="11" t="s">
        <v>2717</v>
      </c>
      <c r="V892" s="116" t="str">
        <f>VLOOKUP(Table1[[#This Row],[Psoft No]],[2]Sheet1!$A$2:$G$386,7,0)</f>
        <v>P</v>
      </c>
      <c r="W892" s="88"/>
      <c r="X892" s="51">
        <v>45463</v>
      </c>
      <c r="Y892" s="97" t="s">
        <v>1579</v>
      </c>
      <c r="Z892" s="135" t="s">
        <v>2</v>
      </c>
      <c r="AA892" s="135">
        <v>0</v>
      </c>
    </row>
    <row r="893" spans="1:27" ht="13" customHeight="1">
      <c r="A893" s="11">
        <v>887</v>
      </c>
      <c r="B893" s="47">
        <v>204319796</v>
      </c>
      <c r="C893" s="89" t="s">
        <v>950</v>
      </c>
      <c r="D893" s="11" t="s">
        <v>951</v>
      </c>
      <c r="E893" s="48" t="s">
        <v>31</v>
      </c>
      <c r="F893" s="48" t="s">
        <v>74</v>
      </c>
      <c r="G893" s="11" t="s">
        <v>64</v>
      </c>
      <c r="H893" s="48" t="str">
        <f>VLOOKUP(Table1[[#This Row],[Psoft No]],[1]Roster!$C$2:$H$1402,6,)</f>
        <v>AUH1</v>
      </c>
      <c r="I893" s="48" t="b">
        <f>Table1[[#This Row],[Building]]=Table1[[#This Row],[Column1]]</f>
        <v>1</v>
      </c>
      <c r="J893" s="11" t="s">
        <v>75</v>
      </c>
      <c r="K893" s="11">
        <v>1299</v>
      </c>
      <c r="L893" s="49" t="s">
        <v>32</v>
      </c>
      <c r="M893" s="49" t="s">
        <v>76</v>
      </c>
      <c r="N893" s="49" t="s">
        <v>84</v>
      </c>
      <c r="O893" s="49" t="s">
        <v>85</v>
      </c>
      <c r="P893" s="48" t="s">
        <v>86</v>
      </c>
      <c r="Q893" s="49" t="s">
        <v>37</v>
      </c>
      <c r="R893" s="11" t="s">
        <v>80</v>
      </c>
      <c r="S893" s="11" t="s">
        <v>87</v>
      </c>
      <c r="T893" s="49" t="s">
        <v>1066</v>
      </c>
      <c r="U893" s="11" t="s">
        <v>2717</v>
      </c>
      <c r="V893" s="116" t="str">
        <f>VLOOKUP(Table1[[#This Row],[Psoft No]],[2]Sheet1!$A$2:$G$386,7,0)</f>
        <v>P</v>
      </c>
      <c r="W893" s="88"/>
      <c r="X893" s="51">
        <v>45589</v>
      </c>
      <c r="Y893" s="97" t="s">
        <v>1579</v>
      </c>
      <c r="Z893" s="135" t="s">
        <v>2</v>
      </c>
      <c r="AA893" s="135">
        <v>0</v>
      </c>
    </row>
    <row r="894" spans="1:27" ht="13" customHeight="1">
      <c r="A894" s="11">
        <v>888</v>
      </c>
      <c r="B894" s="47">
        <v>204011576</v>
      </c>
      <c r="C894" s="89" t="s">
        <v>2790</v>
      </c>
      <c r="D894" s="11" t="s">
        <v>2791</v>
      </c>
      <c r="E894" s="48" t="s">
        <v>31</v>
      </c>
      <c r="F894" s="48" t="s">
        <v>74</v>
      </c>
      <c r="G894" s="11" t="s">
        <v>64</v>
      </c>
      <c r="H894" s="48" t="str">
        <f>VLOOKUP(Table1[[#This Row],[Psoft No]],[1]Roster!$C$2:$H$1402,6,)</f>
        <v>AUH1</v>
      </c>
      <c r="I894" s="48" t="b">
        <f>Table1[[#This Row],[Building]]=Table1[[#This Row],[Column1]]</f>
        <v>1</v>
      </c>
      <c r="J894" s="11" t="s">
        <v>75</v>
      </c>
      <c r="K894" s="11">
        <v>1299</v>
      </c>
      <c r="L894" s="49" t="s">
        <v>39</v>
      </c>
      <c r="M894" s="49" t="s">
        <v>76</v>
      </c>
      <c r="N894" s="49" t="s">
        <v>84</v>
      </c>
      <c r="O894" s="49" t="s">
        <v>85</v>
      </c>
      <c r="P894" s="48" t="s">
        <v>2742</v>
      </c>
      <c r="Q894" s="49" t="s">
        <v>37</v>
      </c>
      <c r="R894" s="11" t="s">
        <v>80</v>
      </c>
      <c r="S894" s="11" t="s">
        <v>90</v>
      </c>
      <c r="T894" s="49" t="s">
        <v>1066</v>
      </c>
      <c r="U894" s="11" t="s">
        <v>2749</v>
      </c>
      <c r="V894" s="116" t="s">
        <v>1</v>
      </c>
      <c r="W894" s="88"/>
      <c r="X894" s="51">
        <v>45789</v>
      </c>
      <c r="Y894" s="97" t="s">
        <v>1577</v>
      </c>
      <c r="Z894" s="135" t="s">
        <v>2</v>
      </c>
      <c r="AA894" s="135">
        <v>0</v>
      </c>
    </row>
    <row r="895" spans="1:27" ht="13" customHeight="1">
      <c r="A895" s="11">
        <v>889</v>
      </c>
      <c r="B895" s="47">
        <v>204882473</v>
      </c>
      <c r="C895" s="90" t="s">
        <v>2792</v>
      </c>
      <c r="D895" s="11" t="s">
        <v>2793</v>
      </c>
      <c r="E895" s="48" t="s">
        <v>31</v>
      </c>
      <c r="F895" s="48" t="s">
        <v>74</v>
      </c>
      <c r="G895" s="11" t="s">
        <v>64</v>
      </c>
      <c r="H895" s="48" t="str">
        <f>VLOOKUP(Table1[[#This Row],[Psoft No]],[1]Roster!$C$2:$H$1402,6,)</f>
        <v>AUH1</v>
      </c>
      <c r="I895" s="48" t="b">
        <f>Table1[[#This Row],[Building]]=Table1[[#This Row],[Column1]]</f>
        <v>1</v>
      </c>
      <c r="J895" s="11" t="s">
        <v>75</v>
      </c>
      <c r="K895" s="11">
        <v>1299</v>
      </c>
      <c r="L895" s="49" t="s">
        <v>32</v>
      </c>
      <c r="M895" s="49" t="s">
        <v>76</v>
      </c>
      <c r="N895" s="49" t="s">
        <v>85</v>
      </c>
      <c r="O895" s="49" t="s">
        <v>88</v>
      </c>
      <c r="P895" s="49" t="s">
        <v>86</v>
      </c>
      <c r="Q895" s="49" t="s">
        <v>37</v>
      </c>
      <c r="R895" s="11" t="s">
        <v>80</v>
      </c>
      <c r="S895" s="11" t="s">
        <v>90</v>
      </c>
      <c r="T895" s="11" t="s">
        <v>647</v>
      </c>
      <c r="U895" s="11" t="s">
        <v>2739</v>
      </c>
      <c r="V895" s="116" t="str">
        <f>VLOOKUP(Table1[[#This Row],[Psoft No]],[2]Sheet1!$A$2:$G$386,7,0)</f>
        <v>P</v>
      </c>
      <c r="W895" s="88"/>
      <c r="X895" s="51">
        <v>45789</v>
      </c>
      <c r="Y895" s="97" t="s">
        <v>1577</v>
      </c>
      <c r="Z895" s="135" t="s">
        <v>2</v>
      </c>
      <c r="AA895" s="135">
        <v>0</v>
      </c>
    </row>
    <row r="896" spans="1:27" ht="13" customHeight="1">
      <c r="A896" s="11">
        <v>890</v>
      </c>
      <c r="B896" s="92">
        <v>106268190</v>
      </c>
      <c r="C896" s="47" t="s">
        <v>952</v>
      </c>
      <c r="D896" s="89" t="s">
        <v>953</v>
      </c>
      <c r="E896" s="48" t="s">
        <v>34</v>
      </c>
      <c r="F896" s="48" t="s">
        <v>74</v>
      </c>
      <c r="G896" s="11" t="s">
        <v>64</v>
      </c>
      <c r="H896" s="48" t="str">
        <f>VLOOKUP(Table1[[#This Row],[Psoft No]],[1]Roster!$C$2:$H$1402,6,)</f>
        <v>AUH1</v>
      </c>
      <c r="I896" s="48" t="b">
        <f>Table1[[#This Row],[Building]]=Table1[[#This Row],[Column1]]</f>
        <v>1</v>
      </c>
      <c r="J896" s="11" t="s">
        <v>75</v>
      </c>
      <c r="K896" s="11">
        <v>1299</v>
      </c>
      <c r="L896" s="49" t="s">
        <v>32</v>
      </c>
      <c r="M896" s="49" t="s">
        <v>76</v>
      </c>
      <c r="N896" s="49" t="s">
        <v>36</v>
      </c>
      <c r="O896" s="49" t="s">
        <v>92</v>
      </c>
      <c r="P896" s="48" t="s">
        <v>108</v>
      </c>
      <c r="Q896" s="49" t="s">
        <v>37</v>
      </c>
      <c r="R896" s="11" t="s">
        <v>80</v>
      </c>
      <c r="S896" s="11" t="s">
        <v>98</v>
      </c>
      <c r="T896" s="11" t="s">
        <v>627</v>
      </c>
      <c r="U896" s="11" t="s">
        <v>628</v>
      </c>
      <c r="V896" s="116" t="s">
        <v>10</v>
      </c>
      <c r="W896" s="88"/>
      <c r="X896" s="51">
        <v>44757</v>
      </c>
      <c r="Y896" s="97" t="s">
        <v>1579</v>
      </c>
      <c r="Z896" s="135" t="s">
        <v>3023</v>
      </c>
      <c r="AA896" s="135">
        <v>0</v>
      </c>
    </row>
    <row r="897" spans="1:27" ht="13" customHeight="1">
      <c r="A897" s="11">
        <v>891</v>
      </c>
      <c r="B897" s="92">
        <v>203908351</v>
      </c>
      <c r="C897" s="47" t="s">
        <v>954</v>
      </c>
      <c r="D897" s="89" t="s">
        <v>955</v>
      </c>
      <c r="E897" s="48" t="s">
        <v>31</v>
      </c>
      <c r="F897" s="48" t="s">
        <v>74</v>
      </c>
      <c r="G897" s="11" t="s">
        <v>64</v>
      </c>
      <c r="H897" s="48" t="str">
        <f>VLOOKUP(Table1[[#This Row],[Psoft No]],[1]Roster!$C$2:$H$1402,6,)</f>
        <v>AUH1</v>
      </c>
      <c r="I897" s="48" t="b">
        <f>Table1[[#This Row],[Building]]=Table1[[#This Row],[Column1]]</f>
        <v>1</v>
      </c>
      <c r="J897" s="11" t="s">
        <v>75</v>
      </c>
      <c r="K897" s="11">
        <v>1299</v>
      </c>
      <c r="L897" s="49" t="s">
        <v>32</v>
      </c>
      <c r="M897" s="49" t="s">
        <v>76</v>
      </c>
      <c r="N897" s="49" t="s">
        <v>95</v>
      </c>
      <c r="O897" s="49" t="s">
        <v>77</v>
      </c>
      <c r="P897" s="48" t="s">
        <v>79</v>
      </c>
      <c r="Q897" s="49" t="s">
        <v>37</v>
      </c>
      <c r="R897" s="11" t="s">
        <v>80</v>
      </c>
      <c r="S897" s="11" t="s">
        <v>81</v>
      </c>
      <c r="T897" s="11" t="s">
        <v>2719</v>
      </c>
      <c r="U897" s="11" t="s">
        <v>642</v>
      </c>
      <c r="V897" s="116" t="str">
        <f>VLOOKUP(Table1[[#This Row],[Psoft No]],[2]Sheet1!$A$2:$G$386,7,0)</f>
        <v>P</v>
      </c>
      <c r="W897" s="88"/>
      <c r="X897" s="51">
        <v>45537</v>
      </c>
      <c r="Y897" s="97" t="s">
        <v>1577</v>
      </c>
      <c r="Z897" s="135" t="s">
        <v>2</v>
      </c>
      <c r="AA897" s="135">
        <v>0</v>
      </c>
    </row>
    <row r="898" spans="1:27" ht="13" customHeight="1">
      <c r="A898" s="11">
        <v>892</v>
      </c>
      <c r="B898" s="47">
        <v>205236898</v>
      </c>
      <c r="C898" s="89" t="s">
        <v>2794</v>
      </c>
      <c r="D898" s="11" t="s">
        <v>2795</v>
      </c>
      <c r="E898" s="48" t="s">
        <v>31</v>
      </c>
      <c r="F898" s="48" t="s">
        <v>74</v>
      </c>
      <c r="G898" s="11" t="s">
        <v>64</v>
      </c>
      <c r="H898" s="48" t="str">
        <f>VLOOKUP(Table1[[#This Row],[Psoft No]],[1]Roster!$C$2:$H$1402,6,)</f>
        <v>AUH1</v>
      </c>
      <c r="I898" s="48" t="b">
        <f>Table1[[#This Row],[Building]]=Table1[[#This Row],[Column1]]</f>
        <v>1</v>
      </c>
      <c r="J898" s="11" t="s">
        <v>75</v>
      </c>
      <c r="K898" s="11">
        <v>1299</v>
      </c>
      <c r="L898" s="49" t="s">
        <v>32</v>
      </c>
      <c r="M898" s="49" t="s">
        <v>76</v>
      </c>
      <c r="N898" s="49" t="s">
        <v>95</v>
      </c>
      <c r="O898" s="49" t="s">
        <v>77</v>
      </c>
      <c r="P898" s="48" t="s">
        <v>86</v>
      </c>
      <c r="Q898" s="49" t="s">
        <v>37</v>
      </c>
      <c r="R898" s="11" t="s">
        <v>80</v>
      </c>
      <c r="S898" s="11" t="s">
        <v>90</v>
      </c>
      <c r="T898" s="49" t="s">
        <v>1066</v>
      </c>
      <c r="U898" s="11" t="s">
        <v>2749</v>
      </c>
      <c r="V898" s="116" t="str">
        <f>VLOOKUP(Table1[[#This Row],[Psoft No]],[2]Sheet1!$A$2:$G$386,7,0)</f>
        <v>P</v>
      </c>
      <c r="W898" s="88"/>
      <c r="X898" s="51">
        <v>45789</v>
      </c>
      <c r="Y898" s="97" t="s">
        <v>1577</v>
      </c>
      <c r="Z898" s="135" t="s">
        <v>2</v>
      </c>
      <c r="AA898" s="135">
        <v>0</v>
      </c>
    </row>
    <row r="899" spans="1:27" ht="13" customHeight="1">
      <c r="A899" s="11">
        <v>893</v>
      </c>
      <c r="B899" s="47">
        <v>203850878</v>
      </c>
      <c r="C899" s="89" t="s">
        <v>956</v>
      </c>
      <c r="D899" s="11" t="s">
        <v>957</v>
      </c>
      <c r="E899" s="48" t="s">
        <v>31</v>
      </c>
      <c r="F899" s="48" t="s">
        <v>74</v>
      </c>
      <c r="G899" s="11" t="s">
        <v>64</v>
      </c>
      <c r="H899" s="48" t="str">
        <f>VLOOKUP(Table1[[#This Row],[Psoft No]],[1]Roster!$C$2:$H$1402,6,)</f>
        <v>AUH1</v>
      </c>
      <c r="I899" s="48" t="b">
        <f>Table1[[#This Row],[Building]]=Table1[[#This Row],[Column1]]</f>
        <v>1</v>
      </c>
      <c r="J899" s="11" t="s">
        <v>75</v>
      </c>
      <c r="K899" s="11">
        <v>1299</v>
      </c>
      <c r="L899" s="49" t="s">
        <v>39</v>
      </c>
      <c r="M899" s="49" t="s">
        <v>76</v>
      </c>
      <c r="N899" s="49" t="s">
        <v>88</v>
      </c>
      <c r="O899" s="49" t="s">
        <v>95</v>
      </c>
      <c r="P899" s="48" t="s">
        <v>86</v>
      </c>
      <c r="Q899" s="49" t="s">
        <v>37</v>
      </c>
      <c r="R899" s="11" t="s">
        <v>80</v>
      </c>
      <c r="S899" s="11" t="s">
        <v>90</v>
      </c>
      <c r="T899" s="49" t="s">
        <v>647</v>
      </c>
      <c r="U899" s="11" t="s">
        <v>1798</v>
      </c>
      <c r="V899" s="116" t="s">
        <v>1</v>
      </c>
      <c r="W899" s="88"/>
      <c r="X899" s="51">
        <v>45524</v>
      </c>
      <c r="Y899" s="97" t="s">
        <v>1577</v>
      </c>
      <c r="Z899" s="135" t="s">
        <v>2</v>
      </c>
      <c r="AA899" s="135">
        <v>0</v>
      </c>
    </row>
    <row r="900" spans="1:27" ht="13" customHeight="1">
      <c r="A900" s="11">
        <v>894</v>
      </c>
      <c r="B900" s="47">
        <v>203850881</v>
      </c>
      <c r="C900" s="89" t="s">
        <v>958</v>
      </c>
      <c r="D900" s="11" t="s">
        <v>959</v>
      </c>
      <c r="E900" s="48" t="s">
        <v>31</v>
      </c>
      <c r="F900" s="48" t="s">
        <v>74</v>
      </c>
      <c r="G900" s="11" t="s">
        <v>64</v>
      </c>
      <c r="H900" s="48" t="str">
        <f>VLOOKUP(Table1[[#This Row],[Psoft No]],[1]Roster!$C$2:$H$1402,6,)</f>
        <v>AUH1</v>
      </c>
      <c r="I900" s="48" t="b">
        <f>Table1[[#This Row],[Building]]=Table1[[#This Row],[Column1]]</f>
        <v>1</v>
      </c>
      <c r="J900" s="11" t="s">
        <v>75</v>
      </c>
      <c r="K900" s="11">
        <v>1299</v>
      </c>
      <c r="L900" s="49" t="s">
        <v>39</v>
      </c>
      <c r="M900" s="49" t="s">
        <v>76</v>
      </c>
      <c r="N900" s="49" t="s">
        <v>95</v>
      </c>
      <c r="O900" s="49" t="s">
        <v>77</v>
      </c>
      <c r="P900" s="49" t="s">
        <v>89</v>
      </c>
      <c r="Q900" s="49" t="s">
        <v>37</v>
      </c>
      <c r="R900" s="11" t="s">
        <v>80</v>
      </c>
      <c r="S900" s="11" t="s">
        <v>90</v>
      </c>
      <c r="T900" s="49" t="s">
        <v>647</v>
      </c>
      <c r="U900" s="11" t="s">
        <v>1798</v>
      </c>
      <c r="V900" s="116" t="s">
        <v>1</v>
      </c>
      <c r="W900" s="88"/>
      <c r="X900" s="51">
        <v>45524</v>
      </c>
      <c r="Y900" s="97" t="s">
        <v>1577</v>
      </c>
      <c r="Z900" s="135" t="s">
        <v>2</v>
      </c>
      <c r="AA900" s="135">
        <v>0</v>
      </c>
    </row>
    <row r="901" spans="1:27" ht="13" customHeight="1">
      <c r="A901" s="11">
        <v>895</v>
      </c>
      <c r="B901" s="47">
        <v>203331877</v>
      </c>
      <c r="C901" s="89" t="s">
        <v>960</v>
      </c>
      <c r="D901" s="47" t="s">
        <v>961</v>
      </c>
      <c r="E901" s="47" t="s">
        <v>31</v>
      </c>
      <c r="F901" s="48" t="s">
        <v>74</v>
      </c>
      <c r="G901" s="11" t="s">
        <v>64</v>
      </c>
      <c r="H901" s="48" t="str">
        <f>VLOOKUP(Table1[[#This Row],[Psoft No]],[1]Roster!$C$2:$H$1402,6,)</f>
        <v>AUH1</v>
      </c>
      <c r="I901" s="48" t="b">
        <f>Table1[[#This Row],[Building]]=Table1[[#This Row],[Column1]]</f>
        <v>1</v>
      </c>
      <c r="J901" s="11" t="s">
        <v>75</v>
      </c>
      <c r="K901" s="47">
        <v>1299</v>
      </c>
      <c r="L901" s="49" t="s">
        <v>39</v>
      </c>
      <c r="M901" s="49" t="s">
        <v>76</v>
      </c>
      <c r="N901" s="49" t="s">
        <v>78</v>
      </c>
      <c r="O901" s="49" t="s">
        <v>92</v>
      </c>
      <c r="P901" s="49" t="s">
        <v>79</v>
      </c>
      <c r="Q901" s="49" t="s">
        <v>37</v>
      </c>
      <c r="R901" s="11" t="s">
        <v>80</v>
      </c>
      <c r="S901" s="47" t="s">
        <v>81</v>
      </c>
      <c r="T901" s="49" t="s">
        <v>631</v>
      </c>
      <c r="U901" s="47" t="s">
        <v>632</v>
      </c>
      <c r="V901" s="116" t="s">
        <v>10</v>
      </c>
      <c r="W901" s="88"/>
      <c r="X901" s="51">
        <v>45537</v>
      </c>
      <c r="Y901" s="97" t="s">
        <v>1578</v>
      </c>
      <c r="Z901" s="135" t="s">
        <v>3023</v>
      </c>
      <c r="AA901" s="135">
        <v>0</v>
      </c>
    </row>
    <row r="902" spans="1:27" ht="13" customHeight="1">
      <c r="A902" s="11">
        <v>896</v>
      </c>
      <c r="B902" s="47">
        <v>206607038</v>
      </c>
      <c r="C902" s="89" t="s">
        <v>2094</v>
      </c>
      <c r="D902" s="11" t="s">
        <v>2095</v>
      </c>
      <c r="E902" s="48" t="s">
        <v>31</v>
      </c>
      <c r="F902" s="48" t="s">
        <v>74</v>
      </c>
      <c r="G902" s="11" t="s">
        <v>64</v>
      </c>
      <c r="H902" s="48" t="str">
        <f>VLOOKUP(Table1[[#This Row],[Psoft No]],[1]Roster!$C$2:$H$1402,6,)</f>
        <v>AUH1</v>
      </c>
      <c r="I902" s="48" t="b">
        <f>Table1[[#This Row],[Building]]=Table1[[#This Row],[Column1]]</f>
        <v>1</v>
      </c>
      <c r="J902" s="11" t="s">
        <v>75</v>
      </c>
      <c r="K902" s="11">
        <v>1299</v>
      </c>
      <c r="L902" s="49" t="s">
        <v>39</v>
      </c>
      <c r="M902" s="49" t="s">
        <v>76</v>
      </c>
      <c r="N902" s="49" t="s">
        <v>84</v>
      </c>
      <c r="O902" s="49" t="s">
        <v>85</v>
      </c>
      <c r="P902" s="48" t="s">
        <v>89</v>
      </c>
      <c r="Q902" s="49" t="s">
        <v>37</v>
      </c>
      <c r="R902" s="11" t="s">
        <v>80</v>
      </c>
      <c r="S902" s="11" t="s">
        <v>96</v>
      </c>
      <c r="T902" s="49" t="s">
        <v>627</v>
      </c>
      <c r="U902" s="11" t="s">
        <v>628</v>
      </c>
      <c r="V902" s="116" t="s">
        <v>1</v>
      </c>
      <c r="W902" s="88"/>
      <c r="X902" s="51">
        <v>46048</v>
      </c>
      <c r="Y902" s="97" t="s">
        <v>1577</v>
      </c>
      <c r="Z902" s="135" t="s">
        <v>2</v>
      </c>
      <c r="AA902" s="135">
        <v>0</v>
      </c>
    </row>
    <row r="903" spans="1:27" ht="13" customHeight="1">
      <c r="A903" s="11">
        <v>897</v>
      </c>
      <c r="B903" s="47">
        <v>205257125</v>
      </c>
      <c r="C903" s="89" t="s">
        <v>2084</v>
      </c>
      <c r="D903" s="11" t="s">
        <v>2085</v>
      </c>
      <c r="E903" s="48" t="s">
        <v>31</v>
      </c>
      <c r="F903" s="48" t="s">
        <v>74</v>
      </c>
      <c r="G903" s="11" t="s">
        <v>64</v>
      </c>
      <c r="H903" s="48" t="str">
        <f>VLOOKUP(Table1[[#This Row],[Psoft No]],[1]Roster!$C$2:$H$1402,6,)</f>
        <v>AUH1</v>
      </c>
      <c r="I903" s="48" t="b">
        <f>Table1[[#This Row],[Building]]=Table1[[#This Row],[Column1]]</f>
        <v>1</v>
      </c>
      <c r="J903" s="11" t="s">
        <v>75</v>
      </c>
      <c r="K903" s="11">
        <v>1299</v>
      </c>
      <c r="L903" s="49" t="s">
        <v>39</v>
      </c>
      <c r="M903" s="49" t="s">
        <v>76</v>
      </c>
      <c r="N903" s="49" t="s">
        <v>78</v>
      </c>
      <c r="O903" s="49" t="s">
        <v>92</v>
      </c>
      <c r="P903" s="48" t="s">
        <v>89</v>
      </c>
      <c r="Q903" s="49" t="s">
        <v>37</v>
      </c>
      <c r="R903" s="11" t="s">
        <v>80</v>
      </c>
      <c r="S903" s="11" t="s">
        <v>96</v>
      </c>
      <c r="T903" s="49" t="s">
        <v>631</v>
      </c>
      <c r="U903" s="11" t="s">
        <v>632</v>
      </c>
      <c r="V903" s="116" t="s">
        <v>10</v>
      </c>
      <c r="W903" s="88"/>
      <c r="X903" s="51">
        <v>46048</v>
      </c>
      <c r="Y903" s="97" t="s">
        <v>1577</v>
      </c>
      <c r="Z903" s="135" t="s">
        <v>3023</v>
      </c>
      <c r="AA903" s="135">
        <v>0</v>
      </c>
    </row>
    <row r="904" spans="1:27" ht="13" customHeight="1">
      <c r="A904" s="11">
        <v>898</v>
      </c>
      <c r="B904" s="11">
        <v>204228019</v>
      </c>
      <c r="C904" s="89" t="s">
        <v>962</v>
      </c>
      <c r="D904" s="11" t="s">
        <v>963</v>
      </c>
      <c r="E904" s="48" t="s">
        <v>31</v>
      </c>
      <c r="F904" s="48" t="s">
        <v>74</v>
      </c>
      <c r="G904" s="11" t="s">
        <v>64</v>
      </c>
      <c r="H904" s="48" t="str">
        <f>VLOOKUP(Table1[[#This Row],[Psoft No]],[1]Roster!$C$2:$H$1402,6,)</f>
        <v>AUH1</v>
      </c>
      <c r="I904" s="48" t="b">
        <f>Table1[[#This Row],[Building]]=Table1[[#This Row],[Column1]]</f>
        <v>1</v>
      </c>
      <c r="J904" s="11" t="s">
        <v>75</v>
      </c>
      <c r="K904" s="11">
        <v>1299</v>
      </c>
      <c r="L904" s="49" t="s">
        <v>32</v>
      </c>
      <c r="M904" s="49" t="s">
        <v>76</v>
      </c>
      <c r="N904" s="49" t="s">
        <v>84</v>
      </c>
      <c r="O904" s="49" t="s">
        <v>85</v>
      </c>
      <c r="P904" s="11" t="s">
        <v>86</v>
      </c>
      <c r="Q904" s="11" t="s">
        <v>37</v>
      </c>
      <c r="R904" s="11" t="s">
        <v>80</v>
      </c>
      <c r="S904" s="11" t="s">
        <v>90</v>
      </c>
      <c r="T904" s="11" t="s">
        <v>647</v>
      </c>
      <c r="U904" s="11" t="s">
        <v>1798</v>
      </c>
      <c r="V904" s="116" t="str">
        <f>VLOOKUP(Table1[[#This Row],[Psoft No]],[2]Sheet1!$A$2:$G$386,7,0)</f>
        <v>P</v>
      </c>
      <c r="W904" s="88"/>
      <c r="X904" s="51">
        <v>45684</v>
      </c>
      <c r="Y904" s="102" t="s">
        <v>1577</v>
      </c>
      <c r="Z904" s="135" t="s">
        <v>2</v>
      </c>
      <c r="AA904" s="135">
        <v>0</v>
      </c>
    </row>
    <row r="905" spans="1:27" ht="13" customHeight="1">
      <c r="A905" s="11">
        <v>899</v>
      </c>
      <c r="B905" s="47">
        <v>204117681</v>
      </c>
      <c r="C905" s="89" t="s">
        <v>964</v>
      </c>
      <c r="D905" s="11" t="s">
        <v>965</v>
      </c>
      <c r="E905" s="48" t="s">
        <v>31</v>
      </c>
      <c r="F905" s="48" t="s">
        <v>74</v>
      </c>
      <c r="G905" s="11" t="s">
        <v>64</v>
      </c>
      <c r="H905" s="48" t="str">
        <f>VLOOKUP(Table1[[#This Row],[Psoft No]],[1]Roster!$C$2:$H$1402,6,)</f>
        <v>AUH1</v>
      </c>
      <c r="I905" s="48" t="b">
        <f>Table1[[#This Row],[Building]]=Table1[[#This Row],[Column1]]</f>
        <v>1</v>
      </c>
      <c r="J905" s="11" t="s">
        <v>75</v>
      </c>
      <c r="K905" s="11">
        <v>1299</v>
      </c>
      <c r="L905" s="49" t="s">
        <v>39</v>
      </c>
      <c r="M905" s="49" t="s">
        <v>76</v>
      </c>
      <c r="N905" s="49" t="s">
        <v>77</v>
      </c>
      <c r="O905" s="49" t="s">
        <v>78</v>
      </c>
      <c r="P905" s="48" t="s">
        <v>86</v>
      </c>
      <c r="Q905" s="49" t="s">
        <v>37</v>
      </c>
      <c r="R905" s="11" t="s">
        <v>80</v>
      </c>
      <c r="S905" s="11" t="s">
        <v>87</v>
      </c>
      <c r="T905" s="49" t="s">
        <v>627</v>
      </c>
      <c r="U905" s="11" t="s">
        <v>628</v>
      </c>
      <c r="V905" s="116" t="s">
        <v>1</v>
      </c>
      <c r="W905" s="88"/>
      <c r="X905" s="51">
        <v>45561</v>
      </c>
      <c r="Y905" s="97" t="s">
        <v>1577</v>
      </c>
      <c r="Z905" s="135" t="s">
        <v>2</v>
      </c>
      <c r="AA905" s="135">
        <v>0</v>
      </c>
    </row>
    <row r="906" spans="1:27" ht="13" customHeight="1">
      <c r="A906" s="11">
        <v>900</v>
      </c>
      <c r="B906" s="47">
        <v>205257122</v>
      </c>
      <c r="C906" s="89" t="s">
        <v>2072</v>
      </c>
      <c r="D906" s="11" t="s">
        <v>2073</v>
      </c>
      <c r="E906" s="48" t="s">
        <v>31</v>
      </c>
      <c r="F906" s="48" t="s">
        <v>74</v>
      </c>
      <c r="G906" s="11" t="s">
        <v>64</v>
      </c>
      <c r="H906" s="48" t="str">
        <f>VLOOKUP(Table1[[#This Row],[Psoft No]],[1]Roster!$C$2:$H$1402,6,)</f>
        <v>AUH1</v>
      </c>
      <c r="I906" s="48" t="b">
        <f>Table1[[#This Row],[Building]]=Table1[[#This Row],[Column1]]</f>
        <v>1</v>
      </c>
      <c r="J906" s="11" t="s">
        <v>75</v>
      </c>
      <c r="K906" s="11">
        <v>1299</v>
      </c>
      <c r="L906" s="49" t="s">
        <v>32</v>
      </c>
      <c r="M906" s="49" t="s">
        <v>76</v>
      </c>
      <c r="N906" s="49" t="s">
        <v>77</v>
      </c>
      <c r="O906" s="49" t="s">
        <v>78</v>
      </c>
      <c r="P906" s="48" t="s">
        <v>89</v>
      </c>
      <c r="Q906" s="49" t="s">
        <v>37</v>
      </c>
      <c r="R906" s="11" t="s">
        <v>80</v>
      </c>
      <c r="S906" s="11" t="s">
        <v>96</v>
      </c>
      <c r="T906" s="49" t="s">
        <v>2844</v>
      </c>
      <c r="U906" s="11" t="s">
        <v>2716</v>
      </c>
      <c r="V906" s="116" t="str">
        <f>VLOOKUP(Table1[[#This Row],[Psoft No]],[2]Sheet1!$A$2:$G$386,7,0)</f>
        <v>P</v>
      </c>
      <c r="W906" s="88"/>
      <c r="X906" s="51">
        <v>46048</v>
      </c>
      <c r="Y906" s="97" t="s">
        <v>1577</v>
      </c>
      <c r="Z906" s="135" t="s">
        <v>2</v>
      </c>
      <c r="AA906" s="135">
        <v>0</v>
      </c>
    </row>
    <row r="907" spans="1:27" ht="13" customHeight="1">
      <c r="A907" s="11">
        <v>901</v>
      </c>
      <c r="B907" s="47">
        <v>203850880</v>
      </c>
      <c r="C907" s="89" t="s">
        <v>2796</v>
      </c>
      <c r="D907" s="11" t="s">
        <v>2797</v>
      </c>
      <c r="E907" s="48" t="s">
        <v>31</v>
      </c>
      <c r="F907" s="48" t="s">
        <v>74</v>
      </c>
      <c r="G907" s="11" t="s">
        <v>64</v>
      </c>
      <c r="H907" s="48" t="str">
        <f>VLOOKUP(Table1[[#This Row],[Psoft No]],[1]Roster!$C$2:$H$1402,6,)</f>
        <v>AUH1</v>
      </c>
      <c r="I907" s="48" t="b">
        <f>Table1[[#This Row],[Building]]=Table1[[#This Row],[Column1]]</f>
        <v>1</v>
      </c>
      <c r="J907" s="11" t="s">
        <v>75</v>
      </c>
      <c r="K907" s="11">
        <v>1299</v>
      </c>
      <c r="L907" s="49" t="s">
        <v>32</v>
      </c>
      <c r="M907" s="49" t="s">
        <v>76</v>
      </c>
      <c r="N907" s="49" t="s">
        <v>92</v>
      </c>
      <c r="O907" s="49" t="s">
        <v>84</v>
      </c>
      <c r="P907" s="48" t="s">
        <v>86</v>
      </c>
      <c r="Q907" s="49" t="s">
        <v>37</v>
      </c>
      <c r="R907" s="11" t="s">
        <v>80</v>
      </c>
      <c r="S907" s="11" t="s">
        <v>90</v>
      </c>
      <c r="T907" s="11" t="s">
        <v>1066</v>
      </c>
      <c r="U907" s="11" t="s">
        <v>2749</v>
      </c>
      <c r="V907" s="116" t="s">
        <v>10</v>
      </c>
      <c r="W907" s="88"/>
      <c r="X907" s="51">
        <v>45524</v>
      </c>
      <c r="Y907" s="97" t="s">
        <v>1577</v>
      </c>
      <c r="Z907" s="135" t="s">
        <v>3023</v>
      </c>
      <c r="AA907" s="135">
        <v>0</v>
      </c>
    </row>
    <row r="908" spans="1:27" ht="13" customHeight="1">
      <c r="A908" s="11">
        <v>902</v>
      </c>
      <c r="B908" s="47">
        <v>204072308</v>
      </c>
      <c r="C908" s="89" t="s">
        <v>2798</v>
      </c>
      <c r="D908" s="11" t="s">
        <v>2799</v>
      </c>
      <c r="E908" s="48" t="s">
        <v>31</v>
      </c>
      <c r="F908" s="48" t="s">
        <v>74</v>
      </c>
      <c r="G908" s="11" t="s">
        <v>64</v>
      </c>
      <c r="H908" s="48" t="str">
        <f>VLOOKUP(Table1[[#This Row],[Psoft No]],[1]Roster!$C$2:$H$1402,6,)</f>
        <v>AUH1</v>
      </c>
      <c r="I908" s="48" t="b">
        <f>Table1[[#This Row],[Building]]=Table1[[#This Row],[Column1]]</f>
        <v>1</v>
      </c>
      <c r="J908" s="11" t="s">
        <v>75</v>
      </c>
      <c r="K908" s="11">
        <v>1299</v>
      </c>
      <c r="L908" s="49" t="s">
        <v>39</v>
      </c>
      <c r="M908" s="49" t="s">
        <v>76</v>
      </c>
      <c r="N908" s="49" t="s">
        <v>95</v>
      </c>
      <c r="O908" s="49" t="s">
        <v>77</v>
      </c>
      <c r="P908" s="48" t="s">
        <v>86</v>
      </c>
      <c r="Q908" s="49" t="s">
        <v>37</v>
      </c>
      <c r="R908" s="11" t="s">
        <v>80</v>
      </c>
      <c r="S908" s="11" t="s">
        <v>90</v>
      </c>
      <c r="T908" s="49" t="s">
        <v>2845</v>
      </c>
      <c r="U908" s="11" t="s">
        <v>2846</v>
      </c>
      <c r="V908" s="116" t="s">
        <v>1</v>
      </c>
      <c r="W908" s="88"/>
      <c r="X908" s="51">
        <v>45558</v>
      </c>
      <c r="Y908" s="97" t="s">
        <v>1577</v>
      </c>
      <c r="Z908" s="135" t="s">
        <v>2</v>
      </c>
      <c r="AA908" s="135">
        <v>0</v>
      </c>
    </row>
    <row r="909" spans="1:27" ht="13" customHeight="1">
      <c r="A909" s="11">
        <v>903</v>
      </c>
      <c r="B909" s="92">
        <v>204095806</v>
      </c>
      <c r="C909" s="47" t="s">
        <v>966</v>
      </c>
      <c r="D909" s="89" t="s">
        <v>967</v>
      </c>
      <c r="E909" s="48" t="s">
        <v>31</v>
      </c>
      <c r="F909" s="48" t="s">
        <v>74</v>
      </c>
      <c r="G909" s="11" t="s">
        <v>64</v>
      </c>
      <c r="H909" s="48" t="str">
        <f>VLOOKUP(Table1[[#This Row],[Psoft No]],[1]Roster!$C$2:$H$1402,6,)</f>
        <v>AUH1</v>
      </c>
      <c r="I909" s="48" t="b">
        <f>Table1[[#This Row],[Building]]=Table1[[#This Row],[Column1]]</f>
        <v>1</v>
      </c>
      <c r="J909" s="11" t="s">
        <v>75</v>
      </c>
      <c r="K909" s="11">
        <v>1299</v>
      </c>
      <c r="L909" s="49" t="s">
        <v>39</v>
      </c>
      <c r="M909" s="49" t="s">
        <v>76</v>
      </c>
      <c r="N909" s="49" t="s">
        <v>95</v>
      </c>
      <c r="O909" s="49" t="s">
        <v>77</v>
      </c>
      <c r="P909" s="48" t="s">
        <v>86</v>
      </c>
      <c r="Q909" s="49" t="s">
        <v>37</v>
      </c>
      <c r="R909" s="11" t="s">
        <v>80</v>
      </c>
      <c r="S909" s="11" t="s">
        <v>87</v>
      </c>
      <c r="T909" s="11" t="s">
        <v>647</v>
      </c>
      <c r="U909" s="11" t="s">
        <v>1798</v>
      </c>
      <c r="V909" s="116" t="s">
        <v>1</v>
      </c>
      <c r="W909" s="88"/>
      <c r="X909" s="51">
        <v>45561</v>
      </c>
      <c r="Y909" s="97" t="s">
        <v>1577</v>
      </c>
      <c r="Z909" s="135" t="s">
        <v>2</v>
      </c>
      <c r="AA909" s="135">
        <v>0</v>
      </c>
    </row>
    <row r="910" spans="1:27" ht="13" customHeight="1">
      <c r="A910" s="11">
        <v>904</v>
      </c>
      <c r="B910" s="47">
        <v>206137340</v>
      </c>
      <c r="C910" s="89" t="s">
        <v>968</v>
      </c>
      <c r="D910" s="11" t="s">
        <v>969</v>
      </c>
      <c r="E910" s="48" t="s">
        <v>31</v>
      </c>
      <c r="F910" s="48" t="s">
        <v>74</v>
      </c>
      <c r="G910" s="11" t="s">
        <v>64</v>
      </c>
      <c r="H910" s="48" t="str">
        <f>VLOOKUP(Table1[[#This Row],[Psoft No]],[1]Roster!$C$2:$H$1402,6,)</f>
        <v>AUH1</v>
      </c>
      <c r="I910" s="48" t="b">
        <f>Table1[[#This Row],[Building]]=Table1[[#This Row],[Column1]]</f>
        <v>1</v>
      </c>
      <c r="J910" s="11" t="s">
        <v>75</v>
      </c>
      <c r="K910" s="11">
        <v>1299</v>
      </c>
      <c r="L910" s="49" t="s">
        <v>39</v>
      </c>
      <c r="M910" s="49" t="s">
        <v>76</v>
      </c>
      <c r="N910" s="49" t="s">
        <v>92</v>
      </c>
      <c r="O910" s="49" t="s">
        <v>84</v>
      </c>
      <c r="P910" s="48" t="s">
        <v>79</v>
      </c>
      <c r="Q910" s="49" t="s">
        <v>37</v>
      </c>
      <c r="R910" s="11" t="s">
        <v>80</v>
      </c>
      <c r="S910" s="11" t="s">
        <v>81</v>
      </c>
      <c r="T910" s="49" t="s">
        <v>627</v>
      </c>
      <c r="U910" s="11" t="s">
        <v>628</v>
      </c>
      <c r="V910" s="116" t="s">
        <v>10</v>
      </c>
      <c r="W910" s="88"/>
      <c r="X910" s="51">
        <v>45929</v>
      </c>
      <c r="Y910" s="97" t="s">
        <v>1577</v>
      </c>
      <c r="Z910" s="135" t="s">
        <v>3023</v>
      </c>
      <c r="AA910" s="135">
        <v>0</v>
      </c>
    </row>
    <row r="911" spans="1:27" ht="13" customHeight="1">
      <c r="A911" s="11">
        <v>905</v>
      </c>
      <c r="B911" s="47">
        <v>204010440</v>
      </c>
      <c r="C911" s="89" t="s">
        <v>970</v>
      </c>
      <c r="D911" s="11" t="s">
        <v>971</v>
      </c>
      <c r="E911" s="48" t="s">
        <v>31</v>
      </c>
      <c r="F911" s="48" t="s">
        <v>74</v>
      </c>
      <c r="G911" s="11" t="s">
        <v>64</v>
      </c>
      <c r="H911" s="48" t="str">
        <f>VLOOKUP(Table1[[#This Row],[Psoft No]],[1]Roster!$C$2:$H$1402,6,)</f>
        <v>AUH1</v>
      </c>
      <c r="I911" s="48" t="b">
        <f>Table1[[#This Row],[Building]]=Table1[[#This Row],[Column1]]</f>
        <v>1</v>
      </c>
      <c r="J911" s="11" t="s">
        <v>75</v>
      </c>
      <c r="K911" s="11">
        <v>1299</v>
      </c>
      <c r="L911" s="49" t="s">
        <v>39</v>
      </c>
      <c r="M911" s="49" t="s">
        <v>76</v>
      </c>
      <c r="N911" s="49" t="s">
        <v>95</v>
      </c>
      <c r="O911" s="49" t="s">
        <v>77</v>
      </c>
      <c r="P911" s="48" t="s">
        <v>89</v>
      </c>
      <c r="Q911" s="49" t="s">
        <v>37</v>
      </c>
      <c r="R911" s="11" t="s">
        <v>80</v>
      </c>
      <c r="S911" s="11" t="s">
        <v>90</v>
      </c>
      <c r="T911" s="49" t="s">
        <v>647</v>
      </c>
      <c r="U911" s="11" t="s">
        <v>1798</v>
      </c>
      <c r="V911" s="116" t="s">
        <v>1</v>
      </c>
      <c r="W911" s="88"/>
      <c r="X911" s="51">
        <v>45894</v>
      </c>
      <c r="Y911" s="97" t="s">
        <v>1577</v>
      </c>
      <c r="Z911" s="135" t="s">
        <v>2</v>
      </c>
      <c r="AA911" s="135">
        <v>0</v>
      </c>
    </row>
    <row r="912" spans="1:27" ht="13" customHeight="1">
      <c r="A912" s="11">
        <v>906</v>
      </c>
      <c r="B912" s="47">
        <v>206930331</v>
      </c>
      <c r="C912" s="89" t="s">
        <v>2881</v>
      </c>
      <c r="D912" s="11" t="s">
        <v>2882</v>
      </c>
      <c r="E912" s="48" t="s">
        <v>31</v>
      </c>
      <c r="F912" s="48" t="s">
        <v>74</v>
      </c>
      <c r="G912" s="11" t="s">
        <v>64</v>
      </c>
      <c r="H912" s="48" t="str">
        <f>VLOOKUP(Table1[[#This Row],[Psoft No]],[1]Roster!$C$2:$H$1402,6,)</f>
        <v>AUH1</v>
      </c>
      <c r="I912" s="48" t="b">
        <f>Table1[[#This Row],[Building]]=Table1[[#This Row],[Column1]]</f>
        <v>1</v>
      </c>
      <c r="J912" s="11" t="s">
        <v>75</v>
      </c>
      <c r="K912" s="11">
        <v>1299</v>
      </c>
      <c r="L912" s="49" t="s">
        <v>39</v>
      </c>
      <c r="M912" s="49" t="s">
        <v>76</v>
      </c>
      <c r="N912" s="49" t="s">
        <v>78</v>
      </c>
      <c r="O912" s="49" t="s">
        <v>92</v>
      </c>
      <c r="P912" s="48" t="s">
        <v>89</v>
      </c>
      <c r="Q912" s="49" t="s">
        <v>37</v>
      </c>
      <c r="R912" s="11" t="s">
        <v>80</v>
      </c>
      <c r="S912" s="11" t="s">
        <v>96</v>
      </c>
      <c r="T912" s="49" t="s">
        <v>1066</v>
      </c>
      <c r="U912" s="11" t="s">
        <v>2717</v>
      </c>
      <c r="V912" s="116" t="s">
        <v>10</v>
      </c>
      <c r="W912" s="88"/>
      <c r="X912" s="51">
        <v>46238</v>
      </c>
      <c r="Y912" s="97" t="s">
        <v>1577</v>
      </c>
      <c r="Z912" s="135" t="s">
        <v>3023</v>
      </c>
      <c r="AA912" s="135">
        <v>0</v>
      </c>
    </row>
    <row r="913" spans="1:27" ht="13" customHeight="1">
      <c r="A913" s="11">
        <v>907</v>
      </c>
      <c r="B913" s="47">
        <v>206846698</v>
      </c>
      <c r="C913" s="89" t="s">
        <v>1825</v>
      </c>
      <c r="D913" s="11" t="s">
        <v>1826</v>
      </c>
      <c r="E913" s="48" t="s">
        <v>31</v>
      </c>
      <c r="F913" s="48" t="s">
        <v>74</v>
      </c>
      <c r="G913" s="11" t="s">
        <v>64</v>
      </c>
      <c r="H913" s="48" t="str">
        <f>VLOOKUP(Table1[[#This Row],[Psoft No]],[1]Roster!$C$2:$H$1402,6,)</f>
        <v>AUH1</v>
      </c>
      <c r="I913" s="48" t="b">
        <f>Table1[[#This Row],[Building]]=Table1[[#This Row],[Column1]]</f>
        <v>1</v>
      </c>
      <c r="J913" s="11" t="s">
        <v>75</v>
      </c>
      <c r="K913" s="11">
        <v>1299</v>
      </c>
      <c r="L913" s="49" t="s">
        <v>39</v>
      </c>
      <c r="M913" s="49" t="s">
        <v>76</v>
      </c>
      <c r="N913" s="49" t="s">
        <v>88</v>
      </c>
      <c r="O913" s="49" t="s">
        <v>95</v>
      </c>
      <c r="P913" s="48" t="s">
        <v>89</v>
      </c>
      <c r="Q913" s="49" t="s">
        <v>37</v>
      </c>
      <c r="R913" s="11" t="s">
        <v>80</v>
      </c>
      <c r="S913" s="11" t="s">
        <v>90</v>
      </c>
      <c r="T913" s="49" t="s">
        <v>2719</v>
      </c>
      <c r="U913" s="11" t="s">
        <v>642</v>
      </c>
      <c r="V913" s="116" t="s">
        <v>1</v>
      </c>
      <c r="W913" s="88"/>
      <c r="X913" s="51">
        <v>46013</v>
      </c>
      <c r="Y913" s="97" t="s">
        <v>1577</v>
      </c>
      <c r="Z913" s="135" t="s">
        <v>2</v>
      </c>
      <c r="AA913" s="135">
        <v>0</v>
      </c>
    </row>
    <row r="914" spans="1:27" ht="13" customHeight="1">
      <c r="A914" s="11">
        <v>908</v>
      </c>
      <c r="B914" s="47">
        <v>202436104</v>
      </c>
      <c r="C914" s="89" t="s">
        <v>972</v>
      </c>
      <c r="D914" s="11" t="s">
        <v>973</v>
      </c>
      <c r="E914" s="48" t="s">
        <v>31</v>
      </c>
      <c r="F914" s="48" t="s">
        <v>74</v>
      </c>
      <c r="G914" s="11" t="s">
        <v>64</v>
      </c>
      <c r="H914" s="48" t="str">
        <f>VLOOKUP(Table1[[#This Row],[Psoft No]],[1]Roster!$C$2:$H$1402,6,)</f>
        <v>AUH1</v>
      </c>
      <c r="I914" s="48" t="b">
        <f>Table1[[#This Row],[Building]]=Table1[[#This Row],[Column1]]</f>
        <v>1</v>
      </c>
      <c r="J914" s="11" t="s">
        <v>75</v>
      </c>
      <c r="K914" s="11">
        <v>1299</v>
      </c>
      <c r="L914" s="49" t="s">
        <v>32</v>
      </c>
      <c r="M914" s="49" t="s">
        <v>76</v>
      </c>
      <c r="N914" s="49" t="s">
        <v>92</v>
      </c>
      <c r="O914" s="49" t="s">
        <v>84</v>
      </c>
      <c r="P914" s="48" t="s">
        <v>86</v>
      </c>
      <c r="Q914" s="49" t="s">
        <v>37</v>
      </c>
      <c r="R914" s="11" t="s">
        <v>80</v>
      </c>
      <c r="S914" s="11" t="s">
        <v>87</v>
      </c>
      <c r="T914" s="49" t="s">
        <v>627</v>
      </c>
      <c r="U914" s="11" t="s">
        <v>628</v>
      </c>
      <c r="V914" s="116" t="s">
        <v>10</v>
      </c>
      <c r="W914" s="88"/>
      <c r="X914" s="51">
        <v>45586</v>
      </c>
      <c r="Y914" s="97" t="s">
        <v>1578</v>
      </c>
      <c r="Z914" s="135" t="s">
        <v>3023</v>
      </c>
      <c r="AA914" s="135">
        <v>0</v>
      </c>
    </row>
    <row r="915" spans="1:27" ht="13" customHeight="1">
      <c r="A915" s="11">
        <v>909</v>
      </c>
      <c r="B915" s="47">
        <v>203965179</v>
      </c>
      <c r="C915" s="89" t="s">
        <v>974</v>
      </c>
      <c r="D915" s="11" t="s">
        <v>975</v>
      </c>
      <c r="E915" s="48" t="s">
        <v>31</v>
      </c>
      <c r="F915" s="48" t="s">
        <v>74</v>
      </c>
      <c r="G915" s="11" t="s">
        <v>64</v>
      </c>
      <c r="H915" s="48" t="str">
        <f>VLOOKUP(Table1[[#This Row],[Psoft No]],[1]Roster!$C$2:$H$1402,6,)</f>
        <v>AUH1</v>
      </c>
      <c r="I915" s="48" t="b">
        <f>Table1[[#This Row],[Building]]=Table1[[#This Row],[Column1]]</f>
        <v>1</v>
      </c>
      <c r="J915" s="11" t="s">
        <v>75</v>
      </c>
      <c r="K915" s="11">
        <v>1299</v>
      </c>
      <c r="L915" s="49" t="s">
        <v>39</v>
      </c>
      <c r="M915" s="49" t="s">
        <v>76</v>
      </c>
      <c r="N915" s="49" t="s">
        <v>95</v>
      </c>
      <c r="O915" s="49" t="s">
        <v>77</v>
      </c>
      <c r="P915" s="48" t="s">
        <v>79</v>
      </c>
      <c r="Q915" s="49" t="s">
        <v>37</v>
      </c>
      <c r="R915" s="11" t="s">
        <v>80</v>
      </c>
      <c r="S915" s="11" t="s">
        <v>96</v>
      </c>
      <c r="T915" s="49" t="s">
        <v>647</v>
      </c>
      <c r="U915" s="11" t="s">
        <v>1798</v>
      </c>
      <c r="V915" s="116" t="s">
        <v>1</v>
      </c>
      <c r="W915" s="88"/>
      <c r="X915" s="51">
        <v>45544</v>
      </c>
      <c r="Y915" s="97" t="s">
        <v>1577</v>
      </c>
      <c r="Z915" s="135" t="s">
        <v>2</v>
      </c>
      <c r="AA915" s="135">
        <v>0</v>
      </c>
    </row>
    <row r="916" spans="1:27" ht="13" customHeight="1">
      <c r="A916" s="11">
        <v>910</v>
      </c>
      <c r="B916" s="47">
        <v>206136718</v>
      </c>
      <c r="C916" s="89" t="s">
        <v>2911</v>
      </c>
      <c r="D916" s="11" t="s">
        <v>2912</v>
      </c>
      <c r="E916" s="48" t="s">
        <v>31</v>
      </c>
      <c r="F916" s="48" t="s">
        <v>74</v>
      </c>
      <c r="G916" s="11" t="s">
        <v>64</v>
      </c>
      <c r="H916" s="48" t="str">
        <f>VLOOKUP(Table1[[#This Row],[Psoft No]],[1]Roster!$C$2:$H$1402,6,)</f>
        <v>AUH1</v>
      </c>
      <c r="I916" s="48" t="b">
        <f>Table1[[#This Row],[Building]]=Table1[[#This Row],[Column1]]</f>
        <v>1</v>
      </c>
      <c r="J916" s="11" t="s">
        <v>75</v>
      </c>
      <c r="K916" s="11">
        <v>1299</v>
      </c>
      <c r="L916" s="49" t="s">
        <v>39</v>
      </c>
      <c r="M916" s="49" t="s">
        <v>76</v>
      </c>
      <c r="N916" s="49" t="s">
        <v>84</v>
      </c>
      <c r="O916" s="49" t="s">
        <v>85</v>
      </c>
      <c r="P916" s="48" t="s">
        <v>89</v>
      </c>
      <c r="Q916" s="49" t="s">
        <v>37</v>
      </c>
      <c r="R916" s="11" t="s">
        <v>80</v>
      </c>
      <c r="S916" s="11" t="s">
        <v>96</v>
      </c>
      <c r="T916" s="11" t="s">
        <v>1066</v>
      </c>
      <c r="U916" s="11" t="s">
        <v>2717</v>
      </c>
      <c r="V916" s="116" t="s">
        <v>1</v>
      </c>
      <c r="W916" s="88"/>
      <c r="X916" s="51">
        <v>46239</v>
      </c>
      <c r="Y916" s="97" t="s">
        <v>1579</v>
      </c>
      <c r="Z916" s="135" t="s">
        <v>2</v>
      </c>
      <c r="AA916" s="135">
        <v>0</v>
      </c>
    </row>
    <row r="917" spans="1:27" ht="13" customHeight="1">
      <c r="A917" s="11">
        <v>911</v>
      </c>
      <c r="B917" s="47">
        <v>206200811</v>
      </c>
      <c r="C917" s="90" t="s">
        <v>2840</v>
      </c>
      <c r="D917" s="11" t="s">
        <v>2841</v>
      </c>
      <c r="E917" s="48" t="s">
        <v>31</v>
      </c>
      <c r="F917" s="48" t="s">
        <v>74</v>
      </c>
      <c r="G917" s="11" t="s">
        <v>64</v>
      </c>
      <c r="H917" s="48" t="str">
        <f>VLOOKUP(Table1[[#This Row],[Psoft No]],[1]Roster!$C$2:$H$1402,6,)</f>
        <v>AUH1</v>
      </c>
      <c r="I917" s="48" t="b">
        <f>Table1[[#This Row],[Building]]=Table1[[#This Row],[Column1]]</f>
        <v>1</v>
      </c>
      <c r="J917" s="11" t="s">
        <v>75</v>
      </c>
      <c r="K917" s="11">
        <v>1299</v>
      </c>
      <c r="L917" s="49" t="s">
        <v>39</v>
      </c>
      <c r="M917" s="49" t="s">
        <v>76</v>
      </c>
      <c r="N917" s="49" t="s">
        <v>77</v>
      </c>
      <c r="O917" s="49" t="s">
        <v>78</v>
      </c>
      <c r="P917" s="49" t="s">
        <v>89</v>
      </c>
      <c r="Q917" s="49" t="s">
        <v>37</v>
      </c>
      <c r="R917" s="11" t="s">
        <v>80</v>
      </c>
      <c r="S917" s="11" t="s">
        <v>81</v>
      </c>
      <c r="T917" s="11" t="s">
        <v>2719</v>
      </c>
      <c r="U917" s="11" t="s">
        <v>642</v>
      </c>
      <c r="V917" s="116" t="s">
        <v>1</v>
      </c>
      <c r="W917" s="88"/>
      <c r="X917" s="51">
        <v>46226</v>
      </c>
      <c r="Y917" s="97" t="s">
        <v>1577</v>
      </c>
      <c r="Z917" s="135" t="s">
        <v>2</v>
      </c>
      <c r="AA917" s="135">
        <v>0</v>
      </c>
    </row>
    <row r="918" spans="1:27" ht="13" customHeight="1">
      <c r="A918" s="11">
        <v>912</v>
      </c>
      <c r="B918" s="47">
        <v>204890369</v>
      </c>
      <c r="C918" s="89" t="s">
        <v>976</v>
      </c>
      <c r="D918" s="11" t="s">
        <v>977</v>
      </c>
      <c r="E918" s="48" t="s">
        <v>31</v>
      </c>
      <c r="F918" s="48" t="s">
        <v>74</v>
      </c>
      <c r="G918" s="11" t="s">
        <v>64</v>
      </c>
      <c r="H918" s="48" t="str">
        <f>VLOOKUP(Table1[[#This Row],[Psoft No]],[1]Roster!$C$2:$H$1402,6,)</f>
        <v>AUH1</v>
      </c>
      <c r="I918" s="48" t="b">
        <f>Table1[[#This Row],[Building]]=Table1[[#This Row],[Column1]]</f>
        <v>1</v>
      </c>
      <c r="J918" s="11" t="s">
        <v>75</v>
      </c>
      <c r="K918" s="11">
        <v>1290</v>
      </c>
      <c r="L918" s="49" t="s">
        <v>39</v>
      </c>
      <c r="M918" s="49" t="s">
        <v>76</v>
      </c>
      <c r="N918" s="49" t="s">
        <v>78</v>
      </c>
      <c r="O918" s="49" t="s">
        <v>92</v>
      </c>
      <c r="P918" s="48" t="s">
        <v>86</v>
      </c>
      <c r="Q918" s="49" t="s">
        <v>37</v>
      </c>
      <c r="R918" s="11" t="s">
        <v>80</v>
      </c>
      <c r="S918" s="11" t="s">
        <v>90</v>
      </c>
      <c r="T918" s="49" t="s">
        <v>647</v>
      </c>
      <c r="U918" s="11" t="s">
        <v>1798</v>
      </c>
      <c r="V918" s="116" t="s">
        <v>10</v>
      </c>
      <c r="W918" s="88"/>
      <c r="X918" s="51">
        <v>45691</v>
      </c>
      <c r="Y918" s="97" t="s">
        <v>1577</v>
      </c>
      <c r="Z918" s="135" t="s">
        <v>3023</v>
      </c>
      <c r="AA918" s="135">
        <v>0</v>
      </c>
    </row>
    <row r="919" spans="1:27" ht="13" customHeight="1">
      <c r="A919" s="11">
        <v>913</v>
      </c>
      <c r="B919" s="47">
        <v>203522217</v>
      </c>
      <c r="C919" s="89" t="s">
        <v>978</v>
      </c>
      <c r="D919" s="11" t="s">
        <v>979</v>
      </c>
      <c r="E919" s="48" t="s">
        <v>31</v>
      </c>
      <c r="F919" s="48" t="s">
        <v>74</v>
      </c>
      <c r="G919" s="11" t="s">
        <v>64</v>
      </c>
      <c r="H919" s="48" t="str">
        <f>VLOOKUP(Table1[[#This Row],[Psoft No]],[1]Roster!$C$2:$H$1402,6,)</f>
        <v>AUH1</v>
      </c>
      <c r="I919" s="48" t="b">
        <f>Table1[[#This Row],[Building]]=Table1[[#This Row],[Column1]]</f>
        <v>1</v>
      </c>
      <c r="J919" s="11" t="s">
        <v>75</v>
      </c>
      <c r="K919" s="11">
        <v>1299</v>
      </c>
      <c r="L919" s="49" t="s">
        <v>39</v>
      </c>
      <c r="M919" s="49" t="s">
        <v>76</v>
      </c>
      <c r="N919" s="49" t="s">
        <v>92</v>
      </c>
      <c r="O919" s="49" t="s">
        <v>84</v>
      </c>
      <c r="P919" s="49" t="s">
        <v>86</v>
      </c>
      <c r="Q919" s="48" t="s">
        <v>37</v>
      </c>
      <c r="R919" s="48" t="s">
        <v>80</v>
      </c>
      <c r="S919" s="11" t="s">
        <v>99</v>
      </c>
      <c r="T919" s="11" t="s">
        <v>627</v>
      </c>
      <c r="U919" s="11" t="s">
        <v>628</v>
      </c>
      <c r="V919" s="116" t="s">
        <v>10</v>
      </c>
      <c r="W919" s="88"/>
      <c r="X919" s="51">
        <v>45463</v>
      </c>
      <c r="Y919" s="97" t="s">
        <v>1579</v>
      </c>
      <c r="Z919" s="135" t="s">
        <v>3023</v>
      </c>
      <c r="AA919" s="135">
        <v>0</v>
      </c>
    </row>
    <row r="920" spans="1:27" ht="13" customHeight="1">
      <c r="A920" s="11">
        <v>914</v>
      </c>
      <c r="B920" s="47">
        <v>104033275</v>
      </c>
      <c r="C920" s="89" t="s">
        <v>980</v>
      </c>
      <c r="D920" s="11" t="s">
        <v>981</v>
      </c>
      <c r="E920" s="48" t="s">
        <v>34</v>
      </c>
      <c r="F920" s="48" t="s">
        <v>74</v>
      </c>
      <c r="G920" s="11" t="s">
        <v>64</v>
      </c>
      <c r="H920" s="48" t="str">
        <f>VLOOKUP(Table1[[#This Row],[Psoft No]],[1]Roster!$C$2:$H$1402,6,)</f>
        <v>AUH1</v>
      </c>
      <c r="I920" s="48" t="b">
        <f>Table1[[#This Row],[Building]]=Table1[[#This Row],[Column1]]</f>
        <v>1</v>
      </c>
      <c r="J920" s="11" t="s">
        <v>75</v>
      </c>
      <c r="K920" s="11">
        <v>1299</v>
      </c>
      <c r="L920" s="49" t="s">
        <v>32</v>
      </c>
      <c r="M920" s="49" t="s">
        <v>76</v>
      </c>
      <c r="N920" s="49" t="s">
        <v>36</v>
      </c>
      <c r="O920" s="49" t="s">
        <v>92</v>
      </c>
      <c r="P920" s="48" t="s">
        <v>108</v>
      </c>
      <c r="Q920" s="49" t="s">
        <v>37</v>
      </c>
      <c r="R920" s="11" t="s">
        <v>80</v>
      </c>
      <c r="S920" s="11" t="s">
        <v>98</v>
      </c>
      <c r="T920" s="49" t="s">
        <v>647</v>
      </c>
      <c r="U920" s="11" t="s">
        <v>1798</v>
      </c>
      <c r="V920" s="116" t="s">
        <v>10</v>
      </c>
      <c r="W920" s="88"/>
      <c r="X920" s="51">
        <v>44067</v>
      </c>
      <c r="Y920" s="97" t="s">
        <v>1579</v>
      </c>
      <c r="Z920" s="135" t="s">
        <v>3023</v>
      </c>
      <c r="AA920" s="135">
        <v>0</v>
      </c>
    </row>
    <row r="921" spans="1:27" ht="13" customHeight="1">
      <c r="A921" s="11">
        <v>915</v>
      </c>
      <c r="B921" s="47">
        <v>204864410</v>
      </c>
      <c r="C921" s="89" t="s">
        <v>2408</v>
      </c>
      <c r="D921" s="11" t="s">
        <v>2409</v>
      </c>
      <c r="E921" s="48" t="s">
        <v>31</v>
      </c>
      <c r="F921" s="48" t="s">
        <v>74</v>
      </c>
      <c r="G921" s="11" t="s">
        <v>64</v>
      </c>
      <c r="H921" s="48" t="str">
        <f>VLOOKUP(Table1[[#This Row],[Psoft No]],[1]Roster!$C$2:$H$1402,6,)</f>
        <v>AUH1</v>
      </c>
      <c r="I921" s="48" t="b">
        <f>Table1[[#This Row],[Building]]=Table1[[#This Row],[Column1]]</f>
        <v>1</v>
      </c>
      <c r="J921" s="11" t="s">
        <v>75</v>
      </c>
      <c r="K921" s="11">
        <v>1299</v>
      </c>
      <c r="L921" s="49" t="s">
        <v>32</v>
      </c>
      <c r="M921" s="49" t="s">
        <v>76</v>
      </c>
      <c r="N921" s="49" t="s">
        <v>78</v>
      </c>
      <c r="O921" s="49" t="s">
        <v>92</v>
      </c>
      <c r="P921" s="48" t="s">
        <v>86</v>
      </c>
      <c r="Q921" s="49" t="s">
        <v>37</v>
      </c>
      <c r="R921" s="11" t="s">
        <v>80</v>
      </c>
      <c r="S921" s="11" t="s">
        <v>90</v>
      </c>
      <c r="T921" s="49" t="s">
        <v>647</v>
      </c>
      <c r="U921" s="11" t="s">
        <v>1798</v>
      </c>
      <c r="V921" s="116" t="s">
        <v>10</v>
      </c>
      <c r="W921" s="88"/>
      <c r="X921" s="51">
        <v>45685</v>
      </c>
      <c r="Y921" s="97" t="s">
        <v>1577</v>
      </c>
      <c r="Z921" s="135" t="s">
        <v>3023</v>
      </c>
      <c r="AA921" s="135">
        <v>0</v>
      </c>
    </row>
    <row r="922" spans="1:27" ht="13" customHeight="1">
      <c r="A922" s="11">
        <v>916</v>
      </c>
      <c r="B922" s="47">
        <v>203908896</v>
      </c>
      <c r="C922" s="89" t="s">
        <v>2800</v>
      </c>
      <c r="D922" s="11" t="s">
        <v>2801</v>
      </c>
      <c r="E922" s="48" t="s">
        <v>31</v>
      </c>
      <c r="F922" s="48" t="s">
        <v>74</v>
      </c>
      <c r="G922" s="11" t="s">
        <v>64</v>
      </c>
      <c r="H922" s="48" t="str">
        <f>VLOOKUP(Table1[[#This Row],[Psoft No]],[1]Roster!$C$2:$H$1402,6,)</f>
        <v>AUH1</v>
      </c>
      <c r="I922" s="48" t="b">
        <f>Table1[[#This Row],[Building]]=Table1[[#This Row],[Column1]]</f>
        <v>1</v>
      </c>
      <c r="J922" s="11" t="s">
        <v>75</v>
      </c>
      <c r="K922" s="11">
        <v>1299</v>
      </c>
      <c r="L922" s="49" t="s">
        <v>39</v>
      </c>
      <c r="M922" s="49" t="s">
        <v>76</v>
      </c>
      <c r="N922" s="49" t="s">
        <v>95</v>
      </c>
      <c r="O922" s="49" t="s">
        <v>77</v>
      </c>
      <c r="P922" s="49" t="s">
        <v>86</v>
      </c>
      <c r="Q922" s="49" t="s">
        <v>37</v>
      </c>
      <c r="R922" s="11" t="s">
        <v>80</v>
      </c>
      <c r="S922" s="11" t="s">
        <v>90</v>
      </c>
      <c r="T922" s="49" t="s">
        <v>1066</v>
      </c>
      <c r="U922" s="11" t="s">
        <v>2749</v>
      </c>
      <c r="V922" s="116" t="s">
        <v>1</v>
      </c>
      <c r="W922" s="88"/>
      <c r="X922" s="51">
        <v>45789</v>
      </c>
      <c r="Y922" s="97" t="s">
        <v>1577</v>
      </c>
      <c r="Z922" s="135" t="s">
        <v>2</v>
      </c>
      <c r="AA922" s="135">
        <v>0</v>
      </c>
    </row>
    <row r="923" spans="1:27" ht="13" customHeight="1">
      <c r="A923" s="11">
        <v>917</v>
      </c>
      <c r="B923" s="47">
        <v>103900839</v>
      </c>
      <c r="C923" s="89" t="s">
        <v>982</v>
      </c>
      <c r="D923" s="11" t="s">
        <v>983</v>
      </c>
      <c r="E923" s="48" t="s">
        <v>34</v>
      </c>
      <c r="F923" s="48" t="s">
        <v>74</v>
      </c>
      <c r="G923" s="11" t="s">
        <v>64</v>
      </c>
      <c r="H923" s="48" t="str">
        <f>VLOOKUP(Table1[[#This Row],[Psoft No]],[1]Roster!$C$2:$H$1402,6,)</f>
        <v>AUH1</v>
      </c>
      <c r="I923" s="48" t="b">
        <f>Table1[[#This Row],[Building]]=Table1[[#This Row],[Column1]]</f>
        <v>1</v>
      </c>
      <c r="J923" s="11" t="s">
        <v>75</v>
      </c>
      <c r="K923" s="11">
        <v>1299</v>
      </c>
      <c r="L923" s="49" t="s">
        <v>39</v>
      </c>
      <c r="M923" s="49" t="s">
        <v>76</v>
      </c>
      <c r="N923" s="49" t="s">
        <v>84</v>
      </c>
      <c r="O923" s="49" t="s">
        <v>85</v>
      </c>
      <c r="P923" s="48" t="s">
        <v>108</v>
      </c>
      <c r="Q923" s="49" t="s">
        <v>37</v>
      </c>
      <c r="R923" s="11" t="s">
        <v>80</v>
      </c>
      <c r="S923" s="11" t="s">
        <v>98</v>
      </c>
      <c r="T923" s="11" t="s">
        <v>2719</v>
      </c>
      <c r="U923" s="11" t="s">
        <v>642</v>
      </c>
      <c r="V923" s="116" t="s">
        <v>1</v>
      </c>
      <c r="W923" s="88"/>
      <c r="X923" s="51">
        <v>44831</v>
      </c>
      <c r="Y923" s="97" t="s">
        <v>1577</v>
      </c>
      <c r="Z923" s="135" t="s">
        <v>2</v>
      </c>
      <c r="AA923" s="135">
        <v>0</v>
      </c>
    </row>
    <row r="924" spans="1:27" ht="13" customHeight="1">
      <c r="A924" s="11">
        <v>918</v>
      </c>
      <c r="B924" s="47">
        <v>204882814</v>
      </c>
      <c r="C924" s="89" t="s">
        <v>2410</v>
      </c>
      <c r="D924" s="11" t="s">
        <v>2411</v>
      </c>
      <c r="E924" s="48" t="s">
        <v>31</v>
      </c>
      <c r="F924" s="48" t="s">
        <v>74</v>
      </c>
      <c r="G924" s="11" t="s">
        <v>64</v>
      </c>
      <c r="H924" s="48" t="str">
        <f>VLOOKUP(Table1[[#This Row],[Psoft No]],[1]Roster!$C$2:$H$1402,6,)</f>
        <v>AUH1</v>
      </c>
      <c r="I924" s="48" t="b">
        <f>Table1[[#This Row],[Building]]=Table1[[#This Row],[Column1]]</f>
        <v>1</v>
      </c>
      <c r="J924" s="11" t="s">
        <v>75</v>
      </c>
      <c r="K924" s="11">
        <v>1299</v>
      </c>
      <c r="L924" s="49" t="s">
        <v>39</v>
      </c>
      <c r="M924" s="49" t="s">
        <v>76</v>
      </c>
      <c r="N924" s="49" t="s">
        <v>84</v>
      </c>
      <c r="O924" s="49" t="s">
        <v>85</v>
      </c>
      <c r="P924" s="48" t="s">
        <v>86</v>
      </c>
      <c r="Q924" s="49" t="s">
        <v>37</v>
      </c>
      <c r="R924" s="11" t="s">
        <v>80</v>
      </c>
      <c r="S924" s="11" t="s">
        <v>90</v>
      </c>
      <c r="T924" s="11" t="s">
        <v>627</v>
      </c>
      <c r="U924" s="11" t="s">
        <v>628</v>
      </c>
      <c r="V924" s="116" t="s">
        <v>7</v>
      </c>
      <c r="W924" s="88" t="s">
        <v>3022</v>
      </c>
      <c r="X924" s="51">
        <v>45691</v>
      </c>
      <c r="Y924" s="97" t="s">
        <v>1577</v>
      </c>
      <c r="Z924" s="135" t="s">
        <v>3023</v>
      </c>
      <c r="AA924" s="135">
        <v>0</v>
      </c>
    </row>
    <row r="925" spans="1:27" ht="13" customHeight="1">
      <c r="A925" s="11">
        <v>919</v>
      </c>
      <c r="B925" s="47">
        <v>203737012</v>
      </c>
      <c r="C925" s="89" t="s">
        <v>984</v>
      </c>
      <c r="D925" s="11" t="s">
        <v>985</v>
      </c>
      <c r="E925" s="48" t="s">
        <v>31</v>
      </c>
      <c r="F925" s="48" t="s">
        <v>74</v>
      </c>
      <c r="G925" s="11" t="s">
        <v>64</v>
      </c>
      <c r="H925" s="48" t="str">
        <f>VLOOKUP(Table1[[#This Row],[Psoft No]],[1]Roster!$C$2:$H$1402,6,)</f>
        <v>AUH1</v>
      </c>
      <c r="I925" s="48" t="b">
        <f>Table1[[#This Row],[Building]]=Table1[[#This Row],[Column1]]</f>
        <v>1</v>
      </c>
      <c r="J925" s="11" t="s">
        <v>75</v>
      </c>
      <c r="K925" s="11">
        <v>1299</v>
      </c>
      <c r="L925" s="49" t="s">
        <v>32</v>
      </c>
      <c r="M925" s="49" t="s">
        <v>76</v>
      </c>
      <c r="N925" s="49" t="s">
        <v>84</v>
      </c>
      <c r="O925" s="49" t="s">
        <v>85</v>
      </c>
      <c r="P925" s="48" t="s">
        <v>79</v>
      </c>
      <c r="Q925" s="49" t="s">
        <v>37</v>
      </c>
      <c r="R925" s="11" t="s">
        <v>80</v>
      </c>
      <c r="S925" s="11" t="s">
        <v>81</v>
      </c>
      <c r="T925" s="11" t="s">
        <v>647</v>
      </c>
      <c r="U925" s="11" t="s">
        <v>1798</v>
      </c>
      <c r="V925" s="116" t="str">
        <f>VLOOKUP(Table1[[#This Row],[Psoft No]],[2]Sheet1!$A$2:$G$386,7,0)</f>
        <v>P</v>
      </c>
      <c r="W925" s="88"/>
      <c r="X925" s="51">
        <v>45502</v>
      </c>
      <c r="Y925" s="97" t="s">
        <v>1577</v>
      </c>
      <c r="Z925" s="135" t="s">
        <v>2</v>
      </c>
      <c r="AA925" s="135">
        <v>0</v>
      </c>
    </row>
    <row r="926" spans="1:27" ht="13" customHeight="1">
      <c r="A926" s="11">
        <v>920</v>
      </c>
      <c r="B926" s="47">
        <v>106301305</v>
      </c>
      <c r="C926" s="89" t="s">
        <v>986</v>
      </c>
      <c r="D926" s="11" t="s">
        <v>987</v>
      </c>
      <c r="E926" s="48" t="s">
        <v>34</v>
      </c>
      <c r="F926" s="48" t="s">
        <v>74</v>
      </c>
      <c r="G926" s="11" t="s">
        <v>64</v>
      </c>
      <c r="H926" s="48" t="str">
        <f>VLOOKUP(Table1[[#This Row],[Psoft No]],[1]Roster!$C$2:$H$1402,6,)</f>
        <v>AUH1</v>
      </c>
      <c r="I926" s="48" t="b">
        <f>Table1[[#This Row],[Building]]=Table1[[#This Row],[Column1]]</f>
        <v>1</v>
      </c>
      <c r="J926" s="11" t="s">
        <v>75</v>
      </c>
      <c r="K926" s="11">
        <v>1299</v>
      </c>
      <c r="L926" s="49" t="s">
        <v>39</v>
      </c>
      <c r="M926" s="49" t="s">
        <v>76</v>
      </c>
      <c r="N926" s="49" t="s">
        <v>95</v>
      </c>
      <c r="O926" s="49" t="s">
        <v>77</v>
      </c>
      <c r="P926" s="49" t="s">
        <v>108</v>
      </c>
      <c r="Q926" s="49" t="s">
        <v>37</v>
      </c>
      <c r="R926" s="11" t="s">
        <v>80</v>
      </c>
      <c r="S926" s="11" t="s">
        <v>98</v>
      </c>
      <c r="T926" s="11" t="s">
        <v>647</v>
      </c>
      <c r="U926" s="11" t="s">
        <v>1798</v>
      </c>
      <c r="V926" s="116" t="s">
        <v>1</v>
      </c>
      <c r="W926" s="88"/>
      <c r="X926" s="51">
        <v>44839</v>
      </c>
      <c r="Y926" s="97" t="s">
        <v>1577</v>
      </c>
      <c r="Z926" s="135" t="s">
        <v>2</v>
      </c>
      <c r="AA926" s="135">
        <v>0</v>
      </c>
    </row>
    <row r="927" spans="1:27" ht="13" customHeight="1">
      <c r="A927" s="11">
        <v>921</v>
      </c>
      <c r="B927" s="47">
        <v>203993521</v>
      </c>
      <c r="C927" s="89" t="s">
        <v>2412</v>
      </c>
      <c r="D927" s="11" t="s">
        <v>2413</v>
      </c>
      <c r="E927" s="48" t="s">
        <v>31</v>
      </c>
      <c r="F927" s="48" t="s">
        <v>74</v>
      </c>
      <c r="G927" s="11" t="s">
        <v>64</v>
      </c>
      <c r="H927" s="48" t="str">
        <f>VLOOKUP(Table1[[#This Row],[Psoft No]],[1]Roster!$C$2:$H$1402,6,)</f>
        <v>AUH1</v>
      </c>
      <c r="I927" s="48" t="b">
        <f>Table1[[#This Row],[Building]]=Table1[[#This Row],[Column1]]</f>
        <v>1</v>
      </c>
      <c r="J927" s="11" t="s">
        <v>75</v>
      </c>
      <c r="K927" s="11">
        <v>1299</v>
      </c>
      <c r="L927" s="49" t="s">
        <v>39</v>
      </c>
      <c r="M927" s="49" t="s">
        <v>76</v>
      </c>
      <c r="N927" s="49" t="s">
        <v>77</v>
      </c>
      <c r="O927" s="49" t="s">
        <v>78</v>
      </c>
      <c r="P927" s="48" t="s">
        <v>86</v>
      </c>
      <c r="Q927" s="49" t="s">
        <v>37</v>
      </c>
      <c r="R927" s="11" t="s">
        <v>80</v>
      </c>
      <c r="S927" s="11" t="s">
        <v>90</v>
      </c>
      <c r="T927" s="49" t="s">
        <v>627</v>
      </c>
      <c r="U927" s="11" t="s">
        <v>628</v>
      </c>
      <c r="V927" s="116" t="s">
        <v>4</v>
      </c>
      <c r="W927" s="88"/>
      <c r="X927" s="51">
        <v>45547</v>
      </c>
      <c r="Y927" s="97" t="s">
        <v>1577</v>
      </c>
      <c r="Z927" s="135" t="s">
        <v>3023</v>
      </c>
      <c r="AA927" s="135">
        <v>0</v>
      </c>
    </row>
    <row r="928" spans="1:27" ht="13" customHeight="1">
      <c r="A928" s="11">
        <v>922</v>
      </c>
      <c r="B928" s="47">
        <v>206239216</v>
      </c>
      <c r="C928" s="89" t="s">
        <v>1652</v>
      </c>
      <c r="D928" s="11" t="s">
        <v>1620</v>
      </c>
      <c r="E928" s="48" t="s">
        <v>31</v>
      </c>
      <c r="F928" s="48" t="s">
        <v>74</v>
      </c>
      <c r="G928" s="11" t="s">
        <v>64</v>
      </c>
      <c r="H928" s="48" t="str">
        <f>VLOOKUP(Table1[[#This Row],[Psoft No]],[1]Roster!$C$2:$H$1402,6,)</f>
        <v>AUH1</v>
      </c>
      <c r="I928" s="48" t="b">
        <f>Table1[[#This Row],[Building]]=Table1[[#This Row],[Column1]]</f>
        <v>1</v>
      </c>
      <c r="J928" s="11" t="s">
        <v>75</v>
      </c>
      <c r="K928" s="11">
        <v>1299</v>
      </c>
      <c r="L928" s="49" t="s">
        <v>32</v>
      </c>
      <c r="M928" s="49" t="s">
        <v>76</v>
      </c>
      <c r="N928" s="49" t="s">
        <v>88</v>
      </c>
      <c r="O928" s="49" t="s">
        <v>95</v>
      </c>
      <c r="P928" s="48" t="s">
        <v>79</v>
      </c>
      <c r="Q928" s="49" t="s">
        <v>37</v>
      </c>
      <c r="R928" s="11" t="s">
        <v>80</v>
      </c>
      <c r="S928" s="11" t="s">
        <v>81</v>
      </c>
      <c r="T928" s="49" t="s">
        <v>2719</v>
      </c>
      <c r="U928" s="11" t="s">
        <v>642</v>
      </c>
      <c r="V928" s="116" t="str">
        <f>VLOOKUP(Table1[[#This Row],[Psoft No]],[2]Sheet1!$A$2:$G$386,7,0)</f>
        <v>P</v>
      </c>
      <c r="W928" s="88"/>
      <c r="X928" s="51">
        <v>45943</v>
      </c>
      <c r="Y928" s="97" t="s">
        <v>1576</v>
      </c>
      <c r="Z928" s="135" t="s">
        <v>2</v>
      </c>
      <c r="AA928" s="135">
        <v>0</v>
      </c>
    </row>
    <row r="929" spans="1:27" ht="13" customHeight="1">
      <c r="A929" s="11">
        <v>923</v>
      </c>
      <c r="B929" s="47">
        <v>206074988</v>
      </c>
      <c r="C929" s="89" t="s">
        <v>988</v>
      </c>
      <c r="D929" s="11" t="s">
        <v>989</v>
      </c>
      <c r="E929" s="48" t="s">
        <v>31</v>
      </c>
      <c r="F929" s="48" t="s">
        <v>74</v>
      </c>
      <c r="G929" s="11" t="s">
        <v>64</v>
      </c>
      <c r="H929" s="48" t="str">
        <f>VLOOKUP(Table1[[#This Row],[Psoft No]],[1]Roster!$C$2:$H$1402,6,)</f>
        <v>AUH1</v>
      </c>
      <c r="I929" s="48" t="b">
        <f>Table1[[#This Row],[Building]]=Table1[[#This Row],[Column1]]</f>
        <v>1</v>
      </c>
      <c r="J929" s="11" t="s">
        <v>75</v>
      </c>
      <c r="K929" s="11">
        <v>1299</v>
      </c>
      <c r="L929" s="49" t="s">
        <v>39</v>
      </c>
      <c r="M929" s="49" t="s">
        <v>76</v>
      </c>
      <c r="N929" s="49" t="s">
        <v>77</v>
      </c>
      <c r="O929" s="49" t="s">
        <v>78</v>
      </c>
      <c r="P929" s="49" t="s">
        <v>79</v>
      </c>
      <c r="Q929" s="49" t="s">
        <v>37</v>
      </c>
      <c r="R929" s="11" t="s">
        <v>80</v>
      </c>
      <c r="S929" s="11" t="s">
        <v>81</v>
      </c>
      <c r="T929" s="11" t="s">
        <v>631</v>
      </c>
      <c r="U929" s="11" t="s">
        <v>632</v>
      </c>
      <c r="V929" s="116" t="s">
        <v>1</v>
      </c>
      <c r="W929" s="88"/>
      <c r="X929" s="51">
        <v>45922</v>
      </c>
      <c r="Y929" s="97" t="s">
        <v>1577</v>
      </c>
      <c r="Z929" s="135" t="s">
        <v>2</v>
      </c>
      <c r="AA929" s="135">
        <v>0</v>
      </c>
    </row>
    <row r="930" spans="1:27" ht="13" customHeight="1">
      <c r="A930" s="11">
        <v>924</v>
      </c>
      <c r="B930" s="47">
        <v>205275634</v>
      </c>
      <c r="C930" s="89" t="s">
        <v>2062</v>
      </c>
      <c r="D930" s="11" t="s">
        <v>2063</v>
      </c>
      <c r="E930" s="48" t="s">
        <v>31</v>
      </c>
      <c r="F930" s="48" t="s">
        <v>74</v>
      </c>
      <c r="G930" s="11" t="s">
        <v>64</v>
      </c>
      <c r="H930" s="48" t="str">
        <f>VLOOKUP(Table1[[#This Row],[Psoft No]],[1]Roster!$C$2:$H$1402,6,)</f>
        <v>AUH1</v>
      </c>
      <c r="I930" s="48" t="b">
        <f>Table1[[#This Row],[Building]]=Table1[[#This Row],[Column1]]</f>
        <v>1</v>
      </c>
      <c r="J930" s="11" t="s">
        <v>75</v>
      </c>
      <c r="K930" s="11">
        <v>1299</v>
      </c>
      <c r="L930" s="49" t="s">
        <v>32</v>
      </c>
      <c r="M930" s="49" t="s">
        <v>76</v>
      </c>
      <c r="N930" s="49" t="s">
        <v>95</v>
      </c>
      <c r="O930" s="49" t="s">
        <v>77</v>
      </c>
      <c r="P930" s="48" t="s">
        <v>89</v>
      </c>
      <c r="Q930" s="49" t="s">
        <v>37</v>
      </c>
      <c r="R930" s="11" t="s">
        <v>80</v>
      </c>
      <c r="S930" s="11" t="s">
        <v>96</v>
      </c>
      <c r="T930" s="11" t="s">
        <v>2845</v>
      </c>
      <c r="U930" s="11" t="s">
        <v>2846</v>
      </c>
      <c r="V930" s="116" t="str">
        <f>VLOOKUP(Table1[[#This Row],[Psoft No]],[2]Sheet1!$A$2:$G$386,7,0)</f>
        <v>P</v>
      </c>
      <c r="W930" s="88"/>
      <c r="X930" s="51">
        <v>46048</v>
      </c>
      <c r="Y930" s="97" t="s">
        <v>1577</v>
      </c>
      <c r="Z930" s="135" t="s">
        <v>2</v>
      </c>
      <c r="AA930" s="135">
        <v>0</v>
      </c>
    </row>
    <row r="931" spans="1:27" ht="13" customHeight="1">
      <c r="A931" s="11">
        <v>925</v>
      </c>
      <c r="B931" s="47">
        <v>203342033</v>
      </c>
      <c r="C931" s="89" t="s">
        <v>990</v>
      </c>
      <c r="D931" s="11" t="s">
        <v>991</v>
      </c>
      <c r="E931" s="48" t="s">
        <v>31</v>
      </c>
      <c r="F931" s="48" t="s">
        <v>74</v>
      </c>
      <c r="G931" s="11" t="s">
        <v>64</v>
      </c>
      <c r="H931" s="48" t="str">
        <f>VLOOKUP(Table1[[#This Row],[Psoft No]],[1]Roster!$C$2:$H$1402,6,)</f>
        <v>AUH1</v>
      </c>
      <c r="I931" s="48" t="b">
        <f>Table1[[#This Row],[Building]]=Table1[[#This Row],[Column1]]</f>
        <v>1</v>
      </c>
      <c r="J931" s="11" t="s">
        <v>75</v>
      </c>
      <c r="K931" s="11">
        <v>1299</v>
      </c>
      <c r="L931" s="49" t="s">
        <v>32</v>
      </c>
      <c r="M931" s="49" t="s">
        <v>76</v>
      </c>
      <c r="N931" s="49" t="s">
        <v>78</v>
      </c>
      <c r="O931" s="49" t="s">
        <v>92</v>
      </c>
      <c r="P931" s="48" t="s">
        <v>86</v>
      </c>
      <c r="Q931" s="49" t="s">
        <v>37</v>
      </c>
      <c r="R931" s="11" t="s">
        <v>80</v>
      </c>
      <c r="S931" s="11" t="s">
        <v>99</v>
      </c>
      <c r="T931" s="49" t="s">
        <v>647</v>
      </c>
      <c r="U931" s="11" t="s">
        <v>1798</v>
      </c>
      <c r="V931" s="116" t="s">
        <v>10</v>
      </c>
      <c r="W931" s="88"/>
      <c r="X931" s="51">
        <v>45432</v>
      </c>
      <c r="Y931" s="97" t="s">
        <v>1579</v>
      </c>
      <c r="Z931" s="135" t="s">
        <v>3023</v>
      </c>
      <c r="AA931" s="135">
        <v>0</v>
      </c>
    </row>
    <row r="932" spans="1:27" ht="13" customHeight="1">
      <c r="A932" s="11">
        <v>926</v>
      </c>
      <c r="B932" s="77">
        <v>206897646</v>
      </c>
      <c r="C932" s="91" t="s">
        <v>1887</v>
      </c>
      <c r="D932" s="75" t="s">
        <v>1888</v>
      </c>
      <c r="E932" s="76" t="s">
        <v>31</v>
      </c>
      <c r="F932" s="76" t="s">
        <v>74</v>
      </c>
      <c r="G932" s="75" t="s">
        <v>64</v>
      </c>
      <c r="H932" s="76" t="str">
        <f>VLOOKUP(Table1[[#This Row],[Psoft No]],[1]Roster!$C$2:$H$1402,6,)</f>
        <v>AUH1</v>
      </c>
      <c r="I932" s="76" t="b">
        <f>Table1[[#This Row],[Building]]=Table1[[#This Row],[Column1]]</f>
        <v>1</v>
      </c>
      <c r="J932" s="11" t="s">
        <v>75</v>
      </c>
      <c r="K932" s="75">
        <v>1290</v>
      </c>
      <c r="L932" s="49" t="s">
        <v>39</v>
      </c>
      <c r="M932" s="49" t="s">
        <v>76</v>
      </c>
      <c r="N932" s="49" t="s">
        <v>77</v>
      </c>
      <c r="O932" s="49" t="s">
        <v>78</v>
      </c>
      <c r="P932" s="48" t="s">
        <v>89</v>
      </c>
      <c r="Q932" s="73" t="s">
        <v>37</v>
      </c>
      <c r="R932" s="75" t="s">
        <v>80</v>
      </c>
      <c r="S932" s="75" t="s">
        <v>81</v>
      </c>
      <c r="T932" s="11" t="s">
        <v>1066</v>
      </c>
      <c r="U932" s="75" t="s">
        <v>2717</v>
      </c>
      <c r="V932" s="116" t="s">
        <v>1</v>
      </c>
      <c r="W932" s="88"/>
      <c r="X932" s="51">
        <v>46030</v>
      </c>
      <c r="Y932" s="97" t="s">
        <v>1577</v>
      </c>
      <c r="Z932" s="135" t="s">
        <v>2</v>
      </c>
      <c r="AA932" s="135">
        <v>0</v>
      </c>
    </row>
    <row r="933" spans="1:27" ht="13" customHeight="1">
      <c r="A933" s="11">
        <v>927</v>
      </c>
      <c r="B933" s="47">
        <v>203468750</v>
      </c>
      <c r="C933" s="89" t="s">
        <v>992</v>
      </c>
      <c r="D933" s="47" t="s">
        <v>993</v>
      </c>
      <c r="E933" s="47" t="s">
        <v>31</v>
      </c>
      <c r="F933" s="47" t="s">
        <v>74</v>
      </c>
      <c r="G933" s="47" t="s">
        <v>64</v>
      </c>
      <c r="H933" s="47" t="str">
        <f>VLOOKUP(Table1[[#This Row],[Psoft No]],[1]Roster!$C$2:$H$1402,6,)</f>
        <v>AUH1</v>
      </c>
      <c r="I933" s="47" t="b">
        <f>Table1[[#This Row],[Building]]=Table1[[#This Row],[Column1]]</f>
        <v>1</v>
      </c>
      <c r="J933" s="47" t="s">
        <v>75</v>
      </c>
      <c r="K933" s="47">
        <v>1299</v>
      </c>
      <c r="L933" s="49" t="s">
        <v>32</v>
      </c>
      <c r="M933" s="49" t="s">
        <v>76</v>
      </c>
      <c r="N933" s="49" t="s">
        <v>85</v>
      </c>
      <c r="O933" s="49" t="s">
        <v>88</v>
      </c>
      <c r="P933" s="48" t="s">
        <v>79</v>
      </c>
      <c r="Q933" s="47" t="s">
        <v>37</v>
      </c>
      <c r="R933" s="47" t="s">
        <v>80</v>
      </c>
      <c r="S933" s="47" t="s">
        <v>81</v>
      </c>
      <c r="T933" s="11" t="s">
        <v>647</v>
      </c>
      <c r="U933" s="47" t="s">
        <v>1798</v>
      </c>
      <c r="V933" s="116" t="str">
        <f>VLOOKUP(Table1[[#This Row],[Psoft No]],[2]Sheet1!$A$2:$G$386,7,0)</f>
        <v>P</v>
      </c>
      <c r="W933" s="88"/>
      <c r="X933" s="51">
        <v>45456</v>
      </c>
      <c r="Y933" s="97" t="s">
        <v>1579</v>
      </c>
      <c r="Z933" s="135" t="s">
        <v>2</v>
      </c>
      <c r="AA933" s="135">
        <v>0</v>
      </c>
    </row>
    <row r="934" spans="1:27" ht="13" customHeight="1">
      <c r="A934" s="11">
        <v>928</v>
      </c>
      <c r="B934" s="47">
        <v>204138118</v>
      </c>
      <c r="C934" s="89" t="s">
        <v>994</v>
      </c>
      <c r="D934" s="11" t="s">
        <v>995</v>
      </c>
      <c r="E934" s="48" t="s">
        <v>31</v>
      </c>
      <c r="F934" s="48" t="s">
        <v>74</v>
      </c>
      <c r="G934" s="11" t="s">
        <v>64</v>
      </c>
      <c r="H934" s="48" t="str">
        <f>VLOOKUP(Table1[[#This Row],[Psoft No]],[1]Roster!$C$2:$H$1402,6,)</f>
        <v>AUH1</v>
      </c>
      <c r="I934" s="48" t="b">
        <f>Table1[[#This Row],[Building]]=Table1[[#This Row],[Column1]]</f>
        <v>1</v>
      </c>
      <c r="J934" s="11" t="s">
        <v>75</v>
      </c>
      <c r="K934" s="11">
        <v>1299</v>
      </c>
      <c r="L934" s="49" t="s">
        <v>32</v>
      </c>
      <c r="M934" s="49" t="s">
        <v>76</v>
      </c>
      <c r="N934" s="49" t="s">
        <v>85</v>
      </c>
      <c r="O934" s="49" t="s">
        <v>88</v>
      </c>
      <c r="P934" s="48" t="s">
        <v>86</v>
      </c>
      <c r="Q934" s="49" t="s">
        <v>37</v>
      </c>
      <c r="R934" s="11" t="s">
        <v>80</v>
      </c>
      <c r="S934" s="11" t="s">
        <v>87</v>
      </c>
      <c r="T934" s="11" t="s">
        <v>647</v>
      </c>
      <c r="U934" s="11" t="s">
        <v>1798</v>
      </c>
      <c r="V934" s="116" t="str">
        <f>VLOOKUP(Table1[[#This Row],[Psoft No]],[2]Sheet1!$A$2:$G$386,7,0)</f>
        <v>P</v>
      </c>
      <c r="W934" s="88"/>
      <c r="X934" s="51">
        <v>45565</v>
      </c>
      <c r="Y934" s="97" t="s">
        <v>1579</v>
      </c>
      <c r="Z934" s="135" t="s">
        <v>2</v>
      </c>
      <c r="AA934" s="135">
        <v>0</v>
      </c>
    </row>
    <row r="935" spans="1:27" ht="13" customHeight="1">
      <c r="A935" s="11">
        <v>929</v>
      </c>
      <c r="B935" s="47">
        <v>206348052</v>
      </c>
      <c r="C935" s="89" t="s">
        <v>1696</v>
      </c>
      <c r="D935" s="11" t="s">
        <v>1697</v>
      </c>
      <c r="E935" s="48" t="s">
        <v>31</v>
      </c>
      <c r="F935" s="48" t="s">
        <v>74</v>
      </c>
      <c r="G935" s="11" t="s">
        <v>65</v>
      </c>
      <c r="H935" s="48" t="str">
        <f>VLOOKUP(Table1[[#This Row],[Psoft No]],[1]Roster!$C$2:$H$1402,6,)</f>
        <v>AUH3</v>
      </c>
      <c r="I935" s="48" t="b">
        <f>Table1[[#This Row],[Building]]=Table1[[#This Row],[Column1]]</f>
        <v>1</v>
      </c>
      <c r="J935" s="11" t="s">
        <v>1332</v>
      </c>
      <c r="K935" s="11">
        <v>1181</v>
      </c>
      <c r="L935" s="49" t="s">
        <v>32</v>
      </c>
      <c r="M935" s="49" t="s">
        <v>76</v>
      </c>
      <c r="N935" s="49" t="s">
        <v>84</v>
      </c>
      <c r="O935" s="49" t="s">
        <v>85</v>
      </c>
      <c r="P935" s="48" t="s">
        <v>89</v>
      </c>
      <c r="Q935" s="49" t="s">
        <v>68</v>
      </c>
      <c r="R935" s="11" t="s">
        <v>80</v>
      </c>
      <c r="S935" s="11" t="s">
        <v>90</v>
      </c>
      <c r="T935" s="11" t="s">
        <v>1336</v>
      </c>
      <c r="U935" s="11" t="s">
        <v>1337</v>
      </c>
      <c r="V935" s="116" t="s">
        <v>1</v>
      </c>
      <c r="W935" s="88"/>
      <c r="X935" s="51">
        <v>45957</v>
      </c>
      <c r="Y935" s="97" t="s">
        <v>68</v>
      </c>
      <c r="Z935" s="135" t="s">
        <v>2</v>
      </c>
      <c r="AA935" s="135">
        <v>0</v>
      </c>
    </row>
    <row r="936" spans="1:27" ht="13" customHeight="1">
      <c r="A936" s="11">
        <v>930</v>
      </c>
      <c r="B936" s="47">
        <v>203468753</v>
      </c>
      <c r="C936" s="89" t="s">
        <v>996</v>
      </c>
      <c r="D936" s="11" t="s">
        <v>997</v>
      </c>
      <c r="E936" s="48" t="s">
        <v>31</v>
      </c>
      <c r="F936" s="48" t="s">
        <v>74</v>
      </c>
      <c r="G936" s="11" t="s">
        <v>64</v>
      </c>
      <c r="H936" s="48" t="str">
        <f>VLOOKUP(Table1[[#This Row],[Psoft No]],[1]Roster!$C$2:$H$1402,6,)</f>
        <v>AUH1</v>
      </c>
      <c r="I936" s="48" t="b">
        <f>Table1[[#This Row],[Building]]=Table1[[#This Row],[Column1]]</f>
        <v>1</v>
      </c>
      <c r="J936" s="11" t="s">
        <v>75</v>
      </c>
      <c r="K936" s="11">
        <v>1299</v>
      </c>
      <c r="L936" s="49" t="s">
        <v>32</v>
      </c>
      <c r="M936" s="49" t="s">
        <v>76</v>
      </c>
      <c r="N936" s="49" t="s">
        <v>95</v>
      </c>
      <c r="O936" s="49" t="s">
        <v>77</v>
      </c>
      <c r="P936" s="49" t="s">
        <v>79</v>
      </c>
      <c r="Q936" s="49" t="s">
        <v>37</v>
      </c>
      <c r="R936" s="11" t="s">
        <v>80</v>
      </c>
      <c r="S936" s="11" t="s">
        <v>81</v>
      </c>
      <c r="T936" s="11" t="s">
        <v>1066</v>
      </c>
      <c r="U936" s="11" t="s">
        <v>2717</v>
      </c>
      <c r="V936" s="116" t="str">
        <f>VLOOKUP(Table1[[#This Row],[Psoft No]],[2]Sheet1!$A$2:$G$386,7,0)</f>
        <v>P</v>
      </c>
      <c r="W936" s="88" t="s">
        <v>3015</v>
      </c>
      <c r="X936" s="51">
        <v>45456</v>
      </c>
      <c r="Y936" s="97" t="s">
        <v>1579</v>
      </c>
      <c r="Z936" s="135" t="s">
        <v>2</v>
      </c>
      <c r="AA936" s="135">
        <v>0</v>
      </c>
    </row>
    <row r="937" spans="1:27" ht="13" customHeight="1">
      <c r="A937" s="11">
        <v>931</v>
      </c>
      <c r="B937" s="47">
        <v>203851105</v>
      </c>
      <c r="C937" s="89" t="s">
        <v>998</v>
      </c>
      <c r="D937" s="11" t="s">
        <v>999</v>
      </c>
      <c r="E937" s="48" t="s">
        <v>31</v>
      </c>
      <c r="F937" s="48" t="s">
        <v>74</v>
      </c>
      <c r="G937" s="11" t="s">
        <v>64</v>
      </c>
      <c r="H937" s="48" t="str">
        <f>VLOOKUP(Table1[[#This Row],[Psoft No]],[1]Roster!$C$2:$H$1402,6,)</f>
        <v>AUH1</v>
      </c>
      <c r="I937" s="48" t="b">
        <f>Table1[[#This Row],[Building]]=Table1[[#This Row],[Column1]]</f>
        <v>1</v>
      </c>
      <c r="J937" s="11" t="s">
        <v>75</v>
      </c>
      <c r="K937" s="11">
        <v>1299</v>
      </c>
      <c r="L937" s="49" t="s">
        <v>39</v>
      </c>
      <c r="M937" s="49" t="s">
        <v>76</v>
      </c>
      <c r="N937" s="49" t="s">
        <v>95</v>
      </c>
      <c r="O937" s="49" t="s">
        <v>77</v>
      </c>
      <c r="P937" s="48" t="s">
        <v>79</v>
      </c>
      <c r="Q937" s="49" t="s">
        <v>37</v>
      </c>
      <c r="R937" s="11" t="s">
        <v>80</v>
      </c>
      <c r="S937" s="11" t="s">
        <v>81</v>
      </c>
      <c r="T937" s="49" t="s">
        <v>631</v>
      </c>
      <c r="U937" s="11" t="s">
        <v>632</v>
      </c>
      <c r="V937" s="116" t="s">
        <v>1</v>
      </c>
      <c r="W937" s="88"/>
      <c r="X937" s="51">
        <v>45524</v>
      </c>
      <c r="Y937" s="97" t="s">
        <v>1579</v>
      </c>
      <c r="Z937" s="135" t="s">
        <v>2</v>
      </c>
      <c r="AA937" s="135">
        <v>0</v>
      </c>
    </row>
    <row r="938" spans="1:27" ht="13" customHeight="1">
      <c r="A938" s="11">
        <v>932</v>
      </c>
      <c r="B938" s="47">
        <v>204072311</v>
      </c>
      <c r="C938" s="89" t="s">
        <v>1000</v>
      </c>
      <c r="D938" s="11" t="s">
        <v>1001</v>
      </c>
      <c r="E938" s="48" t="s">
        <v>31</v>
      </c>
      <c r="F938" s="48" t="s">
        <v>74</v>
      </c>
      <c r="G938" s="11" t="s">
        <v>64</v>
      </c>
      <c r="H938" s="48" t="str">
        <f>VLOOKUP(Table1[[#This Row],[Psoft No]],[1]Roster!$C$2:$H$1402,6,)</f>
        <v>AUH1</v>
      </c>
      <c r="I938" s="48" t="b">
        <f>Table1[[#This Row],[Building]]=Table1[[#This Row],[Column1]]</f>
        <v>1</v>
      </c>
      <c r="J938" s="11" t="s">
        <v>75</v>
      </c>
      <c r="K938" s="11">
        <v>1299</v>
      </c>
      <c r="L938" s="49" t="s">
        <v>39</v>
      </c>
      <c r="M938" s="49" t="s">
        <v>76</v>
      </c>
      <c r="N938" s="49" t="s">
        <v>92</v>
      </c>
      <c r="O938" s="49" t="s">
        <v>84</v>
      </c>
      <c r="P938" s="48" t="s">
        <v>86</v>
      </c>
      <c r="Q938" s="49" t="s">
        <v>37</v>
      </c>
      <c r="R938" s="11" t="s">
        <v>80</v>
      </c>
      <c r="S938" s="11" t="s">
        <v>90</v>
      </c>
      <c r="T938" s="11" t="s">
        <v>631</v>
      </c>
      <c r="U938" s="11" t="s">
        <v>632</v>
      </c>
      <c r="V938" s="116" t="s">
        <v>10</v>
      </c>
      <c r="W938" s="88"/>
      <c r="X938" s="51">
        <v>45558</v>
      </c>
      <c r="Y938" s="97" t="s">
        <v>1577</v>
      </c>
      <c r="Z938" s="135" t="s">
        <v>3023</v>
      </c>
      <c r="AA938" s="135">
        <v>0</v>
      </c>
    </row>
    <row r="939" spans="1:27" ht="13" customHeight="1">
      <c r="A939" s="11">
        <v>933</v>
      </c>
      <c r="B939" s="47">
        <v>205853578</v>
      </c>
      <c r="C939" s="89" t="s">
        <v>1002</v>
      </c>
      <c r="D939" s="11" t="s">
        <v>1003</v>
      </c>
      <c r="E939" s="48" t="s">
        <v>31</v>
      </c>
      <c r="F939" s="48" t="s">
        <v>74</v>
      </c>
      <c r="G939" s="11" t="s">
        <v>64</v>
      </c>
      <c r="H939" s="48" t="str">
        <f>VLOOKUP(Table1[[#This Row],[Psoft No]],[1]Roster!$C$2:$H$1402,6,)</f>
        <v>AUH1</v>
      </c>
      <c r="I939" s="48" t="b">
        <f>Table1[[#This Row],[Building]]=Table1[[#This Row],[Column1]]</f>
        <v>1</v>
      </c>
      <c r="J939" s="11" t="s">
        <v>75</v>
      </c>
      <c r="K939" s="11">
        <v>1299</v>
      </c>
      <c r="L939" s="49" t="s">
        <v>39</v>
      </c>
      <c r="M939" s="49" t="s">
        <v>76</v>
      </c>
      <c r="N939" s="49" t="s">
        <v>85</v>
      </c>
      <c r="O939" s="49" t="s">
        <v>88</v>
      </c>
      <c r="P939" s="49" t="s">
        <v>89</v>
      </c>
      <c r="Q939" s="49" t="s">
        <v>37</v>
      </c>
      <c r="R939" s="11" t="s">
        <v>80</v>
      </c>
      <c r="S939" s="11" t="s">
        <v>96</v>
      </c>
      <c r="T939" s="49" t="s">
        <v>1066</v>
      </c>
      <c r="U939" s="49" t="s">
        <v>2717</v>
      </c>
      <c r="V939" s="116" t="s">
        <v>1</v>
      </c>
      <c r="W939" s="88"/>
      <c r="X939" s="51">
        <v>45894</v>
      </c>
      <c r="Y939" s="97" t="s">
        <v>1577</v>
      </c>
      <c r="Z939" s="135" t="s">
        <v>2</v>
      </c>
      <c r="AA939" s="135">
        <v>0</v>
      </c>
    </row>
    <row r="940" spans="1:27" ht="13" customHeight="1">
      <c r="A940" s="11">
        <v>934</v>
      </c>
      <c r="B940" s="47">
        <v>204117684</v>
      </c>
      <c r="C940" s="89" t="s">
        <v>1004</v>
      </c>
      <c r="D940" s="11" t="s">
        <v>1005</v>
      </c>
      <c r="E940" s="48" t="s">
        <v>31</v>
      </c>
      <c r="F940" s="48" t="s">
        <v>74</v>
      </c>
      <c r="G940" s="11" t="s">
        <v>64</v>
      </c>
      <c r="H940" s="48" t="str">
        <f>VLOOKUP(Table1[[#This Row],[Psoft No]],[1]Roster!$C$2:$H$1402,6,)</f>
        <v>AUH1</v>
      </c>
      <c r="I940" s="48" t="b">
        <f>Table1[[#This Row],[Building]]=Table1[[#This Row],[Column1]]</f>
        <v>1</v>
      </c>
      <c r="J940" s="11" t="s">
        <v>75</v>
      </c>
      <c r="K940" s="11">
        <v>1299</v>
      </c>
      <c r="L940" s="49" t="s">
        <v>32</v>
      </c>
      <c r="M940" s="49" t="s">
        <v>76</v>
      </c>
      <c r="N940" s="49" t="s">
        <v>84</v>
      </c>
      <c r="O940" s="49" t="s">
        <v>85</v>
      </c>
      <c r="P940" s="49" t="s">
        <v>86</v>
      </c>
      <c r="Q940" s="49" t="s">
        <v>37</v>
      </c>
      <c r="R940" s="11" t="s">
        <v>80</v>
      </c>
      <c r="S940" s="11" t="s">
        <v>87</v>
      </c>
      <c r="T940" s="11" t="s">
        <v>627</v>
      </c>
      <c r="U940" s="11" t="s">
        <v>628</v>
      </c>
      <c r="V940" s="116" t="str">
        <f>VLOOKUP(Table1[[#This Row],[Psoft No]],[2]Sheet1!$A$2:$G$386,7,0)</f>
        <v>P</v>
      </c>
      <c r="W940" s="88"/>
      <c r="X940" s="51">
        <v>45561</v>
      </c>
      <c r="Y940" s="97" t="s">
        <v>1577</v>
      </c>
      <c r="Z940" s="135" t="s">
        <v>2</v>
      </c>
      <c r="AA940" s="135">
        <v>0</v>
      </c>
    </row>
    <row r="941" spans="1:27" ht="13" customHeight="1">
      <c r="A941" s="11">
        <v>935</v>
      </c>
      <c r="B941" s="47">
        <v>203881696</v>
      </c>
      <c r="C941" s="89" t="s">
        <v>1006</v>
      </c>
      <c r="D941" s="11" t="s">
        <v>1007</v>
      </c>
      <c r="E941" s="11" t="s">
        <v>31</v>
      </c>
      <c r="F941" s="48" t="s">
        <v>74</v>
      </c>
      <c r="G941" s="11" t="s">
        <v>64</v>
      </c>
      <c r="H941" s="48" t="str">
        <f>VLOOKUP(Table1[[#This Row],[Psoft No]],[1]Roster!$C$2:$H$1402,6,)</f>
        <v>AUH1</v>
      </c>
      <c r="I941" s="48" t="b">
        <f>Table1[[#This Row],[Building]]=Table1[[#This Row],[Column1]]</f>
        <v>1</v>
      </c>
      <c r="J941" s="11" t="s">
        <v>75</v>
      </c>
      <c r="K941" s="11">
        <v>1299</v>
      </c>
      <c r="L941" s="49" t="s">
        <v>39</v>
      </c>
      <c r="M941" s="49" t="s">
        <v>76</v>
      </c>
      <c r="N941" s="49" t="s">
        <v>92</v>
      </c>
      <c r="O941" s="49" t="s">
        <v>84</v>
      </c>
      <c r="P941" s="49" t="s">
        <v>79</v>
      </c>
      <c r="Q941" s="49" t="s">
        <v>37</v>
      </c>
      <c r="R941" s="11" t="s">
        <v>80</v>
      </c>
      <c r="S941" s="11" t="s">
        <v>81</v>
      </c>
      <c r="T941" s="49" t="s">
        <v>647</v>
      </c>
      <c r="U941" s="11" t="s">
        <v>1798</v>
      </c>
      <c r="V941" s="116" t="s">
        <v>10</v>
      </c>
      <c r="W941" s="88"/>
      <c r="X941" s="51">
        <v>45530</v>
      </c>
      <c r="Y941" s="97" t="s">
        <v>1579</v>
      </c>
      <c r="Z941" s="135" t="s">
        <v>3023</v>
      </c>
      <c r="AA941" s="135">
        <v>0</v>
      </c>
    </row>
    <row r="942" spans="1:27" ht="13" customHeight="1">
      <c r="A942" s="11">
        <v>936</v>
      </c>
      <c r="B942" s="47">
        <v>206200000</v>
      </c>
      <c r="C942" s="89" t="s">
        <v>1594</v>
      </c>
      <c r="D942" s="11" t="s">
        <v>1588</v>
      </c>
      <c r="E942" s="48" t="s">
        <v>31</v>
      </c>
      <c r="F942" s="48" t="s">
        <v>74</v>
      </c>
      <c r="G942" s="11" t="s">
        <v>64</v>
      </c>
      <c r="H942" s="48" t="str">
        <f>VLOOKUP(Table1[[#This Row],[Psoft No]],[1]Roster!$C$2:$H$1402,6,)</f>
        <v>AUH1</v>
      </c>
      <c r="I942" s="48" t="b">
        <f>Table1[[#This Row],[Building]]=Table1[[#This Row],[Column1]]</f>
        <v>1</v>
      </c>
      <c r="J942" s="11" t="s">
        <v>75</v>
      </c>
      <c r="K942" s="11">
        <v>1299</v>
      </c>
      <c r="L942" s="49" t="s">
        <v>32</v>
      </c>
      <c r="M942" s="49" t="s">
        <v>76</v>
      </c>
      <c r="N942" s="49" t="s">
        <v>85</v>
      </c>
      <c r="O942" s="49" t="s">
        <v>88</v>
      </c>
      <c r="P942" s="48" t="s">
        <v>89</v>
      </c>
      <c r="Q942" s="49" t="s">
        <v>37</v>
      </c>
      <c r="R942" s="11" t="s">
        <v>80</v>
      </c>
      <c r="S942" s="11" t="s">
        <v>81</v>
      </c>
      <c r="T942" s="11" t="s">
        <v>2719</v>
      </c>
      <c r="U942" s="11" t="s">
        <v>642</v>
      </c>
      <c r="V942" s="116" t="str">
        <f>VLOOKUP(Table1[[#This Row],[Psoft No]],[2]Sheet1!$A$2:$G$386,7,0)</f>
        <v>P</v>
      </c>
      <c r="W942" s="88"/>
      <c r="X942" s="51">
        <v>45936</v>
      </c>
      <c r="Y942" s="97" t="s">
        <v>1577</v>
      </c>
      <c r="Z942" s="135" t="s">
        <v>2</v>
      </c>
      <c r="AA942" s="135">
        <v>0</v>
      </c>
    </row>
    <row r="943" spans="1:27" ht="13" customHeight="1">
      <c r="A943" s="11">
        <v>937</v>
      </c>
      <c r="B943" s="47">
        <v>204138115</v>
      </c>
      <c r="C943" s="89" t="s">
        <v>1008</v>
      </c>
      <c r="D943" s="11" t="s">
        <v>1009</v>
      </c>
      <c r="E943" s="48" t="s">
        <v>31</v>
      </c>
      <c r="F943" s="48" t="s">
        <v>74</v>
      </c>
      <c r="G943" s="11" t="s">
        <v>64</v>
      </c>
      <c r="H943" s="48" t="str">
        <f>VLOOKUP(Table1[[#This Row],[Psoft No]],[1]Roster!$C$2:$H$1402,6,)</f>
        <v>AUH1</v>
      </c>
      <c r="I943" s="48" t="b">
        <f>Table1[[#This Row],[Building]]=Table1[[#This Row],[Column1]]</f>
        <v>1</v>
      </c>
      <c r="J943" s="11" t="s">
        <v>75</v>
      </c>
      <c r="K943" s="11">
        <v>1299</v>
      </c>
      <c r="L943" s="49" t="s">
        <v>32</v>
      </c>
      <c r="M943" s="49" t="s">
        <v>76</v>
      </c>
      <c r="N943" s="49" t="s">
        <v>78</v>
      </c>
      <c r="O943" s="49" t="s">
        <v>92</v>
      </c>
      <c r="P943" s="49" t="s">
        <v>86</v>
      </c>
      <c r="Q943" s="49" t="s">
        <v>37</v>
      </c>
      <c r="R943" s="11" t="s">
        <v>80</v>
      </c>
      <c r="S943" s="11" t="s">
        <v>87</v>
      </c>
      <c r="T943" s="49" t="s">
        <v>2845</v>
      </c>
      <c r="U943" s="49" t="s">
        <v>2846</v>
      </c>
      <c r="V943" s="116" t="s">
        <v>10</v>
      </c>
      <c r="W943" s="88"/>
      <c r="X943" s="51">
        <v>45565</v>
      </c>
      <c r="Y943" s="97" t="s">
        <v>1577</v>
      </c>
      <c r="Z943" s="135" t="s">
        <v>3023</v>
      </c>
      <c r="AA943" s="135">
        <v>0</v>
      </c>
    </row>
    <row r="944" spans="1:27" ht="13" customHeight="1">
      <c r="A944" s="11">
        <v>938</v>
      </c>
      <c r="B944" s="47">
        <v>204967052</v>
      </c>
      <c r="C944" s="89" t="s">
        <v>1010</v>
      </c>
      <c r="D944" s="11" t="s">
        <v>1011</v>
      </c>
      <c r="E944" s="48" t="s">
        <v>31</v>
      </c>
      <c r="F944" s="48" t="s">
        <v>74</v>
      </c>
      <c r="G944" s="11" t="s">
        <v>64</v>
      </c>
      <c r="H944" s="48" t="str">
        <f>VLOOKUP(Table1[[#This Row],[Psoft No]],[1]Roster!$C$2:$H$1402,6,)</f>
        <v>AUH1</v>
      </c>
      <c r="I944" s="48" t="b">
        <f>Table1[[#This Row],[Building]]=Table1[[#This Row],[Column1]]</f>
        <v>1</v>
      </c>
      <c r="J944" s="11" t="s">
        <v>75</v>
      </c>
      <c r="K944" s="11">
        <v>1299</v>
      </c>
      <c r="L944" s="49" t="s">
        <v>39</v>
      </c>
      <c r="M944" s="49" t="s">
        <v>76</v>
      </c>
      <c r="N944" s="49" t="s">
        <v>84</v>
      </c>
      <c r="O944" s="49" t="s">
        <v>85</v>
      </c>
      <c r="P944" s="48" t="s">
        <v>86</v>
      </c>
      <c r="Q944" s="49" t="s">
        <v>37</v>
      </c>
      <c r="R944" s="11" t="s">
        <v>80</v>
      </c>
      <c r="S944" s="11" t="s">
        <v>90</v>
      </c>
      <c r="T944" s="49" t="s">
        <v>647</v>
      </c>
      <c r="U944" s="11" t="s">
        <v>1798</v>
      </c>
      <c r="V944" s="116" t="s">
        <v>1</v>
      </c>
      <c r="W944" s="88"/>
      <c r="X944" s="51">
        <v>45719</v>
      </c>
      <c r="Y944" s="97" t="s">
        <v>1577</v>
      </c>
      <c r="Z944" s="135" t="s">
        <v>2</v>
      </c>
      <c r="AA944" s="135">
        <v>0</v>
      </c>
    </row>
    <row r="945" spans="1:27" ht="13" customHeight="1">
      <c r="A945" s="11">
        <v>939</v>
      </c>
      <c r="B945" s="47">
        <v>103020246</v>
      </c>
      <c r="C945" s="90" t="s">
        <v>1012</v>
      </c>
      <c r="D945" s="11" t="s">
        <v>1013</v>
      </c>
      <c r="E945" s="48" t="s">
        <v>34</v>
      </c>
      <c r="F945" s="48" t="s">
        <v>74</v>
      </c>
      <c r="G945" s="11" t="s">
        <v>64</v>
      </c>
      <c r="H945" s="48" t="str">
        <f>VLOOKUP(Table1[[#This Row],[Psoft No]],[1]Roster!$C$2:$H$1402,6,)</f>
        <v>AUH1</v>
      </c>
      <c r="I945" s="48" t="b">
        <f>Table1[[#This Row],[Building]]=Table1[[#This Row],[Column1]]</f>
        <v>1</v>
      </c>
      <c r="J945" s="11" t="s">
        <v>75</v>
      </c>
      <c r="K945" s="11">
        <v>1299</v>
      </c>
      <c r="L945" s="49" t="s">
        <v>32</v>
      </c>
      <c r="M945" s="49" t="s">
        <v>76</v>
      </c>
      <c r="N945" s="49" t="s">
        <v>78</v>
      </c>
      <c r="O945" s="49" t="s">
        <v>92</v>
      </c>
      <c r="P945" s="49" t="s">
        <v>108</v>
      </c>
      <c r="Q945" s="49" t="s">
        <v>37</v>
      </c>
      <c r="R945" s="11" t="s">
        <v>80</v>
      </c>
      <c r="S945" s="11" t="s">
        <v>98</v>
      </c>
      <c r="T945" s="11" t="s">
        <v>631</v>
      </c>
      <c r="U945" s="11" t="s">
        <v>632</v>
      </c>
      <c r="V945" s="116" t="s">
        <v>10</v>
      </c>
      <c r="W945" s="88"/>
      <c r="X945" s="51">
        <v>43058</v>
      </c>
      <c r="Y945" s="97" t="s">
        <v>1579</v>
      </c>
      <c r="Z945" s="135" t="s">
        <v>3023</v>
      </c>
      <c r="AA945" s="135">
        <v>0</v>
      </c>
    </row>
    <row r="946" spans="1:27" ht="13" customHeight="1">
      <c r="A946" s="11">
        <v>940</v>
      </c>
      <c r="B946" s="47">
        <v>206348054</v>
      </c>
      <c r="C946" s="89" t="s">
        <v>2450</v>
      </c>
      <c r="D946" s="11" t="s">
        <v>2451</v>
      </c>
      <c r="E946" s="48" t="s">
        <v>31</v>
      </c>
      <c r="F946" s="48" t="s">
        <v>74</v>
      </c>
      <c r="G946" s="11" t="s">
        <v>65</v>
      </c>
      <c r="H946" s="48" t="str">
        <f>VLOOKUP(Table1[[#This Row],[Psoft No]],[1]Roster!$C$2:$H$1402,6,)</f>
        <v>AUH3</v>
      </c>
      <c r="I946" s="48" t="b">
        <f>Table1[[#This Row],[Building]]=Table1[[#This Row],[Column1]]</f>
        <v>1</v>
      </c>
      <c r="J946" s="11" t="s">
        <v>1332</v>
      </c>
      <c r="K946" s="11">
        <v>1181</v>
      </c>
      <c r="L946" s="49" t="s">
        <v>32</v>
      </c>
      <c r="M946" s="49" t="s">
        <v>76</v>
      </c>
      <c r="N946" s="49" t="s">
        <v>85</v>
      </c>
      <c r="O946" s="49" t="s">
        <v>88</v>
      </c>
      <c r="P946" s="48" t="s">
        <v>89</v>
      </c>
      <c r="Q946" s="49" t="s">
        <v>68</v>
      </c>
      <c r="R946" s="11" t="s">
        <v>80</v>
      </c>
      <c r="S946" s="11" t="s">
        <v>90</v>
      </c>
      <c r="T946" s="11" t="s">
        <v>1336</v>
      </c>
      <c r="U946" s="11" t="s">
        <v>1337</v>
      </c>
      <c r="V946" s="116" t="s">
        <v>1</v>
      </c>
      <c r="W946" s="88"/>
      <c r="X946" s="51">
        <v>45957</v>
      </c>
      <c r="Y946" s="97" t="s">
        <v>68</v>
      </c>
      <c r="Z946" s="135" t="s">
        <v>2</v>
      </c>
      <c r="AA946" s="135">
        <v>0</v>
      </c>
    </row>
    <row r="947" spans="1:27" ht="13" customHeight="1">
      <c r="A947" s="11">
        <v>941</v>
      </c>
      <c r="B947" s="47">
        <v>203512951</v>
      </c>
      <c r="C947" s="89" t="s">
        <v>1016</v>
      </c>
      <c r="D947" s="11" t="s">
        <v>1017</v>
      </c>
      <c r="E947" s="48" t="s">
        <v>31</v>
      </c>
      <c r="F947" s="48" t="s">
        <v>74</v>
      </c>
      <c r="G947" s="11" t="s">
        <v>64</v>
      </c>
      <c r="H947" s="48" t="str">
        <f>VLOOKUP(Table1[[#This Row],[Psoft No]],[1]Roster!$C$2:$H$1402,6,)</f>
        <v>AUH1</v>
      </c>
      <c r="I947" s="48" t="b">
        <f>Table1[[#This Row],[Building]]=Table1[[#This Row],[Column1]]</f>
        <v>1</v>
      </c>
      <c r="J947" s="11" t="s">
        <v>75</v>
      </c>
      <c r="K947" s="11">
        <v>1299</v>
      </c>
      <c r="L947" s="49" t="s">
        <v>32</v>
      </c>
      <c r="M947" s="49" t="s">
        <v>76</v>
      </c>
      <c r="N947" s="49" t="s">
        <v>77</v>
      </c>
      <c r="O947" s="49" t="s">
        <v>78</v>
      </c>
      <c r="P947" s="49" t="s">
        <v>79</v>
      </c>
      <c r="Q947" s="49" t="s">
        <v>37</v>
      </c>
      <c r="R947" s="11" t="s">
        <v>80</v>
      </c>
      <c r="S947" s="11" t="s">
        <v>81</v>
      </c>
      <c r="T947" s="49" t="s">
        <v>2845</v>
      </c>
      <c r="U947" s="11" t="s">
        <v>2846</v>
      </c>
      <c r="V947" s="116" t="str">
        <f>VLOOKUP(Table1[[#This Row],[Psoft No]],[2]Sheet1!$A$2:$G$386,7,0)</f>
        <v>P</v>
      </c>
      <c r="W947" s="88"/>
      <c r="X947" s="51">
        <v>45463</v>
      </c>
      <c r="Y947" s="97" t="s">
        <v>1577</v>
      </c>
      <c r="Z947" s="135" t="s">
        <v>2</v>
      </c>
      <c r="AA947" s="135">
        <v>0</v>
      </c>
    </row>
    <row r="948" spans="1:27" ht="13" customHeight="1">
      <c r="A948" s="11">
        <v>942</v>
      </c>
      <c r="B948" s="47">
        <v>113167122</v>
      </c>
      <c r="C948" s="89" t="s">
        <v>1018</v>
      </c>
      <c r="D948" s="11" t="s">
        <v>1019</v>
      </c>
      <c r="E948" s="48" t="s">
        <v>31</v>
      </c>
      <c r="F948" s="48" t="s">
        <v>74</v>
      </c>
      <c r="G948" s="11" t="s">
        <v>64</v>
      </c>
      <c r="H948" s="48" t="str">
        <f>VLOOKUP(Table1[[#This Row],[Psoft No]],[1]Roster!$C$2:$H$1402,6,)</f>
        <v>AUH1</v>
      </c>
      <c r="I948" s="48" t="b">
        <f>Table1[[#This Row],[Building]]=Table1[[#This Row],[Column1]]</f>
        <v>1</v>
      </c>
      <c r="J948" s="11" t="s">
        <v>75</v>
      </c>
      <c r="K948" s="11">
        <v>1299</v>
      </c>
      <c r="L948" s="49" t="s">
        <v>39</v>
      </c>
      <c r="M948" s="49" t="s">
        <v>76</v>
      </c>
      <c r="N948" s="49" t="s">
        <v>84</v>
      </c>
      <c r="O948" s="49" t="s">
        <v>85</v>
      </c>
      <c r="P948" s="49" t="s">
        <v>86</v>
      </c>
      <c r="Q948" s="49" t="s">
        <v>37</v>
      </c>
      <c r="R948" s="11" t="s">
        <v>80</v>
      </c>
      <c r="S948" s="11" t="s">
        <v>87</v>
      </c>
      <c r="T948" s="49" t="s">
        <v>1066</v>
      </c>
      <c r="U948" s="11" t="s">
        <v>2717</v>
      </c>
      <c r="V948" s="116" t="s">
        <v>1</v>
      </c>
      <c r="W948" s="88"/>
      <c r="X948" s="51">
        <v>45586</v>
      </c>
      <c r="Y948" s="97" t="s">
        <v>1576</v>
      </c>
      <c r="Z948" s="135" t="s">
        <v>2</v>
      </c>
      <c r="AA948" s="135">
        <v>0</v>
      </c>
    </row>
    <row r="949" spans="1:27" ht="13" customHeight="1">
      <c r="A949" s="11">
        <v>943</v>
      </c>
      <c r="B949" s="47">
        <v>203908895</v>
      </c>
      <c r="C949" s="89" t="s">
        <v>1020</v>
      </c>
      <c r="D949" s="11" t="s">
        <v>1021</v>
      </c>
      <c r="E949" s="11" t="s">
        <v>31</v>
      </c>
      <c r="F949" s="48" t="s">
        <v>74</v>
      </c>
      <c r="G949" s="11" t="s">
        <v>64</v>
      </c>
      <c r="H949" s="48" t="str">
        <f>VLOOKUP(Table1[[#This Row],[Psoft No]],[1]Roster!$C$2:$H$1402,6,)</f>
        <v>AUH1</v>
      </c>
      <c r="I949" s="48" t="b">
        <f>Table1[[#This Row],[Building]]=Table1[[#This Row],[Column1]]</f>
        <v>1</v>
      </c>
      <c r="J949" s="11" t="s">
        <v>75</v>
      </c>
      <c r="K949" s="11">
        <v>1299</v>
      </c>
      <c r="L949" s="49" t="s">
        <v>39</v>
      </c>
      <c r="M949" s="49" t="s">
        <v>76</v>
      </c>
      <c r="N949" s="49" t="s">
        <v>85</v>
      </c>
      <c r="O949" s="49" t="s">
        <v>88</v>
      </c>
      <c r="P949" s="49" t="s">
        <v>89</v>
      </c>
      <c r="Q949" s="49" t="s">
        <v>37</v>
      </c>
      <c r="R949" s="11" t="s">
        <v>80</v>
      </c>
      <c r="S949" s="11" t="s">
        <v>90</v>
      </c>
      <c r="T949" s="11" t="s">
        <v>631</v>
      </c>
      <c r="U949" s="11" t="s">
        <v>632</v>
      </c>
      <c r="V949" s="116" t="s">
        <v>1</v>
      </c>
      <c r="W949" s="88"/>
      <c r="X949" s="51">
        <v>45537</v>
      </c>
      <c r="Y949" s="97" t="s">
        <v>1577</v>
      </c>
      <c r="Z949" s="135" t="s">
        <v>2</v>
      </c>
      <c r="AA949" s="135">
        <v>0</v>
      </c>
    </row>
    <row r="950" spans="1:27" ht="13" customHeight="1">
      <c r="A950" s="11">
        <v>944</v>
      </c>
      <c r="B950" s="47">
        <v>206250609</v>
      </c>
      <c r="C950" s="89" t="s">
        <v>1653</v>
      </c>
      <c r="D950" s="11" t="s">
        <v>1621</v>
      </c>
      <c r="E950" s="48" t="s">
        <v>31</v>
      </c>
      <c r="F950" s="48" t="s">
        <v>74</v>
      </c>
      <c r="G950" s="11" t="s">
        <v>64</v>
      </c>
      <c r="H950" s="48" t="str">
        <f>VLOOKUP(Table1[[#This Row],[Psoft No]],[1]Roster!$C$2:$H$1402,6,)</f>
        <v>AUH1</v>
      </c>
      <c r="I950" s="48" t="b">
        <f>Table1[[#This Row],[Building]]=Table1[[#This Row],[Column1]]</f>
        <v>1</v>
      </c>
      <c r="J950" s="11" t="s">
        <v>75</v>
      </c>
      <c r="K950" s="11">
        <v>1299</v>
      </c>
      <c r="L950" s="49" t="s">
        <v>32</v>
      </c>
      <c r="M950" s="49" t="s">
        <v>76</v>
      </c>
      <c r="N950" s="49" t="s">
        <v>77</v>
      </c>
      <c r="O950" s="49" t="s">
        <v>78</v>
      </c>
      <c r="P950" s="48" t="s">
        <v>79</v>
      </c>
      <c r="Q950" s="49" t="s">
        <v>37</v>
      </c>
      <c r="R950" s="11" t="s">
        <v>80</v>
      </c>
      <c r="S950" s="11" t="s">
        <v>81</v>
      </c>
      <c r="T950" s="11" t="s">
        <v>2719</v>
      </c>
      <c r="U950" s="11" t="s">
        <v>642</v>
      </c>
      <c r="V950" s="116" t="str">
        <f>VLOOKUP(Table1[[#This Row],[Psoft No]],[2]Sheet1!$A$2:$G$386,7,0)</f>
        <v>P</v>
      </c>
      <c r="W950" s="88"/>
      <c r="X950" s="51">
        <v>45943</v>
      </c>
      <c r="Y950" s="97" t="s">
        <v>1576</v>
      </c>
      <c r="Z950" s="135" t="s">
        <v>2</v>
      </c>
      <c r="AA950" s="135">
        <v>0</v>
      </c>
    </row>
    <row r="951" spans="1:27" ht="13" customHeight="1">
      <c r="A951" s="11">
        <v>945</v>
      </c>
      <c r="B951" s="47">
        <v>203851001</v>
      </c>
      <c r="C951" s="89" t="s">
        <v>1022</v>
      </c>
      <c r="D951" s="11" t="s">
        <v>1023</v>
      </c>
      <c r="E951" s="48" t="s">
        <v>31</v>
      </c>
      <c r="F951" s="48" t="s">
        <v>74</v>
      </c>
      <c r="G951" s="11" t="s">
        <v>64</v>
      </c>
      <c r="H951" s="48" t="str">
        <f>VLOOKUP(Table1[[#This Row],[Psoft No]],[1]Roster!$C$2:$H$1402,6,)</f>
        <v>AUH1</v>
      </c>
      <c r="I951" s="48" t="b">
        <f>Table1[[#This Row],[Building]]=Table1[[#This Row],[Column1]]</f>
        <v>1</v>
      </c>
      <c r="J951" s="11" t="s">
        <v>75</v>
      </c>
      <c r="K951" s="11">
        <v>1299</v>
      </c>
      <c r="L951" s="49" t="s">
        <v>32</v>
      </c>
      <c r="M951" s="49" t="s">
        <v>76</v>
      </c>
      <c r="N951" s="49" t="s">
        <v>77</v>
      </c>
      <c r="O951" s="49" t="s">
        <v>78</v>
      </c>
      <c r="P951" s="49" t="s">
        <v>79</v>
      </c>
      <c r="Q951" s="49" t="s">
        <v>37</v>
      </c>
      <c r="R951" s="11" t="s">
        <v>80</v>
      </c>
      <c r="S951" s="11" t="s">
        <v>81</v>
      </c>
      <c r="T951" s="11" t="s">
        <v>2845</v>
      </c>
      <c r="U951" s="11" t="s">
        <v>2846</v>
      </c>
      <c r="V951" s="116" t="str">
        <f>VLOOKUP(Table1[[#This Row],[Psoft No]],[2]Sheet1!$A$2:$G$386,7,0)</f>
        <v>P</v>
      </c>
      <c r="W951" s="88"/>
      <c r="X951" s="51">
        <v>45544</v>
      </c>
      <c r="Y951" s="97" t="s">
        <v>1577</v>
      </c>
      <c r="Z951" s="135" t="s">
        <v>2</v>
      </c>
      <c r="AA951" s="135">
        <v>0</v>
      </c>
    </row>
    <row r="952" spans="1:27" ht="13" customHeight="1">
      <c r="A952" s="11">
        <v>946</v>
      </c>
      <c r="B952" s="47">
        <v>206604501</v>
      </c>
      <c r="C952" s="89" t="s">
        <v>2070</v>
      </c>
      <c r="D952" s="11" t="s">
        <v>2071</v>
      </c>
      <c r="E952" s="48" t="s">
        <v>31</v>
      </c>
      <c r="F952" s="48" t="s">
        <v>74</v>
      </c>
      <c r="G952" s="11" t="s">
        <v>64</v>
      </c>
      <c r="H952" s="48" t="str">
        <f>VLOOKUP(Table1[[#This Row],[Psoft No]],[1]Roster!$C$2:$H$1402,6,)</f>
        <v>AUH1</v>
      </c>
      <c r="I952" s="48" t="b">
        <f>Table1[[#This Row],[Building]]=Table1[[#This Row],[Column1]]</f>
        <v>1</v>
      </c>
      <c r="J952" s="11" t="s">
        <v>75</v>
      </c>
      <c r="K952" s="11">
        <v>1299</v>
      </c>
      <c r="L952" s="49" t="s">
        <v>39</v>
      </c>
      <c r="M952" s="49" t="s">
        <v>76</v>
      </c>
      <c r="N952" s="49" t="s">
        <v>92</v>
      </c>
      <c r="O952" s="49" t="s">
        <v>84</v>
      </c>
      <c r="P952" s="48" t="s">
        <v>89</v>
      </c>
      <c r="Q952" s="49" t="s">
        <v>37</v>
      </c>
      <c r="R952" s="11" t="s">
        <v>80</v>
      </c>
      <c r="S952" s="11" t="s">
        <v>96</v>
      </c>
      <c r="T952" s="49" t="s">
        <v>2719</v>
      </c>
      <c r="U952" s="11" t="s">
        <v>642</v>
      </c>
      <c r="V952" s="116" t="s">
        <v>10</v>
      </c>
      <c r="W952" s="88"/>
      <c r="X952" s="51">
        <v>46048</v>
      </c>
      <c r="Y952" s="97" t="s">
        <v>1577</v>
      </c>
      <c r="Z952" s="135" t="s">
        <v>3023</v>
      </c>
      <c r="AA952" s="135">
        <v>0</v>
      </c>
    </row>
    <row r="953" spans="1:27" ht="13" customHeight="1">
      <c r="A953" s="11">
        <v>947</v>
      </c>
      <c r="B953" s="47">
        <v>205853581</v>
      </c>
      <c r="C953" s="89" t="s">
        <v>1024</v>
      </c>
      <c r="D953" s="11" t="s">
        <v>1025</v>
      </c>
      <c r="E953" s="48" t="s">
        <v>31</v>
      </c>
      <c r="F953" s="48" t="s">
        <v>74</v>
      </c>
      <c r="G953" s="11" t="s">
        <v>64</v>
      </c>
      <c r="H953" s="48" t="str">
        <f>VLOOKUP(Table1[[#This Row],[Psoft No]],[1]Roster!$C$2:$H$1402,6,)</f>
        <v>AUH1</v>
      </c>
      <c r="I953" s="48" t="b">
        <f>Table1[[#This Row],[Building]]=Table1[[#This Row],[Column1]]</f>
        <v>1</v>
      </c>
      <c r="J953" s="11" t="s">
        <v>75</v>
      </c>
      <c r="K953" s="11">
        <v>1299</v>
      </c>
      <c r="L953" s="49" t="s">
        <v>39</v>
      </c>
      <c r="M953" s="49" t="s">
        <v>76</v>
      </c>
      <c r="N953" s="49" t="s">
        <v>85</v>
      </c>
      <c r="O953" s="49" t="s">
        <v>88</v>
      </c>
      <c r="P953" s="48" t="s">
        <v>79</v>
      </c>
      <c r="Q953" s="49" t="s">
        <v>37</v>
      </c>
      <c r="R953" s="11" t="s">
        <v>80</v>
      </c>
      <c r="S953" s="11" t="s">
        <v>96</v>
      </c>
      <c r="T953" s="11" t="s">
        <v>1066</v>
      </c>
      <c r="U953" s="11" t="s">
        <v>2717</v>
      </c>
      <c r="V953" s="116" t="s">
        <v>1</v>
      </c>
      <c r="W953" s="88"/>
      <c r="X953" s="51">
        <v>45894</v>
      </c>
      <c r="Y953" s="97" t="s">
        <v>1577</v>
      </c>
      <c r="Z953" s="135" t="s">
        <v>2</v>
      </c>
      <c r="AA953" s="135">
        <v>0</v>
      </c>
    </row>
    <row r="954" spans="1:27" ht="13" customHeight="1">
      <c r="A954" s="11">
        <v>948</v>
      </c>
      <c r="B954" s="47">
        <v>206889907</v>
      </c>
      <c r="C954" s="89" t="s">
        <v>1837</v>
      </c>
      <c r="D954" s="11" t="s">
        <v>1838</v>
      </c>
      <c r="E954" s="48" t="s">
        <v>31</v>
      </c>
      <c r="F954" s="48" t="s">
        <v>74</v>
      </c>
      <c r="G954" s="11" t="s">
        <v>64</v>
      </c>
      <c r="H954" s="48" t="str">
        <f>VLOOKUP(Table1[[#This Row],[Psoft No]],[1]Roster!$C$2:$H$1402,6,)</f>
        <v>AUH1</v>
      </c>
      <c r="I954" s="48" t="b">
        <f>Table1[[#This Row],[Building]]=Table1[[#This Row],[Column1]]</f>
        <v>1</v>
      </c>
      <c r="J954" s="11" t="s">
        <v>75</v>
      </c>
      <c r="K954" s="11">
        <v>1299</v>
      </c>
      <c r="L954" s="49" t="s">
        <v>39</v>
      </c>
      <c r="M954" s="49" t="s">
        <v>76</v>
      </c>
      <c r="N954" s="49" t="s">
        <v>77</v>
      </c>
      <c r="O954" s="49" t="s">
        <v>78</v>
      </c>
      <c r="P954" s="49" t="s">
        <v>89</v>
      </c>
      <c r="Q954" s="49" t="s">
        <v>37</v>
      </c>
      <c r="R954" s="11" t="s">
        <v>80</v>
      </c>
      <c r="S954" s="11" t="s">
        <v>96</v>
      </c>
      <c r="T954" s="11" t="s">
        <v>627</v>
      </c>
      <c r="U954" s="11" t="s">
        <v>628</v>
      </c>
      <c r="V954" s="116" t="s">
        <v>1</v>
      </c>
      <c r="W954" s="88"/>
      <c r="X954" s="51">
        <v>46027</v>
      </c>
      <c r="Y954" s="97" t="s">
        <v>1577</v>
      </c>
      <c r="Z954" s="135" t="s">
        <v>2</v>
      </c>
      <c r="AA954" s="135">
        <v>0</v>
      </c>
    </row>
    <row r="955" spans="1:27" ht="13" customHeight="1">
      <c r="A955" s="11">
        <v>949</v>
      </c>
      <c r="B955" s="92">
        <v>204138496</v>
      </c>
      <c r="C955" s="47" t="s">
        <v>1026</v>
      </c>
      <c r="D955" s="89" t="s">
        <v>1027</v>
      </c>
      <c r="E955" s="48" t="s">
        <v>31</v>
      </c>
      <c r="F955" s="48" t="s">
        <v>74</v>
      </c>
      <c r="G955" s="11" t="s">
        <v>64</v>
      </c>
      <c r="H955" s="48" t="str">
        <f>VLOOKUP(Table1[[#This Row],[Psoft No]],[1]Roster!$C$2:$H$1402,6,)</f>
        <v>AUH1</v>
      </c>
      <c r="I955" s="48" t="b">
        <f>Table1[[#This Row],[Building]]=Table1[[#This Row],[Column1]]</f>
        <v>1</v>
      </c>
      <c r="J955" s="11" t="s">
        <v>75</v>
      </c>
      <c r="K955" s="11">
        <v>1299</v>
      </c>
      <c r="L955" s="49" t="s">
        <v>39</v>
      </c>
      <c r="M955" s="49" t="s">
        <v>76</v>
      </c>
      <c r="N955" s="49" t="s">
        <v>95</v>
      </c>
      <c r="O955" s="49" t="s">
        <v>77</v>
      </c>
      <c r="P955" s="48" t="s">
        <v>79</v>
      </c>
      <c r="Q955" s="49" t="s">
        <v>37</v>
      </c>
      <c r="R955" s="11" t="s">
        <v>80</v>
      </c>
      <c r="S955" s="11" t="s">
        <v>81</v>
      </c>
      <c r="T955" s="11" t="s">
        <v>627</v>
      </c>
      <c r="U955" s="11" t="s">
        <v>628</v>
      </c>
      <c r="V955" s="116" t="s">
        <v>7</v>
      </c>
      <c r="W955" s="88" t="s">
        <v>3018</v>
      </c>
      <c r="X955" s="51">
        <v>45565</v>
      </c>
      <c r="Y955" s="97" t="s">
        <v>1577</v>
      </c>
      <c r="Z955" s="135" t="s">
        <v>3023</v>
      </c>
      <c r="AA955" s="135">
        <v>0</v>
      </c>
    </row>
    <row r="956" spans="1:27" ht="13" customHeight="1">
      <c r="A956" s="11">
        <v>950</v>
      </c>
      <c r="B956" s="47">
        <v>205275961</v>
      </c>
      <c r="C956" s="89" t="s">
        <v>1378</v>
      </c>
      <c r="D956" s="11" t="s">
        <v>1379</v>
      </c>
      <c r="E956" s="103" t="s">
        <v>31</v>
      </c>
      <c r="F956" s="48" t="s">
        <v>74</v>
      </c>
      <c r="G956" s="11" t="s">
        <v>65</v>
      </c>
      <c r="H956" s="48" t="str">
        <f>VLOOKUP(Table1[[#This Row],[Psoft No]],[1]Roster!$C$2:$H$1402,6,)</f>
        <v>AUH3</v>
      </c>
      <c r="I956" s="48" t="b">
        <f>Table1[[#This Row],[Building]]=Table1[[#This Row],[Column1]]</f>
        <v>1</v>
      </c>
      <c r="J956" s="11" t="s">
        <v>1332</v>
      </c>
      <c r="K956" s="11">
        <v>1181</v>
      </c>
      <c r="L956" s="49" t="s">
        <v>32</v>
      </c>
      <c r="M956" s="49" t="s">
        <v>76</v>
      </c>
      <c r="N956" s="49" t="s">
        <v>88</v>
      </c>
      <c r="O956" s="49" t="s">
        <v>95</v>
      </c>
      <c r="P956" s="49" t="s">
        <v>89</v>
      </c>
      <c r="Q956" s="49" t="s">
        <v>68</v>
      </c>
      <c r="R956" s="49" t="s">
        <v>80</v>
      </c>
      <c r="S956" s="49" t="s">
        <v>90</v>
      </c>
      <c r="T956" s="49" t="s">
        <v>1336</v>
      </c>
      <c r="U956" s="49" t="s">
        <v>1337</v>
      </c>
      <c r="V956" s="116" t="s">
        <v>1</v>
      </c>
      <c r="W956" s="88"/>
      <c r="X956" s="51">
        <v>45796</v>
      </c>
      <c r="Y956" s="97" t="s">
        <v>68</v>
      </c>
      <c r="Z956" s="135" t="s">
        <v>2</v>
      </c>
      <c r="AA956" s="135">
        <v>0</v>
      </c>
    </row>
    <row r="957" spans="1:27" ht="13" customHeight="1">
      <c r="A957" s="11">
        <v>951</v>
      </c>
      <c r="B957" s="47">
        <v>203879776</v>
      </c>
      <c r="C957" s="89" t="s">
        <v>1028</v>
      </c>
      <c r="D957" s="11" t="s">
        <v>1029</v>
      </c>
      <c r="E957" s="48" t="s">
        <v>31</v>
      </c>
      <c r="F957" s="48" t="s">
        <v>74</v>
      </c>
      <c r="G957" s="11" t="s">
        <v>64</v>
      </c>
      <c r="H957" s="48" t="str">
        <f>VLOOKUP(Table1[[#This Row],[Psoft No]],[1]Roster!$C$2:$H$1402,6,)</f>
        <v>AUH1</v>
      </c>
      <c r="I957" s="48" t="b">
        <f>Table1[[#This Row],[Building]]=Table1[[#This Row],[Column1]]</f>
        <v>1</v>
      </c>
      <c r="J957" s="11" t="s">
        <v>75</v>
      </c>
      <c r="K957" s="11">
        <v>1299</v>
      </c>
      <c r="L957" s="49" t="s">
        <v>32</v>
      </c>
      <c r="M957" s="49" t="s">
        <v>76</v>
      </c>
      <c r="N957" s="49" t="s">
        <v>77</v>
      </c>
      <c r="O957" s="49" t="s">
        <v>78</v>
      </c>
      <c r="P957" s="48" t="s">
        <v>86</v>
      </c>
      <c r="Q957" s="49" t="s">
        <v>37</v>
      </c>
      <c r="R957" s="11" t="s">
        <v>80</v>
      </c>
      <c r="S957" s="11" t="s">
        <v>99</v>
      </c>
      <c r="T957" s="11" t="s">
        <v>647</v>
      </c>
      <c r="U957" s="11" t="s">
        <v>1798</v>
      </c>
      <c r="V957" s="116" t="str">
        <f>VLOOKUP(Table1[[#This Row],[Psoft No]],[2]Sheet1!$A$2:$G$386,7,0)</f>
        <v>P</v>
      </c>
      <c r="W957" s="88"/>
      <c r="X957" s="51">
        <v>45558</v>
      </c>
      <c r="Y957" s="97" t="s">
        <v>1576</v>
      </c>
      <c r="Z957" s="135" t="s">
        <v>2</v>
      </c>
      <c r="AA957" s="135">
        <v>0</v>
      </c>
    </row>
    <row r="958" spans="1:27" ht="13" customHeight="1">
      <c r="A958" s="11">
        <v>952</v>
      </c>
      <c r="B958" s="47">
        <v>204975662</v>
      </c>
      <c r="C958" s="89" t="s">
        <v>2078</v>
      </c>
      <c r="D958" s="11" t="s">
        <v>2079</v>
      </c>
      <c r="E958" s="48" t="s">
        <v>31</v>
      </c>
      <c r="F958" s="48" t="s">
        <v>74</v>
      </c>
      <c r="G958" s="11" t="s">
        <v>64</v>
      </c>
      <c r="H958" s="48" t="str">
        <f>VLOOKUP(Table1[[#This Row],[Psoft No]],[1]Roster!$C$2:$H$1402,6,)</f>
        <v>AUH1</v>
      </c>
      <c r="I958" s="48" t="b">
        <f>Table1[[#This Row],[Building]]=Table1[[#This Row],[Column1]]</f>
        <v>1</v>
      </c>
      <c r="J958" s="11" t="s">
        <v>75</v>
      </c>
      <c r="K958" s="11">
        <v>1299</v>
      </c>
      <c r="L958" s="49" t="s">
        <v>32</v>
      </c>
      <c r="M958" s="49" t="s">
        <v>76</v>
      </c>
      <c r="N958" s="49" t="s">
        <v>95</v>
      </c>
      <c r="O958" s="49" t="s">
        <v>77</v>
      </c>
      <c r="P958" s="48" t="s">
        <v>89</v>
      </c>
      <c r="Q958" s="49" t="s">
        <v>37</v>
      </c>
      <c r="R958" s="11" t="s">
        <v>80</v>
      </c>
      <c r="S958" s="11" t="s">
        <v>96</v>
      </c>
      <c r="T958" s="49" t="s">
        <v>2844</v>
      </c>
      <c r="U958" s="11" t="s">
        <v>2716</v>
      </c>
      <c r="V958" s="116" t="str">
        <f>VLOOKUP(Table1[[#This Row],[Psoft No]],[2]Sheet1!$A$2:$G$386,7,0)</f>
        <v>P</v>
      </c>
      <c r="W958" s="88"/>
      <c r="X958" s="51">
        <v>46048</v>
      </c>
      <c r="Y958" s="97" t="s">
        <v>1577</v>
      </c>
      <c r="Z958" s="135" t="s">
        <v>2</v>
      </c>
      <c r="AA958" s="135">
        <v>0</v>
      </c>
    </row>
    <row r="959" spans="1:27" ht="13" customHeight="1">
      <c r="A959" s="11">
        <v>953</v>
      </c>
      <c r="B959" s="47">
        <v>206886515</v>
      </c>
      <c r="C959" s="89" t="s">
        <v>1839</v>
      </c>
      <c r="D959" s="11" t="s">
        <v>1840</v>
      </c>
      <c r="E959" s="48" t="s">
        <v>31</v>
      </c>
      <c r="F959" s="48" t="s">
        <v>74</v>
      </c>
      <c r="G959" s="11" t="s">
        <v>64</v>
      </c>
      <c r="H959" s="48" t="str">
        <f>VLOOKUP(Table1[[#This Row],[Psoft No]],[1]Roster!$C$2:$H$1402,6,)</f>
        <v>AUH1</v>
      </c>
      <c r="I959" s="48" t="b">
        <f>Table1[[#This Row],[Building]]=Table1[[#This Row],[Column1]]</f>
        <v>1</v>
      </c>
      <c r="J959" s="11" t="s">
        <v>75</v>
      </c>
      <c r="K959" s="11">
        <v>1299</v>
      </c>
      <c r="L959" s="49" t="s">
        <v>39</v>
      </c>
      <c r="M959" s="49" t="s">
        <v>76</v>
      </c>
      <c r="N959" s="49" t="s">
        <v>77</v>
      </c>
      <c r="O959" s="49" t="s">
        <v>78</v>
      </c>
      <c r="P959" s="48" t="s">
        <v>89</v>
      </c>
      <c r="Q959" s="49" t="s">
        <v>37</v>
      </c>
      <c r="R959" s="11" t="s">
        <v>80</v>
      </c>
      <c r="S959" s="11" t="s">
        <v>96</v>
      </c>
      <c r="T959" s="11" t="s">
        <v>627</v>
      </c>
      <c r="U959" s="11" t="s">
        <v>628</v>
      </c>
      <c r="V959" s="116" t="s">
        <v>1</v>
      </c>
      <c r="W959" s="88"/>
      <c r="X959" s="51">
        <v>46027</v>
      </c>
      <c r="Y959" s="97" t="s">
        <v>1577</v>
      </c>
      <c r="Z959" s="135" t="s">
        <v>2</v>
      </c>
      <c r="AA959" s="135">
        <v>0</v>
      </c>
    </row>
    <row r="960" spans="1:27" ht="13" customHeight="1">
      <c r="A960" s="11">
        <v>954</v>
      </c>
      <c r="B960" s="47">
        <v>206192541</v>
      </c>
      <c r="C960" s="89" t="s">
        <v>1613</v>
      </c>
      <c r="D960" s="11" t="s">
        <v>1606</v>
      </c>
      <c r="E960" s="48" t="s">
        <v>31</v>
      </c>
      <c r="F960" s="48" t="s">
        <v>74</v>
      </c>
      <c r="G960" s="11" t="s">
        <v>64</v>
      </c>
      <c r="H960" s="48" t="str">
        <f>VLOOKUP(Table1[[#This Row],[Psoft No]],[1]Roster!$C$2:$H$1402,6,)</f>
        <v>AUH1</v>
      </c>
      <c r="I960" s="48" t="b">
        <f>Table1[[#This Row],[Building]]=Table1[[#This Row],[Column1]]</f>
        <v>1</v>
      </c>
      <c r="J960" s="11" t="s">
        <v>75</v>
      </c>
      <c r="K960" s="11">
        <v>1299</v>
      </c>
      <c r="L960" s="49" t="s">
        <v>39</v>
      </c>
      <c r="M960" s="49" t="s">
        <v>76</v>
      </c>
      <c r="N960" s="49" t="s">
        <v>95</v>
      </c>
      <c r="O960" s="49" t="s">
        <v>77</v>
      </c>
      <c r="P960" s="48" t="s">
        <v>89</v>
      </c>
      <c r="Q960" s="49" t="s">
        <v>37</v>
      </c>
      <c r="R960" s="11" t="s">
        <v>80</v>
      </c>
      <c r="S960" s="11" t="s">
        <v>96</v>
      </c>
      <c r="T960" s="11" t="s">
        <v>627</v>
      </c>
      <c r="U960" s="11" t="s">
        <v>628</v>
      </c>
      <c r="V960" s="116" t="s">
        <v>1</v>
      </c>
      <c r="W960" s="88"/>
      <c r="X960" s="51">
        <v>45936</v>
      </c>
      <c r="Y960" s="97" t="s">
        <v>1577</v>
      </c>
      <c r="Z960" s="135" t="s">
        <v>2</v>
      </c>
      <c r="AA960" s="135">
        <v>0</v>
      </c>
    </row>
    <row r="961" spans="1:27" ht="13" customHeight="1">
      <c r="A961" s="11">
        <v>955</v>
      </c>
      <c r="B961" s="47">
        <v>206192271</v>
      </c>
      <c r="C961" s="89" t="s">
        <v>1612</v>
      </c>
      <c r="D961" s="11" t="s">
        <v>1605</v>
      </c>
      <c r="E961" s="48" t="s">
        <v>31</v>
      </c>
      <c r="F961" s="48" t="s">
        <v>74</v>
      </c>
      <c r="G961" s="11" t="s">
        <v>64</v>
      </c>
      <c r="H961" s="48" t="str">
        <f>VLOOKUP(Table1[[#This Row],[Psoft No]],[1]Roster!$C$2:$H$1402,6,)</f>
        <v>AUH1</v>
      </c>
      <c r="I961" s="48" t="b">
        <f>Table1[[#This Row],[Building]]=Table1[[#This Row],[Column1]]</f>
        <v>1</v>
      </c>
      <c r="J961" s="11" t="s">
        <v>75</v>
      </c>
      <c r="K961" s="11">
        <v>1299</v>
      </c>
      <c r="L961" s="49" t="s">
        <v>39</v>
      </c>
      <c r="M961" s="49" t="s">
        <v>76</v>
      </c>
      <c r="N961" s="49" t="s">
        <v>95</v>
      </c>
      <c r="O961" s="49" t="s">
        <v>77</v>
      </c>
      <c r="P961" s="48" t="s">
        <v>89</v>
      </c>
      <c r="Q961" s="49" t="s">
        <v>37</v>
      </c>
      <c r="R961" s="11" t="s">
        <v>80</v>
      </c>
      <c r="S961" s="11" t="s">
        <v>96</v>
      </c>
      <c r="T961" s="49" t="s">
        <v>627</v>
      </c>
      <c r="U961" s="11" t="s">
        <v>628</v>
      </c>
      <c r="V961" s="116" t="s">
        <v>1</v>
      </c>
      <c r="W961" s="88"/>
      <c r="X961" s="51">
        <v>45936</v>
      </c>
      <c r="Y961" s="97" t="s">
        <v>1577</v>
      </c>
      <c r="Z961" s="135" t="s">
        <v>2</v>
      </c>
      <c r="AA961" s="135">
        <v>0</v>
      </c>
    </row>
    <row r="962" spans="1:27" ht="13" customHeight="1">
      <c r="A962" s="11">
        <v>956</v>
      </c>
      <c r="B962" s="92">
        <v>206886636</v>
      </c>
      <c r="C962" s="47" t="s">
        <v>1841</v>
      </c>
      <c r="D962" s="89" t="s">
        <v>1842</v>
      </c>
      <c r="E962" s="48" t="s">
        <v>31</v>
      </c>
      <c r="F962" s="48" t="s">
        <v>74</v>
      </c>
      <c r="G962" s="11" t="s">
        <v>64</v>
      </c>
      <c r="H962" s="48" t="str">
        <f>VLOOKUP(Table1[[#This Row],[Psoft No]],[1]Roster!$C$2:$H$1402,6,)</f>
        <v>AUH1</v>
      </c>
      <c r="I962" s="48" t="b">
        <f>Table1[[#This Row],[Building]]=Table1[[#This Row],[Column1]]</f>
        <v>1</v>
      </c>
      <c r="J962" s="11" t="s">
        <v>75</v>
      </c>
      <c r="K962" s="11">
        <v>1299</v>
      </c>
      <c r="L962" s="49" t="s">
        <v>39</v>
      </c>
      <c r="M962" s="49" t="s">
        <v>76</v>
      </c>
      <c r="N962" s="49" t="s">
        <v>78</v>
      </c>
      <c r="O962" s="49" t="s">
        <v>92</v>
      </c>
      <c r="P962" s="49" t="s">
        <v>89</v>
      </c>
      <c r="Q962" s="49" t="s">
        <v>37</v>
      </c>
      <c r="R962" s="11" t="s">
        <v>80</v>
      </c>
      <c r="S962" s="11" t="s">
        <v>96</v>
      </c>
      <c r="T962" s="101" t="s">
        <v>1066</v>
      </c>
      <c r="U962" s="11" t="s">
        <v>2717</v>
      </c>
      <c r="V962" s="116" t="s">
        <v>10</v>
      </c>
      <c r="W962" s="88"/>
      <c r="X962" s="51">
        <v>46027</v>
      </c>
      <c r="Y962" s="97" t="s">
        <v>1577</v>
      </c>
      <c r="Z962" s="135" t="s">
        <v>3023</v>
      </c>
      <c r="AA962" s="135">
        <v>0</v>
      </c>
    </row>
    <row r="963" spans="1:27" ht="13" customHeight="1">
      <c r="A963" s="11">
        <v>957</v>
      </c>
      <c r="B963" s="47">
        <v>201857481</v>
      </c>
      <c r="C963" s="89" t="s">
        <v>1030</v>
      </c>
      <c r="D963" s="11" t="s">
        <v>1031</v>
      </c>
      <c r="E963" s="48" t="s">
        <v>31</v>
      </c>
      <c r="F963" s="48" t="s">
        <v>74</v>
      </c>
      <c r="G963" s="11" t="s">
        <v>64</v>
      </c>
      <c r="H963" s="48" t="str">
        <f>VLOOKUP(Table1[[#This Row],[Psoft No]],[1]Roster!$C$2:$H$1402,6,)</f>
        <v>AUH1</v>
      </c>
      <c r="I963" s="48" t="b">
        <f>Table1[[#This Row],[Building]]=Table1[[#This Row],[Column1]]</f>
        <v>1</v>
      </c>
      <c r="J963" s="11" t="s">
        <v>75</v>
      </c>
      <c r="K963" s="11">
        <v>1299</v>
      </c>
      <c r="L963" s="49" t="s">
        <v>39</v>
      </c>
      <c r="M963" s="49" t="s">
        <v>76</v>
      </c>
      <c r="N963" s="49" t="s">
        <v>85</v>
      </c>
      <c r="O963" s="49" t="s">
        <v>88</v>
      </c>
      <c r="P963" s="48" t="s">
        <v>86</v>
      </c>
      <c r="Q963" s="49" t="s">
        <v>37</v>
      </c>
      <c r="R963" s="11" t="s">
        <v>80</v>
      </c>
      <c r="S963" s="11" t="s">
        <v>87</v>
      </c>
      <c r="T963" s="49" t="s">
        <v>627</v>
      </c>
      <c r="U963" s="11" t="s">
        <v>628</v>
      </c>
      <c r="V963" s="116" t="s">
        <v>1</v>
      </c>
      <c r="W963" s="88"/>
      <c r="X963" s="51">
        <v>45586</v>
      </c>
      <c r="Y963" s="97" t="s">
        <v>1576</v>
      </c>
      <c r="Z963" s="135" t="s">
        <v>2</v>
      </c>
      <c r="AA963" s="135">
        <v>0</v>
      </c>
    </row>
    <row r="964" spans="1:27" ht="13" customHeight="1">
      <c r="A964" s="11">
        <v>958</v>
      </c>
      <c r="B964" s="47">
        <v>204011575</v>
      </c>
      <c r="C964" s="89" t="s">
        <v>2414</v>
      </c>
      <c r="D964" s="11" t="s">
        <v>2415</v>
      </c>
      <c r="E964" s="48" t="s">
        <v>31</v>
      </c>
      <c r="F964" s="48" t="s">
        <v>74</v>
      </c>
      <c r="G964" s="11" t="s">
        <v>64</v>
      </c>
      <c r="H964" s="48" t="str">
        <f>VLOOKUP(Table1[[#This Row],[Psoft No]],[1]Roster!$C$2:$H$1402,6,)</f>
        <v>AUH1</v>
      </c>
      <c r="I964" s="48" t="b">
        <f>Table1[[#This Row],[Building]]=Table1[[#This Row],[Column1]]</f>
        <v>1</v>
      </c>
      <c r="J964" s="11" t="s">
        <v>75</v>
      </c>
      <c r="K964" s="11">
        <v>1299</v>
      </c>
      <c r="L964" s="49" t="s">
        <v>32</v>
      </c>
      <c r="M964" s="49" t="s">
        <v>76</v>
      </c>
      <c r="N964" s="49" t="s">
        <v>92</v>
      </c>
      <c r="O964" s="49" t="s">
        <v>84</v>
      </c>
      <c r="P964" s="48" t="s">
        <v>89</v>
      </c>
      <c r="Q964" s="49" t="s">
        <v>37</v>
      </c>
      <c r="R964" s="11" t="s">
        <v>80</v>
      </c>
      <c r="S964" s="11" t="s">
        <v>90</v>
      </c>
      <c r="T964" s="49" t="s">
        <v>639</v>
      </c>
      <c r="U964" s="11" t="s">
        <v>2718</v>
      </c>
      <c r="V964" s="116" t="s">
        <v>10</v>
      </c>
      <c r="W964" s="88"/>
      <c r="X964" s="51">
        <v>45551</v>
      </c>
      <c r="Y964" s="97" t="s">
        <v>1578</v>
      </c>
      <c r="Z964" s="135" t="s">
        <v>3023</v>
      </c>
      <c r="AA964" s="135">
        <v>0</v>
      </c>
    </row>
    <row r="965" spans="1:27" ht="13" customHeight="1">
      <c r="A965" s="11">
        <v>959</v>
      </c>
      <c r="B965" s="47">
        <v>112851838</v>
      </c>
      <c r="C965" s="89" t="s">
        <v>2211</v>
      </c>
      <c r="D965" s="11" t="s">
        <v>2212</v>
      </c>
      <c r="E965" s="48" t="s">
        <v>31</v>
      </c>
      <c r="F965" s="48" t="s">
        <v>74</v>
      </c>
      <c r="G965" s="11" t="s">
        <v>64</v>
      </c>
      <c r="H965" s="48" t="str">
        <f>VLOOKUP(Table1[[#This Row],[Psoft No]],[1]Roster!$C$2:$H$1402,6,)</f>
        <v>AUH1</v>
      </c>
      <c r="I965" s="48" t="b">
        <f>Table1[[#This Row],[Building]]=Table1[[#This Row],[Column1]]</f>
        <v>1</v>
      </c>
      <c r="J965" s="11" t="s">
        <v>75</v>
      </c>
      <c r="K965" s="11">
        <v>1299</v>
      </c>
      <c r="L965" s="49" t="s">
        <v>39</v>
      </c>
      <c r="M965" s="49" t="s">
        <v>76</v>
      </c>
      <c r="N965" s="49" t="s">
        <v>95</v>
      </c>
      <c r="O965" s="49" t="s">
        <v>77</v>
      </c>
      <c r="P965" s="48" t="s">
        <v>86</v>
      </c>
      <c r="Q965" s="49" t="s">
        <v>37</v>
      </c>
      <c r="R965" s="11" t="s">
        <v>80</v>
      </c>
      <c r="S965" s="11" t="s">
        <v>87</v>
      </c>
      <c r="T965" s="49" t="s">
        <v>627</v>
      </c>
      <c r="U965" s="11" t="s">
        <v>628</v>
      </c>
      <c r="V965" s="116" t="s">
        <v>1</v>
      </c>
      <c r="W965" s="88"/>
      <c r="X965" s="51">
        <v>45586</v>
      </c>
      <c r="Y965" s="97" t="s">
        <v>1576</v>
      </c>
      <c r="Z965" s="135" t="s">
        <v>2</v>
      </c>
      <c r="AA965" s="135">
        <v>0</v>
      </c>
    </row>
    <row r="966" spans="1:27" ht="13" customHeight="1">
      <c r="A966" s="11">
        <v>960</v>
      </c>
      <c r="B966" s="47">
        <v>204116441</v>
      </c>
      <c r="C966" s="89" t="s">
        <v>1032</v>
      </c>
      <c r="D966" s="11" t="s">
        <v>1033</v>
      </c>
      <c r="E966" s="48" t="s">
        <v>31</v>
      </c>
      <c r="F966" s="48" t="s">
        <v>74</v>
      </c>
      <c r="G966" s="11" t="s">
        <v>64</v>
      </c>
      <c r="H966" s="48" t="str">
        <f>VLOOKUP(Table1[[#This Row],[Psoft No]],[1]Roster!$C$2:$H$1402,6,)</f>
        <v>AUH1</v>
      </c>
      <c r="I966" s="48" t="b">
        <f>Table1[[#This Row],[Building]]=Table1[[#This Row],[Column1]]</f>
        <v>1</v>
      </c>
      <c r="J966" s="11" t="s">
        <v>75</v>
      </c>
      <c r="K966" s="11">
        <v>1299</v>
      </c>
      <c r="L966" s="49" t="s">
        <v>39</v>
      </c>
      <c r="M966" s="49" t="s">
        <v>76</v>
      </c>
      <c r="N966" s="49" t="s">
        <v>85</v>
      </c>
      <c r="O966" s="49" t="s">
        <v>88</v>
      </c>
      <c r="P966" s="48" t="s">
        <v>86</v>
      </c>
      <c r="Q966" s="49" t="s">
        <v>37</v>
      </c>
      <c r="R966" s="11" t="s">
        <v>80</v>
      </c>
      <c r="S966" s="11" t="s">
        <v>87</v>
      </c>
      <c r="T966" s="49" t="s">
        <v>1066</v>
      </c>
      <c r="U966" s="11" t="s">
        <v>2717</v>
      </c>
      <c r="V966" s="116" t="s">
        <v>1</v>
      </c>
      <c r="W966" s="88"/>
      <c r="X966" s="51">
        <v>45561</v>
      </c>
      <c r="Y966" s="97" t="s">
        <v>1576</v>
      </c>
      <c r="Z966" s="135" t="s">
        <v>2</v>
      </c>
      <c r="AA966" s="135">
        <v>0</v>
      </c>
    </row>
    <row r="967" spans="1:27" ht="13" customHeight="1">
      <c r="A967" s="11">
        <v>961</v>
      </c>
      <c r="B967" s="47">
        <v>206136721</v>
      </c>
      <c r="C967" s="89" t="s">
        <v>1034</v>
      </c>
      <c r="D967" s="11" t="s">
        <v>1035</v>
      </c>
      <c r="E967" s="11" t="s">
        <v>31</v>
      </c>
      <c r="F967" s="48" t="s">
        <v>74</v>
      </c>
      <c r="G967" s="11" t="s">
        <v>64</v>
      </c>
      <c r="H967" s="48" t="str">
        <f>VLOOKUP(Table1[[#This Row],[Psoft No]],[1]Roster!$C$2:$H$1402,6,)</f>
        <v>AUH1</v>
      </c>
      <c r="I967" s="48" t="b">
        <f>Table1[[#This Row],[Building]]=Table1[[#This Row],[Column1]]</f>
        <v>1</v>
      </c>
      <c r="J967" s="11" t="s">
        <v>75</v>
      </c>
      <c r="K967" s="11">
        <v>1299</v>
      </c>
      <c r="L967" s="49" t="s">
        <v>39</v>
      </c>
      <c r="M967" s="49" t="s">
        <v>76</v>
      </c>
      <c r="N967" s="49" t="s">
        <v>77</v>
      </c>
      <c r="O967" s="49" t="s">
        <v>78</v>
      </c>
      <c r="P967" s="49" t="s">
        <v>89</v>
      </c>
      <c r="Q967" s="49" t="s">
        <v>37</v>
      </c>
      <c r="R967" s="11" t="s">
        <v>80</v>
      </c>
      <c r="S967" s="11" t="s">
        <v>81</v>
      </c>
      <c r="T967" s="11" t="s">
        <v>631</v>
      </c>
      <c r="U967" s="11" t="s">
        <v>632</v>
      </c>
      <c r="V967" s="116" t="s">
        <v>1</v>
      </c>
      <c r="W967" s="88"/>
      <c r="X967" s="51">
        <v>45929</v>
      </c>
      <c r="Y967" s="97" t="s">
        <v>1577</v>
      </c>
      <c r="Z967" s="135" t="s">
        <v>2</v>
      </c>
      <c r="AA967" s="135">
        <v>0</v>
      </c>
    </row>
    <row r="968" spans="1:27" ht="13" customHeight="1">
      <c r="A968" s="11">
        <v>962</v>
      </c>
      <c r="B968" s="47">
        <v>204072300</v>
      </c>
      <c r="C968" s="89" t="s">
        <v>2802</v>
      </c>
      <c r="D968" s="11" t="s">
        <v>2803</v>
      </c>
      <c r="E968" s="48" t="s">
        <v>31</v>
      </c>
      <c r="F968" s="48" t="s">
        <v>74</v>
      </c>
      <c r="G968" s="11" t="s">
        <v>64</v>
      </c>
      <c r="H968" s="48" t="str">
        <f>VLOOKUP(Table1[[#This Row],[Psoft No]],[1]Roster!$C$2:$H$1402,6,)</f>
        <v>AUH1</v>
      </c>
      <c r="I968" s="48" t="b">
        <f>Table1[[#This Row],[Building]]=Table1[[#This Row],[Column1]]</f>
        <v>1</v>
      </c>
      <c r="J968" s="11" t="s">
        <v>75</v>
      </c>
      <c r="K968" s="11">
        <v>1299</v>
      </c>
      <c r="L968" s="49" t="s">
        <v>39</v>
      </c>
      <c r="M968" s="49" t="s">
        <v>76</v>
      </c>
      <c r="N968" s="49" t="s">
        <v>84</v>
      </c>
      <c r="O968" s="49" t="s">
        <v>85</v>
      </c>
      <c r="P968" s="48" t="s">
        <v>86</v>
      </c>
      <c r="Q968" s="49" t="s">
        <v>37</v>
      </c>
      <c r="R968" s="11" t="s">
        <v>80</v>
      </c>
      <c r="S968" s="11" t="s">
        <v>90</v>
      </c>
      <c r="T968" s="49" t="s">
        <v>2845</v>
      </c>
      <c r="U968" s="11" t="s">
        <v>2846</v>
      </c>
      <c r="V968" s="116" t="s">
        <v>1</v>
      </c>
      <c r="W968" s="88"/>
      <c r="X968" s="51">
        <v>45558</v>
      </c>
      <c r="Y968" s="97" t="s">
        <v>1577</v>
      </c>
      <c r="Z968" s="135" t="s">
        <v>2</v>
      </c>
      <c r="AA968" s="135">
        <v>0</v>
      </c>
    </row>
    <row r="969" spans="1:27" ht="13" customHeight="1">
      <c r="A969" s="11">
        <v>963</v>
      </c>
      <c r="B969" s="47">
        <v>206886737</v>
      </c>
      <c r="C969" s="89" t="s">
        <v>1843</v>
      </c>
      <c r="D969" s="11" t="s">
        <v>1844</v>
      </c>
      <c r="E969" s="48" t="s">
        <v>31</v>
      </c>
      <c r="F969" s="48" t="s">
        <v>74</v>
      </c>
      <c r="G969" s="11" t="s">
        <v>64</v>
      </c>
      <c r="H969" s="48" t="str">
        <f>VLOOKUP(Table1[[#This Row],[Psoft No]],[1]Roster!$C$2:$H$1402,6,)</f>
        <v>AUH1</v>
      </c>
      <c r="I969" s="48" t="b">
        <f>Table1[[#This Row],[Building]]=Table1[[#This Row],[Column1]]</f>
        <v>1</v>
      </c>
      <c r="J969" s="11" t="s">
        <v>75</v>
      </c>
      <c r="K969" s="11">
        <v>1299</v>
      </c>
      <c r="L969" s="49" t="s">
        <v>39</v>
      </c>
      <c r="M969" s="49" t="s">
        <v>76</v>
      </c>
      <c r="N969" s="49" t="s">
        <v>78</v>
      </c>
      <c r="O969" s="49" t="s">
        <v>92</v>
      </c>
      <c r="P969" s="48" t="s">
        <v>89</v>
      </c>
      <c r="Q969" s="49" t="s">
        <v>37</v>
      </c>
      <c r="R969" s="11" t="s">
        <v>80</v>
      </c>
      <c r="S969" s="11" t="s">
        <v>96</v>
      </c>
      <c r="T969" s="11" t="s">
        <v>1066</v>
      </c>
      <c r="U969" s="11" t="s">
        <v>2717</v>
      </c>
      <c r="V969" s="116" t="s">
        <v>10</v>
      </c>
      <c r="W969" s="88"/>
      <c r="X969" s="51">
        <v>46027</v>
      </c>
      <c r="Y969" s="97" t="s">
        <v>1577</v>
      </c>
      <c r="Z969" s="135" t="s">
        <v>3023</v>
      </c>
      <c r="AA969" s="135">
        <v>0</v>
      </c>
    </row>
    <row r="970" spans="1:27" ht="13" customHeight="1">
      <c r="A970" s="11">
        <v>964</v>
      </c>
      <c r="B970" s="47">
        <v>203965605</v>
      </c>
      <c r="C970" s="89" t="s">
        <v>1036</v>
      </c>
      <c r="D970" s="11" t="s">
        <v>1037</v>
      </c>
      <c r="E970" s="48" t="s">
        <v>31</v>
      </c>
      <c r="F970" s="48" t="s">
        <v>74</v>
      </c>
      <c r="G970" s="11" t="s">
        <v>64</v>
      </c>
      <c r="H970" s="48" t="str">
        <f>VLOOKUP(Table1[[#This Row],[Psoft No]],[1]Roster!$C$2:$H$1402,6,)</f>
        <v>AUH1</v>
      </c>
      <c r="I970" s="48" t="b">
        <f>Table1[[#This Row],[Building]]=Table1[[#This Row],[Column1]]</f>
        <v>1</v>
      </c>
      <c r="J970" s="11" t="s">
        <v>75</v>
      </c>
      <c r="K970" s="11">
        <v>1299</v>
      </c>
      <c r="L970" s="49" t="s">
        <v>32</v>
      </c>
      <c r="M970" s="49" t="s">
        <v>76</v>
      </c>
      <c r="N970" s="49" t="s">
        <v>78</v>
      </c>
      <c r="O970" s="49" t="s">
        <v>92</v>
      </c>
      <c r="P970" s="49" t="s">
        <v>86</v>
      </c>
      <c r="Q970" s="49" t="s">
        <v>37</v>
      </c>
      <c r="R970" s="11" t="s">
        <v>80</v>
      </c>
      <c r="S970" s="11" t="s">
        <v>99</v>
      </c>
      <c r="T970" s="49" t="s">
        <v>639</v>
      </c>
      <c r="U970" s="11" t="s">
        <v>2718</v>
      </c>
      <c r="V970" s="116" t="s">
        <v>10</v>
      </c>
      <c r="W970" s="88"/>
      <c r="X970" s="51">
        <v>45544</v>
      </c>
      <c r="Y970" s="97" t="s">
        <v>1577</v>
      </c>
      <c r="Z970" s="135" t="s">
        <v>3023</v>
      </c>
      <c r="AA970" s="135">
        <v>0</v>
      </c>
    </row>
    <row r="971" spans="1:27" ht="13" customHeight="1">
      <c r="A971" s="11">
        <v>965</v>
      </c>
      <c r="B971" s="47">
        <v>203965410</v>
      </c>
      <c r="C971" s="89" t="s">
        <v>1038</v>
      </c>
      <c r="D971" s="11" t="s">
        <v>1039</v>
      </c>
      <c r="E971" s="48" t="s">
        <v>31</v>
      </c>
      <c r="F971" s="48" t="s">
        <v>74</v>
      </c>
      <c r="G971" s="11" t="s">
        <v>64</v>
      </c>
      <c r="H971" s="48" t="str">
        <f>VLOOKUP(Table1[[#This Row],[Psoft No]],[1]Roster!$C$2:$H$1402,6,)</f>
        <v>AUH1</v>
      </c>
      <c r="I971" s="48" t="b">
        <f>Table1[[#This Row],[Building]]=Table1[[#This Row],[Column1]]</f>
        <v>1</v>
      </c>
      <c r="J971" s="11" t="s">
        <v>75</v>
      </c>
      <c r="K971" s="11">
        <v>1299</v>
      </c>
      <c r="L971" s="49" t="s">
        <v>39</v>
      </c>
      <c r="M971" s="49" t="s">
        <v>76</v>
      </c>
      <c r="N971" s="49" t="s">
        <v>95</v>
      </c>
      <c r="O971" s="49" t="s">
        <v>77</v>
      </c>
      <c r="P971" s="48" t="s">
        <v>79</v>
      </c>
      <c r="Q971" s="49" t="s">
        <v>37</v>
      </c>
      <c r="R971" s="11" t="s">
        <v>80</v>
      </c>
      <c r="S971" s="11" t="s">
        <v>81</v>
      </c>
      <c r="T971" s="11" t="s">
        <v>647</v>
      </c>
      <c r="U971" s="11" t="s">
        <v>1798</v>
      </c>
      <c r="V971" s="116" t="s">
        <v>1</v>
      </c>
      <c r="W971" s="88"/>
      <c r="X971" s="51">
        <v>45544</v>
      </c>
      <c r="Y971" s="97" t="s">
        <v>1577</v>
      </c>
      <c r="Z971" s="135" t="s">
        <v>2</v>
      </c>
      <c r="AA971" s="135">
        <v>0</v>
      </c>
    </row>
    <row r="972" spans="1:27" ht="13" customHeight="1">
      <c r="A972" s="11">
        <v>966</v>
      </c>
      <c r="B972" s="47">
        <v>202419640</v>
      </c>
      <c r="C972" s="89" t="s">
        <v>1040</v>
      </c>
      <c r="D972" s="11" t="s">
        <v>1041</v>
      </c>
      <c r="E972" s="48" t="s">
        <v>31</v>
      </c>
      <c r="F972" s="48" t="s">
        <v>74</v>
      </c>
      <c r="G972" s="11" t="s">
        <v>64</v>
      </c>
      <c r="H972" s="48" t="str">
        <f>VLOOKUP(Table1[[#This Row],[Psoft No]],[1]Roster!$C$2:$H$1402,6,)</f>
        <v>AUH1</v>
      </c>
      <c r="I972" s="48" t="b">
        <f>Table1[[#This Row],[Building]]=Table1[[#This Row],[Column1]]</f>
        <v>1</v>
      </c>
      <c r="J972" s="11" t="s">
        <v>75</v>
      </c>
      <c r="K972" s="11">
        <v>1299</v>
      </c>
      <c r="L972" s="49" t="s">
        <v>39</v>
      </c>
      <c r="M972" s="49" t="s">
        <v>76</v>
      </c>
      <c r="N972" s="49" t="s">
        <v>78</v>
      </c>
      <c r="O972" s="49" t="s">
        <v>92</v>
      </c>
      <c r="P972" s="49" t="s">
        <v>86</v>
      </c>
      <c r="Q972" s="49" t="s">
        <v>37</v>
      </c>
      <c r="R972" s="11" t="s">
        <v>80</v>
      </c>
      <c r="S972" s="11" t="s">
        <v>87</v>
      </c>
      <c r="T972" s="11" t="s">
        <v>631</v>
      </c>
      <c r="U972" s="11" t="s">
        <v>632</v>
      </c>
      <c r="V972" s="116" t="s">
        <v>10</v>
      </c>
      <c r="W972" s="88"/>
      <c r="X972" s="51">
        <v>45561</v>
      </c>
      <c r="Y972" s="97" t="s">
        <v>1578</v>
      </c>
      <c r="Z972" s="135" t="s">
        <v>3023</v>
      </c>
      <c r="AA972" s="135">
        <v>0</v>
      </c>
    </row>
    <row r="973" spans="1:27" ht="13" customHeight="1">
      <c r="A973" s="11">
        <v>967</v>
      </c>
      <c r="B973" s="47">
        <v>204138114</v>
      </c>
      <c r="C973" s="89" t="s">
        <v>1042</v>
      </c>
      <c r="D973" s="79" t="s">
        <v>1043</v>
      </c>
      <c r="E973" s="48" t="s">
        <v>31</v>
      </c>
      <c r="F973" s="48" t="s">
        <v>74</v>
      </c>
      <c r="G973" s="11" t="s">
        <v>64</v>
      </c>
      <c r="H973" s="48" t="str">
        <f>VLOOKUP(Table1[[#This Row],[Psoft No]],[1]Roster!$C$2:$H$1402,6,)</f>
        <v>AUH1</v>
      </c>
      <c r="I973" s="48" t="b">
        <f>Table1[[#This Row],[Building]]=Table1[[#This Row],[Column1]]</f>
        <v>1</v>
      </c>
      <c r="J973" s="11" t="s">
        <v>75</v>
      </c>
      <c r="K973" s="11">
        <v>1299</v>
      </c>
      <c r="L973" s="49" t="s">
        <v>32</v>
      </c>
      <c r="M973" s="49" t="s">
        <v>76</v>
      </c>
      <c r="N973" s="49" t="s">
        <v>95</v>
      </c>
      <c r="O973" s="49" t="s">
        <v>77</v>
      </c>
      <c r="P973" s="48" t="s">
        <v>86</v>
      </c>
      <c r="Q973" s="49" t="s">
        <v>37</v>
      </c>
      <c r="R973" s="11" t="s">
        <v>80</v>
      </c>
      <c r="S973" s="74" t="s">
        <v>87</v>
      </c>
      <c r="T973" s="11" t="s">
        <v>631</v>
      </c>
      <c r="U973" s="11" t="s">
        <v>632</v>
      </c>
      <c r="V973" s="116" t="str">
        <f>VLOOKUP(Table1[[#This Row],[Psoft No]],[2]Sheet1!$A$2:$G$386,7,0)</f>
        <v>P</v>
      </c>
      <c r="W973" s="88"/>
      <c r="X973" s="51">
        <v>45565</v>
      </c>
      <c r="Y973" s="97" t="s">
        <v>1577</v>
      </c>
      <c r="Z973" s="135" t="s">
        <v>2</v>
      </c>
      <c r="AA973" s="135">
        <v>0</v>
      </c>
    </row>
    <row r="974" spans="1:27" ht="13" customHeight="1">
      <c r="A974" s="11">
        <v>968</v>
      </c>
      <c r="B974" s="47">
        <v>203965009</v>
      </c>
      <c r="C974" s="89" t="s">
        <v>1044</v>
      </c>
      <c r="D974" s="79" t="s">
        <v>1045</v>
      </c>
      <c r="E974" s="48" t="s">
        <v>31</v>
      </c>
      <c r="F974" s="48" t="s">
        <v>74</v>
      </c>
      <c r="G974" s="11" t="s">
        <v>64</v>
      </c>
      <c r="H974" s="48" t="str">
        <f>VLOOKUP(Table1[[#This Row],[Psoft No]],[1]Roster!$C$2:$H$1402,6,)</f>
        <v>AUH1</v>
      </c>
      <c r="I974" s="48" t="b">
        <f>Table1[[#This Row],[Building]]=Table1[[#This Row],[Column1]]</f>
        <v>1</v>
      </c>
      <c r="J974" s="11" t="s">
        <v>75</v>
      </c>
      <c r="K974" s="11">
        <v>1299</v>
      </c>
      <c r="L974" s="49" t="s">
        <v>32</v>
      </c>
      <c r="M974" s="49" t="s">
        <v>76</v>
      </c>
      <c r="N974" s="49" t="s">
        <v>88</v>
      </c>
      <c r="O974" s="49" t="s">
        <v>95</v>
      </c>
      <c r="P974" s="49" t="s">
        <v>86</v>
      </c>
      <c r="Q974" s="49" t="s">
        <v>37</v>
      </c>
      <c r="R974" s="11" t="s">
        <v>80</v>
      </c>
      <c r="S974" s="11" t="s">
        <v>99</v>
      </c>
      <c r="T974" s="11" t="s">
        <v>627</v>
      </c>
      <c r="U974" s="11" t="s">
        <v>628</v>
      </c>
      <c r="V974" s="116" t="str">
        <f>VLOOKUP(Table1[[#This Row],[Psoft No]],[2]Sheet1!$A$2:$G$386,7,0)</f>
        <v>P</v>
      </c>
      <c r="W974" s="88"/>
      <c r="X974" s="51">
        <v>45544</v>
      </c>
      <c r="Y974" s="97" t="s">
        <v>1577</v>
      </c>
      <c r="Z974" s="135" t="s">
        <v>2</v>
      </c>
      <c r="AA974" s="135">
        <v>0</v>
      </c>
    </row>
    <row r="975" spans="1:27" ht="13" customHeight="1">
      <c r="A975" s="11">
        <v>969</v>
      </c>
      <c r="B975" s="47">
        <v>205280538</v>
      </c>
      <c r="C975" s="89" t="s">
        <v>2804</v>
      </c>
      <c r="D975" s="79" t="s">
        <v>2805</v>
      </c>
      <c r="E975" s="48" t="s">
        <v>31</v>
      </c>
      <c r="F975" s="48" t="s">
        <v>74</v>
      </c>
      <c r="G975" s="11" t="s">
        <v>64</v>
      </c>
      <c r="H975" s="48" t="str">
        <f>VLOOKUP(Table1[[#This Row],[Psoft No]],[1]Roster!$C$2:$H$1402,6,)</f>
        <v>AUH1</v>
      </c>
      <c r="I975" s="48" t="b">
        <f>Table1[[#This Row],[Building]]=Table1[[#This Row],[Column1]]</f>
        <v>1</v>
      </c>
      <c r="J975" s="11" t="s">
        <v>75</v>
      </c>
      <c r="K975" s="11">
        <v>1299</v>
      </c>
      <c r="L975" s="49" t="s">
        <v>39</v>
      </c>
      <c r="M975" s="49" t="s">
        <v>76</v>
      </c>
      <c r="N975" s="49" t="s">
        <v>77</v>
      </c>
      <c r="O975" s="49" t="s">
        <v>78</v>
      </c>
      <c r="P975" s="48" t="s">
        <v>89</v>
      </c>
      <c r="Q975" s="49" t="s">
        <v>37</v>
      </c>
      <c r="R975" s="11" t="s">
        <v>80</v>
      </c>
      <c r="S975" s="11" t="s">
        <v>96</v>
      </c>
      <c r="T975" s="11" t="s">
        <v>627</v>
      </c>
      <c r="U975" s="11" t="s">
        <v>628</v>
      </c>
      <c r="V975" s="116" t="s">
        <v>1</v>
      </c>
      <c r="W975" s="88"/>
      <c r="X975" s="51">
        <v>46048</v>
      </c>
      <c r="Y975" s="97" t="s">
        <v>1576</v>
      </c>
      <c r="Z975" s="135" t="s">
        <v>2</v>
      </c>
      <c r="AA975" s="135">
        <v>0</v>
      </c>
    </row>
    <row r="976" spans="1:27" ht="13" customHeight="1">
      <c r="A976" s="11">
        <v>970</v>
      </c>
      <c r="B976" s="47">
        <v>204053439</v>
      </c>
      <c r="C976" s="89" t="s">
        <v>1046</v>
      </c>
      <c r="D976" s="79" t="s">
        <v>1047</v>
      </c>
      <c r="E976" s="48" t="s">
        <v>31</v>
      </c>
      <c r="F976" s="48" t="s">
        <v>74</v>
      </c>
      <c r="G976" s="11" t="s">
        <v>64</v>
      </c>
      <c r="H976" s="48" t="str">
        <f>VLOOKUP(Table1[[#This Row],[Psoft No]],[1]Roster!$C$2:$H$1402,6,)</f>
        <v>AUH1</v>
      </c>
      <c r="I976" s="48" t="b">
        <f>Table1[[#This Row],[Building]]=Table1[[#This Row],[Column1]]</f>
        <v>1</v>
      </c>
      <c r="J976" s="11" t="s">
        <v>75</v>
      </c>
      <c r="K976" s="11">
        <v>1299</v>
      </c>
      <c r="L976" s="49" t="s">
        <v>32</v>
      </c>
      <c r="M976" s="49" t="s">
        <v>76</v>
      </c>
      <c r="N976" s="49" t="s">
        <v>95</v>
      </c>
      <c r="O976" s="49" t="s">
        <v>77</v>
      </c>
      <c r="P976" s="48" t="s">
        <v>86</v>
      </c>
      <c r="Q976" s="49" t="s">
        <v>37</v>
      </c>
      <c r="R976" s="11" t="s">
        <v>80</v>
      </c>
      <c r="S976" s="11" t="s">
        <v>99</v>
      </c>
      <c r="T976" s="49" t="s">
        <v>647</v>
      </c>
      <c r="U976" s="11" t="s">
        <v>1798</v>
      </c>
      <c r="V976" s="116" t="str">
        <f>VLOOKUP(Table1[[#This Row],[Psoft No]],[2]Sheet1!$A$2:$G$386,7,0)</f>
        <v>P</v>
      </c>
      <c r="W976" s="88"/>
      <c r="X976" s="51">
        <v>45558</v>
      </c>
      <c r="Y976" s="97" t="s">
        <v>1576</v>
      </c>
      <c r="Z976" s="135" t="s">
        <v>2</v>
      </c>
      <c r="AA976" s="135">
        <v>0</v>
      </c>
    </row>
    <row r="977" spans="1:27" ht="13" customHeight="1">
      <c r="A977" s="11">
        <v>971</v>
      </c>
      <c r="B977" s="47">
        <v>203800778</v>
      </c>
      <c r="C977" s="89" t="s">
        <v>1048</v>
      </c>
      <c r="D977" s="95" t="s">
        <v>1049</v>
      </c>
      <c r="E977" s="47" t="s">
        <v>31</v>
      </c>
      <c r="F977" s="48" t="s">
        <v>74</v>
      </c>
      <c r="G977" s="11" t="s">
        <v>64</v>
      </c>
      <c r="H977" s="48" t="str">
        <f>VLOOKUP(Table1[[#This Row],[Psoft No]],[1]Roster!$C$2:$H$1402,6,)</f>
        <v>AUH1</v>
      </c>
      <c r="I977" s="48" t="b">
        <f>Table1[[#This Row],[Building]]=Table1[[#This Row],[Column1]]</f>
        <v>1</v>
      </c>
      <c r="J977" s="11" t="s">
        <v>75</v>
      </c>
      <c r="K977" s="47">
        <v>1299</v>
      </c>
      <c r="L977" s="49" t="s">
        <v>39</v>
      </c>
      <c r="M977" s="49" t="s">
        <v>76</v>
      </c>
      <c r="N977" s="49" t="s">
        <v>78</v>
      </c>
      <c r="O977" s="49" t="s">
        <v>92</v>
      </c>
      <c r="P977" s="49" t="s">
        <v>86</v>
      </c>
      <c r="Q977" s="49" t="s">
        <v>37</v>
      </c>
      <c r="R977" s="11" t="s">
        <v>80</v>
      </c>
      <c r="S977" s="78" t="s">
        <v>90</v>
      </c>
      <c r="T977" s="11" t="s">
        <v>627</v>
      </c>
      <c r="U977" s="11" t="s">
        <v>628</v>
      </c>
      <c r="V977" s="116" t="s">
        <v>10</v>
      </c>
      <c r="W977" s="88"/>
      <c r="X977" s="51">
        <v>45684</v>
      </c>
      <c r="Y977" s="97" t="s">
        <v>1576</v>
      </c>
      <c r="Z977" s="135" t="s">
        <v>3023</v>
      </c>
      <c r="AA977" s="135">
        <v>0</v>
      </c>
    </row>
    <row r="978" spans="1:27" ht="13" customHeight="1">
      <c r="A978" s="11">
        <v>972</v>
      </c>
      <c r="B978" s="47">
        <v>203965008</v>
      </c>
      <c r="C978" s="89" t="s">
        <v>1050</v>
      </c>
      <c r="D978" s="79" t="s">
        <v>1051</v>
      </c>
      <c r="E978" s="48" t="s">
        <v>31</v>
      </c>
      <c r="F978" s="48" t="s">
        <v>74</v>
      </c>
      <c r="G978" s="11" t="s">
        <v>64</v>
      </c>
      <c r="H978" s="48" t="str">
        <f>VLOOKUP(Table1[[#This Row],[Psoft No]],[1]Roster!$C$2:$H$1402,6,)</f>
        <v>AUH1</v>
      </c>
      <c r="I978" s="48" t="b">
        <f>Table1[[#This Row],[Building]]=Table1[[#This Row],[Column1]]</f>
        <v>1</v>
      </c>
      <c r="J978" s="11" t="s">
        <v>75</v>
      </c>
      <c r="K978" s="11">
        <v>1299</v>
      </c>
      <c r="L978" s="49" t="s">
        <v>39</v>
      </c>
      <c r="M978" s="49" t="s">
        <v>76</v>
      </c>
      <c r="N978" s="49" t="s">
        <v>95</v>
      </c>
      <c r="O978" s="49" t="s">
        <v>77</v>
      </c>
      <c r="P978" s="48" t="s">
        <v>86</v>
      </c>
      <c r="Q978" s="49" t="s">
        <v>37</v>
      </c>
      <c r="R978" s="11" t="s">
        <v>80</v>
      </c>
      <c r="S978" s="11" t="s">
        <v>99</v>
      </c>
      <c r="T978" s="49" t="s">
        <v>647</v>
      </c>
      <c r="U978" s="11" t="s">
        <v>1798</v>
      </c>
      <c r="V978" s="116" t="s">
        <v>1</v>
      </c>
      <c r="W978" s="88"/>
      <c r="X978" s="51">
        <v>45544</v>
      </c>
      <c r="Y978" s="97" t="s">
        <v>1577</v>
      </c>
      <c r="Z978" s="135" t="s">
        <v>2</v>
      </c>
      <c r="AA978" s="135">
        <v>0</v>
      </c>
    </row>
    <row r="979" spans="1:27" ht="13" customHeight="1">
      <c r="A979" s="11">
        <v>973</v>
      </c>
      <c r="B979" s="47">
        <v>203880400</v>
      </c>
      <c r="C979" s="89" t="s">
        <v>1052</v>
      </c>
      <c r="D979" s="79" t="s">
        <v>1053</v>
      </c>
      <c r="E979" s="48" t="s">
        <v>31</v>
      </c>
      <c r="F979" s="48" t="s">
        <v>74</v>
      </c>
      <c r="G979" s="48" t="s">
        <v>64</v>
      </c>
      <c r="H979" s="48" t="str">
        <f>VLOOKUP(Table1[[#This Row],[Psoft No]],[1]Roster!$C$2:$H$1402,6,)</f>
        <v>AUH1</v>
      </c>
      <c r="I979" s="48" t="b">
        <f>Table1[[#This Row],[Building]]=Table1[[#This Row],[Column1]]</f>
        <v>1</v>
      </c>
      <c r="J979" s="48" t="s">
        <v>75</v>
      </c>
      <c r="K979" s="11">
        <v>1299</v>
      </c>
      <c r="L979" s="49" t="s">
        <v>39</v>
      </c>
      <c r="M979" s="49" t="s">
        <v>76</v>
      </c>
      <c r="N979" s="49" t="s">
        <v>92</v>
      </c>
      <c r="O979" s="49" t="s">
        <v>84</v>
      </c>
      <c r="P979" s="49" t="s">
        <v>79</v>
      </c>
      <c r="Q979" s="48" t="s">
        <v>37</v>
      </c>
      <c r="R979" s="48" t="s">
        <v>80</v>
      </c>
      <c r="S979" s="11" t="s">
        <v>81</v>
      </c>
      <c r="T979" s="11" t="s">
        <v>647</v>
      </c>
      <c r="U979" s="11" t="s">
        <v>1798</v>
      </c>
      <c r="V979" s="116" t="s">
        <v>10</v>
      </c>
      <c r="W979" s="88"/>
      <c r="X979" s="51">
        <v>45530</v>
      </c>
      <c r="Y979" s="97" t="s">
        <v>1577</v>
      </c>
      <c r="Z979" s="135" t="s">
        <v>3023</v>
      </c>
      <c r="AA979" s="135">
        <v>0</v>
      </c>
    </row>
    <row r="980" spans="1:27" ht="13" customHeight="1">
      <c r="A980" s="11">
        <v>974</v>
      </c>
      <c r="B980" s="92">
        <v>206886735</v>
      </c>
      <c r="C980" s="47" t="s">
        <v>1845</v>
      </c>
      <c r="D980" s="96" t="s">
        <v>1846</v>
      </c>
      <c r="E980" s="48" t="s">
        <v>31</v>
      </c>
      <c r="F980" s="48" t="s">
        <v>74</v>
      </c>
      <c r="G980" s="11" t="s">
        <v>64</v>
      </c>
      <c r="H980" s="48" t="str">
        <f>VLOOKUP(Table1[[#This Row],[Psoft No]],[1]Roster!$C$2:$H$1402,6,)</f>
        <v>AUH1</v>
      </c>
      <c r="I980" s="48" t="b">
        <f>Table1[[#This Row],[Building]]=Table1[[#This Row],[Column1]]</f>
        <v>1</v>
      </c>
      <c r="J980" s="11" t="s">
        <v>75</v>
      </c>
      <c r="K980" s="11">
        <v>1299</v>
      </c>
      <c r="L980" s="49" t="s">
        <v>32</v>
      </c>
      <c r="M980" s="49" t="s">
        <v>76</v>
      </c>
      <c r="N980" s="49" t="s">
        <v>85</v>
      </c>
      <c r="O980" s="49" t="s">
        <v>88</v>
      </c>
      <c r="P980" s="49" t="s">
        <v>89</v>
      </c>
      <c r="Q980" s="49" t="s">
        <v>37</v>
      </c>
      <c r="R980" s="11" t="s">
        <v>80</v>
      </c>
      <c r="S980" s="11" t="s">
        <v>96</v>
      </c>
      <c r="T980" s="11" t="s">
        <v>1066</v>
      </c>
      <c r="U980" s="11" t="s">
        <v>2717</v>
      </c>
      <c r="V980" s="116" t="str">
        <f>VLOOKUP(Table1[[#This Row],[Psoft No]],[2]Sheet1!$A$2:$G$386,7,0)</f>
        <v>P</v>
      </c>
      <c r="W980" s="88"/>
      <c r="X980" s="51">
        <v>46027</v>
      </c>
      <c r="Y980" s="97" t="s">
        <v>1577</v>
      </c>
      <c r="Z980" s="135" t="s">
        <v>2</v>
      </c>
      <c r="AA980" s="135">
        <v>0</v>
      </c>
    </row>
    <row r="981" spans="1:27" ht="13" customHeight="1">
      <c r="A981" s="11">
        <v>975</v>
      </c>
      <c r="B981" s="47">
        <v>205997633</v>
      </c>
      <c r="C981" s="89" t="s">
        <v>1054</v>
      </c>
      <c r="D981" s="79" t="s">
        <v>1055</v>
      </c>
      <c r="E981" s="48" t="s">
        <v>31</v>
      </c>
      <c r="F981" s="48" t="s">
        <v>74</v>
      </c>
      <c r="G981" s="11" t="s">
        <v>64</v>
      </c>
      <c r="H981" s="48" t="str">
        <f>VLOOKUP(Table1[[#This Row],[Psoft No]],[1]Roster!$C$2:$H$1402,6,)</f>
        <v>AUH1</v>
      </c>
      <c r="I981" s="48" t="b">
        <f>Table1[[#This Row],[Building]]=Table1[[#This Row],[Column1]]</f>
        <v>1</v>
      </c>
      <c r="J981" s="11" t="s">
        <v>75</v>
      </c>
      <c r="K981" s="11">
        <v>1299</v>
      </c>
      <c r="L981" s="49" t="s">
        <v>39</v>
      </c>
      <c r="M981" s="49" t="s">
        <v>76</v>
      </c>
      <c r="N981" s="49" t="s">
        <v>88</v>
      </c>
      <c r="O981" s="49" t="s">
        <v>95</v>
      </c>
      <c r="P981" s="48" t="s">
        <v>79</v>
      </c>
      <c r="Q981" s="49" t="s">
        <v>37</v>
      </c>
      <c r="R981" s="11" t="s">
        <v>80</v>
      </c>
      <c r="S981" s="11" t="s">
        <v>81</v>
      </c>
      <c r="T981" s="49" t="s">
        <v>647</v>
      </c>
      <c r="U981" s="47" t="s">
        <v>1798</v>
      </c>
      <c r="V981" s="116" t="s">
        <v>1</v>
      </c>
      <c r="W981" s="88"/>
      <c r="X981" s="51">
        <v>45915</v>
      </c>
      <c r="Y981" s="97" t="s">
        <v>1577</v>
      </c>
      <c r="Z981" s="135" t="s">
        <v>2</v>
      </c>
      <c r="AA981" s="135">
        <v>0</v>
      </c>
    </row>
    <row r="982" spans="1:27" ht="13" customHeight="1">
      <c r="A982" s="11">
        <v>976</v>
      </c>
      <c r="B982" s="47">
        <v>113433097</v>
      </c>
      <c r="C982" s="89" t="s">
        <v>1056</v>
      </c>
      <c r="D982" s="79" t="s">
        <v>1057</v>
      </c>
      <c r="E982" s="48" t="s">
        <v>31</v>
      </c>
      <c r="F982" s="48" t="s">
        <v>74</v>
      </c>
      <c r="G982" s="11" t="s">
        <v>64</v>
      </c>
      <c r="H982" s="48" t="str">
        <f>VLOOKUP(Table1[[#This Row],[Psoft No]],[1]Roster!$C$2:$H$1402,6,)</f>
        <v>AUH1</v>
      </c>
      <c r="I982" s="48" t="b">
        <f>Table1[[#This Row],[Building]]=Table1[[#This Row],[Column1]]</f>
        <v>1</v>
      </c>
      <c r="J982" s="11" t="s">
        <v>75</v>
      </c>
      <c r="K982" s="11">
        <v>1299</v>
      </c>
      <c r="L982" s="49" t="s">
        <v>32</v>
      </c>
      <c r="M982" s="49" t="s">
        <v>76</v>
      </c>
      <c r="N982" s="49" t="s">
        <v>84</v>
      </c>
      <c r="O982" s="49" t="s">
        <v>85</v>
      </c>
      <c r="P982" s="48" t="s">
        <v>86</v>
      </c>
      <c r="Q982" s="49" t="s">
        <v>37</v>
      </c>
      <c r="R982" s="11" t="s">
        <v>80</v>
      </c>
      <c r="S982" s="11" t="s">
        <v>99</v>
      </c>
      <c r="T982" s="11" t="s">
        <v>1066</v>
      </c>
      <c r="U982" s="11" t="s">
        <v>2717</v>
      </c>
      <c r="V982" s="116" t="str">
        <f>VLOOKUP(Table1[[#This Row],[Psoft No]],[2]Sheet1!$A$2:$G$386,7,0)</f>
        <v>P</v>
      </c>
      <c r="W982" s="88"/>
      <c r="X982" s="51">
        <v>45537</v>
      </c>
      <c r="Y982" s="97" t="s">
        <v>1577</v>
      </c>
      <c r="Z982" s="135" t="s">
        <v>2</v>
      </c>
      <c r="AA982" s="135">
        <v>0</v>
      </c>
    </row>
    <row r="983" spans="1:27" ht="13" customHeight="1">
      <c r="A983" s="11">
        <v>977</v>
      </c>
      <c r="B983" s="47">
        <v>205845295</v>
      </c>
      <c r="C983" s="89" t="s">
        <v>1058</v>
      </c>
      <c r="D983" s="79" t="s">
        <v>1059</v>
      </c>
      <c r="E983" s="48" t="s">
        <v>31</v>
      </c>
      <c r="F983" s="48" t="s">
        <v>74</v>
      </c>
      <c r="G983" s="11" t="s">
        <v>64</v>
      </c>
      <c r="H983" s="48" t="str">
        <f>VLOOKUP(Table1[[#This Row],[Psoft No]],[1]Roster!$C$2:$H$1402,6,)</f>
        <v>AUH1</v>
      </c>
      <c r="I983" s="48" t="b">
        <f>Table1[[#This Row],[Building]]=Table1[[#This Row],[Column1]]</f>
        <v>1</v>
      </c>
      <c r="J983" s="11" t="s">
        <v>75</v>
      </c>
      <c r="K983" s="11">
        <v>1299</v>
      </c>
      <c r="L983" s="49" t="s">
        <v>39</v>
      </c>
      <c r="M983" s="49" t="s">
        <v>76</v>
      </c>
      <c r="N983" s="49" t="s">
        <v>84</v>
      </c>
      <c r="O983" s="49" t="s">
        <v>85</v>
      </c>
      <c r="P983" s="48" t="s">
        <v>89</v>
      </c>
      <c r="Q983" s="49" t="s">
        <v>37</v>
      </c>
      <c r="R983" s="11" t="s">
        <v>80</v>
      </c>
      <c r="S983" s="11" t="s">
        <v>90</v>
      </c>
      <c r="T983" s="49" t="s">
        <v>627</v>
      </c>
      <c r="U983" s="11" t="s">
        <v>628</v>
      </c>
      <c r="V983" s="116" t="s">
        <v>1</v>
      </c>
      <c r="W983" s="88"/>
      <c r="X983" s="51">
        <v>45894</v>
      </c>
      <c r="Y983" s="97" t="s">
        <v>1576</v>
      </c>
      <c r="Z983" s="135" t="s">
        <v>2</v>
      </c>
      <c r="AA983" s="135">
        <v>0</v>
      </c>
    </row>
    <row r="984" spans="1:27" ht="13" customHeight="1">
      <c r="A984" s="11">
        <v>978</v>
      </c>
      <c r="B984" s="47">
        <v>203850876</v>
      </c>
      <c r="C984" s="89" t="s">
        <v>2351</v>
      </c>
      <c r="D984" s="79" t="s">
        <v>2352</v>
      </c>
      <c r="E984" s="48" t="s">
        <v>31</v>
      </c>
      <c r="F984" s="48" t="s">
        <v>74</v>
      </c>
      <c r="G984" s="11" t="s">
        <v>64</v>
      </c>
      <c r="H984" s="48" t="str">
        <f>VLOOKUP(Table1[[#This Row],[Psoft No]],[1]Roster!$C$2:$H$1402,6,)</f>
        <v>AUH1</v>
      </c>
      <c r="I984" s="48" t="b">
        <f>Table1[[#This Row],[Building]]=Table1[[#This Row],[Column1]]</f>
        <v>1</v>
      </c>
      <c r="J984" s="11" t="s">
        <v>75</v>
      </c>
      <c r="K984" s="11">
        <v>1299</v>
      </c>
      <c r="L984" s="49" t="s">
        <v>32</v>
      </c>
      <c r="M984" s="49" t="s">
        <v>76</v>
      </c>
      <c r="N984" s="49" t="s">
        <v>95</v>
      </c>
      <c r="O984" s="49" t="s">
        <v>77</v>
      </c>
      <c r="P984" s="48" t="s">
        <v>86</v>
      </c>
      <c r="Q984" s="49" t="s">
        <v>37</v>
      </c>
      <c r="R984" s="11" t="s">
        <v>80</v>
      </c>
      <c r="S984" s="11" t="s">
        <v>90</v>
      </c>
      <c r="T984" s="11" t="s">
        <v>1066</v>
      </c>
      <c r="U984" s="11" t="s">
        <v>2717</v>
      </c>
      <c r="V984" s="116" t="str">
        <f>VLOOKUP(Table1[[#This Row],[Psoft No]],[2]Sheet1!$A$2:$G$386,7,0)</f>
        <v>P</v>
      </c>
      <c r="W984" s="88"/>
      <c r="X984" s="51">
        <v>45524</v>
      </c>
      <c r="Y984" s="97" t="s">
        <v>1577</v>
      </c>
      <c r="Z984" s="135" t="s">
        <v>2</v>
      </c>
      <c r="AA984" s="135">
        <v>0</v>
      </c>
    </row>
    <row r="985" spans="1:27" ht="13" customHeight="1">
      <c r="A985" s="11">
        <v>979</v>
      </c>
      <c r="B985" s="47">
        <v>203594431</v>
      </c>
      <c r="C985" s="89" t="s">
        <v>439</v>
      </c>
      <c r="D985" s="79" t="s">
        <v>1948</v>
      </c>
      <c r="E985" s="48" t="s">
        <v>31</v>
      </c>
      <c r="F985" s="48" t="s">
        <v>74</v>
      </c>
      <c r="G985" s="11" t="s">
        <v>64</v>
      </c>
      <c r="H985" s="48" t="str">
        <f>VLOOKUP(Table1[[#This Row],[Psoft No]],[1]Roster!$C$2:$H$1402,6,)</f>
        <v>AUH1</v>
      </c>
      <c r="I985" s="48" t="b">
        <f>Table1[[#This Row],[Building]]=Table1[[#This Row],[Column1]]</f>
        <v>1</v>
      </c>
      <c r="J985" s="11" t="s">
        <v>75</v>
      </c>
      <c r="K985" s="11">
        <v>1299</v>
      </c>
      <c r="L985" s="49" t="s">
        <v>32</v>
      </c>
      <c r="M985" s="49" t="s">
        <v>76</v>
      </c>
      <c r="N985" s="49" t="s">
        <v>78</v>
      </c>
      <c r="O985" s="49" t="s">
        <v>92</v>
      </c>
      <c r="P985" s="49" t="s">
        <v>89</v>
      </c>
      <c r="Q985" s="49" t="s">
        <v>67</v>
      </c>
      <c r="R985" s="11" t="s">
        <v>80</v>
      </c>
      <c r="S985" s="11" t="s">
        <v>81</v>
      </c>
      <c r="T985" s="11" t="s">
        <v>2711</v>
      </c>
      <c r="U985" s="11" t="s">
        <v>2712</v>
      </c>
      <c r="V985" s="116" t="s">
        <v>10</v>
      </c>
      <c r="W985" s="88"/>
      <c r="X985" s="51">
        <v>45915</v>
      </c>
      <c r="Y985" s="102" t="s">
        <v>1568</v>
      </c>
      <c r="Z985" s="135" t="s">
        <v>3023</v>
      </c>
      <c r="AA985" s="135" t="s">
        <v>3015</v>
      </c>
    </row>
    <row r="986" spans="1:27" ht="13" customHeight="1">
      <c r="A986" s="11">
        <v>980</v>
      </c>
      <c r="B986" s="47">
        <v>206491328</v>
      </c>
      <c r="C986" s="89" t="s">
        <v>2877</v>
      </c>
      <c r="D986" s="79" t="s">
        <v>2878</v>
      </c>
      <c r="E986" s="48" t="s">
        <v>31</v>
      </c>
      <c r="F986" s="48" t="s">
        <v>74</v>
      </c>
      <c r="G986" s="11" t="s">
        <v>64</v>
      </c>
      <c r="H986" s="48" t="str">
        <f>VLOOKUP(Table1[[#This Row],[Psoft No]],[1]Roster!$C$2:$H$1402,6,)</f>
        <v>AUH1</v>
      </c>
      <c r="I986" s="48" t="b">
        <f>Table1[[#This Row],[Building]]=Table1[[#This Row],[Column1]]</f>
        <v>1</v>
      </c>
      <c r="J986" s="11" t="s">
        <v>75</v>
      </c>
      <c r="K986" s="11">
        <v>1299</v>
      </c>
      <c r="L986" s="49" t="s">
        <v>39</v>
      </c>
      <c r="M986" s="49" t="s">
        <v>76</v>
      </c>
      <c r="N986" s="49" t="s">
        <v>88</v>
      </c>
      <c r="O986" s="49" t="s">
        <v>95</v>
      </c>
      <c r="P986" s="49" t="s">
        <v>89</v>
      </c>
      <c r="Q986" s="48" t="s">
        <v>37</v>
      </c>
      <c r="R986" s="48" t="s">
        <v>80</v>
      </c>
      <c r="S986" s="11" t="s">
        <v>96</v>
      </c>
      <c r="T986" s="49" t="s">
        <v>1066</v>
      </c>
      <c r="U986" s="11" t="s">
        <v>2717</v>
      </c>
      <c r="V986" s="116" t="s">
        <v>1</v>
      </c>
      <c r="W986" s="88"/>
      <c r="X986" s="51">
        <v>46238</v>
      </c>
      <c r="Y986" s="97" t="s">
        <v>1577</v>
      </c>
      <c r="Z986" s="135" t="s">
        <v>2</v>
      </c>
      <c r="AA986" s="135">
        <v>0</v>
      </c>
    </row>
    <row r="987" spans="1:27" ht="13" customHeight="1">
      <c r="A987" s="11">
        <v>981</v>
      </c>
      <c r="B987" s="47">
        <v>204013683</v>
      </c>
      <c r="C987" s="89" t="s">
        <v>1060</v>
      </c>
      <c r="D987" s="79" t="s">
        <v>1061</v>
      </c>
      <c r="E987" s="48" t="s">
        <v>31</v>
      </c>
      <c r="F987" s="48" t="s">
        <v>74</v>
      </c>
      <c r="G987" s="11" t="s">
        <v>64</v>
      </c>
      <c r="H987" s="48" t="str">
        <f>VLOOKUP(Table1[[#This Row],[Psoft No]],[1]Roster!$C$2:$H$1402,6,)</f>
        <v>AUH1</v>
      </c>
      <c r="I987" s="48" t="b">
        <f>Table1[[#This Row],[Building]]=Table1[[#This Row],[Column1]]</f>
        <v>1</v>
      </c>
      <c r="J987" s="11" t="s">
        <v>75</v>
      </c>
      <c r="K987" s="11">
        <v>1299</v>
      </c>
      <c r="L987" s="49" t="s">
        <v>39</v>
      </c>
      <c r="M987" s="49" t="s">
        <v>76</v>
      </c>
      <c r="N987" s="49" t="s">
        <v>88</v>
      </c>
      <c r="O987" s="49" t="s">
        <v>95</v>
      </c>
      <c r="P987" s="48" t="s">
        <v>79</v>
      </c>
      <c r="Q987" s="49" t="s">
        <v>37</v>
      </c>
      <c r="R987" s="11" t="s">
        <v>80</v>
      </c>
      <c r="S987" s="11" t="s">
        <v>81</v>
      </c>
      <c r="T987" s="49" t="s">
        <v>1066</v>
      </c>
      <c r="U987" s="11" t="s">
        <v>2717</v>
      </c>
      <c r="V987" s="116" t="s">
        <v>1</v>
      </c>
      <c r="W987" s="88"/>
      <c r="X987" s="51">
        <v>45551</v>
      </c>
      <c r="Y987" s="97" t="s">
        <v>1576</v>
      </c>
      <c r="Z987" s="135" t="s">
        <v>2</v>
      </c>
      <c r="AA987" s="135">
        <v>0</v>
      </c>
    </row>
    <row r="988" spans="1:27" ht="13" customHeight="1">
      <c r="A988" s="11">
        <v>982</v>
      </c>
      <c r="B988" s="47">
        <v>205872523</v>
      </c>
      <c r="C988" s="89" t="s">
        <v>1062</v>
      </c>
      <c r="D988" s="79" t="s">
        <v>1063</v>
      </c>
      <c r="E988" s="48" t="s">
        <v>31</v>
      </c>
      <c r="F988" s="48" t="s">
        <v>74</v>
      </c>
      <c r="G988" s="11" t="s">
        <v>64</v>
      </c>
      <c r="H988" s="48" t="str">
        <f>VLOOKUP(Table1[[#This Row],[Psoft No]],[1]Roster!$C$2:$H$1402,6,)</f>
        <v>AUH1</v>
      </c>
      <c r="I988" s="48" t="b">
        <f>Table1[[#This Row],[Building]]=Table1[[#This Row],[Column1]]</f>
        <v>1</v>
      </c>
      <c r="J988" s="11" t="s">
        <v>75</v>
      </c>
      <c r="K988" s="11">
        <v>1299</v>
      </c>
      <c r="L988" s="49" t="s">
        <v>32</v>
      </c>
      <c r="M988" s="49" t="s">
        <v>76</v>
      </c>
      <c r="N988" s="49" t="s">
        <v>95</v>
      </c>
      <c r="O988" s="49" t="s">
        <v>77</v>
      </c>
      <c r="P988" s="48" t="s">
        <v>89</v>
      </c>
      <c r="Q988" s="49" t="s">
        <v>37</v>
      </c>
      <c r="R988" s="11" t="s">
        <v>80</v>
      </c>
      <c r="S988" s="11" t="s">
        <v>90</v>
      </c>
      <c r="T988" s="11" t="s">
        <v>631</v>
      </c>
      <c r="U988" s="11" t="s">
        <v>632</v>
      </c>
      <c r="V988" s="116" t="str">
        <f>VLOOKUP(Table1[[#This Row],[Psoft No]],[2]Sheet1!$A$2:$G$386,7,0)</f>
        <v>P</v>
      </c>
      <c r="W988" s="88"/>
      <c r="X988" s="51">
        <v>45894</v>
      </c>
      <c r="Y988" s="97" t="s">
        <v>1577</v>
      </c>
      <c r="Z988" s="135" t="s">
        <v>2</v>
      </c>
      <c r="AA988" s="135">
        <v>0</v>
      </c>
    </row>
    <row r="989" spans="1:27" ht="13" customHeight="1">
      <c r="A989" s="11">
        <v>983</v>
      </c>
      <c r="B989" s="47">
        <v>113090848</v>
      </c>
      <c r="C989" s="89" t="s">
        <v>1064</v>
      </c>
      <c r="D989" s="79" t="s">
        <v>1065</v>
      </c>
      <c r="E989" s="48" t="s">
        <v>31</v>
      </c>
      <c r="F989" s="48" t="s">
        <v>74</v>
      </c>
      <c r="G989" s="11" t="s">
        <v>64</v>
      </c>
      <c r="H989" s="48" t="str">
        <f>VLOOKUP(Table1[[#This Row],[Psoft No]],[1]Roster!$C$2:$H$1402,6,)</f>
        <v>AUH1</v>
      </c>
      <c r="I989" s="48" t="b">
        <f>Table1[[#This Row],[Building]]=Table1[[#This Row],[Column1]]</f>
        <v>1</v>
      </c>
      <c r="J989" s="11" t="s">
        <v>75</v>
      </c>
      <c r="K989" s="11">
        <v>1299</v>
      </c>
      <c r="L989" s="49" t="s">
        <v>39</v>
      </c>
      <c r="M989" s="49" t="s">
        <v>76</v>
      </c>
      <c r="N989" s="49" t="s">
        <v>78</v>
      </c>
      <c r="O989" s="49" t="s">
        <v>92</v>
      </c>
      <c r="P989" s="48" t="s">
        <v>86</v>
      </c>
      <c r="Q989" s="49" t="s">
        <v>37</v>
      </c>
      <c r="R989" s="11" t="s">
        <v>80</v>
      </c>
      <c r="S989" s="11" t="s">
        <v>87</v>
      </c>
      <c r="T989" s="11" t="s">
        <v>631</v>
      </c>
      <c r="U989" s="11" t="s">
        <v>632</v>
      </c>
      <c r="V989" s="116" t="s">
        <v>10</v>
      </c>
      <c r="W989" s="88"/>
      <c r="X989" s="51">
        <v>45586</v>
      </c>
      <c r="Y989" s="97" t="s">
        <v>1576</v>
      </c>
      <c r="Z989" s="135" t="s">
        <v>3023</v>
      </c>
      <c r="AA989" s="135">
        <v>0</v>
      </c>
    </row>
    <row r="990" spans="1:27" ht="13" customHeight="1">
      <c r="A990" s="11">
        <v>984</v>
      </c>
      <c r="B990" s="47">
        <v>109808062</v>
      </c>
      <c r="C990" s="89" t="s">
        <v>1067</v>
      </c>
      <c r="D990" s="79" t="s">
        <v>1068</v>
      </c>
      <c r="E990" s="48" t="s">
        <v>34</v>
      </c>
      <c r="F990" s="48" t="s">
        <v>74</v>
      </c>
      <c r="G990" s="11" t="s">
        <v>64</v>
      </c>
      <c r="H990" s="48" t="str">
        <f>VLOOKUP(Table1[[#This Row],[Psoft No]],[1]Roster!$C$2:$H$1402,6,)</f>
        <v>AUH1</v>
      </c>
      <c r="I990" s="48" t="b">
        <f>Table1[[#This Row],[Building]]=Table1[[#This Row],[Column1]]</f>
        <v>1</v>
      </c>
      <c r="J990" s="11" t="s">
        <v>75</v>
      </c>
      <c r="K990" s="11">
        <v>1299</v>
      </c>
      <c r="L990" s="49" t="s">
        <v>39</v>
      </c>
      <c r="M990" s="49" t="s">
        <v>76</v>
      </c>
      <c r="N990" s="49" t="s">
        <v>95</v>
      </c>
      <c r="O990" s="49" t="s">
        <v>77</v>
      </c>
      <c r="P990" s="48" t="s">
        <v>108</v>
      </c>
      <c r="Q990" s="49" t="s">
        <v>37</v>
      </c>
      <c r="R990" s="11" t="s">
        <v>80</v>
      </c>
      <c r="S990" s="11" t="s">
        <v>98</v>
      </c>
      <c r="T990" s="11" t="s">
        <v>647</v>
      </c>
      <c r="U990" s="11" t="s">
        <v>1798</v>
      </c>
      <c r="V990" s="116" t="s">
        <v>1</v>
      </c>
      <c r="W990" s="88"/>
      <c r="X990" s="51">
        <v>44782</v>
      </c>
      <c r="Y990" s="97" t="s">
        <v>1578</v>
      </c>
      <c r="Z990" s="135" t="s">
        <v>2</v>
      </c>
      <c r="AA990" s="135">
        <v>0</v>
      </c>
    </row>
    <row r="991" spans="1:27" ht="13" customHeight="1">
      <c r="A991" s="11">
        <v>985</v>
      </c>
      <c r="B991" s="11">
        <v>206850965</v>
      </c>
      <c r="C991" s="89" t="s">
        <v>1809</v>
      </c>
      <c r="D991" s="79" t="s">
        <v>1810</v>
      </c>
      <c r="E991" s="48" t="s">
        <v>31</v>
      </c>
      <c r="F991" s="48" t="s">
        <v>74</v>
      </c>
      <c r="G991" s="11" t="s">
        <v>64</v>
      </c>
      <c r="H991" s="48" t="str">
        <f>VLOOKUP(Table1[[#This Row],[Psoft No]],[1]Roster!$C$2:$H$1402,6,)</f>
        <v>AUH1</v>
      </c>
      <c r="I991" s="48" t="b">
        <f>Table1[[#This Row],[Building]]=Table1[[#This Row],[Column1]]</f>
        <v>1</v>
      </c>
      <c r="J991" s="11" t="s">
        <v>75</v>
      </c>
      <c r="K991" s="11">
        <v>1299</v>
      </c>
      <c r="L991" s="49" t="s">
        <v>32</v>
      </c>
      <c r="M991" s="49" t="s">
        <v>76</v>
      </c>
      <c r="N991" s="49" t="s">
        <v>95</v>
      </c>
      <c r="O991" s="49" t="s">
        <v>77</v>
      </c>
      <c r="P991" s="49" t="s">
        <v>89</v>
      </c>
      <c r="Q991" s="49" t="s">
        <v>37</v>
      </c>
      <c r="R991" s="11" t="s">
        <v>80</v>
      </c>
      <c r="S991" s="2" t="s">
        <v>90</v>
      </c>
      <c r="T991" s="11" t="s">
        <v>2845</v>
      </c>
      <c r="U991" s="54" t="s">
        <v>2846</v>
      </c>
      <c r="V991" s="116" t="str">
        <f>VLOOKUP(Table1[[#This Row],[Psoft No]],[2]Sheet1!$A$2:$G$386,7,0)</f>
        <v>P</v>
      </c>
      <c r="W991" s="88"/>
      <c r="X991" s="51">
        <v>46013</v>
      </c>
      <c r="Y991" s="97" t="s">
        <v>1577</v>
      </c>
      <c r="Z991" s="135" t="s">
        <v>2</v>
      </c>
      <c r="AA991" s="135">
        <v>0</v>
      </c>
    </row>
    <row r="992" spans="1:27" ht="13" customHeight="1">
      <c r="A992" s="11">
        <v>986</v>
      </c>
      <c r="B992" s="47">
        <v>113090891</v>
      </c>
      <c r="C992" s="89" t="s">
        <v>1069</v>
      </c>
      <c r="D992" s="11" t="s">
        <v>1070</v>
      </c>
      <c r="E992" s="103" t="s">
        <v>31</v>
      </c>
      <c r="F992" s="48" t="s">
        <v>74</v>
      </c>
      <c r="G992" s="11" t="s">
        <v>64</v>
      </c>
      <c r="H992" s="48" t="str">
        <f>VLOOKUP(Table1[[#This Row],[Psoft No]],[1]Roster!$C$2:$H$1402,6,)</f>
        <v>AUH1</v>
      </c>
      <c r="I992" s="48" t="b">
        <f>Table1[[#This Row],[Building]]=Table1[[#This Row],[Column1]]</f>
        <v>1</v>
      </c>
      <c r="J992" s="11" t="s">
        <v>75</v>
      </c>
      <c r="K992" s="11">
        <v>1299</v>
      </c>
      <c r="L992" s="49" t="s">
        <v>32</v>
      </c>
      <c r="M992" s="49" t="s">
        <v>76</v>
      </c>
      <c r="N992" s="49" t="s">
        <v>84</v>
      </c>
      <c r="O992" s="49" t="s">
        <v>85</v>
      </c>
      <c r="P992" s="49" t="s">
        <v>86</v>
      </c>
      <c r="Q992" s="49" t="s">
        <v>37</v>
      </c>
      <c r="R992" s="49" t="s">
        <v>80</v>
      </c>
      <c r="S992" s="49" t="s">
        <v>87</v>
      </c>
      <c r="T992" s="11" t="s">
        <v>647</v>
      </c>
      <c r="U992" s="49" t="s">
        <v>1798</v>
      </c>
      <c r="V992" s="116" t="str">
        <f>VLOOKUP(Table1[[#This Row],[Psoft No]],[2]Sheet1!$A$2:$G$386,7,0)</f>
        <v>P</v>
      </c>
      <c r="W992" s="88"/>
      <c r="X992" s="51">
        <v>45589</v>
      </c>
      <c r="Y992" s="97" t="s">
        <v>1577</v>
      </c>
      <c r="Z992" s="135" t="s">
        <v>2</v>
      </c>
      <c r="AA992" s="135">
        <v>0</v>
      </c>
    </row>
    <row r="993" spans="1:27" ht="13" customHeight="1">
      <c r="A993" s="11">
        <v>987</v>
      </c>
      <c r="B993" s="47">
        <v>103909188</v>
      </c>
      <c r="C993" s="89" t="s">
        <v>1071</v>
      </c>
      <c r="D993" s="11" t="s">
        <v>1072</v>
      </c>
      <c r="E993" s="48" t="s">
        <v>34</v>
      </c>
      <c r="F993" s="48" t="s">
        <v>74</v>
      </c>
      <c r="G993" s="11" t="s">
        <v>64</v>
      </c>
      <c r="H993" s="48" t="str">
        <f>VLOOKUP(Table1[[#This Row],[Psoft No]],[1]Roster!$C$2:$H$1402,6,)</f>
        <v>AUH1</v>
      </c>
      <c r="I993" s="48" t="b">
        <f>Table1[[#This Row],[Building]]=Table1[[#This Row],[Column1]]</f>
        <v>1</v>
      </c>
      <c r="J993" s="11" t="s">
        <v>75</v>
      </c>
      <c r="K993" s="11">
        <v>1299</v>
      </c>
      <c r="L993" s="49" t="s">
        <v>32</v>
      </c>
      <c r="M993" s="49" t="s">
        <v>76</v>
      </c>
      <c r="N993" s="49" t="s">
        <v>85</v>
      </c>
      <c r="O993" s="49" t="s">
        <v>88</v>
      </c>
      <c r="P993" s="49" t="s">
        <v>97</v>
      </c>
      <c r="Q993" s="49" t="s">
        <v>37</v>
      </c>
      <c r="R993" s="11" t="s">
        <v>80</v>
      </c>
      <c r="S993" s="11" t="s">
        <v>98</v>
      </c>
      <c r="T993" s="11" t="s">
        <v>1066</v>
      </c>
      <c r="U993" s="11" t="s">
        <v>2717</v>
      </c>
      <c r="V993" s="116" t="str">
        <f>VLOOKUP(Table1[[#This Row],[Psoft No]],[2]Sheet1!$A$2:$G$386,7,0)</f>
        <v>P</v>
      </c>
      <c r="W993" s="88"/>
      <c r="X993" s="51">
        <v>44067</v>
      </c>
      <c r="Y993" s="97" t="s">
        <v>1581</v>
      </c>
      <c r="Z993" s="135" t="s">
        <v>2</v>
      </c>
      <c r="AA993" s="135">
        <v>0</v>
      </c>
    </row>
    <row r="994" spans="1:27" ht="13" customHeight="1">
      <c r="A994" s="11">
        <v>988</v>
      </c>
      <c r="B994" s="11">
        <v>203736256</v>
      </c>
      <c r="C994" s="89" t="s">
        <v>2806</v>
      </c>
      <c r="D994" s="11" t="s">
        <v>2807</v>
      </c>
      <c r="E994" s="48" t="s">
        <v>31</v>
      </c>
      <c r="F994" s="48" t="s">
        <v>74</v>
      </c>
      <c r="G994" s="11" t="s">
        <v>64</v>
      </c>
      <c r="H994" s="48" t="str">
        <f>VLOOKUP(Table1[[#This Row],[Psoft No]],[1]Roster!$C$2:$H$1402,6,)</f>
        <v>AUH1</v>
      </c>
      <c r="I994" s="48" t="b">
        <f>Table1[[#This Row],[Building]]=Table1[[#This Row],[Column1]]</f>
        <v>1</v>
      </c>
      <c r="J994" s="11" t="s">
        <v>75</v>
      </c>
      <c r="K994" s="11">
        <v>1299</v>
      </c>
      <c r="L994" s="49" t="s">
        <v>39</v>
      </c>
      <c r="M994" s="49" t="s">
        <v>76</v>
      </c>
      <c r="N994" s="49" t="s">
        <v>77</v>
      </c>
      <c r="O994" s="49" t="s">
        <v>78</v>
      </c>
      <c r="P994" s="11" t="s">
        <v>89</v>
      </c>
      <c r="Q994" s="11" t="s">
        <v>37</v>
      </c>
      <c r="R994" s="11" t="s">
        <v>80</v>
      </c>
      <c r="S994" s="11" t="s">
        <v>90</v>
      </c>
      <c r="T994" s="11" t="s">
        <v>627</v>
      </c>
      <c r="U994" s="11" t="s">
        <v>628</v>
      </c>
      <c r="V994" s="116" t="s">
        <v>1</v>
      </c>
      <c r="W994" s="88"/>
      <c r="X994" s="51">
        <v>45691</v>
      </c>
      <c r="Y994" s="102" t="s">
        <v>1577</v>
      </c>
      <c r="Z994" s="135" t="s">
        <v>2</v>
      </c>
      <c r="AA994" s="135">
        <v>0</v>
      </c>
    </row>
    <row r="995" spans="1:27" ht="13" customHeight="1">
      <c r="A995" s="11">
        <v>989</v>
      </c>
      <c r="B995" s="47">
        <v>107117479</v>
      </c>
      <c r="C995" s="89" t="s">
        <v>1073</v>
      </c>
      <c r="D995" s="11" t="s">
        <v>1074</v>
      </c>
      <c r="E995" s="48" t="s">
        <v>34</v>
      </c>
      <c r="F995" s="48" t="s">
        <v>74</v>
      </c>
      <c r="G995" s="11" t="s">
        <v>64</v>
      </c>
      <c r="H995" s="48" t="str">
        <f>VLOOKUP(Table1[[#This Row],[Psoft No]],[1]Roster!$C$2:$H$1402,6,)</f>
        <v>AUH1</v>
      </c>
      <c r="I995" s="48" t="b">
        <f>Table1[[#This Row],[Building]]=Table1[[#This Row],[Column1]]</f>
        <v>1</v>
      </c>
      <c r="J995" s="11" t="s">
        <v>75</v>
      </c>
      <c r="K995" s="11">
        <v>1299</v>
      </c>
      <c r="L995" s="49" t="s">
        <v>39</v>
      </c>
      <c r="M995" s="49" t="s">
        <v>76</v>
      </c>
      <c r="N995" s="49" t="s">
        <v>78</v>
      </c>
      <c r="O995" s="49" t="s">
        <v>92</v>
      </c>
      <c r="P995" s="48" t="s">
        <v>97</v>
      </c>
      <c r="Q995" s="49" t="s">
        <v>37</v>
      </c>
      <c r="R995" s="11" t="s">
        <v>80</v>
      </c>
      <c r="S995" s="11" t="s">
        <v>98</v>
      </c>
      <c r="T995" s="11" t="s">
        <v>647</v>
      </c>
      <c r="U995" s="11" t="s">
        <v>1798</v>
      </c>
      <c r="V995" s="116" t="s">
        <v>10</v>
      </c>
      <c r="W995" s="88"/>
      <c r="X995" s="51">
        <v>44782</v>
      </c>
      <c r="Y995" s="97" t="s">
        <v>1581</v>
      </c>
      <c r="Z995" s="135" t="s">
        <v>3023</v>
      </c>
      <c r="AA995" s="135">
        <v>0</v>
      </c>
    </row>
    <row r="996" spans="1:27" ht="13" customHeight="1">
      <c r="A996" s="11">
        <v>990</v>
      </c>
      <c r="B996" s="47">
        <v>203908331</v>
      </c>
      <c r="C996" s="89" t="s">
        <v>1075</v>
      </c>
      <c r="D996" s="11" t="s">
        <v>1076</v>
      </c>
      <c r="E996" s="48" t="s">
        <v>31</v>
      </c>
      <c r="F996" s="48" t="s">
        <v>74</v>
      </c>
      <c r="G996" s="11" t="s">
        <v>64</v>
      </c>
      <c r="H996" s="48" t="str">
        <f>VLOOKUP(Table1[[#This Row],[Psoft No]],[1]Roster!$C$2:$H$1402,6,)</f>
        <v>AUH1</v>
      </c>
      <c r="I996" s="48" t="b">
        <f>Table1[[#This Row],[Building]]=Table1[[#This Row],[Column1]]</f>
        <v>1</v>
      </c>
      <c r="J996" s="11" t="s">
        <v>75</v>
      </c>
      <c r="K996" s="11">
        <v>1299</v>
      </c>
      <c r="L996" s="49" t="s">
        <v>39</v>
      </c>
      <c r="M996" s="49" t="s">
        <v>76</v>
      </c>
      <c r="N996" s="49" t="s">
        <v>92</v>
      </c>
      <c r="O996" s="49" t="s">
        <v>84</v>
      </c>
      <c r="P996" s="48" t="s">
        <v>86</v>
      </c>
      <c r="Q996" s="49" t="s">
        <v>37</v>
      </c>
      <c r="R996" s="11" t="s">
        <v>80</v>
      </c>
      <c r="S996" s="11" t="s">
        <v>90</v>
      </c>
      <c r="T996" s="49" t="s">
        <v>1066</v>
      </c>
      <c r="U996" s="11" t="s">
        <v>2717</v>
      </c>
      <c r="V996" s="116" t="s">
        <v>10</v>
      </c>
      <c r="W996" s="88"/>
      <c r="X996" s="51">
        <v>45537</v>
      </c>
      <c r="Y996" s="97" t="s">
        <v>1578</v>
      </c>
      <c r="Z996" s="135" t="s">
        <v>3023</v>
      </c>
      <c r="AA996" s="135">
        <v>0</v>
      </c>
    </row>
    <row r="997" spans="1:27" ht="13" customHeight="1">
      <c r="A997" s="11">
        <v>991</v>
      </c>
      <c r="B997" s="47">
        <v>204094492</v>
      </c>
      <c r="C997" s="89" t="s">
        <v>1077</v>
      </c>
      <c r="D997" s="11" t="s">
        <v>1078</v>
      </c>
      <c r="E997" s="48" t="s">
        <v>31</v>
      </c>
      <c r="F997" s="48" t="s">
        <v>74</v>
      </c>
      <c r="G997" s="11" t="s">
        <v>64</v>
      </c>
      <c r="H997" s="48" t="str">
        <f>VLOOKUP(Table1[[#This Row],[Psoft No]],[1]Roster!$C$2:$H$1402,6,)</f>
        <v>AUH1</v>
      </c>
      <c r="I997" s="48" t="b">
        <f>Table1[[#This Row],[Building]]=Table1[[#This Row],[Column1]]</f>
        <v>1</v>
      </c>
      <c r="J997" s="11" t="s">
        <v>75</v>
      </c>
      <c r="K997" s="11">
        <v>1299</v>
      </c>
      <c r="L997" s="49" t="s">
        <v>39</v>
      </c>
      <c r="M997" s="49" t="s">
        <v>76</v>
      </c>
      <c r="N997" s="49" t="s">
        <v>95</v>
      </c>
      <c r="O997" s="49" t="s">
        <v>77</v>
      </c>
      <c r="P997" s="48" t="s">
        <v>86</v>
      </c>
      <c r="Q997" s="49" t="s">
        <v>37</v>
      </c>
      <c r="R997" s="11" t="s">
        <v>80</v>
      </c>
      <c r="S997" s="11" t="s">
        <v>87</v>
      </c>
      <c r="T997" s="11" t="s">
        <v>647</v>
      </c>
      <c r="U997" s="11" t="s">
        <v>1798</v>
      </c>
      <c r="V997" s="116" t="s">
        <v>1</v>
      </c>
      <c r="W997" s="88"/>
      <c r="X997" s="51">
        <v>45561</v>
      </c>
      <c r="Y997" s="97" t="s">
        <v>1577</v>
      </c>
      <c r="Z997" s="135" t="s">
        <v>2</v>
      </c>
      <c r="AA997" s="135">
        <v>0</v>
      </c>
    </row>
    <row r="998" spans="1:27" ht="13" customHeight="1">
      <c r="A998" s="11">
        <v>992</v>
      </c>
      <c r="B998" s="47">
        <v>203850900</v>
      </c>
      <c r="C998" s="89" t="s">
        <v>2416</v>
      </c>
      <c r="D998" s="11" t="s">
        <v>2417</v>
      </c>
      <c r="E998" s="48" t="s">
        <v>31</v>
      </c>
      <c r="F998" s="48" t="s">
        <v>74</v>
      </c>
      <c r="G998" s="11" t="s">
        <v>64</v>
      </c>
      <c r="H998" s="48" t="str">
        <f>VLOOKUP(Table1[[#This Row],[Psoft No]],[1]Roster!$C$2:$H$1402,6,)</f>
        <v>AUH1</v>
      </c>
      <c r="I998" s="48" t="b">
        <f>Table1[[#This Row],[Building]]=Table1[[#This Row],[Column1]]</f>
        <v>1</v>
      </c>
      <c r="J998" s="11" t="s">
        <v>75</v>
      </c>
      <c r="K998" s="11">
        <v>1299</v>
      </c>
      <c r="L998" s="49" t="s">
        <v>39</v>
      </c>
      <c r="M998" s="49" t="s">
        <v>76</v>
      </c>
      <c r="N998" s="49" t="s">
        <v>92</v>
      </c>
      <c r="O998" s="49" t="s">
        <v>84</v>
      </c>
      <c r="P998" s="48" t="s">
        <v>86</v>
      </c>
      <c r="Q998" s="49" t="s">
        <v>37</v>
      </c>
      <c r="R998" s="11" t="s">
        <v>80</v>
      </c>
      <c r="S998" s="11" t="s">
        <v>90</v>
      </c>
      <c r="T998" s="49" t="s">
        <v>1066</v>
      </c>
      <c r="U998" s="11" t="s">
        <v>2717</v>
      </c>
      <c r="V998" s="116" t="s">
        <v>10</v>
      </c>
      <c r="W998" s="88"/>
      <c r="X998" s="51">
        <v>45524</v>
      </c>
      <c r="Y998" s="97" t="s">
        <v>1577</v>
      </c>
      <c r="Z998" s="135" t="s">
        <v>3023</v>
      </c>
      <c r="AA998" s="135">
        <v>0</v>
      </c>
    </row>
    <row r="999" spans="1:27" ht="13" customHeight="1">
      <c r="A999" s="11">
        <v>993</v>
      </c>
      <c r="B999" s="47">
        <v>206926476</v>
      </c>
      <c r="C999" s="89" t="s">
        <v>2005</v>
      </c>
      <c r="D999" s="11" t="s">
        <v>2013</v>
      </c>
      <c r="E999" s="48" t="s">
        <v>31</v>
      </c>
      <c r="F999" s="48" t="s">
        <v>74</v>
      </c>
      <c r="G999" s="11" t="s">
        <v>64</v>
      </c>
      <c r="H999" s="48" t="str">
        <f>VLOOKUP(Table1[[#This Row],[Psoft No]],[1]Roster!$C$2:$H$1402,6,)</f>
        <v>AUH1</v>
      </c>
      <c r="I999" s="48" t="b">
        <f>Table1[[#This Row],[Building]]=Table1[[#This Row],[Column1]]</f>
        <v>1</v>
      </c>
      <c r="J999" s="11" t="s">
        <v>75</v>
      </c>
      <c r="K999" s="11">
        <v>1299</v>
      </c>
      <c r="L999" s="49" t="s">
        <v>32</v>
      </c>
      <c r="M999" s="49" t="s">
        <v>76</v>
      </c>
      <c r="N999" s="49" t="s">
        <v>88</v>
      </c>
      <c r="O999" s="49" t="s">
        <v>95</v>
      </c>
      <c r="P999" s="48" t="s">
        <v>89</v>
      </c>
      <c r="Q999" s="49" t="s">
        <v>37</v>
      </c>
      <c r="R999" s="11" t="s">
        <v>80</v>
      </c>
      <c r="S999" s="11" t="s">
        <v>90</v>
      </c>
      <c r="T999" s="49" t="s">
        <v>2719</v>
      </c>
      <c r="U999" s="11" t="s">
        <v>642</v>
      </c>
      <c r="V999" s="116" t="str">
        <f>VLOOKUP(Table1[[#This Row],[Psoft No]],[2]Sheet1!$A$2:$G$386,7,0)</f>
        <v>P</v>
      </c>
      <c r="W999" s="88"/>
      <c r="X999" s="51">
        <v>46037</v>
      </c>
      <c r="Y999" s="97" t="s">
        <v>1577</v>
      </c>
      <c r="Z999" s="135" t="s">
        <v>2</v>
      </c>
      <c r="AA999" s="135">
        <v>0</v>
      </c>
    </row>
    <row r="1000" spans="1:27" ht="13" customHeight="1">
      <c r="A1000" s="11">
        <v>994</v>
      </c>
      <c r="B1000" s="47">
        <v>206491343</v>
      </c>
      <c r="C1000" s="89" t="s">
        <v>2863</v>
      </c>
      <c r="D1000" s="11" t="s">
        <v>2864</v>
      </c>
      <c r="E1000" s="48" t="s">
        <v>31</v>
      </c>
      <c r="F1000" s="48" t="s">
        <v>74</v>
      </c>
      <c r="G1000" s="11" t="s">
        <v>64</v>
      </c>
      <c r="H1000" s="48" t="str">
        <f>VLOOKUP(Table1[[#This Row],[Psoft No]],[1]Roster!$C$2:$H$1402,6,)</f>
        <v>AUH1</v>
      </c>
      <c r="I1000" s="48" t="b">
        <f>Table1[[#This Row],[Building]]=Table1[[#This Row],[Column1]]</f>
        <v>1</v>
      </c>
      <c r="J1000" s="11" t="s">
        <v>75</v>
      </c>
      <c r="K1000" s="11">
        <v>1299</v>
      </c>
      <c r="L1000" s="49" t="s">
        <v>39</v>
      </c>
      <c r="M1000" s="49" t="s">
        <v>76</v>
      </c>
      <c r="N1000" s="49" t="s">
        <v>92</v>
      </c>
      <c r="O1000" s="49" t="s">
        <v>84</v>
      </c>
      <c r="P1000" s="48" t="s">
        <v>89</v>
      </c>
      <c r="Q1000" s="49" t="s">
        <v>37</v>
      </c>
      <c r="R1000" s="11" t="s">
        <v>80</v>
      </c>
      <c r="S1000" s="11" t="s">
        <v>96</v>
      </c>
      <c r="T1000" s="49" t="s">
        <v>1066</v>
      </c>
      <c r="U1000" s="11" t="s">
        <v>2717</v>
      </c>
      <c r="V1000" s="116" t="s">
        <v>10</v>
      </c>
      <c r="W1000" s="88"/>
      <c r="X1000" s="51">
        <v>46238</v>
      </c>
      <c r="Y1000" s="97" t="s">
        <v>1578</v>
      </c>
      <c r="Z1000" s="135" t="s">
        <v>3023</v>
      </c>
      <c r="AA1000" s="135">
        <v>0</v>
      </c>
    </row>
    <row r="1001" spans="1:27" ht="13" customHeight="1">
      <c r="A1001" s="11">
        <v>995</v>
      </c>
      <c r="B1001" s="47">
        <v>206853791</v>
      </c>
      <c r="C1001" s="89" t="s">
        <v>1867</v>
      </c>
      <c r="D1001" s="11" t="s">
        <v>1868</v>
      </c>
      <c r="E1001" s="48" t="s">
        <v>31</v>
      </c>
      <c r="F1001" s="48" t="s">
        <v>74</v>
      </c>
      <c r="G1001" s="11" t="s">
        <v>64</v>
      </c>
      <c r="H1001" s="48" t="str">
        <f>VLOOKUP(Table1[[#This Row],[Psoft No]],[1]Roster!$C$2:$H$1402,6,)</f>
        <v>AUH1</v>
      </c>
      <c r="I1001" s="48" t="b">
        <f>Table1[[#This Row],[Building]]=Table1[[#This Row],[Column1]]</f>
        <v>1</v>
      </c>
      <c r="J1001" s="11" t="s">
        <v>75</v>
      </c>
      <c r="K1001" s="11">
        <v>1299</v>
      </c>
      <c r="L1001" s="49" t="s">
        <v>39</v>
      </c>
      <c r="M1001" s="49" t="s">
        <v>76</v>
      </c>
      <c r="N1001" s="49" t="s">
        <v>88</v>
      </c>
      <c r="O1001" s="49" t="s">
        <v>95</v>
      </c>
      <c r="P1001" s="48" t="s">
        <v>89</v>
      </c>
      <c r="Q1001" s="49" t="s">
        <v>37</v>
      </c>
      <c r="R1001" s="11" t="s">
        <v>80</v>
      </c>
      <c r="S1001" s="11" t="s">
        <v>90</v>
      </c>
      <c r="T1001" s="49" t="s">
        <v>647</v>
      </c>
      <c r="U1001" s="11" t="s">
        <v>1798</v>
      </c>
      <c r="V1001" s="116" t="s">
        <v>1</v>
      </c>
      <c r="W1001" s="88"/>
      <c r="X1001" s="51">
        <v>46030</v>
      </c>
      <c r="Y1001" s="97" t="s">
        <v>1577</v>
      </c>
      <c r="Z1001" s="135" t="s">
        <v>2</v>
      </c>
      <c r="AA1001" s="135">
        <v>0</v>
      </c>
    </row>
    <row r="1002" spans="1:27" ht="13" customHeight="1">
      <c r="A1002" s="11">
        <v>996</v>
      </c>
      <c r="B1002" s="47">
        <v>205252357</v>
      </c>
      <c r="C1002" s="89" t="s">
        <v>2859</v>
      </c>
      <c r="D1002" s="11" t="s">
        <v>2860</v>
      </c>
      <c r="E1002" s="48" t="s">
        <v>31</v>
      </c>
      <c r="F1002" s="48" t="s">
        <v>74</v>
      </c>
      <c r="G1002" s="11" t="s">
        <v>64</v>
      </c>
      <c r="H1002" s="48" t="str">
        <f>VLOOKUP(Table1[[#This Row],[Psoft No]],[1]Roster!$C$2:$H$1402,6,)</f>
        <v>AUH1</v>
      </c>
      <c r="I1002" s="48" t="b">
        <f>Table1[[#This Row],[Building]]=Table1[[#This Row],[Column1]]</f>
        <v>1</v>
      </c>
      <c r="J1002" s="11" t="s">
        <v>75</v>
      </c>
      <c r="K1002" s="11">
        <v>1299</v>
      </c>
      <c r="L1002" s="49" t="s">
        <v>39</v>
      </c>
      <c r="M1002" s="49" t="s">
        <v>76</v>
      </c>
      <c r="N1002" s="49" t="s">
        <v>77</v>
      </c>
      <c r="O1002" s="49" t="s">
        <v>78</v>
      </c>
      <c r="P1002" s="49" t="s">
        <v>89</v>
      </c>
      <c r="Q1002" s="49" t="s">
        <v>37</v>
      </c>
      <c r="R1002" s="11" t="s">
        <v>80</v>
      </c>
      <c r="S1002" s="11" t="s">
        <v>96</v>
      </c>
      <c r="T1002" s="11" t="s">
        <v>1066</v>
      </c>
      <c r="U1002" s="11" t="s">
        <v>2717</v>
      </c>
      <c r="V1002" s="116" t="s">
        <v>1</v>
      </c>
      <c r="W1002" s="88"/>
      <c r="X1002" s="51">
        <v>46238</v>
      </c>
      <c r="Y1002" s="97" t="s">
        <v>1578</v>
      </c>
      <c r="Z1002" s="135" t="s">
        <v>2</v>
      </c>
      <c r="AA1002" s="135">
        <v>0</v>
      </c>
    </row>
    <row r="1003" spans="1:27" ht="13" customHeight="1">
      <c r="A1003" s="11">
        <v>997</v>
      </c>
      <c r="B1003" s="47">
        <v>203736773</v>
      </c>
      <c r="C1003" s="89" t="s">
        <v>1079</v>
      </c>
      <c r="D1003" s="11" t="s">
        <v>1080</v>
      </c>
      <c r="E1003" s="48" t="s">
        <v>31</v>
      </c>
      <c r="F1003" s="48" t="s">
        <v>74</v>
      </c>
      <c r="G1003" s="11" t="s">
        <v>64</v>
      </c>
      <c r="H1003" s="48" t="str">
        <f>VLOOKUP(Table1[[#This Row],[Psoft No]],[1]Roster!$C$2:$H$1402,6,)</f>
        <v>AUH1</v>
      </c>
      <c r="I1003" s="48" t="b">
        <f>Table1[[#This Row],[Building]]=Table1[[#This Row],[Column1]]</f>
        <v>1</v>
      </c>
      <c r="J1003" s="11" t="s">
        <v>75</v>
      </c>
      <c r="K1003" s="11">
        <v>1299</v>
      </c>
      <c r="L1003" s="49" t="s">
        <v>32</v>
      </c>
      <c r="M1003" s="49" t="s">
        <v>76</v>
      </c>
      <c r="N1003" s="49" t="s">
        <v>92</v>
      </c>
      <c r="O1003" s="49" t="s">
        <v>84</v>
      </c>
      <c r="P1003" s="48" t="s">
        <v>86</v>
      </c>
      <c r="Q1003" s="49" t="s">
        <v>37</v>
      </c>
      <c r="R1003" s="11" t="s">
        <v>80</v>
      </c>
      <c r="S1003" s="11" t="s">
        <v>99</v>
      </c>
      <c r="T1003" s="11" t="s">
        <v>647</v>
      </c>
      <c r="U1003" s="11" t="s">
        <v>1798</v>
      </c>
      <c r="V1003" s="116" t="s">
        <v>10</v>
      </c>
      <c r="W1003" s="88"/>
      <c r="X1003" s="51">
        <v>45502</v>
      </c>
      <c r="Y1003" s="97" t="s">
        <v>1577</v>
      </c>
      <c r="Z1003" s="135" t="s">
        <v>3023</v>
      </c>
      <c r="AA1003" s="135" t="s">
        <v>3024</v>
      </c>
    </row>
    <row r="1004" spans="1:27" ht="13" customHeight="1">
      <c r="A1004" s="11">
        <v>998</v>
      </c>
      <c r="B1004" s="47">
        <v>204013730</v>
      </c>
      <c r="C1004" s="89" t="s">
        <v>1081</v>
      </c>
      <c r="D1004" s="11" t="s">
        <v>1082</v>
      </c>
      <c r="E1004" s="48" t="s">
        <v>31</v>
      </c>
      <c r="F1004" s="48" t="s">
        <v>74</v>
      </c>
      <c r="G1004" s="11" t="s">
        <v>64</v>
      </c>
      <c r="H1004" s="48" t="str">
        <f>VLOOKUP(Table1[[#This Row],[Psoft No]],[1]Roster!$C$2:$H$1402,6,)</f>
        <v>AUH1</v>
      </c>
      <c r="I1004" s="48" t="b">
        <f>Table1[[#This Row],[Building]]=Table1[[#This Row],[Column1]]</f>
        <v>1</v>
      </c>
      <c r="J1004" s="11" t="s">
        <v>75</v>
      </c>
      <c r="K1004" s="11">
        <v>1299</v>
      </c>
      <c r="L1004" s="49" t="s">
        <v>32</v>
      </c>
      <c r="M1004" s="49" t="s">
        <v>76</v>
      </c>
      <c r="N1004" s="49" t="s">
        <v>85</v>
      </c>
      <c r="O1004" s="49" t="s">
        <v>88</v>
      </c>
      <c r="P1004" s="49" t="s">
        <v>79</v>
      </c>
      <c r="Q1004" s="49" t="s">
        <v>37</v>
      </c>
      <c r="R1004" s="11" t="s">
        <v>80</v>
      </c>
      <c r="S1004" s="11" t="s">
        <v>81</v>
      </c>
      <c r="T1004" s="11" t="s">
        <v>1066</v>
      </c>
      <c r="U1004" s="11" t="s">
        <v>2717</v>
      </c>
      <c r="V1004" s="116" t="str">
        <f>VLOOKUP(Table1[[#This Row],[Psoft No]],[2]Sheet1!$A$2:$G$386,7,0)</f>
        <v>P</v>
      </c>
      <c r="W1004" s="88"/>
      <c r="X1004" s="51">
        <v>45551</v>
      </c>
      <c r="Y1004" s="97" t="s">
        <v>1577</v>
      </c>
      <c r="Z1004" s="135" t="s">
        <v>2</v>
      </c>
      <c r="AA1004" s="135">
        <v>0</v>
      </c>
    </row>
    <row r="1005" spans="1:27" ht="13" customHeight="1">
      <c r="A1005" s="11">
        <v>999</v>
      </c>
      <c r="B1005" s="47">
        <v>106268183</v>
      </c>
      <c r="C1005" s="89" t="s">
        <v>1083</v>
      </c>
      <c r="D1005" s="11" t="s">
        <v>1084</v>
      </c>
      <c r="E1005" s="48" t="s">
        <v>34</v>
      </c>
      <c r="F1005" s="48" t="s">
        <v>74</v>
      </c>
      <c r="G1005" s="11" t="s">
        <v>64</v>
      </c>
      <c r="H1005" s="48" t="str">
        <f>VLOOKUP(Table1[[#This Row],[Psoft No]],[1]Roster!$C$2:$H$1402,6,)</f>
        <v>AUH1</v>
      </c>
      <c r="I1005" s="48" t="b">
        <f>Table1[[#This Row],[Building]]=Table1[[#This Row],[Column1]]</f>
        <v>1</v>
      </c>
      <c r="J1005" s="11" t="s">
        <v>75</v>
      </c>
      <c r="K1005" s="11">
        <v>1299</v>
      </c>
      <c r="L1005" s="49" t="s">
        <v>39</v>
      </c>
      <c r="M1005" s="49" t="s">
        <v>76</v>
      </c>
      <c r="N1005" s="49" t="s">
        <v>95</v>
      </c>
      <c r="O1005" s="49" t="s">
        <v>77</v>
      </c>
      <c r="P1005" s="48" t="s">
        <v>97</v>
      </c>
      <c r="Q1005" s="49" t="s">
        <v>37</v>
      </c>
      <c r="R1005" s="11" t="s">
        <v>80</v>
      </c>
      <c r="S1005" s="11" t="s">
        <v>98</v>
      </c>
      <c r="T1005" s="49" t="s">
        <v>2844</v>
      </c>
      <c r="U1005" s="11" t="s">
        <v>2716</v>
      </c>
      <c r="V1005" s="116" t="s">
        <v>1</v>
      </c>
      <c r="W1005" s="88"/>
      <c r="X1005" s="51">
        <v>44831</v>
      </c>
      <c r="Y1005" s="97" t="s">
        <v>1581</v>
      </c>
      <c r="Z1005" s="135" t="s">
        <v>2</v>
      </c>
      <c r="AA1005" s="135">
        <v>0</v>
      </c>
    </row>
    <row r="1006" spans="1:27" ht="13" customHeight="1">
      <c r="A1006" s="11">
        <v>1000</v>
      </c>
      <c r="B1006" s="47">
        <v>206240253</v>
      </c>
      <c r="C1006" s="89" t="s">
        <v>2879</v>
      </c>
      <c r="D1006" s="11" t="s">
        <v>2880</v>
      </c>
      <c r="E1006" s="48" t="s">
        <v>31</v>
      </c>
      <c r="F1006" s="48" t="s">
        <v>74</v>
      </c>
      <c r="G1006" s="11" t="s">
        <v>64</v>
      </c>
      <c r="H1006" s="48" t="str">
        <f>VLOOKUP(Table1[[#This Row],[Psoft No]],[1]Roster!$C$2:$H$1402,6,)</f>
        <v>AUH1</v>
      </c>
      <c r="I1006" s="48" t="b">
        <f>Table1[[#This Row],[Building]]=Table1[[#This Row],[Column1]]</f>
        <v>1</v>
      </c>
      <c r="J1006" s="11" t="s">
        <v>75</v>
      </c>
      <c r="K1006" s="11">
        <v>1299</v>
      </c>
      <c r="L1006" s="49" t="s">
        <v>39</v>
      </c>
      <c r="M1006" s="49" t="s">
        <v>76</v>
      </c>
      <c r="N1006" s="49" t="s">
        <v>77</v>
      </c>
      <c r="O1006" s="49" t="s">
        <v>78</v>
      </c>
      <c r="P1006" s="49" t="s">
        <v>89</v>
      </c>
      <c r="Q1006" s="49" t="s">
        <v>37</v>
      </c>
      <c r="R1006" s="11" t="s">
        <v>80</v>
      </c>
      <c r="S1006" s="11" t="s">
        <v>96</v>
      </c>
      <c r="T1006" s="49" t="s">
        <v>1066</v>
      </c>
      <c r="U1006" s="11" t="s">
        <v>2717</v>
      </c>
      <c r="V1006" s="116" t="s">
        <v>1</v>
      </c>
      <c r="W1006" s="88"/>
      <c r="X1006" s="51">
        <v>46238</v>
      </c>
      <c r="Y1006" s="97" t="s">
        <v>1577</v>
      </c>
      <c r="Z1006" s="135" t="s">
        <v>2</v>
      </c>
      <c r="AA1006" s="135">
        <v>0</v>
      </c>
    </row>
    <row r="1007" spans="1:27" ht="13" customHeight="1">
      <c r="A1007" s="11">
        <v>1001</v>
      </c>
      <c r="B1007" s="47">
        <v>203965449</v>
      </c>
      <c r="C1007" s="89" t="s">
        <v>1085</v>
      </c>
      <c r="D1007" s="11" t="s">
        <v>1086</v>
      </c>
      <c r="E1007" s="48" t="s">
        <v>31</v>
      </c>
      <c r="F1007" s="48" t="s">
        <v>74</v>
      </c>
      <c r="G1007" s="11" t="s">
        <v>64</v>
      </c>
      <c r="H1007" s="48" t="str">
        <f>VLOOKUP(Table1[[#This Row],[Psoft No]],[1]Roster!$C$2:$H$1402,6,)</f>
        <v>AUH1</v>
      </c>
      <c r="I1007" s="48" t="b">
        <f>Table1[[#This Row],[Building]]=Table1[[#This Row],[Column1]]</f>
        <v>1</v>
      </c>
      <c r="J1007" s="11" t="s">
        <v>75</v>
      </c>
      <c r="K1007" s="11">
        <v>1299</v>
      </c>
      <c r="L1007" s="49" t="s">
        <v>32</v>
      </c>
      <c r="M1007" s="49" t="s">
        <v>76</v>
      </c>
      <c r="N1007" s="49" t="s">
        <v>77</v>
      </c>
      <c r="O1007" s="49" t="s">
        <v>78</v>
      </c>
      <c r="P1007" s="49" t="s">
        <v>79</v>
      </c>
      <c r="Q1007" s="49" t="s">
        <v>37</v>
      </c>
      <c r="R1007" s="11" t="s">
        <v>80</v>
      </c>
      <c r="S1007" s="11" t="s">
        <v>81</v>
      </c>
      <c r="T1007" s="11" t="s">
        <v>639</v>
      </c>
      <c r="U1007" s="11" t="s">
        <v>2718</v>
      </c>
      <c r="V1007" s="116" t="str">
        <f>VLOOKUP(Table1[[#This Row],[Psoft No]],[2]Sheet1!$A$2:$G$386,7,0)</f>
        <v>P</v>
      </c>
      <c r="W1007" s="88"/>
      <c r="X1007" s="51">
        <v>45544</v>
      </c>
      <c r="Y1007" s="97" t="s">
        <v>1578</v>
      </c>
      <c r="Z1007" s="135" t="s">
        <v>2</v>
      </c>
      <c r="AA1007" s="135">
        <v>0</v>
      </c>
    </row>
    <row r="1008" spans="1:27" ht="13" customHeight="1">
      <c r="A1008" s="11">
        <v>1002</v>
      </c>
      <c r="B1008" s="47">
        <v>205938163</v>
      </c>
      <c r="C1008" s="89" t="s">
        <v>2196</v>
      </c>
      <c r="D1008" s="11" t="s">
        <v>2197</v>
      </c>
      <c r="E1008" s="48" t="s">
        <v>31</v>
      </c>
      <c r="F1008" s="48" t="s">
        <v>74</v>
      </c>
      <c r="G1008" s="11" t="s">
        <v>64</v>
      </c>
      <c r="H1008" s="48" t="str">
        <f>VLOOKUP(Table1[[#This Row],[Psoft No]],[1]Roster!$C$2:$H$1402,6,)</f>
        <v>AUH1</v>
      </c>
      <c r="I1008" s="48" t="b">
        <f>Table1[[#This Row],[Building]]=Table1[[#This Row],[Column1]]</f>
        <v>1</v>
      </c>
      <c r="J1008" s="11" t="s">
        <v>75</v>
      </c>
      <c r="K1008" s="11">
        <v>1299</v>
      </c>
      <c r="L1008" s="49" t="s">
        <v>39</v>
      </c>
      <c r="M1008" s="49" t="s">
        <v>76</v>
      </c>
      <c r="N1008" s="49" t="s">
        <v>78</v>
      </c>
      <c r="O1008" s="49" t="s">
        <v>92</v>
      </c>
      <c r="P1008" s="48" t="s">
        <v>89</v>
      </c>
      <c r="Q1008" s="49" t="s">
        <v>37</v>
      </c>
      <c r="R1008" s="11" t="s">
        <v>80</v>
      </c>
      <c r="S1008" s="11" t="s">
        <v>96</v>
      </c>
      <c r="T1008" s="11" t="s">
        <v>1066</v>
      </c>
      <c r="U1008" s="11" t="s">
        <v>2717</v>
      </c>
      <c r="V1008" s="116" t="s">
        <v>10</v>
      </c>
      <c r="W1008" s="88"/>
      <c r="X1008" s="51">
        <v>46051</v>
      </c>
      <c r="Y1008" s="97" t="s">
        <v>1577</v>
      </c>
      <c r="Z1008" s="135" t="s">
        <v>3023</v>
      </c>
      <c r="AA1008" s="135">
        <v>0</v>
      </c>
    </row>
    <row r="1009" spans="1:27" ht="13" customHeight="1">
      <c r="A1009" s="11">
        <v>1003</v>
      </c>
      <c r="B1009" s="47">
        <v>205279080</v>
      </c>
      <c r="C1009" s="89" t="s">
        <v>2144</v>
      </c>
      <c r="D1009" s="11" t="s">
        <v>2145</v>
      </c>
      <c r="E1009" s="48" t="s">
        <v>31</v>
      </c>
      <c r="F1009" s="48" t="s">
        <v>74</v>
      </c>
      <c r="G1009" s="11" t="s">
        <v>64</v>
      </c>
      <c r="H1009" s="48" t="str">
        <f>VLOOKUP(Table1[[#This Row],[Psoft No]],[1]Roster!$C$2:$H$1402,6,)</f>
        <v>AUH1</v>
      </c>
      <c r="I1009" s="48" t="b">
        <f>Table1[[#This Row],[Building]]=Table1[[#This Row],[Column1]]</f>
        <v>1</v>
      </c>
      <c r="J1009" s="11" t="s">
        <v>75</v>
      </c>
      <c r="K1009" s="11">
        <v>1299</v>
      </c>
      <c r="L1009" s="49" t="s">
        <v>32</v>
      </c>
      <c r="M1009" s="49" t="s">
        <v>76</v>
      </c>
      <c r="N1009" s="49" t="s">
        <v>84</v>
      </c>
      <c r="O1009" s="49" t="s">
        <v>85</v>
      </c>
      <c r="P1009" s="48" t="s">
        <v>79</v>
      </c>
      <c r="Q1009" s="49" t="s">
        <v>37</v>
      </c>
      <c r="R1009" s="11" t="s">
        <v>80</v>
      </c>
      <c r="S1009" s="11" t="s">
        <v>96</v>
      </c>
      <c r="T1009" s="49" t="s">
        <v>631</v>
      </c>
      <c r="U1009" s="11" t="s">
        <v>632</v>
      </c>
      <c r="V1009" s="116" t="str">
        <f>VLOOKUP(Table1[[#This Row],[Psoft No]],[2]Sheet1!$A$2:$G$386,7,0)</f>
        <v>P</v>
      </c>
      <c r="W1009" s="88"/>
      <c r="X1009" s="51">
        <v>46048</v>
      </c>
      <c r="Y1009" s="97" t="s">
        <v>1577</v>
      </c>
      <c r="Z1009" s="135" t="s">
        <v>2</v>
      </c>
      <c r="AA1009" s="135">
        <v>0</v>
      </c>
    </row>
    <row r="1010" spans="1:27" ht="13.5" customHeight="1">
      <c r="A1010" s="11">
        <v>1004</v>
      </c>
      <c r="B1010" s="92">
        <v>206004601</v>
      </c>
      <c r="C1010" s="47" t="s">
        <v>1087</v>
      </c>
      <c r="D1010" s="89" t="s">
        <v>1088</v>
      </c>
      <c r="E1010" s="48" t="s">
        <v>31</v>
      </c>
      <c r="F1010" s="48" t="s">
        <v>74</v>
      </c>
      <c r="G1010" s="11" t="s">
        <v>64</v>
      </c>
      <c r="H1010" s="48" t="str">
        <f>VLOOKUP(Table1[[#This Row],[Psoft No]],[1]Roster!$C$2:$H$1402,6,)</f>
        <v>AUH1</v>
      </c>
      <c r="I1010" s="48" t="b">
        <f>Table1[[#This Row],[Building]]=Table1[[#This Row],[Column1]]</f>
        <v>1</v>
      </c>
      <c r="J1010" s="11" t="s">
        <v>75</v>
      </c>
      <c r="K1010" s="11">
        <v>1299</v>
      </c>
      <c r="L1010" s="49" t="s">
        <v>32</v>
      </c>
      <c r="M1010" s="49" t="s">
        <v>76</v>
      </c>
      <c r="N1010" s="49" t="s">
        <v>85</v>
      </c>
      <c r="O1010" s="49" t="s">
        <v>88</v>
      </c>
      <c r="P1010" s="48" t="s">
        <v>89</v>
      </c>
      <c r="Q1010" s="49" t="s">
        <v>37</v>
      </c>
      <c r="R1010" s="11" t="s">
        <v>80</v>
      </c>
      <c r="S1010" s="11" t="s">
        <v>81</v>
      </c>
      <c r="T1010" s="11" t="s">
        <v>639</v>
      </c>
      <c r="U1010" s="11" t="s">
        <v>2718</v>
      </c>
      <c r="V1010" s="116" t="str">
        <f>VLOOKUP(Table1[[#This Row],[Psoft No]],[2]Sheet1!$A$2:$G$386,7,0)</f>
        <v>P</v>
      </c>
      <c r="W1010" s="88"/>
      <c r="X1010" s="51">
        <v>45915</v>
      </c>
      <c r="Y1010" s="97" t="s">
        <v>1577</v>
      </c>
      <c r="Z1010" s="135" t="s">
        <v>2</v>
      </c>
      <c r="AA1010" s="135">
        <v>0</v>
      </c>
    </row>
    <row r="1011" spans="1:27" ht="13" customHeight="1">
      <c r="A1011" s="11">
        <v>1005</v>
      </c>
      <c r="B1011" s="47">
        <v>205853892</v>
      </c>
      <c r="C1011" s="89" t="s">
        <v>2836</v>
      </c>
      <c r="D1011" s="11" t="s">
        <v>2837</v>
      </c>
      <c r="E1011" s="48" t="s">
        <v>31</v>
      </c>
      <c r="F1011" s="48" t="s">
        <v>74</v>
      </c>
      <c r="G1011" s="11" t="s">
        <v>64</v>
      </c>
      <c r="H1011" s="48" t="str">
        <f>VLOOKUP(Table1[[#This Row],[Psoft No]],[1]Roster!$C$2:$H$1402,6,)</f>
        <v>AUH1</v>
      </c>
      <c r="I1011" s="48" t="b">
        <f>Table1[[#This Row],[Building]]=Table1[[#This Row],[Column1]]</f>
        <v>1</v>
      </c>
      <c r="J1011" s="11" t="s">
        <v>75</v>
      </c>
      <c r="K1011" s="11">
        <v>1299</v>
      </c>
      <c r="L1011" s="49" t="s">
        <v>39</v>
      </c>
      <c r="M1011" s="49" t="s">
        <v>76</v>
      </c>
      <c r="N1011" s="49" t="s">
        <v>78</v>
      </c>
      <c r="O1011" s="49" t="s">
        <v>92</v>
      </c>
      <c r="P1011" s="48" t="s">
        <v>89</v>
      </c>
      <c r="Q1011" s="49" t="s">
        <v>37</v>
      </c>
      <c r="R1011" s="11" t="s">
        <v>80</v>
      </c>
      <c r="S1011" s="11" t="s">
        <v>96</v>
      </c>
      <c r="T1011" s="11" t="s">
        <v>627</v>
      </c>
      <c r="U1011" s="11" t="s">
        <v>628</v>
      </c>
      <c r="V1011" s="116" t="s">
        <v>10</v>
      </c>
      <c r="W1011" s="88"/>
      <c r="X1011" s="51">
        <v>46226</v>
      </c>
      <c r="Y1011" s="97" t="s">
        <v>1577</v>
      </c>
      <c r="Z1011" s="135" t="s">
        <v>3023</v>
      </c>
      <c r="AA1011" s="135">
        <v>0</v>
      </c>
    </row>
    <row r="1012" spans="1:27" ht="13" customHeight="1">
      <c r="A1012" s="11">
        <v>1006</v>
      </c>
      <c r="B1012" s="47">
        <v>206006416</v>
      </c>
      <c r="C1012" s="89" t="s">
        <v>229</v>
      </c>
      <c r="D1012" s="11" t="s">
        <v>230</v>
      </c>
      <c r="E1012" s="48" t="s">
        <v>31</v>
      </c>
      <c r="F1012" s="48" t="s">
        <v>74</v>
      </c>
      <c r="G1012" s="11" t="s">
        <v>64</v>
      </c>
      <c r="H1012" s="48" t="str">
        <f>VLOOKUP(Table1[[#This Row],[Psoft No]],[1]Roster!$C$2:$H$1402,6,)</f>
        <v>AUH1</v>
      </c>
      <c r="I1012" s="48" t="b">
        <f>Table1[[#This Row],[Building]]=Table1[[#This Row],[Column1]]</f>
        <v>1</v>
      </c>
      <c r="J1012" s="11" t="s">
        <v>75</v>
      </c>
      <c r="K1012" s="11">
        <v>1299</v>
      </c>
      <c r="L1012" s="49" t="s">
        <v>32</v>
      </c>
      <c r="M1012" s="49" t="s">
        <v>76</v>
      </c>
      <c r="N1012" s="49" t="s">
        <v>78</v>
      </c>
      <c r="O1012" s="49" t="s">
        <v>92</v>
      </c>
      <c r="P1012" s="48" t="s">
        <v>79</v>
      </c>
      <c r="Q1012" s="49" t="s">
        <v>35</v>
      </c>
      <c r="R1012" s="11" t="s">
        <v>80</v>
      </c>
      <c r="S1012" s="11" t="s">
        <v>81</v>
      </c>
      <c r="T1012" s="11" t="s">
        <v>231</v>
      </c>
      <c r="U1012" s="11" t="s">
        <v>1753</v>
      </c>
      <c r="V1012" s="116" t="s">
        <v>10</v>
      </c>
      <c r="W1012" s="88"/>
      <c r="X1012" s="51">
        <v>45915</v>
      </c>
      <c r="Y1012" s="97" t="s">
        <v>1573</v>
      </c>
      <c r="Z1012" s="135" t="s">
        <v>3023</v>
      </c>
      <c r="AA1012" s="135" t="s">
        <v>3015</v>
      </c>
    </row>
    <row r="1013" spans="1:27" ht="13" customHeight="1">
      <c r="A1013" s="11">
        <v>1007</v>
      </c>
      <c r="B1013" s="47">
        <v>203965010</v>
      </c>
      <c r="C1013" s="89" t="s">
        <v>1091</v>
      </c>
      <c r="D1013" s="11" t="s">
        <v>1092</v>
      </c>
      <c r="E1013" s="48" t="s">
        <v>31</v>
      </c>
      <c r="F1013" s="48" t="s">
        <v>74</v>
      </c>
      <c r="G1013" s="11" t="s">
        <v>64</v>
      </c>
      <c r="H1013" s="48" t="str">
        <f>VLOOKUP(Table1[[#This Row],[Psoft No]],[1]Roster!$C$2:$H$1402,6,)</f>
        <v>AUH1</v>
      </c>
      <c r="I1013" s="48" t="b">
        <f>Table1[[#This Row],[Building]]=Table1[[#This Row],[Column1]]</f>
        <v>1</v>
      </c>
      <c r="J1013" s="11" t="s">
        <v>75</v>
      </c>
      <c r="K1013" s="11">
        <v>1299</v>
      </c>
      <c r="L1013" s="49" t="s">
        <v>32</v>
      </c>
      <c r="M1013" s="49" t="s">
        <v>76</v>
      </c>
      <c r="N1013" s="49" t="s">
        <v>88</v>
      </c>
      <c r="O1013" s="49" t="s">
        <v>95</v>
      </c>
      <c r="P1013" s="49" t="s">
        <v>86</v>
      </c>
      <c r="Q1013" s="49" t="s">
        <v>37</v>
      </c>
      <c r="R1013" s="11" t="s">
        <v>80</v>
      </c>
      <c r="S1013" s="11" t="s">
        <v>99</v>
      </c>
      <c r="T1013" s="49" t="s">
        <v>647</v>
      </c>
      <c r="U1013" s="11" t="s">
        <v>1798</v>
      </c>
      <c r="V1013" s="116" t="str">
        <f>VLOOKUP(Table1[[#This Row],[Psoft No]],[2]Sheet1!$A$2:$G$386,7,0)</f>
        <v>P</v>
      </c>
      <c r="W1013" s="88"/>
      <c r="X1013" s="51">
        <v>45544</v>
      </c>
      <c r="Y1013" s="97" t="s">
        <v>1577</v>
      </c>
      <c r="Z1013" s="135" t="s">
        <v>2</v>
      </c>
      <c r="AA1013" s="135">
        <v>0</v>
      </c>
    </row>
    <row r="1014" spans="1:27" ht="13" customHeight="1">
      <c r="A1014" s="11">
        <v>1008</v>
      </c>
      <c r="B1014" s="47">
        <v>204095809</v>
      </c>
      <c r="C1014" s="89" t="s">
        <v>1093</v>
      </c>
      <c r="D1014" s="11" t="s">
        <v>1094</v>
      </c>
      <c r="E1014" s="11" t="s">
        <v>31</v>
      </c>
      <c r="F1014" s="48" t="s">
        <v>74</v>
      </c>
      <c r="G1014" s="11" t="s">
        <v>64</v>
      </c>
      <c r="H1014" s="48" t="str">
        <f>VLOOKUP(Table1[[#This Row],[Psoft No]],[1]Roster!$C$2:$H$1402,6,)</f>
        <v>AUH1</v>
      </c>
      <c r="I1014" s="48" t="b">
        <f>Table1[[#This Row],[Building]]=Table1[[#This Row],[Column1]]</f>
        <v>1</v>
      </c>
      <c r="J1014" s="11" t="s">
        <v>75</v>
      </c>
      <c r="K1014" s="11">
        <v>1299</v>
      </c>
      <c r="L1014" s="49" t="s">
        <v>39</v>
      </c>
      <c r="M1014" s="49" t="s">
        <v>76</v>
      </c>
      <c r="N1014" s="49" t="s">
        <v>95</v>
      </c>
      <c r="O1014" s="49" t="s">
        <v>77</v>
      </c>
      <c r="P1014" s="49" t="s">
        <v>86</v>
      </c>
      <c r="Q1014" s="49" t="s">
        <v>37</v>
      </c>
      <c r="R1014" s="11" t="s">
        <v>80</v>
      </c>
      <c r="S1014" s="11" t="s">
        <v>87</v>
      </c>
      <c r="T1014" s="11" t="s">
        <v>631</v>
      </c>
      <c r="U1014" s="11" t="s">
        <v>632</v>
      </c>
      <c r="V1014" s="116" t="s">
        <v>1</v>
      </c>
      <c r="W1014" s="88"/>
      <c r="X1014" s="51">
        <v>45561</v>
      </c>
      <c r="Y1014" s="97" t="s">
        <v>1577</v>
      </c>
      <c r="Z1014" s="135" t="s">
        <v>2</v>
      </c>
      <c r="AA1014" s="135">
        <v>0</v>
      </c>
    </row>
    <row r="1015" spans="1:27" ht="13" customHeight="1">
      <c r="A1015" s="11">
        <v>1009</v>
      </c>
      <c r="B1015" s="47">
        <v>203965493</v>
      </c>
      <c r="C1015" s="89" t="s">
        <v>541</v>
      </c>
      <c r="D1015" s="11" t="s">
        <v>542</v>
      </c>
      <c r="E1015" s="48" t="s">
        <v>31</v>
      </c>
      <c r="F1015" s="48" t="s">
        <v>74</v>
      </c>
      <c r="G1015" s="11" t="s">
        <v>64</v>
      </c>
      <c r="H1015" s="48" t="str">
        <f>VLOOKUP(Table1[[#This Row],[Psoft No]],[1]Roster!$C$2:$H$1402,6,)</f>
        <v>AUH1</v>
      </c>
      <c r="I1015" s="48" t="b">
        <f>Table1[[#This Row],[Building]]=Table1[[#This Row],[Column1]]</f>
        <v>1</v>
      </c>
      <c r="J1015" s="11" t="s">
        <v>75</v>
      </c>
      <c r="K1015" s="11">
        <v>1299</v>
      </c>
      <c r="L1015" s="49" t="s">
        <v>32</v>
      </c>
      <c r="M1015" s="49" t="s">
        <v>76</v>
      </c>
      <c r="N1015" s="49" t="s">
        <v>77</v>
      </c>
      <c r="O1015" s="49" t="s">
        <v>78</v>
      </c>
      <c r="P1015" s="48" t="s">
        <v>79</v>
      </c>
      <c r="Q1015" s="49" t="s">
        <v>35</v>
      </c>
      <c r="R1015" s="11" t="s">
        <v>80</v>
      </c>
      <c r="S1015" s="11" t="s">
        <v>81</v>
      </c>
      <c r="T1015" s="11" t="s">
        <v>225</v>
      </c>
      <c r="U1015" s="11" t="s">
        <v>226</v>
      </c>
      <c r="V1015" s="116" t="str">
        <f>VLOOKUP(Table1[[#This Row],[Psoft No]],[2]Sheet1!$A$2:$G$386,7,0)</f>
        <v>P</v>
      </c>
      <c r="W1015" s="88"/>
      <c r="X1015" s="51">
        <v>45544</v>
      </c>
      <c r="Y1015" s="97" t="s">
        <v>1573</v>
      </c>
      <c r="Z1015" s="135" t="s">
        <v>2</v>
      </c>
      <c r="AA1015" s="135">
        <v>0</v>
      </c>
    </row>
    <row r="1016" spans="1:27" ht="13" customHeight="1">
      <c r="A1016" s="11">
        <v>1010</v>
      </c>
      <c r="B1016" s="47">
        <v>203965178</v>
      </c>
      <c r="C1016" s="89" t="s">
        <v>1097</v>
      </c>
      <c r="D1016" s="11" t="s">
        <v>1098</v>
      </c>
      <c r="E1016" s="48" t="s">
        <v>31</v>
      </c>
      <c r="F1016" s="48" t="s">
        <v>74</v>
      </c>
      <c r="G1016" s="11" t="s">
        <v>64</v>
      </c>
      <c r="H1016" s="48" t="str">
        <f>VLOOKUP(Table1[[#This Row],[Psoft No]],[1]Roster!$C$2:$H$1402,6,)</f>
        <v>AUH1</v>
      </c>
      <c r="I1016" s="48" t="b">
        <f>Table1[[#This Row],[Building]]=Table1[[#This Row],[Column1]]</f>
        <v>1</v>
      </c>
      <c r="J1016" s="11" t="s">
        <v>75</v>
      </c>
      <c r="K1016" s="11">
        <v>1299</v>
      </c>
      <c r="L1016" s="49" t="s">
        <v>39</v>
      </c>
      <c r="M1016" s="49" t="s">
        <v>76</v>
      </c>
      <c r="N1016" s="49" t="s">
        <v>77</v>
      </c>
      <c r="O1016" s="49" t="s">
        <v>78</v>
      </c>
      <c r="P1016" s="48" t="s">
        <v>79</v>
      </c>
      <c r="Q1016" s="49" t="s">
        <v>37</v>
      </c>
      <c r="R1016" s="11" t="s">
        <v>80</v>
      </c>
      <c r="S1016" s="11" t="s">
        <v>81</v>
      </c>
      <c r="T1016" s="49" t="s">
        <v>647</v>
      </c>
      <c r="U1016" s="11" t="s">
        <v>1798</v>
      </c>
      <c r="V1016" s="116" t="s">
        <v>1</v>
      </c>
      <c r="W1016" s="88"/>
      <c r="X1016" s="51">
        <v>45544</v>
      </c>
      <c r="Y1016" s="97" t="s">
        <v>1577</v>
      </c>
      <c r="Z1016" s="135" t="s">
        <v>2</v>
      </c>
      <c r="AA1016" s="135">
        <v>0</v>
      </c>
    </row>
    <row r="1017" spans="1:27" ht="13" customHeight="1">
      <c r="A1017" s="11">
        <v>1011</v>
      </c>
      <c r="B1017" s="47">
        <v>206128578</v>
      </c>
      <c r="C1017" s="89" t="s">
        <v>2865</v>
      </c>
      <c r="D1017" s="47" t="s">
        <v>2866</v>
      </c>
      <c r="E1017" s="47" t="s">
        <v>31</v>
      </c>
      <c r="F1017" s="48" t="s">
        <v>74</v>
      </c>
      <c r="G1017" s="11" t="s">
        <v>64</v>
      </c>
      <c r="H1017" s="48" t="str">
        <f>VLOOKUP(Table1[[#This Row],[Psoft No]],[1]Roster!$C$2:$H$1402,6,)</f>
        <v>AUH1</v>
      </c>
      <c r="I1017" s="48" t="b">
        <f>Table1[[#This Row],[Building]]=Table1[[#This Row],[Column1]]</f>
        <v>1</v>
      </c>
      <c r="J1017" s="11" t="s">
        <v>75</v>
      </c>
      <c r="K1017" s="47">
        <v>1299</v>
      </c>
      <c r="L1017" s="49" t="s">
        <v>39</v>
      </c>
      <c r="M1017" s="49" t="s">
        <v>76</v>
      </c>
      <c r="N1017" s="49" t="s">
        <v>84</v>
      </c>
      <c r="O1017" s="49" t="s">
        <v>85</v>
      </c>
      <c r="P1017" s="49" t="s">
        <v>89</v>
      </c>
      <c r="Q1017" s="49" t="s">
        <v>37</v>
      </c>
      <c r="R1017" s="11" t="s">
        <v>80</v>
      </c>
      <c r="S1017" s="47" t="s">
        <v>96</v>
      </c>
      <c r="T1017" s="11" t="s">
        <v>1066</v>
      </c>
      <c r="U1017" s="11" t="s">
        <v>2717</v>
      </c>
      <c r="V1017" s="116" t="s">
        <v>1</v>
      </c>
      <c r="W1017" s="88"/>
      <c r="X1017" s="51">
        <v>46238</v>
      </c>
      <c r="Y1017" s="97" t="s">
        <v>1578</v>
      </c>
      <c r="Z1017" s="135" t="s">
        <v>2</v>
      </c>
      <c r="AA1017" s="135">
        <v>0</v>
      </c>
    </row>
    <row r="1018" spans="1:27" ht="13" customHeight="1">
      <c r="A1018" s="11">
        <v>1012</v>
      </c>
      <c r="B1018" s="47">
        <v>203993303</v>
      </c>
      <c r="C1018" s="89" t="s">
        <v>1099</v>
      </c>
      <c r="D1018" s="11" t="s">
        <v>1100</v>
      </c>
      <c r="E1018" s="48" t="s">
        <v>31</v>
      </c>
      <c r="F1018" s="48" t="s">
        <v>74</v>
      </c>
      <c r="G1018" s="11" t="s">
        <v>64</v>
      </c>
      <c r="H1018" s="48" t="str">
        <f>VLOOKUP(Table1[[#This Row],[Psoft No]],[1]Roster!$C$2:$H$1402,6,)</f>
        <v>AUH1</v>
      </c>
      <c r="I1018" s="48" t="b">
        <f>Table1[[#This Row],[Building]]=Table1[[#This Row],[Column1]]</f>
        <v>1</v>
      </c>
      <c r="J1018" s="11" t="s">
        <v>75</v>
      </c>
      <c r="K1018" s="11">
        <v>1299</v>
      </c>
      <c r="L1018" s="49" t="s">
        <v>39</v>
      </c>
      <c r="M1018" s="49" t="s">
        <v>76</v>
      </c>
      <c r="N1018" s="49" t="s">
        <v>78</v>
      </c>
      <c r="O1018" s="49" t="s">
        <v>92</v>
      </c>
      <c r="P1018" s="48" t="s">
        <v>79</v>
      </c>
      <c r="Q1018" s="49" t="s">
        <v>37</v>
      </c>
      <c r="R1018" s="11" t="s">
        <v>80</v>
      </c>
      <c r="S1018" s="11" t="s">
        <v>81</v>
      </c>
      <c r="T1018" s="11" t="s">
        <v>627</v>
      </c>
      <c r="U1018" s="11" t="s">
        <v>628</v>
      </c>
      <c r="V1018" s="116" t="s">
        <v>10</v>
      </c>
      <c r="W1018" s="88"/>
      <c r="X1018" s="51">
        <v>45547</v>
      </c>
      <c r="Y1018" s="97" t="s">
        <v>1577</v>
      </c>
      <c r="Z1018" s="135" t="s">
        <v>3023</v>
      </c>
      <c r="AA1018" s="135">
        <v>0</v>
      </c>
    </row>
    <row r="1019" spans="1:27" ht="13" customHeight="1">
      <c r="A1019" s="11">
        <v>1013</v>
      </c>
      <c r="B1019" s="47">
        <v>204053437</v>
      </c>
      <c r="C1019" s="89" t="s">
        <v>1101</v>
      </c>
      <c r="D1019" s="11" t="s">
        <v>1102</v>
      </c>
      <c r="E1019" s="48" t="s">
        <v>31</v>
      </c>
      <c r="F1019" s="48" t="s">
        <v>74</v>
      </c>
      <c r="G1019" s="11" t="s">
        <v>64</v>
      </c>
      <c r="H1019" s="48" t="str">
        <f>VLOOKUP(Table1[[#This Row],[Psoft No]],[1]Roster!$C$2:$H$1402,6,)</f>
        <v>AUH1</v>
      </c>
      <c r="I1019" s="48" t="b">
        <f>Table1[[#This Row],[Building]]=Table1[[#This Row],[Column1]]</f>
        <v>1</v>
      </c>
      <c r="J1019" s="11" t="s">
        <v>75</v>
      </c>
      <c r="K1019" s="11">
        <v>1299</v>
      </c>
      <c r="L1019" s="49" t="s">
        <v>32</v>
      </c>
      <c r="M1019" s="49" t="s">
        <v>76</v>
      </c>
      <c r="N1019" s="49" t="s">
        <v>95</v>
      </c>
      <c r="O1019" s="49" t="s">
        <v>77</v>
      </c>
      <c r="P1019" s="48" t="s">
        <v>86</v>
      </c>
      <c r="Q1019" s="49" t="s">
        <v>37</v>
      </c>
      <c r="R1019" s="11" t="s">
        <v>80</v>
      </c>
      <c r="S1019" s="11" t="s">
        <v>99</v>
      </c>
      <c r="T1019" s="11" t="s">
        <v>647</v>
      </c>
      <c r="U1019" s="11" t="s">
        <v>1798</v>
      </c>
      <c r="V1019" s="116" t="str">
        <f>VLOOKUP(Table1[[#This Row],[Psoft No]],[2]Sheet1!$A$2:$G$386,7,0)</f>
        <v>P</v>
      </c>
      <c r="W1019" s="88"/>
      <c r="X1019" s="51">
        <v>45558</v>
      </c>
      <c r="Y1019" s="97" t="s">
        <v>1576</v>
      </c>
      <c r="Z1019" s="135" t="s">
        <v>2</v>
      </c>
      <c r="AA1019" s="135">
        <v>0</v>
      </c>
    </row>
    <row r="1020" spans="1:27" ht="13" customHeight="1">
      <c r="A1020" s="11">
        <v>1014</v>
      </c>
      <c r="B1020" s="47">
        <v>206137333</v>
      </c>
      <c r="C1020" s="89" t="s">
        <v>1103</v>
      </c>
      <c r="D1020" s="11" t="s">
        <v>1104</v>
      </c>
      <c r="E1020" s="48" t="s">
        <v>31</v>
      </c>
      <c r="F1020" s="48" t="s">
        <v>74</v>
      </c>
      <c r="G1020" s="11" t="s">
        <v>64</v>
      </c>
      <c r="H1020" s="48" t="str">
        <f>VLOOKUP(Table1[[#This Row],[Psoft No]],[1]Roster!$C$2:$H$1402,6,)</f>
        <v>AUH1</v>
      </c>
      <c r="I1020" s="48" t="b">
        <f>Table1[[#This Row],[Building]]=Table1[[#This Row],[Column1]]</f>
        <v>1</v>
      </c>
      <c r="J1020" s="11" t="s">
        <v>75</v>
      </c>
      <c r="K1020" s="11">
        <v>1299</v>
      </c>
      <c r="L1020" s="49" t="s">
        <v>32</v>
      </c>
      <c r="M1020" s="49" t="s">
        <v>76</v>
      </c>
      <c r="N1020" s="49" t="s">
        <v>84</v>
      </c>
      <c r="O1020" s="49" t="s">
        <v>85</v>
      </c>
      <c r="P1020" s="48" t="s">
        <v>89</v>
      </c>
      <c r="Q1020" s="49" t="s">
        <v>37</v>
      </c>
      <c r="R1020" s="11" t="s">
        <v>80</v>
      </c>
      <c r="S1020" s="11" t="s">
        <v>81</v>
      </c>
      <c r="T1020" s="11" t="s">
        <v>631</v>
      </c>
      <c r="U1020" s="11" t="s">
        <v>632</v>
      </c>
      <c r="V1020" s="116" t="str">
        <f>VLOOKUP(Table1[[#This Row],[Psoft No]],[2]Sheet1!$A$2:$G$386,7,0)</f>
        <v>P</v>
      </c>
      <c r="W1020" s="88"/>
      <c r="X1020" s="51">
        <v>45929</v>
      </c>
      <c r="Y1020" s="97" t="s">
        <v>1577</v>
      </c>
      <c r="Z1020" s="135" t="s">
        <v>2</v>
      </c>
      <c r="AA1020" s="135">
        <v>0</v>
      </c>
    </row>
    <row r="1021" spans="1:27" ht="13" customHeight="1">
      <c r="A1021" s="11">
        <v>1015</v>
      </c>
      <c r="B1021" s="47">
        <v>205996135</v>
      </c>
      <c r="C1021" s="89" t="s">
        <v>1105</v>
      </c>
      <c r="D1021" s="11" t="s">
        <v>1106</v>
      </c>
      <c r="E1021" s="48" t="s">
        <v>31</v>
      </c>
      <c r="F1021" s="48" t="s">
        <v>74</v>
      </c>
      <c r="G1021" s="11" t="s">
        <v>64</v>
      </c>
      <c r="H1021" s="48" t="str">
        <f>VLOOKUP(Table1[[#This Row],[Psoft No]],[1]Roster!$C$2:$H$1402,6,)</f>
        <v>AUH1</v>
      </c>
      <c r="I1021" s="48" t="b">
        <f>Table1[[#This Row],[Building]]=Table1[[#This Row],[Column1]]</f>
        <v>1</v>
      </c>
      <c r="J1021" s="11" t="s">
        <v>75</v>
      </c>
      <c r="K1021" s="11">
        <v>1299</v>
      </c>
      <c r="L1021" s="49" t="s">
        <v>39</v>
      </c>
      <c r="M1021" s="49" t="s">
        <v>76</v>
      </c>
      <c r="N1021" s="49" t="s">
        <v>77</v>
      </c>
      <c r="O1021" s="49" t="s">
        <v>78</v>
      </c>
      <c r="P1021" s="48" t="s">
        <v>79</v>
      </c>
      <c r="Q1021" s="49" t="s">
        <v>37</v>
      </c>
      <c r="R1021" s="11" t="s">
        <v>80</v>
      </c>
      <c r="S1021" s="11" t="s">
        <v>81</v>
      </c>
      <c r="T1021" s="49" t="s">
        <v>631</v>
      </c>
      <c r="U1021" s="11" t="s">
        <v>632</v>
      </c>
      <c r="V1021" s="116" t="s">
        <v>1</v>
      </c>
      <c r="W1021" s="88"/>
      <c r="X1021" s="51">
        <v>45915</v>
      </c>
      <c r="Y1021" s="97" t="s">
        <v>1577</v>
      </c>
      <c r="Z1021" s="135" t="s">
        <v>2</v>
      </c>
      <c r="AA1021" s="135">
        <v>0</v>
      </c>
    </row>
    <row r="1022" spans="1:27" ht="13" customHeight="1">
      <c r="A1022" s="11">
        <v>1016</v>
      </c>
      <c r="B1022" s="92">
        <v>204890370</v>
      </c>
      <c r="C1022" s="47" t="s">
        <v>1107</v>
      </c>
      <c r="D1022" s="89" t="s">
        <v>1108</v>
      </c>
      <c r="E1022" s="48" t="s">
        <v>31</v>
      </c>
      <c r="F1022" s="48" t="s">
        <v>74</v>
      </c>
      <c r="G1022" s="11" t="s">
        <v>64</v>
      </c>
      <c r="H1022" s="48" t="str">
        <f>VLOOKUP(Table1[[#This Row],[Psoft No]],[1]Roster!$C$2:$H$1402,6,)</f>
        <v>AUH1</v>
      </c>
      <c r="I1022" s="48" t="b">
        <f>Table1[[#This Row],[Building]]=Table1[[#This Row],[Column1]]</f>
        <v>1</v>
      </c>
      <c r="J1022" s="11" t="s">
        <v>75</v>
      </c>
      <c r="K1022" s="11">
        <v>1290</v>
      </c>
      <c r="L1022" s="49" t="s">
        <v>39</v>
      </c>
      <c r="M1022" s="49" t="s">
        <v>76</v>
      </c>
      <c r="N1022" s="49" t="s">
        <v>92</v>
      </c>
      <c r="O1022" s="49" t="s">
        <v>84</v>
      </c>
      <c r="P1022" s="49" t="s">
        <v>89</v>
      </c>
      <c r="Q1022" s="49" t="s">
        <v>37</v>
      </c>
      <c r="R1022" s="11" t="s">
        <v>80</v>
      </c>
      <c r="S1022" s="11" t="s">
        <v>90</v>
      </c>
      <c r="T1022" s="11" t="s">
        <v>1066</v>
      </c>
      <c r="U1022" s="11" t="s">
        <v>2717</v>
      </c>
      <c r="V1022" s="116" t="s">
        <v>10</v>
      </c>
      <c r="W1022" s="88"/>
      <c r="X1022" s="51">
        <v>45691</v>
      </c>
      <c r="Y1022" s="97" t="s">
        <v>1577</v>
      </c>
      <c r="Z1022" s="135" t="s">
        <v>3023</v>
      </c>
      <c r="AA1022" s="135">
        <v>0</v>
      </c>
    </row>
    <row r="1023" spans="1:27" ht="13" customHeight="1">
      <c r="A1023" s="11">
        <v>1017</v>
      </c>
      <c r="B1023" s="47">
        <v>203851108</v>
      </c>
      <c r="C1023" s="89" t="s">
        <v>1109</v>
      </c>
      <c r="D1023" s="11" t="s">
        <v>1110</v>
      </c>
      <c r="E1023" s="48" t="s">
        <v>31</v>
      </c>
      <c r="F1023" s="48" t="s">
        <v>74</v>
      </c>
      <c r="G1023" s="11" t="s">
        <v>64</v>
      </c>
      <c r="H1023" s="48" t="str">
        <f>VLOOKUP(Table1[[#This Row],[Psoft No]],[1]Roster!$C$2:$H$1402,6,)</f>
        <v>AUH1</v>
      </c>
      <c r="I1023" s="48" t="b">
        <f>Table1[[#This Row],[Building]]=Table1[[#This Row],[Column1]]</f>
        <v>1</v>
      </c>
      <c r="J1023" s="11" t="s">
        <v>75</v>
      </c>
      <c r="K1023" s="11">
        <v>1299</v>
      </c>
      <c r="L1023" s="49" t="s">
        <v>39</v>
      </c>
      <c r="M1023" s="49" t="s">
        <v>76</v>
      </c>
      <c r="N1023" s="49" t="s">
        <v>84</v>
      </c>
      <c r="O1023" s="49" t="s">
        <v>85</v>
      </c>
      <c r="P1023" s="49" t="s">
        <v>79</v>
      </c>
      <c r="Q1023" s="49" t="s">
        <v>37</v>
      </c>
      <c r="R1023" s="11" t="s">
        <v>80</v>
      </c>
      <c r="S1023" s="11" t="s">
        <v>81</v>
      </c>
      <c r="T1023" s="49" t="s">
        <v>627</v>
      </c>
      <c r="U1023" s="11" t="s">
        <v>628</v>
      </c>
      <c r="V1023" s="116" t="s">
        <v>1</v>
      </c>
      <c r="W1023" s="88"/>
      <c r="X1023" s="51">
        <v>45524</v>
      </c>
      <c r="Y1023" s="97" t="s">
        <v>1579</v>
      </c>
      <c r="Z1023" s="135" t="s">
        <v>2</v>
      </c>
      <c r="AA1023" s="135">
        <v>0</v>
      </c>
    </row>
    <row r="1024" spans="1:27" ht="13" customHeight="1">
      <c r="A1024" s="11">
        <v>1018</v>
      </c>
      <c r="B1024" s="47">
        <v>203468310</v>
      </c>
      <c r="C1024" s="89" t="s">
        <v>289</v>
      </c>
      <c r="D1024" s="11" t="s">
        <v>290</v>
      </c>
      <c r="E1024" s="48" t="s">
        <v>31</v>
      </c>
      <c r="F1024" s="48" t="s">
        <v>74</v>
      </c>
      <c r="G1024" s="11" t="s">
        <v>64</v>
      </c>
      <c r="H1024" s="48" t="str">
        <f>VLOOKUP(Table1[[#This Row],[Psoft No]],[1]Roster!$C$2:$H$1402,6,)</f>
        <v>AUH1</v>
      </c>
      <c r="I1024" s="48" t="b">
        <f>Table1[[#This Row],[Building]]=Table1[[#This Row],[Column1]]</f>
        <v>1</v>
      </c>
      <c r="J1024" s="11" t="s">
        <v>75</v>
      </c>
      <c r="K1024" s="11">
        <v>1299</v>
      </c>
      <c r="L1024" s="49" t="s">
        <v>32</v>
      </c>
      <c r="M1024" s="49" t="s">
        <v>76</v>
      </c>
      <c r="N1024" s="49" t="s">
        <v>78</v>
      </c>
      <c r="O1024" s="49" t="s">
        <v>92</v>
      </c>
      <c r="P1024" s="49" t="s">
        <v>79</v>
      </c>
      <c r="Q1024" s="49" t="s">
        <v>35</v>
      </c>
      <c r="R1024" s="11" t="s">
        <v>80</v>
      </c>
      <c r="S1024" s="11" t="s">
        <v>81</v>
      </c>
      <c r="T1024" s="11" t="s">
        <v>225</v>
      </c>
      <c r="U1024" s="11" t="s">
        <v>226</v>
      </c>
      <c r="V1024" s="116" t="s">
        <v>10</v>
      </c>
      <c r="W1024" s="88"/>
      <c r="X1024" s="51">
        <v>45456</v>
      </c>
      <c r="Y1024" s="97" t="s">
        <v>1570</v>
      </c>
      <c r="Z1024" s="135" t="s">
        <v>3023</v>
      </c>
      <c r="AA1024" s="135">
        <v>0</v>
      </c>
    </row>
    <row r="1025" spans="1:27" ht="13" customHeight="1">
      <c r="A1025" s="11">
        <v>1019</v>
      </c>
      <c r="B1025" s="47">
        <v>206137338</v>
      </c>
      <c r="C1025" s="89" t="s">
        <v>1113</v>
      </c>
      <c r="D1025" s="11" t="s">
        <v>1114</v>
      </c>
      <c r="E1025" s="48" t="s">
        <v>31</v>
      </c>
      <c r="F1025" s="48" t="s">
        <v>74</v>
      </c>
      <c r="G1025" s="11" t="s">
        <v>64</v>
      </c>
      <c r="H1025" s="48" t="str">
        <f>VLOOKUP(Table1[[#This Row],[Psoft No]],[1]Roster!$C$2:$H$1402,6,)</f>
        <v>AUH1</v>
      </c>
      <c r="I1025" s="48" t="b">
        <f>Table1[[#This Row],[Building]]=Table1[[#This Row],[Column1]]</f>
        <v>1</v>
      </c>
      <c r="J1025" s="11" t="s">
        <v>75</v>
      </c>
      <c r="K1025" s="11">
        <v>1299</v>
      </c>
      <c r="L1025" s="49" t="s">
        <v>39</v>
      </c>
      <c r="M1025" s="49" t="s">
        <v>76</v>
      </c>
      <c r="N1025" s="49" t="s">
        <v>77</v>
      </c>
      <c r="O1025" s="49" t="s">
        <v>78</v>
      </c>
      <c r="P1025" s="48" t="s">
        <v>89</v>
      </c>
      <c r="Q1025" s="49" t="s">
        <v>37</v>
      </c>
      <c r="R1025" s="11" t="s">
        <v>80</v>
      </c>
      <c r="S1025" s="11" t="s">
        <v>81</v>
      </c>
      <c r="T1025" s="11" t="s">
        <v>631</v>
      </c>
      <c r="U1025" s="11" t="s">
        <v>632</v>
      </c>
      <c r="V1025" s="116" t="s">
        <v>1</v>
      </c>
      <c r="W1025" s="88"/>
      <c r="X1025" s="51">
        <v>45929</v>
      </c>
      <c r="Y1025" s="97" t="s">
        <v>1577</v>
      </c>
      <c r="Z1025" s="135" t="s">
        <v>2</v>
      </c>
      <c r="AA1025" s="135" t="s">
        <v>3015</v>
      </c>
    </row>
    <row r="1026" spans="1:27" ht="13" customHeight="1">
      <c r="A1026" s="11">
        <v>1020</v>
      </c>
      <c r="B1026" s="47">
        <v>206129614</v>
      </c>
      <c r="C1026" s="89" t="s">
        <v>1115</v>
      </c>
      <c r="D1026" s="11" t="s">
        <v>1116</v>
      </c>
      <c r="E1026" s="48" t="s">
        <v>31</v>
      </c>
      <c r="F1026" s="48" t="s">
        <v>74</v>
      </c>
      <c r="G1026" s="11" t="s">
        <v>64</v>
      </c>
      <c r="H1026" s="48" t="str">
        <f>VLOOKUP(Table1[[#This Row],[Psoft No]],[1]Roster!$C$2:$H$1402,6,)</f>
        <v>AUH1</v>
      </c>
      <c r="I1026" s="48" t="b">
        <f>Table1[[#This Row],[Building]]=Table1[[#This Row],[Column1]]</f>
        <v>1</v>
      </c>
      <c r="J1026" s="11" t="s">
        <v>75</v>
      </c>
      <c r="K1026" s="11">
        <v>1299</v>
      </c>
      <c r="L1026" s="49" t="s">
        <v>32</v>
      </c>
      <c r="M1026" s="49" t="s">
        <v>76</v>
      </c>
      <c r="N1026" s="49" t="s">
        <v>88</v>
      </c>
      <c r="O1026" s="49" t="s">
        <v>95</v>
      </c>
      <c r="P1026" s="49" t="s">
        <v>79</v>
      </c>
      <c r="Q1026" s="49" t="s">
        <v>37</v>
      </c>
      <c r="R1026" s="11" t="s">
        <v>80</v>
      </c>
      <c r="S1026" s="11" t="s">
        <v>81</v>
      </c>
      <c r="T1026" s="49" t="s">
        <v>2845</v>
      </c>
      <c r="U1026" s="11" t="s">
        <v>2846</v>
      </c>
      <c r="V1026" s="116" t="str">
        <f>VLOOKUP(Table1[[#This Row],[Psoft No]],[2]Sheet1!$A$2:$G$386,7,0)</f>
        <v>P</v>
      </c>
      <c r="W1026" s="88"/>
      <c r="X1026" s="51">
        <v>45929</v>
      </c>
      <c r="Y1026" s="97" t="s">
        <v>1577</v>
      </c>
      <c r="Z1026" s="135" t="s">
        <v>2</v>
      </c>
      <c r="AA1026" s="135">
        <v>0</v>
      </c>
    </row>
    <row r="1027" spans="1:27" ht="13" customHeight="1">
      <c r="A1027" s="11">
        <v>1021</v>
      </c>
      <c r="B1027" s="47">
        <v>204890373</v>
      </c>
      <c r="C1027" s="89" t="s">
        <v>1117</v>
      </c>
      <c r="D1027" s="11" t="s">
        <v>1118</v>
      </c>
      <c r="E1027" s="48" t="s">
        <v>31</v>
      </c>
      <c r="F1027" s="48" t="s">
        <v>74</v>
      </c>
      <c r="G1027" s="11" t="s">
        <v>64</v>
      </c>
      <c r="H1027" s="48" t="str">
        <f>VLOOKUP(Table1[[#This Row],[Psoft No]],[1]Roster!$C$2:$H$1402,6,)</f>
        <v>AUH1</v>
      </c>
      <c r="I1027" s="48" t="b">
        <f>Table1[[#This Row],[Building]]=Table1[[#This Row],[Column1]]</f>
        <v>1</v>
      </c>
      <c r="J1027" s="11" t="s">
        <v>75</v>
      </c>
      <c r="K1027" s="11">
        <v>1290</v>
      </c>
      <c r="L1027" s="49" t="s">
        <v>39</v>
      </c>
      <c r="M1027" s="49" t="s">
        <v>76</v>
      </c>
      <c r="N1027" s="49" t="s">
        <v>84</v>
      </c>
      <c r="O1027" s="49" t="s">
        <v>85</v>
      </c>
      <c r="P1027" s="48" t="s">
        <v>86</v>
      </c>
      <c r="Q1027" s="49" t="s">
        <v>37</v>
      </c>
      <c r="R1027" s="11" t="s">
        <v>80</v>
      </c>
      <c r="S1027" s="11" t="s">
        <v>90</v>
      </c>
      <c r="T1027" s="49" t="s">
        <v>627</v>
      </c>
      <c r="U1027" s="11" t="s">
        <v>628</v>
      </c>
      <c r="V1027" s="116" t="s">
        <v>1</v>
      </c>
      <c r="W1027" s="88"/>
      <c r="X1027" s="51">
        <v>45691</v>
      </c>
      <c r="Y1027" s="97" t="s">
        <v>1577</v>
      </c>
      <c r="Z1027" s="135" t="s">
        <v>2</v>
      </c>
      <c r="AA1027" s="135">
        <v>0</v>
      </c>
    </row>
    <row r="1028" spans="1:27" ht="13" customHeight="1">
      <c r="A1028" s="11">
        <v>1022</v>
      </c>
      <c r="B1028" s="47">
        <v>205845553</v>
      </c>
      <c r="C1028" s="89" t="s">
        <v>2808</v>
      </c>
      <c r="D1028" s="11" t="s">
        <v>2809</v>
      </c>
      <c r="E1028" s="48" t="s">
        <v>31</v>
      </c>
      <c r="F1028" s="48" t="s">
        <v>74</v>
      </c>
      <c r="G1028" s="11" t="s">
        <v>64</v>
      </c>
      <c r="H1028" s="48" t="str">
        <f>VLOOKUP(Table1[[#This Row],[Psoft No]],[1]Roster!$C$2:$H$1402,6,)</f>
        <v>AUH1</v>
      </c>
      <c r="I1028" s="48" t="b">
        <f>Table1[[#This Row],[Building]]=Table1[[#This Row],[Column1]]</f>
        <v>1</v>
      </c>
      <c r="J1028" s="11" t="s">
        <v>75</v>
      </c>
      <c r="K1028" s="11">
        <v>1299</v>
      </c>
      <c r="L1028" s="49" t="s">
        <v>32</v>
      </c>
      <c r="M1028" s="49" t="s">
        <v>76</v>
      </c>
      <c r="N1028" s="49" t="s">
        <v>77</v>
      </c>
      <c r="O1028" s="49" t="s">
        <v>78</v>
      </c>
      <c r="P1028" s="48" t="s">
        <v>86</v>
      </c>
      <c r="Q1028" s="49" t="s">
        <v>37</v>
      </c>
      <c r="R1028" s="11" t="s">
        <v>80</v>
      </c>
      <c r="S1028" s="11" t="s">
        <v>90</v>
      </c>
      <c r="T1028" s="11" t="s">
        <v>627</v>
      </c>
      <c r="U1028" s="11" t="s">
        <v>628</v>
      </c>
      <c r="V1028" s="116" t="str">
        <f>VLOOKUP(Table1[[#This Row],[Psoft No]],[2]Sheet1!$A$2:$G$386,7,0)</f>
        <v>P</v>
      </c>
      <c r="W1028" s="88"/>
      <c r="X1028" s="51">
        <v>45894</v>
      </c>
      <c r="Y1028" s="97" t="s">
        <v>1576</v>
      </c>
      <c r="Z1028" s="135" t="s">
        <v>2</v>
      </c>
      <c r="AA1028" s="135">
        <v>0</v>
      </c>
    </row>
    <row r="1029" spans="1:27" ht="13" customHeight="1">
      <c r="A1029" s="11">
        <v>1023</v>
      </c>
      <c r="B1029" s="47">
        <v>206239769</v>
      </c>
      <c r="C1029" s="89" t="s">
        <v>1654</v>
      </c>
      <c r="D1029" s="11" t="s">
        <v>1628</v>
      </c>
      <c r="E1029" s="48" t="s">
        <v>31</v>
      </c>
      <c r="F1029" s="48" t="s">
        <v>74</v>
      </c>
      <c r="G1029" s="11" t="s">
        <v>64</v>
      </c>
      <c r="H1029" s="48" t="str">
        <f>VLOOKUP(Table1[[#This Row],[Psoft No]],[1]Roster!$C$2:$H$1402,6,)</f>
        <v>AUH1</v>
      </c>
      <c r="I1029" s="48" t="b">
        <f>Table1[[#This Row],[Building]]=Table1[[#This Row],[Column1]]</f>
        <v>1</v>
      </c>
      <c r="J1029" s="11" t="s">
        <v>75</v>
      </c>
      <c r="K1029" s="11">
        <v>1299</v>
      </c>
      <c r="L1029" s="49" t="s">
        <v>32</v>
      </c>
      <c r="M1029" s="49" t="s">
        <v>76</v>
      </c>
      <c r="N1029" s="49" t="s">
        <v>77</v>
      </c>
      <c r="O1029" s="49" t="s">
        <v>78</v>
      </c>
      <c r="P1029" s="48" t="s">
        <v>86</v>
      </c>
      <c r="Q1029" s="49" t="s">
        <v>37</v>
      </c>
      <c r="R1029" s="11" t="s">
        <v>80</v>
      </c>
      <c r="S1029" s="11" t="s">
        <v>90</v>
      </c>
      <c r="T1029" s="49" t="s">
        <v>2845</v>
      </c>
      <c r="U1029" s="11" t="s">
        <v>2846</v>
      </c>
      <c r="V1029" s="116" t="str">
        <f>VLOOKUP(Table1[[#This Row],[Psoft No]],[2]Sheet1!$A$2:$G$386,7,0)</f>
        <v>P</v>
      </c>
      <c r="W1029" s="88"/>
      <c r="X1029" s="51">
        <v>45943</v>
      </c>
      <c r="Y1029" s="97" t="s">
        <v>1569</v>
      </c>
      <c r="Z1029" s="135" t="s">
        <v>2</v>
      </c>
      <c r="AA1029" s="135">
        <v>0</v>
      </c>
    </row>
    <row r="1030" spans="1:27" ht="13" customHeight="1">
      <c r="A1030" s="11">
        <v>1024</v>
      </c>
      <c r="B1030" s="47">
        <v>203850899</v>
      </c>
      <c r="C1030" s="89" t="s">
        <v>1119</v>
      </c>
      <c r="D1030" s="11" t="s">
        <v>1120</v>
      </c>
      <c r="E1030" s="48" t="s">
        <v>31</v>
      </c>
      <c r="F1030" s="48" t="s">
        <v>74</v>
      </c>
      <c r="G1030" s="11" t="s">
        <v>64</v>
      </c>
      <c r="H1030" s="48" t="str">
        <f>VLOOKUP(Table1[[#This Row],[Psoft No]],[1]Roster!$C$2:$H$1402,6,)</f>
        <v>AUH1</v>
      </c>
      <c r="I1030" s="48" t="b">
        <f>Table1[[#This Row],[Building]]=Table1[[#This Row],[Column1]]</f>
        <v>1</v>
      </c>
      <c r="J1030" s="11" t="s">
        <v>75</v>
      </c>
      <c r="K1030" s="11">
        <v>1299</v>
      </c>
      <c r="L1030" s="49" t="s">
        <v>39</v>
      </c>
      <c r="M1030" s="49" t="s">
        <v>76</v>
      </c>
      <c r="N1030" s="49" t="s">
        <v>78</v>
      </c>
      <c r="O1030" s="49" t="s">
        <v>92</v>
      </c>
      <c r="P1030" s="48" t="s">
        <v>86</v>
      </c>
      <c r="Q1030" s="49" t="s">
        <v>37</v>
      </c>
      <c r="R1030" s="11" t="s">
        <v>80</v>
      </c>
      <c r="S1030" s="11" t="s">
        <v>90</v>
      </c>
      <c r="T1030" s="11" t="s">
        <v>627</v>
      </c>
      <c r="U1030" s="11" t="s">
        <v>628</v>
      </c>
      <c r="V1030" s="116" t="s">
        <v>10</v>
      </c>
      <c r="W1030" s="88"/>
      <c r="X1030" s="51">
        <v>45524</v>
      </c>
      <c r="Y1030" s="97" t="s">
        <v>1577</v>
      </c>
      <c r="Z1030" s="135" t="s">
        <v>3023</v>
      </c>
      <c r="AA1030" s="135">
        <v>0</v>
      </c>
    </row>
    <row r="1031" spans="1:27" ht="13" customHeight="1">
      <c r="A1031" s="11">
        <v>1025</v>
      </c>
      <c r="B1031" s="47">
        <v>206239755</v>
      </c>
      <c r="C1031" s="89" t="s">
        <v>1640</v>
      </c>
      <c r="D1031" s="11" t="s">
        <v>1635</v>
      </c>
      <c r="E1031" s="48" t="s">
        <v>31</v>
      </c>
      <c r="F1031" s="48" t="s">
        <v>74</v>
      </c>
      <c r="G1031" s="11" t="s">
        <v>64</v>
      </c>
      <c r="H1031" s="48" t="str">
        <f>VLOOKUP(Table1[[#This Row],[Psoft No]],[1]Roster!$C$2:$H$1402,6,)</f>
        <v>AUH1</v>
      </c>
      <c r="I1031" s="48" t="b">
        <f>Table1[[#This Row],[Building]]=Table1[[#This Row],[Column1]]</f>
        <v>1</v>
      </c>
      <c r="J1031" s="11" t="s">
        <v>75</v>
      </c>
      <c r="K1031" s="11">
        <v>1299</v>
      </c>
      <c r="L1031" s="49" t="s">
        <v>39</v>
      </c>
      <c r="M1031" s="49" t="s">
        <v>76</v>
      </c>
      <c r="N1031" s="49" t="s">
        <v>92</v>
      </c>
      <c r="O1031" s="49" t="s">
        <v>84</v>
      </c>
      <c r="P1031" s="48" t="s">
        <v>89</v>
      </c>
      <c r="Q1031" s="49" t="s">
        <v>37</v>
      </c>
      <c r="R1031" s="11" t="s">
        <v>80</v>
      </c>
      <c r="S1031" s="11" t="s">
        <v>90</v>
      </c>
      <c r="T1031" s="11" t="s">
        <v>627</v>
      </c>
      <c r="U1031" s="11" t="s">
        <v>628</v>
      </c>
      <c r="V1031" s="116" t="s">
        <v>10</v>
      </c>
      <c r="W1031" s="88"/>
      <c r="X1031" s="51">
        <v>45943</v>
      </c>
      <c r="Y1031" s="97" t="s">
        <v>1576</v>
      </c>
      <c r="Z1031" s="135" t="s">
        <v>3023</v>
      </c>
      <c r="AA1031" s="135">
        <v>0</v>
      </c>
    </row>
    <row r="1032" spans="1:27" ht="13" customHeight="1">
      <c r="A1032" s="11">
        <v>1026</v>
      </c>
      <c r="B1032" s="47">
        <v>206868000</v>
      </c>
      <c r="C1032" s="89" t="s">
        <v>2849</v>
      </c>
      <c r="D1032" s="11" t="s">
        <v>2850</v>
      </c>
      <c r="E1032" s="48" t="s">
        <v>31</v>
      </c>
      <c r="F1032" s="48" t="s">
        <v>74</v>
      </c>
      <c r="G1032" s="11" t="s">
        <v>64</v>
      </c>
      <c r="H1032" s="48" t="str">
        <f>VLOOKUP(Table1[[#This Row],[Psoft No]],[1]Roster!$C$2:$H$1402,6,)</f>
        <v>AUH1</v>
      </c>
      <c r="I1032" s="48" t="b">
        <f>Table1[[#This Row],[Building]]=Table1[[#This Row],[Column1]]</f>
        <v>1</v>
      </c>
      <c r="J1032" s="11" t="s">
        <v>75</v>
      </c>
      <c r="K1032" s="11">
        <v>1299</v>
      </c>
      <c r="L1032" s="49" t="s">
        <v>39</v>
      </c>
      <c r="M1032" s="49" t="s">
        <v>76</v>
      </c>
      <c r="N1032" s="49" t="s">
        <v>78</v>
      </c>
      <c r="O1032" s="49" t="s">
        <v>92</v>
      </c>
      <c r="P1032" s="48" t="s">
        <v>89</v>
      </c>
      <c r="Q1032" s="49" t="s">
        <v>37</v>
      </c>
      <c r="R1032" s="11" t="s">
        <v>80</v>
      </c>
      <c r="S1032" s="11" t="s">
        <v>81</v>
      </c>
      <c r="T1032" s="11" t="s">
        <v>631</v>
      </c>
      <c r="U1032" s="11" t="s">
        <v>632</v>
      </c>
      <c r="V1032" s="116" t="s">
        <v>10</v>
      </c>
      <c r="W1032" s="88"/>
      <c r="X1032" s="51">
        <v>46238</v>
      </c>
      <c r="Y1032" s="97" t="s">
        <v>1579</v>
      </c>
      <c r="Z1032" s="135" t="s">
        <v>3023</v>
      </c>
      <c r="AA1032" s="135">
        <v>0</v>
      </c>
    </row>
    <row r="1033" spans="1:27" ht="13" customHeight="1">
      <c r="A1033" s="11">
        <v>1027</v>
      </c>
      <c r="B1033" s="47">
        <v>206890219</v>
      </c>
      <c r="C1033" s="89" t="s">
        <v>1847</v>
      </c>
      <c r="D1033" s="11" t="s">
        <v>1848</v>
      </c>
      <c r="E1033" s="48" t="s">
        <v>31</v>
      </c>
      <c r="F1033" s="48" t="s">
        <v>74</v>
      </c>
      <c r="G1033" s="11" t="s">
        <v>64</v>
      </c>
      <c r="H1033" s="48" t="str">
        <f>VLOOKUP(Table1[[#This Row],[Psoft No]],[1]Roster!$C$2:$H$1402,6,)</f>
        <v>AUH1</v>
      </c>
      <c r="I1033" s="48" t="b">
        <f>Table1[[#This Row],[Building]]=Table1[[#This Row],[Column1]]</f>
        <v>1</v>
      </c>
      <c r="J1033" s="11" t="s">
        <v>75</v>
      </c>
      <c r="K1033" s="11">
        <v>1299</v>
      </c>
      <c r="L1033" s="49" t="s">
        <v>39</v>
      </c>
      <c r="M1033" s="49" t="s">
        <v>76</v>
      </c>
      <c r="N1033" s="49" t="s">
        <v>77</v>
      </c>
      <c r="O1033" s="49" t="s">
        <v>78</v>
      </c>
      <c r="P1033" s="48" t="s">
        <v>89</v>
      </c>
      <c r="Q1033" s="49" t="s">
        <v>37</v>
      </c>
      <c r="R1033" s="11" t="s">
        <v>80</v>
      </c>
      <c r="S1033" s="11" t="s">
        <v>96</v>
      </c>
      <c r="T1033" s="11" t="s">
        <v>1066</v>
      </c>
      <c r="U1033" s="11" t="s">
        <v>2717</v>
      </c>
      <c r="V1033" s="116" t="s">
        <v>1</v>
      </c>
      <c r="W1033" s="88"/>
      <c r="X1033" s="51">
        <v>46027</v>
      </c>
      <c r="Y1033" s="97" t="s">
        <v>1577</v>
      </c>
      <c r="Z1033" s="135" t="s">
        <v>2</v>
      </c>
      <c r="AA1033" s="135">
        <v>0</v>
      </c>
    </row>
    <row r="1034" spans="1:27" ht="13" customHeight="1">
      <c r="A1034" s="11">
        <v>1028</v>
      </c>
      <c r="B1034" s="47">
        <v>204117683</v>
      </c>
      <c r="C1034" s="89" t="s">
        <v>1121</v>
      </c>
      <c r="D1034" s="11" t="s">
        <v>1122</v>
      </c>
      <c r="E1034" s="48" t="s">
        <v>31</v>
      </c>
      <c r="F1034" s="48" t="s">
        <v>74</v>
      </c>
      <c r="G1034" s="11" t="s">
        <v>64</v>
      </c>
      <c r="H1034" s="48" t="str">
        <f>VLOOKUP(Table1[[#This Row],[Psoft No]],[1]Roster!$C$2:$H$1402,6,)</f>
        <v>AUH1</v>
      </c>
      <c r="I1034" s="48" t="b">
        <f>Table1[[#This Row],[Building]]=Table1[[#This Row],[Column1]]</f>
        <v>1</v>
      </c>
      <c r="J1034" s="11" t="s">
        <v>75</v>
      </c>
      <c r="K1034" s="11">
        <v>1299</v>
      </c>
      <c r="L1034" s="49" t="s">
        <v>39</v>
      </c>
      <c r="M1034" s="49" t="s">
        <v>76</v>
      </c>
      <c r="N1034" s="49" t="s">
        <v>85</v>
      </c>
      <c r="O1034" s="49" t="s">
        <v>88</v>
      </c>
      <c r="P1034" s="48" t="s">
        <v>86</v>
      </c>
      <c r="Q1034" s="49" t="s">
        <v>37</v>
      </c>
      <c r="R1034" s="11" t="s">
        <v>80</v>
      </c>
      <c r="S1034" s="11" t="s">
        <v>87</v>
      </c>
      <c r="T1034" s="11" t="s">
        <v>631</v>
      </c>
      <c r="U1034" s="11" t="s">
        <v>632</v>
      </c>
      <c r="V1034" s="116" t="s">
        <v>1</v>
      </c>
      <c r="W1034" s="88"/>
      <c r="X1034" s="51">
        <v>45561</v>
      </c>
      <c r="Y1034" s="97" t="s">
        <v>1577</v>
      </c>
      <c r="Z1034" s="135" t="s">
        <v>2</v>
      </c>
      <c r="AA1034" s="135">
        <v>0</v>
      </c>
    </row>
    <row r="1035" spans="1:27" ht="13" customHeight="1">
      <c r="A1035" s="11">
        <v>1029</v>
      </c>
      <c r="B1035" s="47">
        <v>203341966</v>
      </c>
      <c r="C1035" s="89" t="s">
        <v>1123</v>
      </c>
      <c r="D1035" s="11" t="s">
        <v>1124</v>
      </c>
      <c r="E1035" s="48" t="s">
        <v>31</v>
      </c>
      <c r="F1035" s="48" t="s">
        <v>74</v>
      </c>
      <c r="G1035" s="11" t="s">
        <v>64</v>
      </c>
      <c r="H1035" s="48" t="str">
        <f>VLOOKUP(Table1[[#This Row],[Psoft No]],[1]Roster!$C$2:$H$1402,6,)</f>
        <v>AUH1</v>
      </c>
      <c r="I1035" s="48" t="b">
        <f>Table1[[#This Row],[Building]]=Table1[[#This Row],[Column1]]</f>
        <v>1</v>
      </c>
      <c r="J1035" s="11" t="s">
        <v>75</v>
      </c>
      <c r="K1035" s="11">
        <v>1299</v>
      </c>
      <c r="L1035" s="49" t="s">
        <v>32</v>
      </c>
      <c r="M1035" s="49" t="s">
        <v>76</v>
      </c>
      <c r="N1035" s="49" t="s">
        <v>78</v>
      </c>
      <c r="O1035" s="49" t="s">
        <v>92</v>
      </c>
      <c r="P1035" s="48" t="s">
        <v>86</v>
      </c>
      <c r="Q1035" s="49" t="s">
        <v>37</v>
      </c>
      <c r="R1035" s="11" t="s">
        <v>80</v>
      </c>
      <c r="S1035" s="11" t="s">
        <v>99</v>
      </c>
      <c r="T1035" s="49" t="s">
        <v>647</v>
      </c>
      <c r="U1035" s="11" t="s">
        <v>1798</v>
      </c>
      <c r="V1035" s="116" t="s">
        <v>10</v>
      </c>
      <c r="W1035" s="88"/>
      <c r="X1035" s="51">
        <v>45432</v>
      </c>
      <c r="Y1035" s="97" t="s">
        <v>1577</v>
      </c>
      <c r="Z1035" s="135" t="s">
        <v>3023</v>
      </c>
      <c r="AA1035" s="135">
        <v>0</v>
      </c>
    </row>
    <row r="1036" spans="1:27" ht="13" customHeight="1">
      <c r="A1036" s="11">
        <v>1030</v>
      </c>
      <c r="B1036" s="47">
        <v>203965495</v>
      </c>
      <c r="C1036" s="89" t="s">
        <v>297</v>
      </c>
      <c r="D1036" s="11" t="s">
        <v>298</v>
      </c>
      <c r="E1036" s="48" t="s">
        <v>31</v>
      </c>
      <c r="F1036" s="48" t="s">
        <v>74</v>
      </c>
      <c r="G1036" s="11" t="s">
        <v>64</v>
      </c>
      <c r="H1036" s="48" t="str">
        <f>VLOOKUP(Table1[[#This Row],[Psoft No]],[1]Roster!$C$2:$H$1402,6,)</f>
        <v>AUH1</v>
      </c>
      <c r="I1036" s="48" t="b">
        <f>Table1[[#This Row],[Building]]=Table1[[#This Row],[Column1]]</f>
        <v>1</v>
      </c>
      <c r="J1036" s="11" t="s">
        <v>75</v>
      </c>
      <c r="K1036" s="11">
        <v>1299</v>
      </c>
      <c r="L1036" s="49" t="s">
        <v>32</v>
      </c>
      <c r="M1036" s="49" t="s">
        <v>76</v>
      </c>
      <c r="N1036" s="49" t="s">
        <v>78</v>
      </c>
      <c r="O1036" s="49" t="s">
        <v>92</v>
      </c>
      <c r="P1036" s="48" t="s">
        <v>79</v>
      </c>
      <c r="Q1036" s="49" t="s">
        <v>35</v>
      </c>
      <c r="R1036" s="11" t="s">
        <v>80</v>
      </c>
      <c r="S1036" s="11" t="s">
        <v>81</v>
      </c>
      <c r="T1036" s="11" t="s">
        <v>224</v>
      </c>
      <c r="U1036" s="11" t="s">
        <v>2715</v>
      </c>
      <c r="V1036" s="116" t="s">
        <v>10</v>
      </c>
      <c r="W1036" s="88"/>
      <c r="X1036" s="51">
        <v>45544</v>
      </c>
      <c r="Y1036" s="97" t="s">
        <v>1573</v>
      </c>
      <c r="Z1036" s="135" t="s">
        <v>3023</v>
      </c>
      <c r="AA1036" s="135">
        <v>0</v>
      </c>
    </row>
    <row r="1037" spans="1:27" ht="13" customHeight="1">
      <c r="A1037" s="11">
        <v>1031</v>
      </c>
      <c r="B1037" s="47">
        <v>203965406</v>
      </c>
      <c r="C1037" s="89" t="s">
        <v>1127</v>
      </c>
      <c r="D1037" s="11" t="s">
        <v>1128</v>
      </c>
      <c r="E1037" s="48" t="s">
        <v>31</v>
      </c>
      <c r="F1037" s="48" t="s">
        <v>74</v>
      </c>
      <c r="G1037" s="11" t="s">
        <v>64</v>
      </c>
      <c r="H1037" s="48" t="str">
        <f>VLOOKUP(Table1[[#This Row],[Psoft No]],[1]Roster!$C$2:$H$1402,6,)</f>
        <v>AUH1</v>
      </c>
      <c r="I1037" s="48" t="b">
        <f>Table1[[#This Row],[Building]]=Table1[[#This Row],[Column1]]</f>
        <v>1</v>
      </c>
      <c r="J1037" s="11" t="s">
        <v>75</v>
      </c>
      <c r="K1037" s="11">
        <v>1299</v>
      </c>
      <c r="L1037" s="49" t="s">
        <v>32</v>
      </c>
      <c r="M1037" s="49" t="s">
        <v>76</v>
      </c>
      <c r="N1037" s="49" t="s">
        <v>84</v>
      </c>
      <c r="O1037" s="49" t="s">
        <v>85</v>
      </c>
      <c r="P1037" s="48" t="s">
        <v>79</v>
      </c>
      <c r="Q1037" s="49" t="s">
        <v>37</v>
      </c>
      <c r="R1037" s="11" t="s">
        <v>80</v>
      </c>
      <c r="S1037" s="11" t="s">
        <v>81</v>
      </c>
      <c r="T1037" s="11" t="s">
        <v>1066</v>
      </c>
      <c r="U1037" s="11" t="s">
        <v>2717</v>
      </c>
      <c r="V1037" s="116" t="str">
        <f>VLOOKUP(Table1[[#This Row],[Psoft No]],[2]Sheet1!$A$2:$G$386,7,0)</f>
        <v>P</v>
      </c>
      <c r="W1037" s="88"/>
      <c r="X1037" s="51">
        <v>45544</v>
      </c>
      <c r="Y1037" s="97" t="s">
        <v>1577</v>
      </c>
      <c r="Z1037" s="135" t="s">
        <v>2</v>
      </c>
      <c r="AA1037" s="135">
        <v>0</v>
      </c>
    </row>
    <row r="1038" spans="1:27" ht="13" customHeight="1">
      <c r="A1038" s="11">
        <v>1032</v>
      </c>
      <c r="B1038" s="47">
        <v>203850901</v>
      </c>
      <c r="C1038" s="89" t="s">
        <v>1129</v>
      </c>
      <c r="D1038" s="11" t="s">
        <v>1130</v>
      </c>
      <c r="E1038" s="48" t="s">
        <v>31</v>
      </c>
      <c r="F1038" s="48" t="s">
        <v>74</v>
      </c>
      <c r="G1038" s="11" t="s">
        <v>64</v>
      </c>
      <c r="H1038" s="48" t="str">
        <f>VLOOKUP(Table1[[#This Row],[Psoft No]],[1]Roster!$C$2:$H$1402,6,)</f>
        <v>AUH1</v>
      </c>
      <c r="I1038" s="48" t="b">
        <f>Table1[[#This Row],[Building]]=Table1[[#This Row],[Column1]]</f>
        <v>1</v>
      </c>
      <c r="J1038" s="11" t="s">
        <v>75</v>
      </c>
      <c r="K1038" s="11">
        <v>1299</v>
      </c>
      <c r="L1038" s="49" t="s">
        <v>32</v>
      </c>
      <c r="M1038" s="49" t="s">
        <v>76</v>
      </c>
      <c r="N1038" s="49" t="s">
        <v>78</v>
      </c>
      <c r="O1038" s="49" t="s">
        <v>92</v>
      </c>
      <c r="P1038" s="48" t="s">
        <v>86</v>
      </c>
      <c r="Q1038" s="49" t="s">
        <v>37</v>
      </c>
      <c r="R1038" s="11" t="s">
        <v>80</v>
      </c>
      <c r="S1038" s="11" t="s">
        <v>90</v>
      </c>
      <c r="T1038" s="11" t="s">
        <v>1066</v>
      </c>
      <c r="U1038" s="11" t="s">
        <v>2717</v>
      </c>
      <c r="V1038" s="116" t="s">
        <v>10</v>
      </c>
      <c r="W1038" s="88"/>
      <c r="X1038" s="51">
        <v>45524</v>
      </c>
      <c r="Y1038" s="97" t="s">
        <v>1577</v>
      </c>
      <c r="Z1038" s="135" t="s">
        <v>3023</v>
      </c>
      <c r="AA1038" s="135">
        <v>0</v>
      </c>
    </row>
    <row r="1039" spans="1:27" ht="13" customHeight="1">
      <c r="A1039" s="11">
        <v>1033</v>
      </c>
      <c r="B1039" s="47">
        <v>203851104</v>
      </c>
      <c r="C1039" s="89" t="s">
        <v>1131</v>
      </c>
      <c r="D1039" s="11" t="s">
        <v>1132</v>
      </c>
      <c r="E1039" s="48" t="s">
        <v>31</v>
      </c>
      <c r="F1039" s="48" t="s">
        <v>74</v>
      </c>
      <c r="G1039" s="11" t="s">
        <v>64</v>
      </c>
      <c r="H1039" s="48" t="str">
        <f>VLOOKUP(Table1[[#This Row],[Psoft No]],[1]Roster!$C$2:$H$1402,6,)</f>
        <v>AUH1</v>
      </c>
      <c r="I1039" s="48" t="b">
        <f>Table1[[#This Row],[Building]]=Table1[[#This Row],[Column1]]</f>
        <v>1</v>
      </c>
      <c r="J1039" s="11" t="s">
        <v>75</v>
      </c>
      <c r="K1039" s="11">
        <v>1299</v>
      </c>
      <c r="L1039" s="49" t="s">
        <v>32</v>
      </c>
      <c r="M1039" s="49" t="s">
        <v>76</v>
      </c>
      <c r="N1039" s="49" t="s">
        <v>36</v>
      </c>
      <c r="O1039" s="49" t="s">
        <v>92</v>
      </c>
      <c r="P1039" s="48" t="s">
        <v>79</v>
      </c>
      <c r="Q1039" s="49" t="s">
        <v>37</v>
      </c>
      <c r="R1039" s="11" t="s">
        <v>80</v>
      </c>
      <c r="S1039" s="11" t="s">
        <v>81</v>
      </c>
      <c r="T1039" s="49" t="s">
        <v>2845</v>
      </c>
      <c r="U1039" s="11" t="s">
        <v>2846</v>
      </c>
      <c r="V1039" s="116" t="s">
        <v>10</v>
      </c>
      <c r="W1039" s="88"/>
      <c r="X1039" s="51">
        <v>45524</v>
      </c>
      <c r="Y1039" s="97" t="s">
        <v>1579</v>
      </c>
      <c r="Z1039" s="135" t="s">
        <v>3023</v>
      </c>
      <c r="AA1039" s="135">
        <v>0</v>
      </c>
    </row>
    <row r="1040" spans="1:27" ht="13" customHeight="1">
      <c r="A1040" s="11">
        <v>1034</v>
      </c>
      <c r="B1040" s="47">
        <v>206873556</v>
      </c>
      <c r="C1040" s="89" t="s">
        <v>1760</v>
      </c>
      <c r="D1040" s="11" t="s">
        <v>1761</v>
      </c>
      <c r="E1040" s="48" t="s">
        <v>31</v>
      </c>
      <c r="F1040" s="48" t="s">
        <v>74</v>
      </c>
      <c r="G1040" s="11" t="s">
        <v>64</v>
      </c>
      <c r="H1040" s="48" t="str">
        <f>VLOOKUP(Table1[[#This Row],[Psoft No]],[1]Roster!$C$2:$H$1402,6,)</f>
        <v>AUH1</v>
      </c>
      <c r="I1040" s="48" t="b">
        <f>Table1[[#This Row],[Building]]=Table1[[#This Row],[Column1]]</f>
        <v>1</v>
      </c>
      <c r="J1040" s="11" t="s">
        <v>75</v>
      </c>
      <c r="K1040" s="11">
        <v>1299</v>
      </c>
      <c r="L1040" s="49" t="s">
        <v>32</v>
      </c>
      <c r="M1040" s="49" t="s">
        <v>76</v>
      </c>
      <c r="N1040" s="49" t="s">
        <v>78</v>
      </c>
      <c r="O1040" s="49" t="s">
        <v>92</v>
      </c>
      <c r="P1040" s="48" t="s">
        <v>89</v>
      </c>
      <c r="Q1040" s="49" t="s">
        <v>35</v>
      </c>
      <c r="R1040" s="11" t="s">
        <v>80</v>
      </c>
      <c r="S1040" s="11" t="s">
        <v>81</v>
      </c>
      <c r="T1040" s="11" t="s">
        <v>225</v>
      </c>
      <c r="U1040" s="11" t="s">
        <v>226</v>
      </c>
      <c r="V1040" s="116" t="s">
        <v>10</v>
      </c>
      <c r="W1040" s="88"/>
      <c r="X1040" s="51">
        <v>46020</v>
      </c>
      <c r="Y1040" s="97" t="s">
        <v>1572</v>
      </c>
      <c r="Z1040" s="135" t="s">
        <v>3023</v>
      </c>
      <c r="AA1040" s="135" t="s">
        <v>3015</v>
      </c>
    </row>
    <row r="1041" spans="1:27" ht="13" customHeight="1">
      <c r="A1041" s="11">
        <v>1035</v>
      </c>
      <c r="B1041" s="47">
        <v>205845556</v>
      </c>
      <c r="C1041" s="89" t="s">
        <v>2810</v>
      </c>
      <c r="D1041" s="11" t="s">
        <v>2811</v>
      </c>
      <c r="E1041" s="48" t="s">
        <v>31</v>
      </c>
      <c r="F1041" s="48" t="s">
        <v>74</v>
      </c>
      <c r="G1041" s="11" t="s">
        <v>64</v>
      </c>
      <c r="H1041" s="48" t="str">
        <f>VLOOKUP(Table1[[#This Row],[Psoft No]],[1]Roster!$C$2:$H$1402,6,)</f>
        <v>AUH1</v>
      </c>
      <c r="I1041" s="48" t="b">
        <f>Table1[[#This Row],[Building]]=Table1[[#This Row],[Column1]]</f>
        <v>1</v>
      </c>
      <c r="J1041" s="11" t="s">
        <v>75</v>
      </c>
      <c r="K1041" s="11">
        <v>1299</v>
      </c>
      <c r="L1041" s="49" t="s">
        <v>39</v>
      </c>
      <c r="M1041" s="49" t="s">
        <v>76</v>
      </c>
      <c r="N1041" s="49" t="s">
        <v>88</v>
      </c>
      <c r="O1041" s="49" t="s">
        <v>95</v>
      </c>
      <c r="P1041" s="48" t="s">
        <v>89</v>
      </c>
      <c r="Q1041" s="49" t="s">
        <v>37</v>
      </c>
      <c r="R1041" s="11" t="s">
        <v>80</v>
      </c>
      <c r="S1041" s="11" t="s">
        <v>90</v>
      </c>
      <c r="T1041" s="11" t="s">
        <v>631</v>
      </c>
      <c r="U1041" s="11" t="s">
        <v>632</v>
      </c>
      <c r="V1041" s="116" t="s">
        <v>1</v>
      </c>
      <c r="W1041" s="88"/>
      <c r="X1041" s="51">
        <v>45894</v>
      </c>
      <c r="Y1041" s="97" t="s">
        <v>1577</v>
      </c>
      <c r="Z1041" s="135" t="s">
        <v>2</v>
      </c>
      <c r="AA1041" s="135">
        <v>0</v>
      </c>
    </row>
    <row r="1042" spans="1:27" ht="13" customHeight="1">
      <c r="A1042" s="11">
        <v>1036</v>
      </c>
      <c r="B1042" s="47">
        <v>206200807</v>
      </c>
      <c r="C1042" s="89" t="s">
        <v>1596</v>
      </c>
      <c r="D1042" s="11" t="s">
        <v>1590</v>
      </c>
      <c r="E1042" s="48" t="s">
        <v>31</v>
      </c>
      <c r="F1042" s="48" t="s">
        <v>74</v>
      </c>
      <c r="G1042" s="11" t="s">
        <v>64</v>
      </c>
      <c r="H1042" s="48" t="str">
        <f>VLOOKUP(Table1[[#This Row],[Psoft No]],[1]Roster!$C$2:$H$1402,6,)</f>
        <v>AUH1</v>
      </c>
      <c r="I1042" s="48" t="b">
        <f>Table1[[#This Row],[Building]]=Table1[[#This Row],[Column1]]</f>
        <v>1</v>
      </c>
      <c r="J1042" s="11" t="s">
        <v>75</v>
      </c>
      <c r="K1042" s="11">
        <v>1299</v>
      </c>
      <c r="L1042" s="49" t="s">
        <v>32</v>
      </c>
      <c r="M1042" s="49" t="s">
        <v>76</v>
      </c>
      <c r="N1042" s="49" t="s">
        <v>78</v>
      </c>
      <c r="O1042" s="49" t="s">
        <v>92</v>
      </c>
      <c r="P1042" s="49" t="s">
        <v>89</v>
      </c>
      <c r="Q1042" s="49" t="s">
        <v>37</v>
      </c>
      <c r="R1042" s="11" t="s">
        <v>80</v>
      </c>
      <c r="S1042" s="11" t="s">
        <v>81</v>
      </c>
      <c r="T1042" s="49" t="s">
        <v>2719</v>
      </c>
      <c r="U1042" s="11" t="s">
        <v>642</v>
      </c>
      <c r="V1042" s="116" t="s">
        <v>10</v>
      </c>
      <c r="W1042" s="88"/>
      <c r="X1042" s="51">
        <v>45936</v>
      </c>
      <c r="Y1042" s="97" t="s">
        <v>1577</v>
      </c>
      <c r="Z1042" s="135" t="s">
        <v>3023</v>
      </c>
      <c r="AA1042" s="135">
        <v>0</v>
      </c>
    </row>
    <row r="1043" spans="1:27" ht="13" customHeight="1">
      <c r="A1043" s="11">
        <v>1037</v>
      </c>
      <c r="B1043" s="47">
        <v>206072868</v>
      </c>
      <c r="C1043" s="89" t="s">
        <v>383</v>
      </c>
      <c r="D1043" s="47" t="s">
        <v>384</v>
      </c>
      <c r="E1043" s="47" t="s">
        <v>31</v>
      </c>
      <c r="F1043" s="47" t="s">
        <v>74</v>
      </c>
      <c r="G1043" s="47" t="s">
        <v>64</v>
      </c>
      <c r="H1043" s="47" t="str">
        <f>VLOOKUP(Table1[[#This Row],[Psoft No]],[1]Roster!$C$2:$H$1402,6,)</f>
        <v>AUH1</v>
      </c>
      <c r="I1043" s="47" t="b">
        <f>Table1[[#This Row],[Building]]=Table1[[#This Row],[Column1]]</f>
        <v>1</v>
      </c>
      <c r="J1043" s="47" t="s">
        <v>75</v>
      </c>
      <c r="K1043" s="47">
        <v>1299</v>
      </c>
      <c r="L1043" s="49" t="s">
        <v>32</v>
      </c>
      <c r="M1043" s="49" t="s">
        <v>76</v>
      </c>
      <c r="N1043" s="49" t="s">
        <v>85</v>
      </c>
      <c r="O1043" s="49" t="s">
        <v>88</v>
      </c>
      <c r="P1043" s="49" t="s">
        <v>89</v>
      </c>
      <c r="Q1043" s="47" t="s">
        <v>35</v>
      </c>
      <c r="R1043" s="47" t="s">
        <v>80</v>
      </c>
      <c r="S1043" s="47" t="s">
        <v>81</v>
      </c>
      <c r="T1043" s="11" t="s">
        <v>231</v>
      </c>
      <c r="U1043" s="47" t="s">
        <v>1753</v>
      </c>
      <c r="V1043" s="116" t="str">
        <f>VLOOKUP(Table1[[#This Row],[Psoft No]],[2]Sheet1!$A$2:$G$386,7,0)</f>
        <v>P</v>
      </c>
      <c r="W1043" s="88" t="s">
        <v>3015</v>
      </c>
      <c r="X1043" s="51">
        <v>45922</v>
      </c>
      <c r="Y1043" s="132" t="s">
        <v>1573</v>
      </c>
      <c r="Z1043" s="135" t="s">
        <v>2</v>
      </c>
      <c r="AA1043" s="135">
        <v>0</v>
      </c>
    </row>
    <row r="1044" spans="1:27" ht="13" customHeight="1">
      <c r="A1044" s="11">
        <v>1038</v>
      </c>
      <c r="B1044" s="47">
        <v>203881694</v>
      </c>
      <c r="C1044" s="89" t="s">
        <v>1137</v>
      </c>
      <c r="D1044" s="11" t="s">
        <v>1138</v>
      </c>
      <c r="E1044" s="48" t="s">
        <v>31</v>
      </c>
      <c r="F1044" s="48" t="s">
        <v>74</v>
      </c>
      <c r="G1044" s="11" t="s">
        <v>64</v>
      </c>
      <c r="H1044" s="48" t="str">
        <f>VLOOKUP(Table1[[#This Row],[Psoft No]],[1]Roster!$C$2:$H$1402,6,)</f>
        <v>AUH1</v>
      </c>
      <c r="I1044" s="48" t="b">
        <f>Table1[[#This Row],[Building]]=Table1[[#This Row],[Column1]]</f>
        <v>1</v>
      </c>
      <c r="J1044" s="11" t="s">
        <v>75</v>
      </c>
      <c r="K1044" s="11">
        <v>1299</v>
      </c>
      <c r="L1044" s="49" t="s">
        <v>39</v>
      </c>
      <c r="M1044" s="49" t="s">
        <v>76</v>
      </c>
      <c r="N1044" s="49" t="s">
        <v>36</v>
      </c>
      <c r="O1044" s="49" t="s">
        <v>84</v>
      </c>
      <c r="P1044" s="48" t="s">
        <v>79</v>
      </c>
      <c r="Q1044" s="49" t="s">
        <v>37</v>
      </c>
      <c r="R1044" s="11" t="s">
        <v>80</v>
      </c>
      <c r="S1044" s="11" t="s">
        <v>81</v>
      </c>
      <c r="T1044" s="11" t="s">
        <v>647</v>
      </c>
      <c r="U1044" s="11" t="s">
        <v>1798</v>
      </c>
      <c r="V1044" s="116" t="s">
        <v>1</v>
      </c>
      <c r="W1044" s="88"/>
      <c r="X1044" s="51">
        <v>45530</v>
      </c>
      <c r="Y1044" s="97" t="s">
        <v>1579</v>
      </c>
      <c r="Z1044" s="135" t="s">
        <v>2</v>
      </c>
      <c r="AA1044" s="135">
        <v>0</v>
      </c>
    </row>
    <row r="1045" spans="1:27" ht="13" customHeight="1">
      <c r="A1045" s="11">
        <v>1039</v>
      </c>
      <c r="B1045" s="47">
        <v>205856635</v>
      </c>
      <c r="C1045" s="89" t="s">
        <v>1139</v>
      </c>
      <c r="D1045" s="11" t="s">
        <v>1140</v>
      </c>
      <c r="E1045" s="48" t="s">
        <v>31</v>
      </c>
      <c r="F1045" s="48" t="s">
        <v>74</v>
      </c>
      <c r="G1045" s="11" t="s">
        <v>64</v>
      </c>
      <c r="H1045" s="48" t="str">
        <f>VLOOKUP(Table1[[#This Row],[Psoft No]],[1]Roster!$C$2:$H$1402,6,)</f>
        <v>AUH1</v>
      </c>
      <c r="I1045" s="48" t="b">
        <f>Table1[[#This Row],[Building]]=Table1[[#This Row],[Column1]]</f>
        <v>1</v>
      </c>
      <c r="J1045" s="11" t="s">
        <v>75</v>
      </c>
      <c r="K1045" s="11">
        <v>1299</v>
      </c>
      <c r="L1045" s="49" t="s">
        <v>32</v>
      </c>
      <c r="M1045" s="49" t="s">
        <v>76</v>
      </c>
      <c r="N1045" s="49" t="s">
        <v>92</v>
      </c>
      <c r="O1045" s="49" t="s">
        <v>84</v>
      </c>
      <c r="P1045" s="48" t="s">
        <v>79</v>
      </c>
      <c r="Q1045" s="49" t="s">
        <v>37</v>
      </c>
      <c r="R1045" s="11" t="s">
        <v>80</v>
      </c>
      <c r="S1045" s="11" t="s">
        <v>96</v>
      </c>
      <c r="T1045" s="49" t="s">
        <v>627</v>
      </c>
      <c r="U1045" s="11" t="s">
        <v>628</v>
      </c>
      <c r="V1045" s="116" t="s">
        <v>10</v>
      </c>
      <c r="W1045" s="88"/>
      <c r="X1045" s="51">
        <v>45894</v>
      </c>
      <c r="Y1045" s="97" t="s">
        <v>1577</v>
      </c>
      <c r="Z1045" s="135" t="s">
        <v>3023</v>
      </c>
      <c r="AA1045" s="135">
        <v>0</v>
      </c>
    </row>
    <row r="1046" spans="1:27" ht="13" customHeight="1">
      <c r="A1046" s="11">
        <v>1040</v>
      </c>
      <c r="B1046" s="47">
        <v>203800780</v>
      </c>
      <c r="C1046" s="89" t="s">
        <v>1141</v>
      </c>
      <c r="D1046" s="11" t="s">
        <v>1142</v>
      </c>
      <c r="E1046" s="48" t="s">
        <v>31</v>
      </c>
      <c r="F1046" s="48" t="s">
        <v>74</v>
      </c>
      <c r="G1046" s="11" t="s">
        <v>64</v>
      </c>
      <c r="H1046" s="48" t="str">
        <f>VLOOKUP(Table1[[#This Row],[Psoft No]],[1]Roster!$C$2:$H$1402,6,)</f>
        <v>AUH1</v>
      </c>
      <c r="I1046" s="48" t="b">
        <f>Table1[[#This Row],[Building]]=Table1[[#This Row],[Column1]]</f>
        <v>1</v>
      </c>
      <c r="J1046" s="11" t="s">
        <v>75</v>
      </c>
      <c r="K1046" s="11">
        <v>1299</v>
      </c>
      <c r="L1046" s="49" t="s">
        <v>32</v>
      </c>
      <c r="M1046" s="49" t="s">
        <v>76</v>
      </c>
      <c r="N1046" s="49" t="s">
        <v>36</v>
      </c>
      <c r="O1046" s="49" t="s">
        <v>84</v>
      </c>
      <c r="P1046" s="48" t="s">
        <v>86</v>
      </c>
      <c r="Q1046" s="49" t="s">
        <v>37</v>
      </c>
      <c r="R1046" s="11" t="s">
        <v>80</v>
      </c>
      <c r="S1046" s="11" t="s">
        <v>90</v>
      </c>
      <c r="T1046" s="11" t="s">
        <v>647</v>
      </c>
      <c r="U1046" s="11" t="s">
        <v>1798</v>
      </c>
      <c r="V1046" s="116" t="str">
        <f>VLOOKUP(Table1[[#This Row],[Psoft No]],[2]Sheet1!$A$2:$G$386,7,0)</f>
        <v>P</v>
      </c>
      <c r="W1046" s="88" t="s">
        <v>3017</v>
      </c>
      <c r="X1046" s="51">
        <v>45684</v>
      </c>
      <c r="Y1046" s="97" t="s">
        <v>1576</v>
      </c>
      <c r="Z1046" s="135" t="s">
        <v>2</v>
      </c>
      <c r="AA1046" s="135">
        <v>0</v>
      </c>
    </row>
    <row r="1047" spans="1:27" ht="13" customHeight="1">
      <c r="A1047" s="11">
        <v>1041</v>
      </c>
      <c r="B1047" s="47">
        <v>204072305</v>
      </c>
      <c r="C1047" s="89" t="s">
        <v>1143</v>
      </c>
      <c r="D1047" s="11" t="s">
        <v>1144</v>
      </c>
      <c r="E1047" s="48" t="s">
        <v>31</v>
      </c>
      <c r="F1047" s="48" t="s">
        <v>74</v>
      </c>
      <c r="G1047" s="11" t="s">
        <v>64</v>
      </c>
      <c r="H1047" s="48" t="str">
        <f>VLOOKUP(Table1[[#This Row],[Psoft No]],[1]Roster!$C$2:$H$1402,6,)</f>
        <v>AUH1</v>
      </c>
      <c r="I1047" s="48" t="b">
        <f>Table1[[#This Row],[Building]]=Table1[[#This Row],[Column1]]</f>
        <v>1</v>
      </c>
      <c r="J1047" s="11" t="s">
        <v>75</v>
      </c>
      <c r="K1047" s="11">
        <v>1299</v>
      </c>
      <c r="L1047" s="49" t="s">
        <v>32</v>
      </c>
      <c r="M1047" s="49" t="s">
        <v>76</v>
      </c>
      <c r="N1047" s="49" t="s">
        <v>95</v>
      </c>
      <c r="O1047" s="49" t="s">
        <v>77</v>
      </c>
      <c r="P1047" s="48" t="s">
        <v>86</v>
      </c>
      <c r="Q1047" s="49" t="s">
        <v>37</v>
      </c>
      <c r="R1047" s="11" t="s">
        <v>80</v>
      </c>
      <c r="S1047" s="11" t="s">
        <v>90</v>
      </c>
      <c r="T1047" s="49" t="s">
        <v>647</v>
      </c>
      <c r="U1047" s="11" t="s">
        <v>1798</v>
      </c>
      <c r="V1047" s="116" t="str">
        <f>VLOOKUP(Table1[[#This Row],[Psoft No]],[2]Sheet1!$A$2:$G$386,7,0)</f>
        <v>P</v>
      </c>
      <c r="W1047" s="88"/>
      <c r="X1047" s="51">
        <v>45558</v>
      </c>
      <c r="Y1047" s="97" t="s">
        <v>1577</v>
      </c>
      <c r="Z1047" s="135" t="s">
        <v>2</v>
      </c>
      <c r="AA1047" s="135">
        <v>0</v>
      </c>
    </row>
    <row r="1048" spans="1:27" ht="13" customHeight="1">
      <c r="A1048" s="11">
        <v>1042</v>
      </c>
      <c r="B1048" s="47">
        <v>204137711</v>
      </c>
      <c r="C1048" s="89" t="s">
        <v>1145</v>
      </c>
      <c r="D1048" s="11" t="s">
        <v>1146</v>
      </c>
      <c r="E1048" s="48" t="s">
        <v>31</v>
      </c>
      <c r="F1048" s="48" t="s">
        <v>74</v>
      </c>
      <c r="G1048" s="11" t="s">
        <v>64</v>
      </c>
      <c r="H1048" s="48" t="str">
        <f>VLOOKUP(Table1[[#This Row],[Psoft No]],[1]Roster!$C$2:$H$1402,6,)</f>
        <v>AUH1</v>
      </c>
      <c r="I1048" s="48" t="b">
        <f>Table1[[#This Row],[Building]]=Table1[[#This Row],[Column1]]</f>
        <v>1</v>
      </c>
      <c r="J1048" s="11" t="s">
        <v>75</v>
      </c>
      <c r="K1048" s="11">
        <v>1299</v>
      </c>
      <c r="L1048" s="49" t="s">
        <v>39</v>
      </c>
      <c r="M1048" s="49" t="s">
        <v>76</v>
      </c>
      <c r="N1048" s="49" t="s">
        <v>88</v>
      </c>
      <c r="O1048" s="49" t="s">
        <v>95</v>
      </c>
      <c r="P1048" s="48" t="s">
        <v>86</v>
      </c>
      <c r="Q1048" s="49" t="s">
        <v>37</v>
      </c>
      <c r="R1048" s="11" t="s">
        <v>80</v>
      </c>
      <c r="S1048" s="11" t="s">
        <v>87</v>
      </c>
      <c r="T1048" s="11" t="s">
        <v>627</v>
      </c>
      <c r="U1048" s="11" t="s">
        <v>628</v>
      </c>
      <c r="V1048" s="116" t="s">
        <v>1</v>
      </c>
      <c r="W1048" s="88"/>
      <c r="X1048" s="51">
        <v>45565</v>
      </c>
      <c r="Y1048" s="97" t="s">
        <v>1577</v>
      </c>
      <c r="Z1048" s="135" t="s">
        <v>2</v>
      </c>
      <c r="AA1048" s="135">
        <v>0</v>
      </c>
    </row>
    <row r="1049" spans="1:27" ht="13" customHeight="1">
      <c r="A1049" s="11">
        <v>1043</v>
      </c>
      <c r="B1049" s="47">
        <v>204013686</v>
      </c>
      <c r="C1049" s="89" t="s">
        <v>1147</v>
      </c>
      <c r="D1049" s="11" t="s">
        <v>1148</v>
      </c>
      <c r="E1049" s="48" t="s">
        <v>31</v>
      </c>
      <c r="F1049" s="48" t="s">
        <v>74</v>
      </c>
      <c r="G1049" s="11" t="s">
        <v>64</v>
      </c>
      <c r="H1049" s="48" t="str">
        <f>VLOOKUP(Table1[[#This Row],[Psoft No]],[1]Roster!$C$2:$H$1402,6,)</f>
        <v>AUH1</v>
      </c>
      <c r="I1049" s="48" t="b">
        <f>Table1[[#This Row],[Building]]=Table1[[#This Row],[Column1]]</f>
        <v>1</v>
      </c>
      <c r="J1049" s="11" t="s">
        <v>75</v>
      </c>
      <c r="K1049" s="11">
        <v>1299</v>
      </c>
      <c r="L1049" s="49" t="s">
        <v>39</v>
      </c>
      <c r="M1049" s="49" t="s">
        <v>76</v>
      </c>
      <c r="N1049" s="49" t="s">
        <v>85</v>
      </c>
      <c r="O1049" s="49" t="s">
        <v>88</v>
      </c>
      <c r="P1049" s="48" t="s">
        <v>79</v>
      </c>
      <c r="Q1049" s="49" t="s">
        <v>37</v>
      </c>
      <c r="R1049" s="11" t="s">
        <v>80</v>
      </c>
      <c r="S1049" s="11" t="s">
        <v>81</v>
      </c>
      <c r="T1049" s="49" t="s">
        <v>639</v>
      </c>
      <c r="U1049" s="11" t="s">
        <v>2718</v>
      </c>
      <c r="V1049" s="116" t="s">
        <v>1</v>
      </c>
      <c r="W1049" s="88"/>
      <c r="X1049" s="51">
        <v>45551</v>
      </c>
      <c r="Y1049" s="97" t="s">
        <v>1576</v>
      </c>
      <c r="Z1049" s="135" t="s">
        <v>2</v>
      </c>
      <c r="AA1049" s="135">
        <v>0</v>
      </c>
    </row>
    <row r="1050" spans="1:27" ht="13" customHeight="1">
      <c r="A1050" s="11">
        <v>1044</v>
      </c>
      <c r="B1050" s="47">
        <v>204868502</v>
      </c>
      <c r="C1050" s="89" t="s">
        <v>2418</v>
      </c>
      <c r="D1050" s="11" t="s">
        <v>2419</v>
      </c>
      <c r="E1050" s="48" t="s">
        <v>31</v>
      </c>
      <c r="F1050" s="48" t="s">
        <v>74</v>
      </c>
      <c r="G1050" s="11" t="s">
        <v>64</v>
      </c>
      <c r="H1050" s="48" t="str">
        <f>VLOOKUP(Table1[[#This Row],[Psoft No]],[1]Roster!$C$2:$H$1402,6,)</f>
        <v>AUH1</v>
      </c>
      <c r="I1050" s="48" t="b">
        <f>Table1[[#This Row],[Building]]=Table1[[#This Row],[Column1]]</f>
        <v>1</v>
      </c>
      <c r="J1050" s="11" t="s">
        <v>75</v>
      </c>
      <c r="K1050" s="11">
        <v>1299</v>
      </c>
      <c r="L1050" s="49" t="s">
        <v>32</v>
      </c>
      <c r="M1050" s="49" t="s">
        <v>76</v>
      </c>
      <c r="N1050" s="49" t="s">
        <v>85</v>
      </c>
      <c r="O1050" s="49" t="s">
        <v>88</v>
      </c>
      <c r="P1050" s="48" t="s">
        <v>86</v>
      </c>
      <c r="Q1050" s="49" t="s">
        <v>37</v>
      </c>
      <c r="R1050" s="11" t="s">
        <v>80</v>
      </c>
      <c r="S1050" s="11" t="s">
        <v>90</v>
      </c>
      <c r="T1050" s="11" t="s">
        <v>1066</v>
      </c>
      <c r="U1050" s="11" t="s">
        <v>2717</v>
      </c>
      <c r="V1050" s="116" t="str">
        <f>VLOOKUP(Table1[[#This Row],[Psoft No]],[2]Sheet1!$A$2:$G$386,7,0)</f>
        <v>P</v>
      </c>
      <c r="W1050" s="88"/>
      <c r="X1050" s="51">
        <v>45894</v>
      </c>
      <c r="Y1050" s="97" t="s">
        <v>1577</v>
      </c>
      <c r="Z1050" s="135" t="s">
        <v>2</v>
      </c>
      <c r="AA1050" s="135">
        <v>0</v>
      </c>
    </row>
    <row r="1051" spans="1:27" ht="13" customHeight="1">
      <c r="A1051" s="11">
        <v>1045</v>
      </c>
      <c r="B1051" s="47">
        <v>203881662</v>
      </c>
      <c r="C1051" s="89" t="s">
        <v>1149</v>
      </c>
      <c r="D1051" s="11" t="s">
        <v>1150</v>
      </c>
      <c r="E1051" s="48" t="s">
        <v>31</v>
      </c>
      <c r="F1051" s="48" t="s">
        <v>74</v>
      </c>
      <c r="G1051" s="11" t="s">
        <v>64</v>
      </c>
      <c r="H1051" s="48" t="str">
        <f>VLOOKUP(Table1[[#This Row],[Psoft No]],[1]Roster!$C$2:$H$1402,6,)</f>
        <v>AUH1</v>
      </c>
      <c r="I1051" s="48" t="b">
        <f>Table1[[#This Row],[Building]]=Table1[[#This Row],[Column1]]</f>
        <v>1</v>
      </c>
      <c r="J1051" s="11" t="s">
        <v>75</v>
      </c>
      <c r="K1051" s="11">
        <v>1299</v>
      </c>
      <c r="L1051" s="49" t="s">
        <v>32</v>
      </c>
      <c r="M1051" s="49" t="s">
        <v>76</v>
      </c>
      <c r="N1051" s="49" t="s">
        <v>77</v>
      </c>
      <c r="O1051" s="49" t="s">
        <v>78</v>
      </c>
      <c r="P1051" s="49" t="s">
        <v>79</v>
      </c>
      <c r="Q1051" s="49" t="s">
        <v>37</v>
      </c>
      <c r="R1051" s="11" t="s">
        <v>80</v>
      </c>
      <c r="S1051" s="11" t="s">
        <v>81</v>
      </c>
      <c r="T1051" s="11" t="s">
        <v>2845</v>
      </c>
      <c r="U1051" s="11" t="s">
        <v>2846</v>
      </c>
      <c r="V1051" s="116" t="str">
        <f>VLOOKUP(Table1[[#This Row],[Psoft No]],[2]Sheet1!$A$2:$G$386,7,0)</f>
        <v>P</v>
      </c>
      <c r="W1051" s="88"/>
      <c r="X1051" s="51">
        <v>45530</v>
      </c>
      <c r="Y1051" s="97" t="s">
        <v>1577</v>
      </c>
      <c r="Z1051" s="135" t="s">
        <v>2</v>
      </c>
      <c r="AA1051" s="135">
        <v>0</v>
      </c>
    </row>
    <row r="1052" spans="1:27" ht="13" customHeight="1">
      <c r="A1052" s="11">
        <v>1046</v>
      </c>
      <c r="B1052" s="47">
        <v>203851101</v>
      </c>
      <c r="C1052" s="89" t="s">
        <v>1151</v>
      </c>
      <c r="D1052" s="11" t="s">
        <v>1152</v>
      </c>
      <c r="E1052" s="48" t="s">
        <v>31</v>
      </c>
      <c r="F1052" s="48" t="s">
        <v>74</v>
      </c>
      <c r="G1052" s="11" t="s">
        <v>64</v>
      </c>
      <c r="H1052" s="48" t="str">
        <f>VLOOKUP(Table1[[#This Row],[Psoft No]],[1]Roster!$C$2:$H$1402,6,)</f>
        <v>AUH1</v>
      </c>
      <c r="I1052" s="48" t="b">
        <f>Table1[[#This Row],[Building]]=Table1[[#This Row],[Column1]]</f>
        <v>1</v>
      </c>
      <c r="J1052" s="11" t="s">
        <v>75</v>
      </c>
      <c r="K1052" s="11">
        <v>1299</v>
      </c>
      <c r="L1052" s="49" t="s">
        <v>32</v>
      </c>
      <c r="M1052" s="49" t="s">
        <v>76</v>
      </c>
      <c r="N1052" s="49" t="s">
        <v>77</v>
      </c>
      <c r="O1052" s="49" t="s">
        <v>78</v>
      </c>
      <c r="P1052" s="48" t="s">
        <v>79</v>
      </c>
      <c r="Q1052" s="49" t="s">
        <v>37</v>
      </c>
      <c r="R1052" s="11" t="s">
        <v>80</v>
      </c>
      <c r="S1052" s="11" t="s">
        <v>81</v>
      </c>
      <c r="T1052" s="49" t="s">
        <v>1066</v>
      </c>
      <c r="U1052" s="11" t="s">
        <v>2717</v>
      </c>
      <c r="V1052" s="116" t="str">
        <f>VLOOKUP(Table1[[#This Row],[Psoft No]],[2]Sheet1!$A$2:$G$386,7,0)</f>
        <v>P</v>
      </c>
      <c r="W1052" s="88"/>
      <c r="X1052" s="51">
        <v>45524</v>
      </c>
      <c r="Y1052" s="97" t="s">
        <v>1579</v>
      </c>
      <c r="Z1052" s="135" t="s">
        <v>2</v>
      </c>
      <c r="AA1052" s="135">
        <v>0</v>
      </c>
    </row>
    <row r="1053" spans="1:27" ht="13" customHeight="1">
      <c r="A1053" s="11">
        <v>1047</v>
      </c>
      <c r="B1053" s="47">
        <v>205997634</v>
      </c>
      <c r="C1053" s="89" t="s">
        <v>1153</v>
      </c>
      <c r="D1053" s="11" t="s">
        <v>1154</v>
      </c>
      <c r="E1053" s="48" t="s">
        <v>31</v>
      </c>
      <c r="F1053" s="48" t="s">
        <v>74</v>
      </c>
      <c r="G1053" s="11" t="s">
        <v>64</v>
      </c>
      <c r="H1053" s="48" t="str">
        <f>VLOOKUP(Table1[[#This Row],[Psoft No]],[1]Roster!$C$2:$H$1402,6,)</f>
        <v>AUH1</v>
      </c>
      <c r="I1053" s="48" t="b">
        <f>Table1[[#This Row],[Building]]=Table1[[#This Row],[Column1]]</f>
        <v>1</v>
      </c>
      <c r="J1053" s="11" t="s">
        <v>75</v>
      </c>
      <c r="K1053" s="11">
        <v>1299</v>
      </c>
      <c r="L1053" s="49" t="s">
        <v>32</v>
      </c>
      <c r="M1053" s="49" t="s">
        <v>76</v>
      </c>
      <c r="N1053" s="49" t="s">
        <v>88</v>
      </c>
      <c r="O1053" s="49" t="s">
        <v>95</v>
      </c>
      <c r="P1053" s="48" t="s">
        <v>79</v>
      </c>
      <c r="Q1053" s="49" t="s">
        <v>37</v>
      </c>
      <c r="R1053" s="11" t="s">
        <v>80</v>
      </c>
      <c r="S1053" s="11" t="s">
        <v>81</v>
      </c>
      <c r="T1053" s="49" t="s">
        <v>1066</v>
      </c>
      <c r="U1053" s="11" t="s">
        <v>2717</v>
      </c>
      <c r="V1053" s="116" t="str">
        <f>VLOOKUP(Table1[[#This Row],[Psoft No]],[2]Sheet1!$A$2:$G$386,7,0)</f>
        <v>P</v>
      </c>
      <c r="W1053" s="88"/>
      <c r="X1053" s="51">
        <v>45915</v>
      </c>
      <c r="Y1053" s="97" t="s">
        <v>1577</v>
      </c>
      <c r="Z1053" s="135" t="s">
        <v>2</v>
      </c>
      <c r="AA1053" s="135">
        <v>0</v>
      </c>
    </row>
    <row r="1054" spans="1:27" ht="13" customHeight="1">
      <c r="A1054" s="11">
        <v>1048</v>
      </c>
      <c r="B1054" s="47">
        <v>204967557</v>
      </c>
      <c r="C1054" s="89" t="s">
        <v>1155</v>
      </c>
      <c r="D1054" s="11" t="s">
        <v>1156</v>
      </c>
      <c r="E1054" s="48" t="s">
        <v>31</v>
      </c>
      <c r="F1054" s="48" t="s">
        <v>74</v>
      </c>
      <c r="G1054" s="11" t="s">
        <v>64</v>
      </c>
      <c r="H1054" s="48" t="str">
        <f>VLOOKUP(Table1[[#This Row],[Psoft No]],[1]Roster!$C$2:$H$1402,6,)</f>
        <v>AUH1</v>
      </c>
      <c r="I1054" s="48" t="b">
        <f>Table1[[#This Row],[Building]]=Table1[[#This Row],[Column1]]</f>
        <v>1</v>
      </c>
      <c r="J1054" s="11" t="s">
        <v>75</v>
      </c>
      <c r="K1054" s="11">
        <v>1299</v>
      </c>
      <c r="L1054" s="49" t="s">
        <v>39</v>
      </c>
      <c r="M1054" s="49" t="s">
        <v>76</v>
      </c>
      <c r="N1054" s="49" t="s">
        <v>85</v>
      </c>
      <c r="O1054" s="49" t="s">
        <v>88</v>
      </c>
      <c r="P1054" s="48" t="s">
        <v>86</v>
      </c>
      <c r="Q1054" s="49" t="s">
        <v>37</v>
      </c>
      <c r="R1054" s="11" t="s">
        <v>80</v>
      </c>
      <c r="S1054" s="11" t="s">
        <v>90</v>
      </c>
      <c r="T1054" s="11" t="s">
        <v>647</v>
      </c>
      <c r="U1054" s="11" t="s">
        <v>1798</v>
      </c>
      <c r="V1054" s="116" t="s">
        <v>1</v>
      </c>
      <c r="W1054" s="88"/>
      <c r="X1054" s="51">
        <v>45719</v>
      </c>
      <c r="Y1054" s="97" t="s">
        <v>1577</v>
      </c>
      <c r="Z1054" s="135" t="s">
        <v>2</v>
      </c>
      <c r="AA1054" s="135">
        <v>0</v>
      </c>
    </row>
    <row r="1055" spans="1:27" ht="13" customHeight="1">
      <c r="A1055" s="11">
        <v>1049</v>
      </c>
      <c r="B1055" s="47">
        <v>204967039</v>
      </c>
      <c r="C1055" s="89" t="s">
        <v>1157</v>
      </c>
      <c r="D1055" s="11" t="s">
        <v>1158</v>
      </c>
      <c r="E1055" s="48" t="s">
        <v>31</v>
      </c>
      <c r="F1055" s="48" t="s">
        <v>74</v>
      </c>
      <c r="G1055" s="11" t="s">
        <v>64</v>
      </c>
      <c r="H1055" s="48" t="str">
        <f>VLOOKUP(Table1[[#This Row],[Psoft No]],[1]Roster!$C$2:$H$1402,6,)</f>
        <v>AUH1</v>
      </c>
      <c r="I1055" s="48" t="b">
        <f>Table1[[#This Row],[Building]]=Table1[[#This Row],[Column1]]</f>
        <v>1</v>
      </c>
      <c r="J1055" s="11" t="s">
        <v>75</v>
      </c>
      <c r="K1055" s="11">
        <v>1299</v>
      </c>
      <c r="L1055" s="49" t="s">
        <v>32</v>
      </c>
      <c r="M1055" s="49" t="s">
        <v>76</v>
      </c>
      <c r="N1055" s="49" t="s">
        <v>77</v>
      </c>
      <c r="O1055" s="49" t="s">
        <v>78</v>
      </c>
      <c r="P1055" s="48" t="s">
        <v>86</v>
      </c>
      <c r="Q1055" s="49" t="s">
        <v>37</v>
      </c>
      <c r="R1055" s="11" t="s">
        <v>80</v>
      </c>
      <c r="S1055" s="11" t="s">
        <v>90</v>
      </c>
      <c r="T1055" s="49" t="s">
        <v>647</v>
      </c>
      <c r="U1055" s="11" t="s">
        <v>1798</v>
      </c>
      <c r="V1055" s="116" t="str">
        <f>VLOOKUP(Table1[[#This Row],[Psoft No]],[2]Sheet1!$A$2:$G$386,7,0)</f>
        <v>P</v>
      </c>
      <c r="W1055" s="88"/>
      <c r="X1055" s="51">
        <v>45719</v>
      </c>
      <c r="Y1055" s="97" t="s">
        <v>1577</v>
      </c>
      <c r="Z1055" s="135" t="s">
        <v>2</v>
      </c>
      <c r="AA1055" s="135">
        <v>0</v>
      </c>
    </row>
    <row r="1056" spans="1:27" ht="13" customHeight="1">
      <c r="A1056" s="11">
        <v>1050</v>
      </c>
      <c r="B1056" s="47">
        <v>204967145</v>
      </c>
      <c r="C1056" s="89" t="s">
        <v>1159</v>
      </c>
      <c r="D1056" s="11" t="s">
        <v>1160</v>
      </c>
      <c r="E1056" s="48" t="s">
        <v>31</v>
      </c>
      <c r="F1056" s="48" t="s">
        <v>74</v>
      </c>
      <c r="G1056" s="11" t="s">
        <v>64</v>
      </c>
      <c r="H1056" s="48" t="str">
        <f>VLOOKUP(Table1[[#This Row],[Psoft No]],[1]Roster!$C$2:$H$1402,6,)</f>
        <v>AUH1</v>
      </c>
      <c r="I1056" s="48" t="b">
        <f>Table1[[#This Row],[Building]]=Table1[[#This Row],[Column1]]</f>
        <v>1</v>
      </c>
      <c r="J1056" s="11" t="s">
        <v>75</v>
      </c>
      <c r="K1056" s="11">
        <v>1299</v>
      </c>
      <c r="L1056" s="49" t="s">
        <v>39</v>
      </c>
      <c r="M1056" s="49" t="s">
        <v>76</v>
      </c>
      <c r="N1056" s="49" t="s">
        <v>92</v>
      </c>
      <c r="O1056" s="49" t="s">
        <v>84</v>
      </c>
      <c r="P1056" s="48" t="s">
        <v>86</v>
      </c>
      <c r="Q1056" s="49" t="s">
        <v>37</v>
      </c>
      <c r="R1056" s="11" t="s">
        <v>80</v>
      </c>
      <c r="S1056" s="11" t="s">
        <v>90</v>
      </c>
      <c r="T1056" s="11" t="s">
        <v>1066</v>
      </c>
      <c r="U1056" s="11" t="s">
        <v>2717</v>
      </c>
      <c r="V1056" s="116" t="s">
        <v>10</v>
      </c>
      <c r="W1056" s="88"/>
      <c r="X1056" s="51">
        <v>45719</v>
      </c>
      <c r="Y1056" s="97" t="s">
        <v>1579</v>
      </c>
      <c r="Z1056" s="135" t="s">
        <v>3023</v>
      </c>
      <c r="AA1056" s="135">
        <v>0</v>
      </c>
    </row>
    <row r="1057" spans="1:27" ht="13" customHeight="1">
      <c r="A1057" s="11">
        <v>1051</v>
      </c>
      <c r="B1057" s="47">
        <v>203512946</v>
      </c>
      <c r="C1057" s="89" t="s">
        <v>1161</v>
      </c>
      <c r="D1057" s="11" t="s">
        <v>1162</v>
      </c>
      <c r="E1057" s="48" t="s">
        <v>31</v>
      </c>
      <c r="F1057" s="48" t="s">
        <v>74</v>
      </c>
      <c r="G1057" s="11" t="s">
        <v>64</v>
      </c>
      <c r="H1057" s="48" t="str">
        <f>VLOOKUP(Table1[[#This Row],[Psoft No]],[1]Roster!$C$2:$H$1402,6,)</f>
        <v>AUH1</v>
      </c>
      <c r="I1057" s="48" t="b">
        <f>Table1[[#This Row],[Building]]=Table1[[#This Row],[Column1]]</f>
        <v>1</v>
      </c>
      <c r="J1057" s="11" t="s">
        <v>75</v>
      </c>
      <c r="K1057" s="11">
        <v>1299</v>
      </c>
      <c r="L1057" s="49" t="s">
        <v>32</v>
      </c>
      <c r="M1057" s="49" t="s">
        <v>76</v>
      </c>
      <c r="N1057" s="49" t="s">
        <v>95</v>
      </c>
      <c r="O1057" s="49" t="s">
        <v>77</v>
      </c>
      <c r="P1057" s="48" t="s">
        <v>79</v>
      </c>
      <c r="Q1057" s="49" t="s">
        <v>37</v>
      </c>
      <c r="R1057" s="11" t="s">
        <v>80</v>
      </c>
      <c r="S1057" s="11" t="s">
        <v>81</v>
      </c>
      <c r="T1057" s="49" t="s">
        <v>2845</v>
      </c>
      <c r="U1057" s="11" t="s">
        <v>2846</v>
      </c>
      <c r="V1057" s="116" t="str">
        <f>VLOOKUP(Table1[[#This Row],[Psoft No]],[2]Sheet1!$A$2:$G$386,7,0)</f>
        <v>P</v>
      </c>
      <c r="W1057" s="88"/>
      <c r="X1057" s="51">
        <v>45463</v>
      </c>
      <c r="Y1057" s="97" t="s">
        <v>1577</v>
      </c>
      <c r="Z1057" s="135" t="s">
        <v>2</v>
      </c>
      <c r="AA1057" s="135">
        <v>0</v>
      </c>
    </row>
    <row r="1058" spans="1:27" ht="13" customHeight="1">
      <c r="A1058" s="11">
        <v>1052</v>
      </c>
      <c r="B1058" s="47">
        <v>202189563</v>
      </c>
      <c r="C1058" s="89" t="s">
        <v>1163</v>
      </c>
      <c r="D1058" s="11" t="s">
        <v>1164</v>
      </c>
      <c r="E1058" s="48" t="s">
        <v>31</v>
      </c>
      <c r="F1058" s="48" t="s">
        <v>74</v>
      </c>
      <c r="G1058" s="11" t="s">
        <v>64</v>
      </c>
      <c r="H1058" s="48" t="str">
        <f>VLOOKUP(Table1[[#This Row],[Psoft No]],[1]Roster!$C$2:$H$1402,6,)</f>
        <v>AUH1</v>
      </c>
      <c r="I1058" s="48" t="b">
        <f>Table1[[#This Row],[Building]]=Table1[[#This Row],[Column1]]</f>
        <v>1</v>
      </c>
      <c r="J1058" s="11" t="s">
        <v>75</v>
      </c>
      <c r="K1058" s="11">
        <v>1299</v>
      </c>
      <c r="L1058" s="49" t="s">
        <v>32</v>
      </c>
      <c r="M1058" s="49" t="s">
        <v>76</v>
      </c>
      <c r="N1058" s="49" t="s">
        <v>84</v>
      </c>
      <c r="O1058" s="49" t="s">
        <v>85</v>
      </c>
      <c r="P1058" s="48" t="s">
        <v>79</v>
      </c>
      <c r="Q1058" s="49" t="s">
        <v>37</v>
      </c>
      <c r="R1058" s="11" t="s">
        <v>80</v>
      </c>
      <c r="S1058" s="11" t="s">
        <v>81</v>
      </c>
      <c r="T1058" s="49" t="s">
        <v>647</v>
      </c>
      <c r="U1058" s="11" t="s">
        <v>1798</v>
      </c>
      <c r="V1058" s="116" t="str">
        <f>VLOOKUP(Table1[[#This Row],[Psoft No]],[2]Sheet1!$A$2:$G$386,7,0)</f>
        <v>P</v>
      </c>
      <c r="W1058" s="88"/>
      <c r="X1058" s="51">
        <v>45537</v>
      </c>
      <c r="Y1058" s="97" t="s">
        <v>1578</v>
      </c>
      <c r="Z1058" s="135" t="s">
        <v>2</v>
      </c>
      <c r="AA1058" s="135">
        <v>0</v>
      </c>
    </row>
    <row r="1059" spans="1:27" ht="13" customHeight="1">
      <c r="A1059" s="11">
        <v>1053</v>
      </c>
      <c r="B1059" s="47">
        <v>205854084</v>
      </c>
      <c r="C1059" s="89" t="s">
        <v>1165</v>
      </c>
      <c r="D1059" s="11" t="s">
        <v>1166</v>
      </c>
      <c r="E1059" s="48" t="s">
        <v>31</v>
      </c>
      <c r="F1059" s="48" t="s">
        <v>74</v>
      </c>
      <c r="G1059" s="11" t="s">
        <v>64</v>
      </c>
      <c r="H1059" s="48" t="str">
        <f>VLOOKUP(Table1[[#This Row],[Psoft No]],[1]Roster!$C$2:$H$1402,6,)</f>
        <v>AUH1</v>
      </c>
      <c r="I1059" s="48" t="b">
        <f>Table1[[#This Row],[Building]]=Table1[[#This Row],[Column1]]</f>
        <v>1</v>
      </c>
      <c r="J1059" s="11" t="s">
        <v>75</v>
      </c>
      <c r="K1059" s="11">
        <v>1299</v>
      </c>
      <c r="L1059" s="49" t="s">
        <v>39</v>
      </c>
      <c r="M1059" s="49" t="s">
        <v>76</v>
      </c>
      <c r="N1059" s="49" t="s">
        <v>84</v>
      </c>
      <c r="O1059" s="49" t="s">
        <v>85</v>
      </c>
      <c r="P1059" s="48" t="s">
        <v>79</v>
      </c>
      <c r="Q1059" s="49" t="s">
        <v>37</v>
      </c>
      <c r="R1059" s="11" t="s">
        <v>80</v>
      </c>
      <c r="S1059" s="11" t="s">
        <v>96</v>
      </c>
      <c r="T1059" s="49" t="s">
        <v>631</v>
      </c>
      <c r="U1059" s="11" t="s">
        <v>632</v>
      </c>
      <c r="V1059" s="116" t="s">
        <v>1</v>
      </c>
      <c r="W1059" s="88"/>
      <c r="X1059" s="51">
        <v>45894</v>
      </c>
      <c r="Y1059" s="97" t="s">
        <v>1577</v>
      </c>
      <c r="Z1059" s="135" t="s">
        <v>2</v>
      </c>
      <c r="AA1059" s="135">
        <v>0</v>
      </c>
    </row>
    <row r="1060" spans="1:27" ht="13" customHeight="1">
      <c r="A1060" s="11">
        <v>1054</v>
      </c>
      <c r="B1060" s="47">
        <v>106268302</v>
      </c>
      <c r="C1060" s="89" t="s">
        <v>1167</v>
      </c>
      <c r="D1060" s="11" t="s">
        <v>1168</v>
      </c>
      <c r="E1060" s="48" t="s">
        <v>34</v>
      </c>
      <c r="F1060" s="48" t="s">
        <v>74</v>
      </c>
      <c r="G1060" s="11" t="s">
        <v>64</v>
      </c>
      <c r="H1060" s="48" t="str">
        <f>VLOOKUP(Table1[[#This Row],[Psoft No]],[1]Roster!$C$2:$H$1402,6,)</f>
        <v>AUH1</v>
      </c>
      <c r="I1060" s="48" t="b">
        <f>Table1[[#This Row],[Building]]=Table1[[#This Row],[Column1]]</f>
        <v>1</v>
      </c>
      <c r="J1060" s="11" t="s">
        <v>75</v>
      </c>
      <c r="K1060" s="11">
        <v>1299</v>
      </c>
      <c r="L1060" s="49" t="s">
        <v>32</v>
      </c>
      <c r="M1060" s="49" t="s">
        <v>76</v>
      </c>
      <c r="N1060" s="49" t="s">
        <v>95</v>
      </c>
      <c r="O1060" s="49" t="s">
        <v>77</v>
      </c>
      <c r="P1060" s="48" t="s">
        <v>97</v>
      </c>
      <c r="Q1060" s="49" t="s">
        <v>37</v>
      </c>
      <c r="R1060" s="11" t="s">
        <v>80</v>
      </c>
      <c r="S1060" s="11" t="s">
        <v>98</v>
      </c>
      <c r="T1060" s="11" t="s">
        <v>639</v>
      </c>
      <c r="U1060" s="11" t="s">
        <v>2718</v>
      </c>
      <c r="V1060" s="116" t="str">
        <f>VLOOKUP(Table1[[#This Row],[Psoft No]],[2]Sheet1!$A$2:$G$386,7,0)</f>
        <v>P</v>
      </c>
      <c r="W1060" s="88"/>
      <c r="X1060" s="51">
        <v>44839</v>
      </c>
      <c r="Y1060" s="97" t="s">
        <v>1581</v>
      </c>
      <c r="Z1060" s="135" t="s">
        <v>2</v>
      </c>
      <c r="AA1060" s="135">
        <v>0</v>
      </c>
    </row>
    <row r="1061" spans="1:27" ht="13" customHeight="1">
      <c r="A1061" s="11">
        <v>1055</v>
      </c>
      <c r="B1061" s="47">
        <v>206915472</v>
      </c>
      <c r="C1061" s="89" t="s">
        <v>1912</v>
      </c>
      <c r="D1061" s="11" t="s">
        <v>1906</v>
      </c>
      <c r="E1061" s="48" t="s">
        <v>31</v>
      </c>
      <c r="F1061" s="48" t="s">
        <v>74</v>
      </c>
      <c r="G1061" s="11" t="s">
        <v>64</v>
      </c>
      <c r="H1061" s="48" t="str">
        <f>VLOOKUP(Table1[[#This Row],[Psoft No]],[1]Roster!$C$2:$H$1402,6,)</f>
        <v>AUH1</v>
      </c>
      <c r="I1061" s="48" t="b">
        <f>Table1[[#This Row],[Building]]=Table1[[#This Row],[Column1]]</f>
        <v>1</v>
      </c>
      <c r="J1061" s="11" t="s">
        <v>75</v>
      </c>
      <c r="K1061" s="11">
        <v>1299</v>
      </c>
      <c r="L1061" s="49" t="s">
        <v>39</v>
      </c>
      <c r="M1061" s="49" t="s">
        <v>76</v>
      </c>
      <c r="N1061" s="49" t="s">
        <v>95</v>
      </c>
      <c r="O1061" s="49" t="s">
        <v>77</v>
      </c>
      <c r="P1061" s="48" t="s">
        <v>89</v>
      </c>
      <c r="Q1061" s="49" t="s">
        <v>37</v>
      </c>
      <c r="R1061" s="11" t="s">
        <v>80</v>
      </c>
      <c r="S1061" s="11" t="s">
        <v>90</v>
      </c>
      <c r="T1061" s="11" t="s">
        <v>627</v>
      </c>
      <c r="U1061" s="11" t="s">
        <v>628</v>
      </c>
      <c r="V1061" s="116" t="s">
        <v>1</v>
      </c>
      <c r="W1061" s="88"/>
      <c r="X1061" s="51">
        <v>46034</v>
      </c>
      <c r="Y1061" s="97" t="s">
        <v>1577</v>
      </c>
      <c r="Z1061" s="135" t="s">
        <v>2</v>
      </c>
      <c r="AA1061" s="135">
        <v>0</v>
      </c>
    </row>
    <row r="1062" spans="1:27" ht="13" customHeight="1">
      <c r="A1062" s="11">
        <v>1056</v>
      </c>
      <c r="B1062" s="47">
        <v>206129616</v>
      </c>
      <c r="C1062" s="89" t="s">
        <v>1169</v>
      </c>
      <c r="D1062" s="11" t="s">
        <v>1170</v>
      </c>
      <c r="E1062" s="48" t="s">
        <v>31</v>
      </c>
      <c r="F1062" s="48" t="s">
        <v>74</v>
      </c>
      <c r="G1062" s="11" t="s">
        <v>64</v>
      </c>
      <c r="H1062" s="48" t="str">
        <f>VLOOKUP(Table1[[#This Row],[Psoft No]],[1]Roster!$C$2:$H$1402,6,)</f>
        <v>AUH1</v>
      </c>
      <c r="I1062" s="48" t="b">
        <f>Table1[[#This Row],[Building]]=Table1[[#This Row],[Column1]]</f>
        <v>1</v>
      </c>
      <c r="J1062" s="11" t="s">
        <v>75</v>
      </c>
      <c r="K1062" s="11">
        <v>1299</v>
      </c>
      <c r="L1062" s="49" t="s">
        <v>32</v>
      </c>
      <c r="M1062" s="49" t="s">
        <v>76</v>
      </c>
      <c r="N1062" s="49" t="s">
        <v>84</v>
      </c>
      <c r="O1062" s="49" t="s">
        <v>85</v>
      </c>
      <c r="P1062" s="48" t="s">
        <v>79</v>
      </c>
      <c r="Q1062" s="49" t="s">
        <v>37</v>
      </c>
      <c r="R1062" s="11" t="s">
        <v>80</v>
      </c>
      <c r="S1062" s="11" t="s">
        <v>81</v>
      </c>
      <c r="T1062" s="11" t="s">
        <v>647</v>
      </c>
      <c r="U1062" s="11" t="s">
        <v>1798</v>
      </c>
      <c r="V1062" s="116" t="str">
        <f>VLOOKUP(Table1[[#This Row],[Psoft No]],[2]Sheet1!$A$2:$G$386,7,0)</f>
        <v>P</v>
      </c>
      <c r="W1062" s="88"/>
      <c r="X1062" s="51">
        <v>45929</v>
      </c>
      <c r="Y1062" s="97" t="s">
        <v>1577</v>
      </c>
      <c r="Z1062" s="135" t="s">
        <v>2</v>
      </c>
      <c r="AA1062" s="135">
        <v>0</v>
      </c>
    </row>
    <row r="1063" spans="1:27" ht="13" customHeight="1">
      <c r="A1063" s="11">
        <v>1057</v>
      </c>
      <c r="B1063" s="47">
        <v>204951315</v>
      </c>
      <c r="C1063" s="89" t="s">
        <v>2420</v>
      </c>
      <c r="D1063" s="11" t="s">
        <v>2421</v>
      </c>
      <c r="E1063" s="48" t="s">
        <v>31</v>
      </c>
      <c r="F1063" s="48" t="s">
        <v>74</v>
      </c>
      <c r="G1063" s="11" t="s">
        <v>64</v>
      </c>
      <c r="H1063" s="48" t="str">
        <f>VLOOKUP(Table1[[#This Row],[Psoft No]],[1]Roster!$C$2:$H$1402,6,)</f>
        <v>AUH1</v>
      </c>
      <c r="I1063" s="48" t="b">
        <f>Table1[[#This Row],[Building]]=Table1[[#This Row],[Column1]]</f>
        <v>1</v>
      </c>
      <c r="J1063" s="11" t="s">
        <v>75</v>
      </c>
      <c r="K1063" s="11">
        <v>1299</v>
      </c>
      <c r="L1063" s="49" t="s">
        <v>32</v>
      </c>
      <c r="M1063" s="49" t="s">
        <v>76</v>
      </c>
      <c r="N1063" s="49" t="s">
        <v>92</v>
      </c>
      <c r="O1063" s="49" t="s">
        <v>84</v>
      </c>
      <c r="P1063" s="48" t="s">
        <v>86</v>
      </c>
      <c r="Q1063" s="49" t="s">
        <v>37</v>
      </c>
      <c r="R1063" s="11" t="s">
        <v>80</v>
      </c>
      <c r="S1063" s="11" t="s">
        <v>90</v>
      </c>
      <c r="T1063" s="49" t="s">
        <v>647</v>
      </c>
      <c r="U1063" s="11" t="s">
        <v>1798</v>
      </c>
      <c r="V1063" s="116" t="s">
        <v>10</v>
      </c>
      <c r="W1063" s="88"/>
      <c r="X1063" s="51">
        <v>45719</v>
      </c>
      <c r="Y1063" s="97" t="s">
        <v>1577</v>
      </c>
      <c r="Z1063" s="135" t="s">
        <v>3023</v>
      </c>
      <c r="AA1063" s="135">
        <v>0</v>
      </c>
    </row>
    <row r="1064" spans="1:27" ht="13" customHeight="1">
      <c r="A1064" s="11">
        <v>1058</v>
      </c>
      <c r="B1064" s="47">
        <v>204009351</v>
      </c>
      <c r="C1064" s="89" t="s">
        <v>1171</v>
      </c>
      <c r="D1064" s="11" t="s">
        <v>1172</v>
      </c>
      <c r="E1064" s="48" t="s">
        <v>31</v>
      </c>
      <c r="F1064" s="48" t="s">
        <v>74</v>
      </c>
      <c r="G1064" s="11" t="s">
        <v>64</v>
      </c>
      <c r="H1064" s="48" t="str">
        <f>VLOOKUP(Table1[[#This Row],[Psoft No]],[1]Roster!$C$2:$H$1402,6,)</f>
        <v>AUH1</v>
      </c>
      <c r="I1064" s="48" t="b">
        <f>Table1[[#This Row],[Building]]=Table1[[#This Row],[Column1]]</f>
        <v>1</v>
      </c>
      <c r="J1064" s="11" t="s">
        <v>75</v>
      </c>
      <c r="K1064" s="11">
        <v>1299</v>
      </c>
      <c r="L1064" s="49" t="s">
        <v>39</v>
      </c>
      <c r="M1064" s="49" t="s">
        <v>76</v>
      </c>
      <c r="N1064" s="49" t="s">
        <v>88</v>
      </c>
      <c r="O1064" s="49" t="s">
        <v>95</v>
      </c>
      <c r="P1064" s="48" t="s">
        <v>86</v>
      </c>
      <c r="Q1064" s="49" t="s">
        <v>37</v>
      </c>
      <c r="R1064" s="11" t="s">
        <v>80</v>
      </c>
      <c r="S1064" s="11" t="s">
        <v>90</v>
      </c>
      <c r="T1064" s="11" t="s">
        <v>647</v>
      </c>
      <c r="U1064" s="11" t="s">
        <v>1798</v>
      </c>
      <c r="V1064" s="116" t="s">
        <v>1</v>
      </c>
      <c r="W1064" s="88"/>
      <c r="X1064" s="51">
        <v>45551</v>
      </c>
      <c r="Y1064" s="97" t="s">
        <v>1577</v>
      </c>
      <c r="Z1064" s="135" t="s">
        <v>2</v>
      </c>
      <c r="AA1064" s="135">
        <v>0</v>
      </c>
    </row>
    <row r="1065" spans="1:27" ht="13" customHeight="1">
      <c r="A1065" s="11">
        <v>1059</v>
      </c>
      <c r="B1065" s="47">
        <v>203512947</v>
      </c>
      <c r="C1065" s="89" t="s">
        <v>1173</v>
      </c>
      <c r="D1065" s="11" t="s">
        <v>1174</v>
      </c>
      <c r="E1065" s="48" t="s">
        <v>31</v>
      </c>
      <c r="F1065" s="48" t="s">
        <v>74</v>
      </c>
      <c r="G1065" s="11" t="s">
        <v>64</v>
      </c>
      <c r="H1065" s="48" t="str">
        <f>VLOOKUP(Table1[[#This Row],[Psoft No]],[1]Roster!$C$2:$H$1402,6,)</f>
        <v>AUH1</v>
      </c>
      <c r="I1065" s="48" t="b">
        <f>Table1[[#This Row],[Building]]=Table1[[#This Row],[Column1]]</f>
        <v>1</v>
      </c>
      <c r="J1065" s="11" t="s">
        <v>75</v>
      </c>
      <c r="K1065" s="11">
        <v>1299</v>
      </c>
      <c r="L1065" s="49" t="s">
        <v>39</v>
      </c>
      <c r="M1065" s="49" t="s">
        <v>76</v>
      </c>
      <c r="N1065" s="49" t="s">
        <v>88</v>
      </c>
      <c r="O1065" s="49" t="s">
        <v>95</v>
      </c>
      <c r="P1065" s="48" t="s">
        <v>79</v>
      </c>
      <c r="Q1065" s="49" t="s">
        <v>37</v>
      </c>
      <c r="R1065" s="11" t="s">
        <v>80</v>
      </c>
      <c r="S1065" s="11" t="s">
        <v>81</v>
      </c>
      <c r="T1065" s="11" t="s">
        <v>1066</v>
      </c>
      <c r="U1065" s="11" t="s">
        <v>2717</v>
      </c>
      <c r="V1065" s="116" t="s">
        <v>1</v>
      </c>
      <c r="W1065" s="88"/>
      <c r="X1065" s="51">
        <v>45463</v>
      </c>
      <c r="Y1065" s="97" t="s">
        <v>1577</v>
      </c>
      <c r="Z1065" s="135" t="s">
        <v>2</v>
      </c>
      <c r="AA1065" s="135">
        <v>0</v>
      </c>
    </row>
    <row r="1066" spans="1:27" ht="13" customHeight="1">
      <c r="A1066" s="11">
        <v>1060</v>
      </c>
      <c r="B1066" s="47">
        <v>206006426</v>
      </c>
      <c r="C1066" s="89" t="s">
        <v>1175</v>
      </c>
      <c r="D1066" s="11" t="s">
        <v>1176</v>
      </c>
      <c r="E1066" s="48" t="s">
        <v>31</v>
      </c>
      <c r="F1066" s="48" t="s">
        <v>74</v>
      </c>
      <c r="G1066" s="11" t="s">
        <v>64</v>
      </c>
      <c r="H1066" s="48" t="str">
        <f>VLOOKUP(Table1[[#This Row],[Psoft No]],[1]Roster!$C$2:$H$1402,6,)</f>
        <v>AUH1</v>
      </c>
      <c r="I1066" s="48" t="b">
        <f>Table1[[#This Row],[Building]]=Table1[[#This Row],[Column1]]</f>
        <v>1</v>
      </c>
      <c r="J1066" s="11" t="s">
        <v>75</v>
      </c>
      <c r="K1066" s="11">
        <v>1299</v>
      </c>
      <c r="L1066" s="49" t="s">
        <v>39</v>
      </c>
      <c r="M1066" s="49" t="s">
        <v>76</v>
      </c>
      <c r="N1066" s="49" t="s">
        <v>77</v>
      </c>
      <c r="O1066" s="49" t="s">
        <v>78</v>
      </c>
      <c r="P1066" s="49" t="s">
        <v>79</v>
      </c>
      <c r="Q1066" s="49" t="s">
        <v>37</v>
      </c>
      <c r="R1066" s="11" t="s">
        <v>80</v>
      </c>
      <c r="S1066" s="11" t="s">
        <v>81</v>
      </c>
      <c r="T1066" s="11" t="s">
        <v>2719</v>
      </c>
      <c r="U1066" s="11" t="s">
        <v>642</v>
      </c>
      <c r="V1066" s="116" t="s">
        <v>1</v>
      </c>
      <c r="W1066" s="88"/>
      <c r="X1066" s="51">
        <v>45915</v>
      </c>
      <c r="Y1066" s="97" t="s">
        <v>1577</v>
      </c>
      <c r="Z1066" s="135" t="s">
        <v>2</v>
      </c>
      <c r="AA1066" s="135">
        <v>0</v>
      </c>
    </row>
    <row r="1067" spans="1:27" ht="13" customHeight="1">
      <c r="A1067" s="11">
        <v>1061</v>
      </c>
      <c r="B1067" s="92">
        <v>203512670</v>
      </c>
      <c r="C1067" s="47" t="s">
        <v>732</v>
      </c>
      <c r="D1067" s="89" t="s">
        <v>733</v>
      </c>
      <c r="E1067" s="48" t="s">
        <v>31</v>
      </c>
      <c r="F1067" s="48" t="s">
        <v>74</v>
      </c>
      <c r="G1067" s="11" t="s">
        <v>64</v>
      </c>
      <c r="H1067" s="48" t="str">
        <f>VLOOKUP(Table1[[#This Row],[Psoft No]],[1]Roster!$C$2:$H$1402,6,)</f>
        <v>AUH1</v>
      </c>
      <c r="I1067" s="48" t="b">
        <f>Table1[[#This Row],[Building]]=Table1[[#This Row],[Column1]]</f>
        <v>1</v>
      </c>
      <c r="J1067" s="11" t="s">
        <v>75</v>
      </c>
      <c r="K1067" s="11">
        <v>1299</v>
      </c>
      <c r="L1067" s="49" t="s">
        <v>32</v>
      </c>
      <c r="M1067" s="49" t="s">
        <v>76</v>
      </c>
      <c r="N1067" s="49" t="s">
        <v>77</v>
      </c>
      <c r="O1067" s="49" t="s">
        <v>78</v>
      </c>
      <c r="P1067" s="48" t="s">
        <v>79</v>
      </c>
      <c r="Q1067" s="49" t="s">
        <v>37</v>
      </c>
      <c r="R1067" s="11" t="s">
        <v>80</v>
      </c>
      <c r="S1067" s="11" t="s">
        <v>81</v>
      </c>
      <c r="T1067" s="11" t="s">
        <v>631</v>
      </c>
      <c r="U1067" s="11" t="s">
        <v>632</v>
      </c>
      <c r="V1067" s="116" t="str">
        <f>VLOOKUP(Table1[[#This Row],[Psoft No]],[2]Sheet1!$A$2:$G$386,7,0)</f>
        <v>P</v>
      </c>
      <c r="W1067" s="88"/>
      <c r="X1067" s="51">
        <v>45463</v>
      </c>
      <c r="Y1067" s="97" t="s">
        <v>1579</v>
      </c>
      <c r="Z1067" s="135" t="s">
        <v>2</v>
      </c>
      <c r="AA1067" s="135">
        <v>0</v>
      </c>
    </row>
    <row r="1068" spans="1:27" ht="13" customHeight="1">
      <c r="A1068" s="11">
        <v>1062</v>
      </c>
      <c r="B1068" s="47">
        <v>203522194</v>
      </c>
      <c r="C1068" s="89" t="s">
        <v>1179</v>
      </c>
      <c r="D1068" s="11" t="s">
        <v>1180</v>
      </c>
      <c r="E1068" s="48" t="s">
        <v>31</v>
      </c>
      <c r="F1068" s="48" t="s">
        <v>74</v>
      </c>
      <c r="G1068" s="11" t="s">
        <v>64</v>
      </c>
      <c r="H1068" s="48" t="str">
        <f>VLOOKUP(Table1[[#This Row],[Psoft No]],[1]Roster!$C$2:$H$1402,6,)</f>
        <v>AUH1</v>
      </c>
      <c r="I1068" s="48" t="b">
        <f>Table1[[#This Row],[Building]]=Table1[[#This Row],[Column1]]</f>
        <v>1</v>
      </c>
      <c r="J1068" s="11" t="s">
        <v>75</v>
      </c>
      <c r="K1068" s="11">
        <v>1299</v>
      </c>
      <c r="L1068" s="49" t="s">
        <v>39</v>
      </c>
      <c r="M1068" s="49" t="s">
        <v>76</v>
      </c>
      <c r="N1068" s="49" t="s">
        <v>92</v>
      </c>
      <c r="O1068" s="49" t="s">
        <v>84</v>
      </c>
      <c r="P1068" s="48" t="s">
        <v>86</v>
      </c>
      <c r="Q1068" s="49" t="s">
        <v>37</v>
      </c>
      <c r="R1068" s="11" t="s">
        <v>80</v>
      </c>
      <c r="S1068" s="11" t="s">
        <v>99</v>
      </c>
      <c r="T1068" s="11" t="s">
        <v>647</v>
      </c>
      <c r="U1068" s="11" t="s">
        <v>1798</v>
      </c>
      <c r="V1068" s="116" t="s">
        <v>10</v>
      </c>
      <c r="W1068" s="88"/>
      <c r="X1068" s="51">
        <v>45463</v>
      </c>
      <c r="Y1068" s="97" t="s">
        <v>1579</v>
      </c>
      <c r="Z1068" s="135" t="s">
        <v>3023</v>
      </c>
      <c r="AA1068" s="135">
        <v>0</v>
      </c>
    </row>
    <row r="1069" spans="1:27" ht="13" customHeight="1">
      <c r="A1069" s="11">
        <v>1063</v>
      </c>
      <c r="B1069" s="47">
        <v>204138127</v>
      </c>
      <c r="C1069" s="89" t="s">
        <v>1181</v>
      </c>
      <c r="D1069" s="11" t="s">
        <v>1182</v>
      </c>
      <c r="E1069" s="48" t="s">
        <v>31</v>
      </c>
      <c r="F1069" s="48" t="s">
        <v>74</v>
      </c>
      <c r="G1069" s="11" t="s">
        <v>64</v>
      </c>
      <c r="H1069" s="48" t="str">
        <f>VLOOKUP(Table1[[#This Row],[Psoft No]],[1]Roster!$C$2:$H$1402,6,)</f>
        <v>AUH1</v>
      </c>
      <c r="I1069" s="48" t="b">
        <f>Table1[[#This Row],[Building]]=Table1[[#This Row],[Column1]]</f>
        <v>1</v>
      </c>
      <c r="J1069" s="11" t="s">
        <v>75</v>
      </c>
      <c r="K1069" s="11">
        <v>1299</v>
      </c>
      <c r="L1069" s="49" t="s">
        <v>32</v>
      </c>
      <c r="M1069" s="49" t="s">
        <v>76</v>
      </c>
      <c r="N1069" s="49" t="s">
        <v>92</v>
      </c>
      <c r="O1069" s="49" t="s">
        <v>84</v>
      </c>
      <c r="P1069" s="48" t="s">
        <v>86</v>
      </c>
      <c r="Q1069" s="49" t="s">
        <v>37</v>
      </c>
      <c r="R1069" s="11" t="s">
        <v>80</v>
      </c>
      <c r="S1069" s="11" t="s">
        <v>87</v>
      </c>
      <c r="T1069" s="49" t="s">
        <v>639</v>
      </c>
      <c r="U1069" s="11" t="s">
        <v>2718</v>
      </c>
      <c r="V1069" s="116" t="s">
        <v>10</v>
      </c>
      <c r="W1069" s="88"/>
      <c r="X1069" s="51">
        <v>45565</v>
      </c>
      <c r="Y1069" s="97" t="s">
        <v>1579</v>
      </c>
      <c r="Z1069" s="135" t="s">
        <v>3023</v>
      </c>
      <c r="AA1069" s="135">
        <v>0</v>
      </c>
    </row>
    <row r="1070" spans="1:27" ht="13" customHeight="1">
      <c r="A1070" s="11">
        <v>1064</v>
      </c>
      <c r="B1070" s="47">
        <v>205996131</v>
      </c>
      <c r="C1070" s="89" t="s">
        <v>1183</v>
      </c>
      <c r="D1070" s="11" t="s">
        <v>1184</v>
      </c>
      <c r="E1070" s="48" t="s">
        <v>31</v>
      </c>
      <c r="F1070" s="48" t="s">
        <v>74</v>
      </c>
      <c r="G1070" s="11" t="s">
        <v>64</v>
      </c>
      <c r="H1070" s="48" t="str">
        <f>VLOOKUP(Table1[[#This Row],[Psoft No]],[1]Roster!$C$2:$H$1402,6,)</f>
        <v>AUH1</v>
      </c>
      <c r="I1070" s="48" t="b">
        <f>Table1[[#This Row],[Building]]=Table1[[#This Row],[Column1]]</f>
        <v>1</v>
      </c>
      <c r="J1070" s="11" t="s">
        <v>75</v>
      </c>
      <c r="K1070" s="11">
        <v>1299</v>
      </c>
      <c r="L1070" s="49" t="s">
        <v>39</v>
      </c>
      <c r="M1070" s="49" t="s">
        <v>76</v>
      </c>
      <c r="N1070" s="49" t="s">
        <v>78</v>
      </c>
      <c r="O1070" s="49" t="s">
        <v>92</v>
      </c>
      <c r="P1070" s="48" t="s">
        <v>89</v>
      </c>
      <c r="Q1070" s="49" t="s">
        <v>37</v>
      </c>
      <c r="R1070" s="11" t="s">
        <v>80</v>
      </c>
      <c r="S1070" s="11" t="s">
        <v>81</v>
      </c>
      <c r="T1070" s="11" t="s">
        <v>631</v>
      </c>
      <c r="U1070" s="11" t="s">
        <v>632</v>
      </c>
      <c r="V1070" s="116" t="s">
        <v>10</v>
      </c>
      <c r="W1070" s="88"/>
      <c r="X1070" s="51">
        <v>45915</v>
      </c>
      <c r="Y1070" s="97" t="s">
        <v>1577</v>
      </c>
      <c r="Z1070" s="135" t="s">
        <v>3023</v>
      </c>
      <c r="AA1070" s="135">
        <v>0</v>
      </c>
    </row>
    <row r="1071" spans="1:27" ht="13" customHeight="1">
      <c r="A1071" s="11">
        <v>1065</v>
      </c>
      <c r="B1071" s="47">
        <v>206072874</v>
      </c>
      <c r="C1071" s="89" t="s">
        <v>1185</v>
      </c>
      <c r="D1071" s="11" t="s">
        <v>1186</v>
      </c>
      <c r="E1071" s="48" t="s">
        <v>31</v>
      </c>
      <c r="F1071" s="48" t="s">
        <v>74</v>
      </c>
      <c r="G1071" s="11" t="s">
        <v>64</v>
      </c>
      <c r="H1071" s="48" t="str">
        <f>VLOOKUP(Table1[[#This Row],[Psoft No]],[1]Roster!$C$2:$H$1402,6,)</f>
        <v>AUH1</v>
      </c>
      <c r="I1071" s="48" t="b">
        <f>Table1[[#This Row],[Building]]=Table1[[#This Row],[Column1]]</f>
        <v>1</v>
      </c>
      <c r="J1071" s="11" t="s">
        <v>75</v>
      </c>
      <c r="K1071" s="11">
        <v>1299</v>
      </c>
      <c r="L1071" s="49" t="s">
        <v>32</v>
      </c>
      <c r="M1071" s="49" t="s">
        <v>76</v>
      </c>
      <c r="N1071" s="49" t="s">
        <v>92</v>
      </c>
      <c r="O1071" s="49" t="s">
        <v>84</v>
      </c>
      <c r="P1071" s="48" t="s">
        <v>79</v>
      </c>
      <c r="Q1071" s="49" t="s">
        <v>37</v>
      </c>
      <c r="R1071" s="11" t="s">
        <v>80</v>
      </c>
      <c r="S1071" s="11" t="s">
        <v>81</v>
      </c>
      <c r="T1071" s="11" t="s">
        <v>647</v>
      </c>
      <c r="U1071" s="11" t="s">
        <v>1798</v>
      </c>
      <c r="V1071" s="116" t="s">
        <v>10</v>
      </c>
      <c r="W1071" s="88"/>
      <c r="X1071" s="51">
        <v>45929</v>
      </c>
      <c r="Y1071" s="97" t="s">
        <v>1577</v>
      </c>
      <c r="Z1071" s="135" t="s">
        <v>3023</v>
      </c>
      <c r="AA1071" s="135">
        <v>0</v>
      </c>
    </row>
    <row r="1072" spans="1:27" ht="13" customHeight="1">
      <c r="A1072" s="11">
        <v>1066</v>
      </c>
      <c r="B1072" s="47">
        <v>203964991</v>
      </c>
      <c r="C1072" s="89" t="s">
        <v>1187</v>
      </c>
      <c r="D1072" s="11" t="s">
        <v>1188</v>
      </c>
      <c r="E1072" s="48" t="s">
        <v>31</v>
      </c>
      <c r="F1072" s="48" t="s">
        <v>74</v>
      </c>
      <c r="G1072" s="11" t="s">
        <v>64</v>
      </c>
      <c r="H1072" s="48" t="str">
        <f>VLOOKUP(Table1[[#This Row],[Psoft No]],[1]Roster!$C$2:$H$1402,6,)</f>
        <v>AUH1</v>
      </c>
      <c r="I1072" s="48" t="b">
        <f>Table1[[#This Row],[Building]]=Table1[[#This Row],[Column1]]</f>
        <v>1</v>
      </c>
      <c r="J1072" s="11" t="s">
        <v>75</v>
      </c>
      <c r="K1072" s="11">
        <v>1299</v>
      </c>
      <c r="L1072" s="49" t="s">
        <v>39</v>
      </c>
      <c r="M1072" s="49" t="s">
        <v>76</v>
      </c>
      <c r="N1072" s="49" t="s">
        <v>85</v>
      </c>
      <c r="O1072" s="49" t="s">
        <v>88</v>
      </c>
      <c r="P1072" s="49" t="s">
        <v>86</v>
      </c>
      <c r="Q1072" s="48" t="s">
        <v>37</v>
      </c>
      <c r="R1072" s="48" t="s">
        <v>80</v>
      </c>
      <c r="S1072" s="11" t="s">
        <v>99</v>
      </c>
      <c r="T1072" s="49" t="s">
        <v>647</v>
      </c>
      <c r="U1072" s="11" t="s">
        <v>1798</v>
      </c>
      <c r="V1072" s="116" t="s">
        <v>1</v>
      </c>
      <c r="W1072" s="88"/>
      <c r="X1072" s="51">
        <v>45544</v>
      </c>
      <c r="Y1072" s="97" t="s">
        <v>1577</v>
      </c>
      <c r="Z1072" s="135" t="s">
        <v>2</v>
      </c>
      <c r="AA1072" s="135">
        <v>0</v>
      </c>
    </row>
    <row r="1073" spans="1:27" ht="13" customHeight="1">
      <c r="A1073" s="11">
        <v>1067</v>
      </c>
      <c r="B1073" s="47">
        <v>203468747</v>
      </c>
      <c r="C1073" s="89" t="s">
        <v>1191</v>
      </c>
      <c r="D1073" s="11" t="s">
        <v>1192</v>
      </c>
      <c r="E1073" s="48" t="s">
        <v>31</v>
      </c>
      <c r="F1073" s="48" t="s">
        <v>74</v>
      </c>
      <c r="G1073" s="11" t="s">
        <v>64</v>
      </c>
      <c r="H1073" s="48" t="str">
        <f>VLOOKUP(Table1[[#This Row],[Psoft No]],[1]Roster!$C$2:$H$1402,6,)</f>
        <v>AUH1</v>
      </c>
      <c r="I1073" s="48" t="b">
        <f>Table1[[#This Row],[Building]]=Table1[[#This Row],[Column1]]</f>
        <v>1</v>
      </c>
      <c r="J1073" s="11" t="s">
        <v>75</v>
      </c>
      <c r="K1073" s="11">
        <v>1299</v>
      </c>
      <c r="L1073" s="49" t="s">
        <v>32</v>
      </c>
      <c r="M1073" s="49" t="s">
        <v>76</v>
      </c>
      <c r="N1073" s="49" t="s">
        <v>95</v>
      </c>
      <c r="O1073" s="49" t="s">
        <v>77</v>
      </c>
      <c r="P1073" s="49" t="s">
        <v>79</v>
      </c>
      <c r="Q1073" s="49" t="s">
        <v>37</v>
      </c>
      <c r="R1073" s="11" t="s">
        <v>80</v>
      </c>
      <c r="S1073" s="11" t="s">
        <v>81</v>
      </c>
      <c r="T1073" s="49" t="s">
        <v>1066</v>
      </c>
      <c r="U1073" s="11" t="s">
        <v>2717</v>
      </c>
      <c r="V1073" s="116" t="s">
        <v>3</v>
      </c>
      <c r="W1073" s="88"/>
      <c r="X1073" s="51">
        <v>45456</v>
      </c>
      <c r="Y1073" s="97" t="s">
        <v>1579</v>
      </c>
      <c r="Z1073" s="135" t="s">
        <v>3023</v>
      </c>
      <c r="AA1073" s="135">
        <v>0</v>
      </c>
    </row>
    <row r="1074" spans="1:27" ht="13" customHeight="1">
      <c r="A1074" s="11">
        <v>1068</v>
      </c>
      <c r="B1074" s="47">
        <v>203908339</v>
      </c>
      <c r="C1074" s="89" t="s">
        <v>1193</v>
      </c>
      <c r="D1074" s="11" t="s">
        <v>1194</v>
      </c>
      <c r="E1074" s="48" t="s">
        <v>31</v>
      </c>
      <c r="F1074" s="48" t="s">
        <v>74</v>
      </c>
      <c r="G1074" s="11" t="s">
        <v>64</v>
      </c>
      <c r="H1074" s="48" t="str">
        <f>VLOOKUP(Table1[[#This Row],[Psoft No]],[1]Roster!$C$2:$H$1402,6,)</f>
        <v>AUH1</v>
      </c>
      <c r="I1074" s="48" t="b">
        <f>Table1[[#This Row],[Building]]=Table1[[#This Row],[Column1]]</f>
        <v>1</v>
      </c>
      <c r="J1074" s="11" t="s">
        <v>75</v>
      </c>
      <c r="K1074" s="11">
        <v>1299</v>
      </c>
      <c r="L1074" s="49" t="s">
        <v>32</v>
      </c>
      <c r="M1074" s="49" t="s">
        <v>76</v>
      </c>
      <c r="N1074" s="49" t="s">
        <v>92</v>
      </c>
      <c r="O1074" s="49" t="s">
        <v>84</v>
      </c>
      <c r="P1074" s="49" t="s">
        <v>79</v>
      </c>
      <c r="Q1074" s="49" t="s">
        <v>37</v>
      </c>
      <c r="R1074" s="11" t="s">
        <v>80</v>
      </c>
      <c r="S1074" s="11" t="s">
        <v>81</v>
      </c>
      <c r="T1074" s="11" t="s">
        <v>647</v>
      </c>
      <c r="U1074" s="11" t="s">
        <v>1798</v>
      </c>
      <c r="V1074" s="116" t="s">
        <v>10</v>
      </c>
      <c r="W1074" s="88"/>
      <c r="X1074" s="51">
        <v>45537</v>
      </c>
      <c r="Y1074" s="97" t="s">
        <v>1577</v>
      </c>
      <c r="Z1074" s="135" t="s">
        <v>3023</v>
      </c>
      <c r="AA1074" s="135">
        <v>0</v>
      </c>
    </row>
    <row r="1075" spans="1:27" ht="13" customHeight="1">
      <c r="A1075" s="11">
        <v>1069</v>
      </c>
      <c r="B1075" s="47">
        <v>203850898</v>
      </c>
      <c r="C1075" s="89" t="s">
        <v>2422</v>
      </c>
      <c r="D1075" s="11" t="s">
        <v>2423</v>
      </c>
      <c r="E1075" s="48" t="s">
        <v>31</v>
      </c>
      <c r="F1075" s="48" t="s">
        <v>74</v>
      </c>
      <c r="G1075" s="11" t="s">
        <v>64</v>
      </c>
      <c r="H1075" s="48" t="str">
        <f>VLOOKUP(Table1[[#This Row],[Psoft No]],[1]Roster!$C$2:$H$1402,6,)</f>
        <v>AUH1</v>
      </c>
      <c r="I1075" s="48" t="b">
        <f>Table1[[#This Row],[Building]]=Table1[[#This Row],[Column1]]</f>
        <v>1</v>
      </c>
      <c r="J1075" s="11" t="s">
        <v>75</v>
      </c>
      <c r="K1075" s="11">
        <v>1299</v>
      </c>
      <c r="L1075" s="49" t="s">
        <v>39</v>
      </c>
      <c r="M1075" s="49" t="s">
        <v>76</v>
      </c>
      <c r="N1075" s="49" t="s">
        <v>95</v>
      </c>
      <c r="O1075" s="49" t="s">
        <v>77</v>
      </c>
      <c r="P1075" s="48" t="s">
        <v>86</v>
      </c>
      <c r="Q1075" s="49" t="s">
        <v>37</v>
      </c>
      <c r="R1075" s="11" t="s">
        <v>80</v>
      </c>
      <c r="S1075" s="11" t="s">
        <v>90</v>
      </c>
      <c r="T1075" s="11" t="s">
        <v>631</v>
      </c>
      <c r="U1075" s="11" t="s">
        <v>632</v>
      </c>
      <c r="V1075" s="116" t="s">
        <v>1</v>
      </c>
      <c r="W1075" s="88"/>
      <c r="X1075" s="51">
        <v>45524</v>
      </c>
      <c r="Y1075" s="97" t="s">
        <v>1577</v>
      </c>
      <c r="Z1075" s="135" t="s">
        <v>2</v>
      </c>
      <c r="AA1075" s="135">
        <v>0</v>
      </c>
    </row>
    <row r="1076" spans="1:27" ht="13" customHeight="1">
      <c r="A1076" s="11">
        <v>1070</v>
      </c>
      <c r="B1076" s="47">
        <v>204138128</v>
      </c>
      <c r="C1076" s="89" t="s">
        <v>1195</v>
      </c>
      <c r="D1076" s="11" t="s">
        <v>1196</v>
      </c>
      <c r="E1076" s="48" t="s">
        <v>31</v>
      </c>
      <c r="F1076" s="48" t="s">
        <v>74</v>
      </c>
      <c r="G1076" s="11" t="s">
        <v>64</v>
      </c>
      <c r="H1076" s="48" t="str">
        <f>VLOOKUP(Table1[[#This Row],[Psoft No]],[1]Roster!$C$2:$H$1402,6,)</f>
        <v>AUH1</v>
      </c>
      <c r="I1076" s="48" t="b">
        <f>Table1[[#This Row],[Building]]=Table1[[#This Row],[Column1]]</f>
        <v>1</v>
      </c>
      <c r="J1076" s="11" t="s">
        <v>75</v>
      </c>
      <c r="K1076" s="11">
        <v>1299</v>
      </c>
      <c r="L1076" s="49" t="s">
        <v>39</v>
      </c>
      <c r="M1076" s="49" t="s">
        <v>76</v>
      </c>
      <c r="N1076" s="49" t="s">
        <v>77</v>
      </c>
      <c r="O1076" s="49" t="s">
        <v>78</v>
      </c>
      <c r="P1076" s="48" t="s">
        <v>86</v>
      </c>
      <c r="Q1076" s="49" t="s">
        <v>37</v>
      </c>
      <c r="R1076" s="11" t="s">
        <v>80</v>
      </c>
      <c r="S1076" s="11" t="s">
        <v>87</v>
      </c>
      <c r="T1076" s="49" t="s">
        <v>627</v>
      </c>
      <c r="U1076" s="11" t="s">
        <v>628</v>
      </c>
      <c r="V1076" s="116" t="s">
        <v>1</v>
      </c>
      <c r="W1076" s="88"/>
      <c r="X1076" s="51">
        <v>45565</v>
      </c>
      <c r="Y1076" s="97" t="s">
        <v>1579</v>
      </c>
      <c r="Z1076" s="135" t="s">
        <v>2</v>
      </c>
      <c r="AA1076" s="135">
        <v>0</v>
      </c>
    </row>
    <row r="1077" spans="1:27" ht="13" customHeight="1">
      <c r="A1077" s="11">
        <v>1071</v>
      </c>
      <c r="B1077" s="47">
        <v>204094494</v>
      </c>
      <c r="C1077" s="89" t="s">
        <v>1197</v>
      </c>
      <c r="D1077" s="11" t="s">
        <v>1198</v>
      </c>
      <c r="E1077" s="48" t="s">
        <v>31</v>
      </c>
      <c r="F1077" s="48" t="s">
        <v>74</v>
      </c>
      <c r="G1077" s="11" t="s">
        <v>64</v>
      </c>
      <c r="H1077" s="48" t="str">
        <f>VLOOKUP(Table1[[#This Row],[Psoft No]],[1]Roster!$C$2:$H$1402,6,)</f>
        <v>AUH1</v>
      </c>
      <c r="I1077" s="48" t="b">
        <f>Table1[[#This Row],[Building]]=Table1[[#This Row],[Column1]]</f>
        <v>1</v>
      </c>
      <c r="J1077" s="11" t="s">
        <v>75</v>
      </c>
      <c r="K1077" s="11">
        <v>1299</v>
      </c>
      <c r="L1077" s="49" t="s">
        <v>39</v>
      </c>
      <c r="M1077" s="49" t="s">
        <v>76</v>
      </c>
      <c r="N1077" s="49" t="s">
        <v>95</v>
      </c>
      <c r="O1077" s="49" t="s">
        <v>77</v>
      </c>
      <c r="P1077" s="48" t="s">
        <v>86</v>
      </c>
      <c r="Q1077" s="49" t="s">
        <v>37</v>
      </c>
      <c r="R1077" s="11" t="s">
        <v>80</v>
      </c>
      <c r="S1077" s="11" t="s">
        <v>87</v>
      </c>
      <c r="T1077" s="11" t="s">
        <v>627</v>
      </c>
      <c r="U1077" s="11" t="s">
        <v>628</v>
      </c>
      <c r="V1077" s="116" t="s">
        <v>1</v>
      </c>
      <c r="W1077" s="88"/>
      <c r="X1077" s="51">
        <v>45561</v>
      </c>
      <c r="Y1077" s="97" t="s">
        <v>1578</v>
      </c>
      <c r="Z1077" s="135" t="s">
        <v>2</v>
      </c>
      <c r="AA1077" s="135">
        <v>0</v>
      </c>
    </row>
    <row r="1078" spans="1:27" ht="13" customHeight="1">
      <c r="A1078" s="11">
        <v>1072</v>
      </c>
      <c r="B1078" s="47">
        <v>203850925</v>
      </c>
      <c r="C1078" s="89" t="s">
        <v>2335</v>
      </c>
      <c r="D1078" s="11" t="s">
        <v>2336</v>
      </c>
      <c r="E1078" s="48" t="s">
        <v>31</v>
      </c>
      <c r="F1078" s="48" t="s">
        <v>74</v>
      </c>
      <c r="G1078" s="11" t="s">
        <v>64</v>
      </c>
      <c r="H1078" s="48" t="str">
        <f>VLOOKUP(Table1[[#This Row],[Psoft No]],[1]Roster!$C$2:$H$1402,6,)</f>
        <v>AUH1</v>
      </c>
      <c r="I1078" s="48" t="b">
        <f>Table1[[#This Row],[Building]]=Table1[[#This Row],[Column1]]</f>
        <v>1</v>
      </c>
      <c r="J1078" s="11" t="s">
        <v>75</v>
      </c>
      <c r="K1078" s="11">
        <v>1299</v>
      </c>
      <c r="L1078" s="49" t="s">
        <v>32</v>
      </c>
      <c r="M1078" s="49" t="s">
        <v>76</v>
      </c>
      <c r="N1078" s="49" t="s">
        <v>95</v>
      </c>
      <c r="O1078" s="49" t="s">
        <v>77</v>
      </c>
      <c r="P1078" s="48" t="s">
        <v>86</v>
      </c>
      <c r="Q1078" s="49" t="s">
        <v>37</v>
      </c>
      <c r="R1078" s="11" t="s">
        <v>80</v>
      </c>
      <c r="S1078" s="11" t="s">
        <v>90</v>
      </c>
      <c r="T1078" s="49" t="s">
        <v>647</v>
      </c>
      <c r="U1078" s="11" t="s">
        <v>1798</v>
      </c>
      <c r="V1078" s="116" t="str">
        <f>VLOOKUP(Table1[[#This Row],[Psoft No]],[2]Sheet1!$A$2:$G$386,7,0)</f>
        <v>P</v>
      </c>
      <c r="W1078" s="88"/>
      <c r="X1078" s="51">
        <v>45524</v>
      </c>
      <c r="Y1078" s="97" t="s">
        <v>1578</v>
      </c>
      <c r="Z1078" s="135" t="s">
        <v>2</v>
      </c>
      <c r="AA1078" s="135">
        <v>0</v>
      </c>
    </row>
    <row r="1079" spans="1:27" ht="13" customHeight="1">
      <c r="A1079" s="11">
        <v>1073</v>
      </c>
      <c r="B1079" s="47">
        <v>203965457</v>
      </c>
      <c r="C1079" s="89" t="s">
        <v>1199</v>
      </c>
      <c r="D1079" s="11" t="s">
        <v>1200</v>
      </c>
      <c r="E1079" s="103" t="s">
        <v>31</v>
      </c>
      <c r="F1079" s="48" t="s">
        <v>74</v>
      </c>
      <c r="G1079" s="11" t="s">
        <v>64</v>
      </c>
      <c r="H1079" s="48" t="str">
        <f>VLOOKUP(Table1[[#This Row],[Psoft No]],[1]Roster!$C$2:$H$1402,6,)</f>
        <v>AUH1</v>
      </c>
      <c r="I1079" s="48" t="b">
        <f>Table1[[#This Row],[Building]]=Table1[[#This Row],[Column1]]</f>
        <v>1</v>
      </c>
      <c r="J1079" s="11" t="s">
        <v>75</v>
      </c>
      <c r="K1079" s="11">
        <v>1299</v>
      </c>
      <c r="L1079" s="49" t="s">
        <v>39</v>
      </c>
      <c r="M1079" s="49" t="s">
        <v>76</v>
      </c>
      <c r="N1079" s="49" t="s">
        <v>95</v>
      </c>
      <c r="O1079" s="49" t="s">
        <v>77</v>
      </c>
      <c r="P1079" s="49" t="s">
        <v>79</v>
      </c>
      <c r="Q1079" s="49" t="s">
        <v>37</v>
      </c>
      <c r="R1079" s="49" t="s">
        <v>80</v>
      </c>
      <c r="S1079" s="49" t="s">
        <v>81</v>
      </c>
      <c r="T1079" s="11" t="s">
        <v>631</v>
      </c>
      <c r="U1079" s="49" t="s">
        <v>632</v>
      </c>
      <c r="V1079" s="116" t="s">
        <v>1</v>
      </c>
      <c r="W1079" s="88"/>
      <c r="X1079" s="51">
        <v>45544</v>
      </c>
      <c r="Y1079" s="97" t="s">
        <v>1577</v>
      </c>
      <c r="Z1079" s="135" t="s">
        <v>2</v>
      </c>
      <c r="AA1079" s="135">
        <v>0</v>
      </c>
    </row>
    <row r="1080" spans="1:27" ht="13" customHeight="1">
      <c r="A1080" s="11">
        <v>1074</v>
      </c>
      <c r="B1080" s="47">
        <v>204467948</v>
      </c>
      <c r="C1080" s="89" t="s">
        <v>1201</v>
      </c>
      <c r="D1080" s="11" t="s">
        <v>1202</v>
      </c>
      <c r="E1080" s="11" t="s">
        <v>31</v>
      </c>
      <c r="F1080" s="48" t="s">
        <v>74</v>
      </c>
      <c r="G1080" s="11" t="s">
        <v>64</v>
      </c>
      <c r="H1080" s="48" t="str">
        <f>VLOOKUP(Table1[[#This Row],[Psoft No]],[1]Roster!$C$2:$H$1402,6,)</f>
        <v>AUH1</v>
      </c>
      <c r="I1080" s="48" t="b">
        <f>Table1[[#This Row],[Building]]=Table1[[#This Row],[Column1]]</f>
        <v>1</v>
      </c>
      <c r="J1080" s="11" t="s">
        <v>75</v>
      </c>
      <c r="K1080" s="11">
        <v>1299</v>
      </c>
      <c r="L1080" s="49" t="s">
        <v>32</v>
      </c>
      <c r="M1080" s="49" t="s">
        <v>76</v>
      </c>
      <c r="N1080" s="49" t="s">
        <v>85</v>
      </c>
      <c r="O1080" s="49" t="s">
        <v>88</v>
      </c>
      <c r="P1080" s="49" t="s">
        <v>86</v>
      </c>
      <c r="Q1080" s="49" t="s">
        <v>37</v>
      </c>
      <c r="R1080" s="11" t="s">
        <v>80</v>
      </c>
      <c r="S1080" s="11" t="s">
        <v>87</v>
      </c>
      <c r="T1080" s="11" t="s">
        <v>1066</v>
      </c>
      <c r="U1080" s="11" t="s">
        <v>2717</v>
      </c>
      <c r="V1080" s="116" t="str">
        <f>VLOOKUP(Table1[[#This Row],[Psoft No]],[2]Sheet1!$A$2:$G$386,7,0)</f>
        <v>P</v>
      </c>
      <c r="W1080" s="88"/>
      <c r="X1080" s="51">
        <v>45603</v>
      </c>
      <c r="Y1080" s="97" t="s">
        <v>1577</v>
      </c>
      <c r="Z1080" s="135" t="s">
        <v>2</v>
      </c>
      <c r="AA1080" s="135">
        <v>0</v>
      </c>
    </row>
    <row r="1081" spans="1:27" ht="13" customHeight="1">
      <c r="A1081" s="11">
        <v>1075</v>
      </c>
      <c r="B1081" s="47">
        <v>201487409</v>
      </c>
      <c r="C1081" s="89" t="s">
        <v>1203</v>
      </c>
      <c r="D1081" s="11" t="s">
        <v>1204</v>
      </c>
      <c r="E1081" s="11" t="s">
        <v>31</v>
      </c>
      <c r="F1081" s="48" t="s">
        <v>74</v>
      </c>
      <c r="G1081" s="11" t="s">
        <v>64</v>
      </c>
      <c r="H1081" s="48" t="str">
        <f>VLOOKUP(Table1[[#This Row],[Psoft No]],[1]Roster!$C$2:$H$1402,6,)</f>
        <v>AUH1</v>
      </c>
      <c r="I1081" s="48" t="b">
        <f>Table1[[#This Row],[Building]]=Table1[[#This Row],[Column1]]</f>
        <v>1</v>
      </c>
      <c r="J1081" s="11" t="s">
        <v>75</v>
      </c>
      <c r="K1081" s="11">
        <v>1299</v>
      </c>
      <c r="L1081" s="49" t="s">
        <v>39</v>
      </c>
      <c r="M1081" s="49" t="s">
        <v>76</v>
      </c>
      <c r="N1081" s="49" t="s">
        <v>95</v>
      </c>
      <c r="O1081" s="49" t="s">
        <v>77</v>
      </c>
      <c r="P1081" s="49" t="s">
        <v>79</v>
      </c>
      <c r="Q1081" s="49" t="s">
        <v>37</v>
      </c>
      <c r="R1081" s="11" t="s">
        <v>80</v>
      </c>
      <c r="S1081" s="11" t="s">
        <v>81</v>
      </c>
      <c r="T1081" s="11" t="s">
        <v>631</v>
      </c>
      <c r="U1081" s="11" t="s">
        <v>632</v>
      </c>
      <c r="V1081" s="116" t="s">
        <v>1</v>
      </c>
      <c r="W1081" s="88"/>
      <c r="X1081" s="51">
        <v>45561</v>
      </c>
      <c r="Y1081" s="97" t="s">
        <v>1576</v>
      </c>
      <c r="Z1081" s="135" t="s">
        <v>2</v>
      </c>
      <c r="AA1081" s="135">
        <v>0</v>
      </c>
    </row>
    <row r="1082" spans="1:27" ht="13" customHeight="1">
      <c r="A1082" s="11">
        <v>1076</v>
      </c>
      <c r="B1082" s="47">
        <v>204331928</v>
      </c>
      <c r="C1082" s="89" t="s">
        <v>1205</v>
      </c>
      <c r="D1082" s="11" t="s">
        <v>1206</v>
      </c>
      <c r="E1082" s="11" t="s">
        <v>31</v>
      </c>
      <c r="F1082" s="48" t="s">
        <v>74</v>
      </c>
      <c r="G1082" s="11" t="s">
        <v>64</v>
      </c>
      <c r="H1082" s="48" t="str">
        <f>VLOOKUP(Table1[[#This Row],[Psoft No]],[1]Roster!$C$2:$H$1402,6,)</f>
        <v>AUH1</v>
      </c>
      <c r="I1082" s="48" t="b">
        <f>Table1[[#This Row],[Building]]=Table1[[#This Row],[Column1]]</f>
        <v>1</v>
      </c>
      <c r="J1082" s="11" t="s">
        <v>75</v>
      </c>
      <c r="K1082" s="11">
        <v>1299</v>
      </c>
      <c r="L1082" s="49" t="s">
        <v>39</v>
      </c>
      <c r="M1082" s="49" t="s">
        <v>76</v>
      </c>
      <c r="N1082" s="49" t="s">
        <v>88</v>
      </c>
      <c r="O1082" s="49" t="s">
        <v>95</v>
      </c>
      <c r="P1082" s="49" t="s">
        <v>86</v>
      </c>
      <c r="Q1082" s="49" t="s">
        <v>37</v>
      </c>
      <c r="R1082" s="11" t="s">
        <v>80</v>
      </c>
      <c r="S1082" s="11" t="s">
        <v>87</v>
      </c>
      <c r="T1082" s="11" t="s">
        <v>647</v>
      </c>
      <c r="U1082" s="11" t="s">
        <v>1798</v>
      </c>
      <c r="V1082" s="116" t="s">
        <v>1</v>
      </c>
      <c r="W1082" s="88"/>
      <c r="X1082" s="51">
        <v>45589</v>
      </c>
      <c r="Y1082" s="97" t="s">
        <v>1577</v>
      </c>
      <c r="Z1082" s="135" t="s">
        <v>2</v>
      </c>
      <c r="AA1082" s="135">
        <v>0</v>
      </c>
    </row>
    <row r="1083" spans="1:27" ht="13" customHeight="1">
      <c r="A1083" s="11">
        <v>1077</v>
      </c>
      <c r="B1083" s="47">
        <v>203341964</v>
      </c>
      <c r="C1083" s="89" t="s">
        <v>1207</v>
      </c>
      <c r="D1083" s="11" t="s">
        <v>1208</v>
      </c>
      <c r="E1083" s="48" t="s">
        <v>31</v>
      </c>
      <c r="F1083" s="48" t="s">
        <v>74</v>
      </c>
      <c r="G1083" s="11" t="s">
        <v>64</v>
      </c>
      <c r="H1083" s="48" t="str">
        <f>VLOOKUP(Table1[[#This Row],[Psoft No]],[1]Roster!$C$2:$H$1402,6,)</f>
        <v>AUH1</v>
      </c>
      <c r="I1083" s="48" t="b">
        <f>Table1[[#This Row],[Building]]=Table1[[#This Row],[Column1]]</f>
        <v>1</v>
      </c>
      <c r="J1083" s="11" t="s">
        <v>75</v>
      </c>
      <c r="K1083" s="11">
        <v>1299</v>
      </c>
      <c r="L1083" s="49" t="s">
        <v>39</v>
      </c>
      <c r="M1083" s="49" t="s">
        <v>76</v>
      </c>
      <c r="N1083" s="49" t="s">
        <v>77</v>
      </c>
      <c r="O1083" s="49" t="s">
        <v>78</v>
      </c>
      <c r="P1083" s="49" t="s">
        <v>86</v>
      </c>
      <c r="Q1083" s="48" t="s">
        <v>37</v>
      </c>
      <c r="R1083" s="48" t="s">
        <v>80</v>
      </c>
      <c r="S1083" s="11" t="s">
        <v>99</v>
      </c>
      <c r="T1083" s="11" t="s">
        <v>1066</v>
      </c>
      <c r="U1083" s="11" t="s">
        <v>2717</v>
      </c>
      <c r="V1083" s="116" t="s">
        <v>1</v>
      </c>
      <c r="W1083" s="88"/>
      <c r="X1083" s="51">
        <v>45432</v>
      </c>
      <c r="Y1083" s="97" t="s">
        <v>1577</v>
      </c>
      <c r="Z1083" s="135" t="s">
        <v>2</v>
      </c>
      <c r="AA1083" s="135">
        <v>0</v>
      </c>
    </row>
    <row r="1084" spans="1:27" ht="13" customHeight="1">
      <c r="A1084" s="11">
        <v>1078</v>
      </c>
      <c r="B1084" s="47">
        <v>203011024</v>
      </c>
      <c r="C1084" s="89" t="s">
        <v>1209</v>
      </c>
      <c r="D1084" s="11" t="s">
        <v>1210</v>
      </c>
      <c r="E1084" s="48" t="s">
        <v>31</v>
      </c>
      <c r="F1084" s="48" t="s">
        <v>74</v>
      </c>
      <c r="G1084" s="11" t="s">
        <v>64</v>
      </c>
      <c r="H1084" s="48" t="str">
        <f>VLOOKUP(Table1[[#This Row],[Psoft No]],[1]Roster!$C$2:$H$1402,6,)</f>
        <v>AUH1</v>
      </c>
      <c r="I1084" s="48" t="b">
        <f>Table1[[#This Row],[Building]]=Table1[[#This Row],[Column1]]</f>
        <v>1</v>
      </c>
      <c r="J1084" s="11" t="s">
        <v>75</v>
      </c>
      <c r="K1084" s="11">
        <v>1299</v>
      </c>
      <c r="L1084" s="49" t="s">
        <v>39</v>
      </c>
      <c r="M1084" s="49" t="s">
        <v>76</v>
      </c>
      <c r="N1084" s="49" t="s">
        <v>95</v>
      </c>
      <c r="O1084" s="49" t="s">
        <v>77</v>
      </c>
      <c r="P1084" s="48" t="s">
        <v>79</v>
      </c>
      <c r="Q1084" s="49" t="s">
        <v>37</v>
      </c>
      <c r="R1084" s="11" t="s">
        <v>80</v>
      </c>
      <c r="S1084" s="11" t="s">
        <v>81</v>
      </c>
      <c r="T1084" s="11" t="s">
        <v>627</v>
      </c>
      <c r="U1084" s="11" t="s">
        <v>628</v>
      </c>
      <c r="V1084" s="116" t="s">
        <v>1</v>
      </c>
      <c r="W1084" s="88"/>
      <c r="X1084" s="51">
        <v>45603</v>
      </c>
      <c r="Y1084" s="97" t="s">
        <v>1577</v>
      </c>
      <c r="Z1084" s="135" t="s">
        <v>2</v>
      </c>
      <c r="AA1084" s="135">
        <v>0</v>
      </c>
    </row>
    <row r="1085" spans="1:27" ht="13" customHeight="1">
      <c r="A1085" s="11">
        <v>1079</v>
      </c>
      <c r="B1085" s="47">
        <v>204172230</v>
      </c>
      <c r="C1085" s="89" t="s">
        <v>2337</v>
      </c>
      <c r="D1085" s="11" t="s">
        <v>2338</v>
      </c>
      <c r="E1085" s="48" t="s">
        <v>31</v>
      </c>
      <c r="F1085" s="48" t="s">
        <v>74</v>
      </c>
      <c r="G1085" s="11" t="s">
        <v>64</v>
      </c>
      <c r="H1085" s="48" t="str">
        <f>VLOOKUP(Table1[[#This Row],[Psoft No]],[1]Roster!$C$2:$H$1402,6,)</f>
        <v>AUH1</v>
      </c>
      <c r="I1085" s="48" t="b">
        <f>Table1[[#This Row],[Building]]=Table1[[#This Row],[Column1]]</f>
        <v>1</v>
      </c>
      <c r="J1085" s="11" t="s">
        <v>75</v>
      </c>
      <c r="K1085" s="11">
        <v>1299</v>
      </c>
      <c r="L1085" s="49" t="s">
        <v>32</v>
      </c>
      <c r="M1085" s="49" t="s">
        <v>76</v>
      </c>
      <c r="N1085" s="49" t="s">
        <v>78</v>
      </c>
      <c r="O1085" s="49" t="s">
        <v>92</v>
      </c>
      <c r="P1085" s="48" t="s">
        <v>89</v>
      </c>
      <c r="Q1085" s="49" t="s">
        <v>37</v>
      </c>
      <c r="R1085" s="11" t="s">
        <v>80</v>
      </c>
      <c r="S1085" s="11" t="s">
        <v>90</v>
      </c>
      <c r="T1085" s="11" t="s">
        <v>1066</v>
      </c>
      <c r="U1085" s="11" t="s">
        <v>2717</v>
      </c>
      <c r="V1085" s="116" t="s">
        <v>10</v>
      </c>
      <c r="W1085" s="88"/>
      <c r="X1085" s="51">
        <v>45568</v>
      </c>
      <c r="Y1085" s="97" t="s">
        <v>1578</v>
      </c>
      <c r="Z1085" s="135" t="s">
        <v>3023</v>
      </c>
      <c r="AA1085" s="135">
        <v>0</v>
      </c>
    </row>
    <row r="1086" spans="1:27" ht="13" customHeight="1">
      <c r="A1086" s="11">
        <v>1080</v>
      </c>
      <c r="B1086" s="47">
        <v>203512665</v>
      </c>
      <c r="C1086" s="89" t="s">
        <v>748</v>
      </c>
      <c r="D1086" s="11" t="s">
        <v>749</v>
      </c>
      <c r="E1086" s="48" t="s">
        <v>31</v>
      </c>
      <c r="F1086" s="48" t="s">
        <v>74</v>
      </c>
      <c r="G1086" s="11" t="s">
        <v>64</v>
      </c>
      <c r="H1086" s="48" t="str">
        <f>VLOOKUP(Table1[[#This Row],[Psoft No]],[1]Roster!$C$2:$H$1402,6,)</f>
        <v>AUH1</v>
      </c>
      <c r="I1086" s="48" t="b">
        <f>Table1[[#This Row],[Building]]=Table1[[#This Row],[Column1]]</f>
        <v>1</v>
      </c>
      <c r="J1086" s="11" t="s">
        <v>75</v>
      </c>
      <c r="K1086" s="11">
        <v>1299</v>
      </c>
      <c r="L1086" s="49" t="s">
        <v>32</v>
      </c>
      <c r="M1086" s="49" t="s">
        <v>76</v>
      </c>
      <c r="N1086" s="49" t="s">
        <v>88</v>
      </c>
      <c r="O1086" s="49" t="s">
        <v>95</v>
      </c>
      <c r="P1086" s="48" t="s">
        <v>79</v>
      </c>
      <c r="Q1086" s="49" t="s">
        <v>37</v>
      </c>
      <c r="R1086" s="11" t="s">
        <v>80</v>
      </c>
      <c r="S1086" s="11" t="s">
        <v>81</v>
      </c>
      <c r="T1086" s="49" t="s">
        <v>647</v>
      </c>
      <c r="U1086" s="11" t="s">
        <v>1798</v>
      </c>
      <c r="V1086" s="116" t="str">
        <f>VLOOKUP(Table1[[#This Row],[AMZ ID]],[2]Sheet3!$A$2:$E$50,5,0)</f>
        <v>PL</v>
      </c>
      <c r="W1086" s="88" t="s">
        <v>3015</v>
      </c>
      <c r="X1086" s="51">
        <v>45463</v>
      </c>
      <c r="Y1086" s="97" t="s">
        <v>1578</v>
      </c>
      <c r="Z1086" s="135" t="s">
        <v>3023</v>
      </c>
      <c r="AA1086" s="135" t="s">
        <v>3015</v>
      </c>
    </row>
    <row r="1087" spans="1:27" ht="13" customHeight="1">
      <c r="A1087" s="11">
        <v>1081</v>
      </c>
      <c r="B1087" s="47">
        <v>203851002</v>
      </c>
      <c r="C1087" s="89" t="s">
        <v>1213</v>
      </c>
      <c r="D1087" s="11" t="s">
        <v>1214</v>
      </c>
      <c r="E1087" s="48" t="s">
        <v>31</v>
      </c>
      <c r="F1087" s="48" t="s">
        <v>74</v>
      </c>
      <c r="G1087" s="11" t="s">
        <v>64</v>
      </c>
      <c r="H1087" s="48" t="str">
        <f>VLOOKUP(Table1[[#This Row],[Psoft No]],[1]Roster!$C$2:$H$1402,6,)</f>
        <v>AUH1</v>
      </c>
      <c r="I1087" s="48" t="b">
        <f>Table1[[#This Row],[Building]]=Table1[[#This Row],[Column1]]</f>
        <v>1</v>
      </c>
      <c r="J1087" s="11" t="s">
        <v>75</v>
      </c>
      <c r="K1087" s="11">
        <v>1299</v>
      </c>
      <c r="L1087" s="49" t="s">
        <v>39</v>
      </c>
      <c r="M1087" s="49" t="s">
        <v>76</v>
      </c>
      <c r="N1087" s="49" t="s">
        <v>84</v>
      </c>
      <c r="O1087" s="49" t="s">
        <v>85</v>
      </c>
      <c r="P1087" s="48" t="s">
        <v>79</v>
      </c>
      <c r="Q1087" s="49" t="s">
        <v>37</v>
      </c>
      <c r="R1087" s="11" t="s">
        <v>80</v>
      </c>
      <c r="S1087" s="11" t="s">
        <v>81</v>
      </c>
      <c r="T1087" s="11" t="s">
        <v>631</v>
      </c>
      <c r="U1087" s="11" t="s">
        <v>632</v>
      </c>
      <c r="V1087" s="116" t="s">
        <v>1</v>
      </c>
      <c r="W1087" s="88"/>
      <c r="X1087" s="51">
        <v>45524</v>
      </c>
      <c r="Y1087" s="97" t="s">
        <v>1578</v>
      </c>
      <c r="Z1087" s="135" t="s">
        <v>2</v>
      </c>
      <c r="AA1087" s="135">
        <v>0</v>
      </c>
    </row>
    <row r="1088" spans="1:27" ht="13" customHeight="1">
      <c r="A1088" s="11">
        <v>1082</v>
      </c>
      <c r="B1088" s="47">
        <v>203850924</v>
      </c>
      <c r="C1088" s="89" t="s">
        <v>2353</v>
      </c>
      <c r="D1088" s="11" t="s">
        <v>2354</v>
      </c>
      <c r="E1088" s="48" t="s">
        <v>31</v>
      </c>
      <c r="F1088" s="48" t="s">
        <v>74</v>
      </c>
      <c r="G1088" s="11" t="s">
        <v>64</v>
      </c>
      <c r="H1088" s="48" t="str">
        <f>VLOOKUP(Table1[[#This Row],[Psoft No]],[1]Roster!$C$2:$H$1402,6,)</f>
        <v>AUH1</v>
      </c>
      <c r="I1088" s="48" t="b">
        <f>Table1[[#This Row],[Building]]=Table1[[#This Row],[Column1]]</f>
        <v>1</v>
      </c>
      <c r="J1088" s="11" t="s">
        <v>75</v>
      </c>
      <c r="K1088" s="11">
        <v>1299</v>
      </c>
      <c r="L1088" s="49" t="s">
        <v>32</v>
      </c>
      <c r="M1088" s="49" t="s">
        <v>76</v>
      </c>
      <c r="N1088" s="49" t="s">
        <v>88</v>
      </c>
      <c r="O1088" s="49" t="s">
        <v>95</v>
      </c>
      <c r="P1088" s="48" t="s">
        <v>86</v>
      </c>
      <c r="Q1088" s="49" t="s">
        <v>37</v>
      </c>
      <c r="R1088" s="11" t="s">
        <v>80</v>
      </c>
      <c r="S1088" s="11" t="s">
        <v>90</v>
      </c>
      <c r="T1088" s="11" t="s">
        <v>647</v>
      </c>
      <c r="U1088" s="11" t="s">
        <v>1798</v>
      </c>
      <c r="V1088" s="116" t="str">
        <f>VLOOKUP(Table1[[#This Row],[Psoft No]],[2]Sheet1!$A$2:$G$386,7,0)</f>
        <v>P</v>
      </c>
      <c r="W1088" s="88"/>
      <c r="X1088" s="51">
        <v>45524</v>
      </c>
      <c r="Y1088" s="97" t="s">
        <v>1578</v>
      </c>
      <c r="Z1088" s="135" t="s">
        <v>2</v>
      </c>
      <c r="AA1088" s="135">
        <v>0</v>
      </c>
    </row>
    <row r="1089" spans="1:27" ht="13" customHeight="1">
      <c r="A1089" s="11">
        <v>1083</v>
      </c>
      <c r="B1089" s="47">
        <v>203850926</v>
      </c>
      <c r="C1089" s="89" t="s">
        <v>2355</v>
      </c>
      <c r="D1089" s="11" t="s">
        <v>2356</v>
      </c>
      <c r="E1089" s="48" t="s">
        <v>31</v>
      </c>
      <c r="F1089" s="48" t="s">
        <v>74</v>
      </c>
      <c r="G1089" s="11" t="s">
        <v>64</v>
      </c>
      <c r="H1089" s="48" t="str">
        <f>VLOOKUP(Table1[[#This Row],[Psoft No]],[1]Roster!$C$2:$H$1402,6,)</f>
        <v>AUH1</v>
      </c>
      <c r="I1089" s="48" t="b">
        <f>Table1[[#This Row],[Building]]=Table1[[#This Row],[Column1]]</f>
        <v>1</v>
      </c>
      <c r="J1089" s="11" t="s">
        <v>75</v>
      </c>
      <c r="K1089" s="11">
        <v>1299</v>
      </c>
      <c r="L1089" s="49" t="s">
        <v>32</v>
      </c>
      <c r="M1089" s="49" t="s">
        <v>76</v>
      </c>
      <c r="N1089" s="49" t="s">
        <v>36</v>
      </c>
      <c r="O1089" s="49" t="s">
        <v>84</v>
      </c>
      <c r="P1089" s="48" t="s">
        <v>86</v>
      </c>
      <c r="Q1089" s="49" t="s">
        <v>37</v>
      </c>
      <c r="R1089" s="11" t="s">
        <v>80</v>
      </c>
      <c r="S1089" s="11" t="s">
        <v>90</v>
      </c>
      <c r="T1089" s="11" t="s">
        <v>631</v>
      </c>
      <c r="U1089" s="11" t="s">
        <v>632</v>
      </c>
      <c r="V1089" s="116" t="str">
        <f>VLOOKUP(Table1[[#This Row],[Psoft No]],[2]Sheet1!$A$2:$G$386,7,0)</f>
        <v>P</v>
      </c>
      <c r="W1089" s="88" t="s">
        <v>3017</v>
      </c>
      <c r="X1089" s="51">
        <v>45524</v>
      </c>
      <c r="Y1089" s="97" t="s">
        <v>1578</v>
      </c>
      <c r="Z1089" s="135" t="s">
        <v>2</v>
      </c>
      <c r="AA1089" s="135">
        <v>0</v>
      </c>
    </row>
    <row r="1090" spans="1:27" ht="13" customHeight="1">
      <c r="A1090" s="11">
        <v>1084</v>
      </c>
      <c r="B1090" s="47">
        <v>203850923</v>
      </c>
      <c r="C1090" s="89" t="s">
        <v>2357</v>
      </c>
      <c r="D1090" s="11" t="s">
        <v>2358</v>
      </c>
      <c r="E1090" s="48" t="s">
        <v>31</v>
      </c>
      <c r="F1090" s="48" t="s">
        <v>74</v>
      </c>
      <c r="G1090" s="11" t="s">
        <v>64</v>
      </c>
      <c r="H1090" s="48" t="str">
        <f>VLOOKUP(Table1[[#This Row],[Psoft No]],[1]Roster!$C$2:$H$1402,6,)</f>
        <v>AUH1</v>
      </c>
      <c r="I1090" s="48" t="b">
        <f>Table1[[#This Row],[Building]]=Table1[[#This Row],[Column1]]</f>
        <v>1</v>
      </c>
      <c r="J1090" s="11" t="s">
        <v>75</v>
      </c>
      <c r="K1090" s="11">
        <v>1299</v>
      </c>
      <c r="L1090" s="49" t="s">
        <v>39</v>
      </c>
      <c r="M1090" s="49" t="s">
        <v>76</v>
      </c>
      <c r="N1090" s="49" t="s">
        <v>85</v>
      </c>
      <c r="O1090" s="49" t="s">
        <v>88</v>
      </c>
      <c r="P1090" s="48" t="s">
        <v>86</v>
      </c>
      <c r="Q1090" s="49" t="s">
        <v>37</v>
      </c>
      <c r="R1090" s="11" t="s">
        <v>80</v>
      </c>
      <c r="S1090" s="11" t="s">
        <v>90</v>
      </c>
      <c r="T1090" s="11" t="s">
        <v>631</v>
      </c>
      <c r="U1090" s="11" t="s">
        <v>632</v>
      </c>
      <c r="V1090" s="116" t="s">
        <v>1</v>
      </c>
      <c r="W1090" s="88"/>
      <c r="X1090" s="51">
        <v>45524</v>
      </c>
      <c r="Y1090" s="97" t="s">
        <v>1578</v>
      </c>
      <c r="Z1090" s="135" t="s">
        <v>2</v>
      </c>
      <c r="AA1090" s="135">
        <v>0</v>
      </c>
    </row>
    <row r="1091" spans="1:27" ht="13" customHeight="1">
      <c r="A1091" s="11">
        <v>1085</v>
      </c>
      <c r="B1091" s="47">
        <v>206873790</v>
      </c>
      <c r="C1091" s="89" t="s">
        <v>1865</v>
      </c>
      <c r="D1091" s="11" t="s">
        <v>1866</v>
      </c>
      <c r="E1091" s="48" t="s">
        <v>31</v>
      </c>
      <c r="F1091" s="48" t="s">
        <v>74</v>
      </c>
      <c r="G1091" s="11" t="s">
        <v>64</v>
      </c>
      <c r="H1091" s="48" t="str">
        <f>VLOOKUP(Table1[[#This Row],[Psoft No]],[1]Roster!$C$2:$H$1402,6,)</f>
        <v>AUH1</v>
      </c>
      <c r="I1091" s="48" t="b">
        <f>Table1[[#This Row],[Building]]=Table1[[#This Row],[Column1]]</f>
        <v>1</v>
      </c>
      <c r="J1091" s="11" t="s">
        <v>75</v>
      </c>
      <c r="K1091" s="11">
        <v>1299</v>
      </c>
      <c r="L1091" s="49" t="s">
        <v>39</v>
      </c>
      <c r="M1091" s="49" t="s">
        <v>76</v>
      </c>
      <c r="N1091" s="49" t="s">
        <v>88</v>
      </c>
      <c r="O1091" s="49" t="s">
        <v>95</v>
      </c>
      <c r="P1091" s="48" t="s">
        <v>89</v>
      </c>
      <c r="Q1091" s="49" t="s">
        <v>37</v>
      </c>
      <c r="R1091" s="11" t="s">
        <v>80</v>
      </c>
      <c r="S1091" s="11" t="s">
        <v>90</v>
      </c>
      <c r="T1091" s="49" t="s">
        <v>647</v>
      </c>
      <c r="U1091" s="11" t="s">
        <v>1798</v>
      </c>
      <c r="V1091" s="116" t="s">
        <v>1</v>
      </c>
      <c r="W1091" s="88"/>
      <c r="X1091" s="51">
        <v>46030</v>
      </c>
      <c r="Y1091" s="97" t="s">
        <v>1577</v>
      </c>
      <c r="Z1091" s="135" t="s">
        <v>2</v>
      </c>
      <c r="AA1091" s="135">
        <v>0</v>
      </c>
    </row>
    <row r="1092" spans="1:27" ht="13" customHeight="1">
      <c r="A1092" s="11">
        <v>1086</v>
      </c>
      <c r="B1092" s="47">
        <v>206015650</v>
      </c>
      <c r="C1092" s="89" t="s">
        <v>1215</v>
      </c>
      <c r="D1092" s="11" t="s">
        <v>1216</v>
      </c>
      <c r="E1092" s="48" t="s">
        <v>31</v>
      </c>
      <c r="F1092" s="48" t="s">
        <v>74</v>
      </c>
      <c r="G1092" s="11" t="s">
        <v>64</v>
      </c>
      <c r="H1092" s="48" t="str">
        <f>VLOOKUP(Table1[[#This Row],[Psoft No]],[1]Roster!$C$2:$H$1402,6,)</f>
        <v>AUH1</v>
      </c>
      <c r="I1092" s="48" t="b">
        <f>Table1[[#This Row],[Building]]=Table1[[#This Row],[Column1]]</f>
        <v>1</v>
      </c>
      <c r="J1092" s="11" t="s">
        <v>75</v>
      </c>
      <c r="K1092" s="11">
        <v>1299</v>
      </c>
      <c r="L1092" s="49" t="s">
        <v>39</v>
      </c>
      <c r="M1092" s="49" t="s">
        <v>76</v>
      </c>
      <c r="N1092" s="49" t="s">
        <v>77</v>
      </c>
      <c r="O1092" s="49" t="s">
        <v>78</v>
      </c>
      <c r="P1092" s="48" t="s">
        <v>89</v>
      </c>
      <c r="Q1092" s="49" t="s">
        <v>37</v>
      </c>
      <c r="R1092" s="11" t="s">
        <v>80</v>
      </c>
      <c r="S1092" s="11" t="s">
        <v>81</v>
      </c>
      <c r="T1092" s="11" t="s">
        <v>627</v>
      </c>
      <c r="U1092" s="11" t="s">
        <v>628</v>
      </c>
      <c r="V1092" s="116" t="s">
        <v>1</v>
      </c>
      <c r="W1092" s="88"/>
      <c r="X1092" s="51">
        <v>45915</v>
      </c>
      <c r="Y1092" s="97" t="s">
        <v>1577</v>
      </c>
      <c r="Z1092" s="135" t="s">
        <v>2</v>
      </c>
      <c r="AA1092" s="135">
        <v>0</v>
      </c>
    </row>
    <row r="1093" spans="1:27" ht="13" customHeight="1">
      <c r="A1093" s="11">
        <v>1087</v>
      </c>
      <c r="B1093" s="47">
        <v>206192232</v>
      </c>
      <c r="C1093" s="89" t="s">
        <v>2861</v>
      </c>
      <c r="D1093" s="11" t="s">
        <v>2862</v>
      </c>
      <c r="E1093" s="48" t="s">
        <v>31</v>
      </c>
      <c r="F1093" s="48" t="s">
        <v>74</v>
      </c>
      <c r="G1093" s="11" t="s">
        <v>64</v>
      </c>
      <c r="H1093" s="48" t="str">
        <f>VLOOKUP(Table1[[#This Row],[Psoft No]],[1]Roster!$C$2:$H$1402,6,)</f>
        <v>AUH1</v>
      </c>
      <c r="I1093" s="48" t="b">
        <f>Table1[[#This Row],[Building]]=Table1[[#This Row],[Column1]]</f>
        <v>1</v>
      </c>
      <c r="J1093" s="11" t="s">
        <v>75</v>
      </c>
      <c r="K1093" s="11">
        <v>1299</v>
      </c>
      <c r="L1093" s="49" t="s">
        <v>39</v>
      </c>
      <c r="M1093" s="49" t="s">
        <v>76</v>
      </c>
      <c r="N1093" s="49" t="s">
        <v>78</v>
      </c>
      <c r="O1093" s="49" t="s">
        <v>92</v>
      </c>
      <c r="P1093" s="48" t="s">
        <v>89</v>
      </c>
      <c r="Q1093" s="49" t="s">
        <v>37</v>
      </c>
      <c r="R1093" s="11" t="s">
        <v>80</v>
      </c>
      <c r="S1093" s="11" t="s">
        <v>96</v>
      </c>
      <c r="T1093" s="49" t="s">
        <v>1066</v>
      </c>
      <c r="U1093" s="102" t="s">
        <v>2717</v>
      </c>
      <c r="V1093" s="116" t="s">
        <v>10</v>
      </c>
      <c r="W1093" s="88"/>
      <c r="X1093" s="51">
        <v>46238</v>
      </c>
      <c r="Y1093" s="97" t="s">
        <v>1578</v>
      </c>
      <c r="Z1093" s="135" t="s">
        <v>3023</v>
      </c>
      <c r="AA1093" s="135">
        <v>0</v>
      </c>
    </row>
    <row r="1094" spans="1:27" ht="13" customHeight="1">
      <c r="A1094" s="11">
        <v>1088</v>
      </c>
      <c r="B1094" s="47">
        <v>205854085</v>
      </c>
      <c r="C1094" s="89" t="s">
        <v>1217</v>
      </c>
      <c r="D1094" s="11" t="s">
        <v>1218</v>
      </c>
      <c r="E1094" s="48" t="s">
        <v>31</v>
      </c>
      <c r="F1094" s="48" t="s">
        <v>74</v>
      </c>
      <c r="G1094" s="11" t="s">
        <v>64</v>
      </c>
      <c r="H1094" s="48" t="str">
        <f>VLOOKUP(Table1[[#This Row],[Psoft No]],[1]Roster!$C$2:$H$1402,6,)</f>
        <v>AUH1</v>
      </c>
      <c r="I1094" s="48" t="b">
        <f>Table1[[#This Row],[Building]]=Table1[[#This Row],[Column1]]</f>
        <v>1</v>
      </c>
      <c r="J1094" s="11" t="s">
        <v>75</v>
      </c>
      <c r="K1094" s="11">
        <v>1299</v>
      </c>
      <c r="L1094" s="49" t="s">
        <v>32</v>
      </c>
      <c r="M1094" s="49" t="s">
        <v>76</v>
      </c>
      <c r="N1094" s="49" t="s">
        <v>78</v>
      </c>
      <c r="O1094" s="49" t="s">
        <v>92</v>
      </c>
      <c r="P1094" s="48" t="s">
        <v>89</v>
      </c>
      <c r="Q1094" s="49" t="s">
        <v>37</v>
      </c>
      <c r="R1094" s="11" t="s">
        <v>80</v>
      </c>
      <c r="S1094" s="11" t="s">
        <v>96</v>
      </c>
      <c r="T1094" s="11" t="s">
        <v>639</v>
      </c>
      <c r="U1094" s="102" t="s">
        <v>2718</v>
      </c>
      <c r="V1094" s="116" t="s">
        <v>10</v>
      </c>
      <c r="W1094" s="88"/>
      <c r="X1094" s="51">
        <v>45894</v>
      </c>
      <c r="Y1094" s="97" t="s">
        <v>1577</v>
      </c>
      <c r="Z1094" s="135" t="s">
        <v>3023</v>
      </c>
      <c r="AA1094" s="135">
        <v>0</v>
      </c>
    </row>
    <row r="1095" spans="1:27" ht="13" customHeight="1">
      <c r="A1095" s="11">
        <v>1089</v>
      </c>
      <c r="B1095" s="47">
        <v>205996136</v>
      </c>
      <c r="C1095" s="89" t="s">
        <v>1219</v>
      </c>
      <c r="D1095" s="11" t="s">
        <v>1220</v>
      </c>
      <c r="E1095" s="48" t="s">
        <v>31</v>
      </c>
      <c r="F1095" s="48" t="s">
        <v>74</v>
      </c>
      <c r="G1095" s="11" t="s">
        <v>64</v>
      </c>
      <c r="H1095" s="48" t="str">
        <f>VLOOKUP(Table1[[#This Row],[Psoft No]],[1]Roster!$C$2:$H$1402,6,)</f>
        <v>AUH1</v>
      </c>
      <c r="I1095" s="48" t="b">
        <f>Table1[[#This Row],[Building]]=Table1[[#This Row],[Column1]]</f>
        <v>1</v>
      </c>
      <c r="J1095" s="11" t="s">
        <v>75</v>
      </c>
      <c r="K1095" s="11">
        <v>1299</v>
      </c>
      <c r="L1095" s="49" t="s">
        <v>32</v>
      </c>
      <c r="M1095" s="49" t="s">
        <v>76</v>
      </c>
      <c r="N1095" s="49" t="s">
        <v>78</v>
      </c>
      <c r="O1095" s="49" t="s">
        <v>92</v>
      </c>
      <c r="P1095" s="48" t="s">
        <v>79</v>
      </c>
      <c r="Q1095" s="49" t="s">
        <v>37</v>
      </c>
      <c r="R1095" s="11" t="s">
        <v>80</v>
      </c>
      <c r="S1095" s="11" t="s">
        <v>81</v>
      </c>
      <c r="T1095" s="11" t="s">
        <v>631</v>
      </c>
      <c r="U1095" s="11" t="s">
        <v>632</v>
      </c>
      <c r="V1095" s="116" t="s">
        <v>10</v>
      </c>
      <c r="W1095" s="88"/>
      <c r="X1095" s="51">
        <v>45915</v>
      </c>
      <c r="Y1095" s="97" t="s">
        <v>1577</v>
      </c>
      <c r="Z1095" s="135" t="s">
        <v>3023</v>
      </c>
      <c r="AA1095" s="135">
        <v>0</v>
      </c>
    </row>
    <row r="1096" spans="1:27" ht="13" customHeight="1">
      <c r="A1096" s="11">
        <v>1090</v>
      </c>
      <c r="B1096" s="47">
        <v>206072876</v>
      </c>
      <c r="C1096" s="89" t="s">
        <v>404</v>
      </c>
      <c r="D1096" s="11" t="s">
        <v>405</v>
      </c>
      <c r="E1096" s="48" t="s">
        <v>31</v>
      </c>
      <c r="F1096" s="48" t="s">
        <v>74</v>
      </c>
      <c r="G1096" s="11" t="s">
        <v>64</v>
      </c>
      <c r="H1096" s="48" t="str">
        <f>VLOOKUP(Table1[[#This Row],[Psoft No]],[1]Roster!$C$2:$H$1402,6,)</f>
        <v>AUH1</v>
      </c>
      <c r="I1096" s="48" t="b">
        <f>Table1[[#This Row],[Building]]=Table1[[#This Row],[Column1]]</f>
        <v>1</v>
      </c>
      <c r="J1096" s="11" t="s">
        <v>75</v>
      </c>
      <c r="K1096" s="11">
        <v>1299</v>
      </c>
      <c r="L1096" s="49" t="s">
        <v>32</v>
      </c>
      <c r="M1096" s="49" t="s">
        <v>76</v>
      </c>
      <c r="N1096" s="49" t="s">
        <v>78</v>
      </c>
      <c r="O1096" s="49" t="s">
        <v>92</v>
      </c>
      <c r="P1096" s="48" t="s">
        <v>79</v>
      </c>
      <c r="Q1096" s="49" t="s">
        <v>35</v>
      </c>
      <c r="R1096" s="11" t="s">
        <v>80</v>
      </c>
      <c r="S1096" s="11" t="s">
        <v>81</v>
      </c>
      <c r="T1096" s="11" t="s">
        <v>224</v>
      </c>
      <c r="U1096" s="102" t="s">
        <v>2715</v>
      </c>
      <c r="V1096" s="116" t="s">
        <v>10</v>
      </c>
      <c r="W1096" s="88"/>
      <c r="X1096" s="51">
        <v>45922</v>
      </c>
      <c r="Y1096" s="97" t="s">
        <v>1573</v>
      </c>
      <c r="Z1096" s="135" t="s">
        <v>3023</v>
      </c>
      <c r="AA1096" s="135">
        <v>0</v>
      </c>
    </row>
    <row r="1097" spans="1:27" ht="13" customHeight="1">
      <c r="A1097" s="11">
        <v>1091</v>
      </c>
      <c r="B1097" s="47">
        <v>204052506</v>
      </c>
      <c r="C1097" s="89" t="s">
        <v>1221</v>
      </c>
      <c r="D1097" s="11" t="s">
        <v>1222</v>
      </c>
      <c r="E1097" s="48" t="s">
        <v>31</v>
      </c>
      <c r="F1097" s="48" t="s">
        <v>74</v>
      </c>
      <c r="G1097" s="11" t="s">
        <v>64</v>
      </c>
      <c r="H1097" s="48" t="str">
        <f>VLOOKUP(Table1[[#This Row],[Psoft No]],[1]Roster!$C$2:$H$1402,6,)</f>
        <v>AUH1</v>
      </c>
      <c r="I1097" s="48" t="b">
        <f>Table1[[#This Row],[Building]]=Table1[[#This Row],[Column1]]</f>
        <v>1</v>
      </c>
      <c r="J1097" s="11" t="s">
        <v>75</v>
      </c>
      <c r="K1097" s="11">
        <v>1299</v>
      </c>
      <c r="L1097" s="49" t="s">
        <v>39</v>
      </c>
      <c r="M1097" s="49" t="s">
        <v>76</v>
      </c>
      <c r="N1097" s="49" t="s">
        <v>95</v>
      </c>
      <c r="O1097" s="49" t="s">
        <v>77</v>
      </c>
      <c r="P1097" s="48" t="s">
        <v>86</v>
      </c>
      <c r="Q1097" s="49" t="s">
        <v>37</v>
      </c>
      <c r="R1097" s="11" t="s">
        <v>80</v>
      </c>
      <c r="S1097" s="11" t="s">
        <v>99</v>
      </c>
      <c r="T1097" s="49" t="s">
        <v>631</v>
      </c>
      <c r="U1097" s="102" t="s">
        <v>632</v>
      </c>
      <c r="V1097" s="116" t="s">
        <v>1</v>
      </c>
      <c r="W1097" s="88"/>
      <c r="X1097" s="51">
        <v>45561</v>
      </c>
      <c r="Y1097" s="97" t="s">
        <v>1577</v>
      </c>
      <c r="Z1097" s="135" t="s">
        <v>2</v>
      </c>
      <c r="AA1097" s="135">
        <v>0</v>
      </c>
    </row>
    <row r="1098" spans="1:27" ht="13" customHeight="1">
      <c r="A1098" s="11">
        <v>1092</v>
      </c>
      <c r="B1098" s="47">
        <v>204094496</v>
      </c>
      <c r="C1098" s="89" t="s">
        <v>1223</v>
      </c>
      <c r="D1098" s="11" t="s">
        <v>1224</v>
      </c>
      <c r="E1098" s="48" t="s">
        <v>31</v>
      </c>
      <c r="F1098" s="48" t="s">
        <v>74</v>
      </c>
      <c r="G1098" s="11" t="s">
        <v>64</v>
      </c>
      <c r="H1098" s="48" t="str">
        <f>VLOOKUP(Table1[[#This Row],[Psoft No]],[1]Roster!$C$2:$H$1402,6,)</f>
        <v>AUH1</v>
      </c>
      <c r="I1098" s="48" t="b">
        <f>Table1[[#This Row],[Building]]=Table1[[#This Row],[Column1]]</f>
        <v>1</v>
      </c>
      <c r="J1098" s="11" t="s">
        <v>75</v>
      </c>
      <c r="K1098" s="11">
        <v>1299</v>
      </c>
      <c r="L1098" s="49" t="s">
        <v>39</v>
      </c>
      <c r="M1098" s="49" t="s">
        <v>76</v>
      </c>
      <c r="N1098" s="49" t="s">
        <v>84</v>
      </c>
      <c r="O1098" s="49" t="s">
        <v>85</v>
      </c>
      <c r="P1098" s="48" t="s">
        <v>86</v>
      </c>
      <c r="Q1098" s="49" t="s">
        <v>37</v>
      </c>
      <c r="R1098" s="11" t="s">
        <v>80</v>
      </c>
      <c r="S1098" s="11" t="s">
        <v>87</v>
      </c>
      <c r="T1098" s="49" t="s">
        <v>647</v>
      </c>
      <c r="U1098" s="102" t="s">
        <v>1798</v>
      </c>
      <c r="V1098" s="116" t="s">
        <v>1</v>
      </c>
      <c r="W1098" s="88"/>
      <c r="X1098" s="51">
        <v>45561</v>
      </c>
      <c r="Y1098" s="97" t="s">
        <v>1577</v>
      </c>
      <c r="Z1098" s="135" t="s">
        <v>2</v>
      </c>
      <c r="AA1098" s="135">
        <v>0</v>
      </c>
    </row>
    <row r="1099" spans="1:27" ht="13" customHeight="1">
      <c r="A1099" s="11">
        <v>1093</v>
      </c>
      <c r="B1099" s="47">
        <v>205252750</v>
      </c>
      <c r="C1099" s="89" t="s">
        <v>2142</v>
      </c>
      <c r="D1099" s="11" t="s">
        <v>2143</v>
      </c>
      <c r="E1099" s="48" t="s">
        <v>31</v>
      </c>
      <c r="F1099" s="48" t="s">
        <v>74</v>
      </c>
      <c r="G1099" s="11" t="s">
        <v>64</v>
      </c>
      <c r="H1099" s="48" t="str">
        <f>VLOOKUP(Table1[[#This Row],[Psoft No]],[1]Roster!$C$2:$H$1402,6,)</f>
        <v>AUH1</v>
      </c>
      <c r="I1099" s="48" t="b">
        <f>Table1[[#This Row],[Building]]=Table1[[#This Row],[Column1]]</f>
        <v>1</v>
      </c>
      <c r="J1099" s="11" t="s">
        <v>75</v>
      </c>
      <c r="K1099" s="11">
        <v>1299</v>
      </c>
      <c r="L1099" s="49" t="s">
        <v>32</v>
      </c>
      <c r="M1099" s="49" t="s">
        <v>76</v>
      </c>
      <c r="N1099" s="49" t="s">
        <v>84</v>
      </c>
      <c r="O1099" s="49" t="s">
        <v>85</v>
      </c>
      <c r="P1099" s="48" t="s">
        <v>79</v>
      </c>
      <c r="Q1099" s="49" t="s">
        <v>37</v>
      </c>
      <c r="R1099" s="11" t="s">
        <v>80</v>
      </c>
      <c r="S1099" s="11" t="s">
        <v>96</v>
      </c>
      <c r="T1099" s="11" t="s">
        <v>1066</v>
      </c>
      <c r="U1099" s="102" t="s">
        <v>2717</v>
      </c>
      <c r="V1099" s="116" t="str">
        <f>VLOOKUP(Table1[[#This Row],[Psoft No]],[2]Sheet1!$A$2:$G$386,7,0)</f>
        <v>P</v>
      </c>
      <c r="W1099" s="88"/>
      <c r="X1099" s="51">
        <v>46048</v>
      </c>
      <c r="Y1099" s="97" t="s">
        <v>1577</v>
      </c>
      <c r="Z1099" s="135" t="s">
        <v>2</v>
      </c>
      <c r="AA1099" s="135">
        <v>0</v>
      </c>
    </row>
    <row r="1100" spans="1:27" ht="13" customHeight="1">
      <c r="A1100" s="11">
        <v>1094</v>
      </c>
      <c r="B1100" s="47">
        <v>206886635</v>
      </c>
      <c r="C1100" s="90" t="s">
        <v>1849</v>
      </c>
      <c r="D1100" s="11" t="s">
        <v>1850</v>
      </c>
      <c r="E1100" s="48" t="s">
        <v>31</v>
      </c>
      <c r="F1100" s="48" t="s">
        <v>74</v>
      </c>
      <c r="G1100" s="11" t="s">
        <v>64</v>
      </c>
      <c r="H1100" s="48" t="str">
        <f>VLOOKUP(Table1[[#This Row],[Psoft No]],[1]Roster!$C$2:$H$1402,6,)</f>
        <v>AUH1</v>
      </c>
      <c r="I1100" s="48" t="b">
        <f>Table1[[#This Row],[Building]]=Table1[[#This Row],[Column1]]</f>
        <v>1</v>
      </c>
      <c r="J1100" s="11" t="s">
        <v>75</v>
      </c>
      <c r="K1100" s="11">
        <v>1299</v>
      </c>
      <c r="L1100" s="49" t="s">
        <v>39</v>
      </c>
      <c r="M1100" s="49" t="s">
        <v>76</v>
      </c>
      <c r="N1100" s="49" t="s">
        <v>92</v>
      </c>
      <c r="O1100" s="49" t="s">
        <v>84</v>
      </c>
      <c r="P1100" s="49" t="s">
        <v>89</v>
      </c>
      <c r="Q1100" s="49" t="s">
        <v>37</v>
      </c>
      <c r="R1100" s="11" t="s">
        <v>80</v>
      </c>
      <c r="S1100" s="11" t="s">
        <v>96</v>
      </c>
      <c r="T1100" s="11" t="s">
        <v>231</v>
      </c>
      <c r="U1100" s="102" t="s">
        <v>1753</v>
      </c>
      <c r="V1100" s="116" t="s">
        <v>10</v>
      </c>
      <c r="W1100" s="88"/>
      <c r="X1100" s="51">
        <v>46027</v>
      </c>
      <c r="Y1100" s="97" t="s">
        <v>1577</v>
      </c>
      <c r="Z1100" s="135" t="s">
        <v>3023</v>
      </c>
      <c r="AA1100" s="135">
        <v>0</v>
      </c>
    </row>
    <row r="1101" spans="1:27" ht="13" customHeight="1">
      <c r="A1101" s="11">
        <v>1095</v>
      </c>
      <c r="B1101" s="47">
        <v>206886512</v>
      </c>
      <c r="C1101" s="89" t="s">
        <v>1851</v>
      </c>
      <c r="D1101" s="11" t="s">
        <v>1852</v>
      </c>
      <c r="E1101" s="48" t="s">
        <v>31</v>
      </c>
      <c r="F1101" s="48" t="s">
        <v>74</v>
      </c>
      <c r="G1101" s="11" t="s">
        <v>64</v>
      </c>
      <c r="H1101" s="48" t="str">
        <f>VLOOKUP(Table1[[#This Row],[Psoft No]],[1]Roster!$C$2:$H$1402,6,)</f>
        <v>AUH1</v>
      </c>
      <c r="I1101" s="48" t="b">
        <f>Table1[[#This Row],[Building]]=Table1[[#This Row],[Column1]]</f>
        <v>1</v>
      </c>
      <c r="J1101" s="11" t="s">
        <v>75</v>
      </c>
      <c r="K1101" s="11">
        <v>1299</v>
      </c>
      <c r="L1101" s="49" t="s">
        <v>32</v>
      </c>
      <c r="M1101" s="49" t="s">
        <v>76</v>
      </c>
      <c r="N1101" s="49" t="s">
        <v>84</v>
      </c>
      <c r="O1101" s="49" t="s">
        <v>85</v>
      </c>
      <c r="P1101" s="48" t="s">
        <v>89</v>
      </c>
      <c r="Q1101" s="49" t="s">
        <v>37</v>
      </c>
      <c r="R1101" s="11" t="s">
        <v>80</v>
      </c>
      <c r="S1101" s="11" t="s">
        <v>96</v>
      </c>
      <c r="T1101" s="49" t="s">
        <v>231</v>
      </c>
      <c r="U1101" s="102" t="s">
        <v>1753</v>
      </c>
      <c r="V1101" s="116" t="str">
        <f>VLOOKUP(Table1[[#This Row],[Psoft No]],[2]Sheet1!$A$2:$G$386,7,0)</f>
        <v>P</v>
      </c>
      <c r="W1101" s="88"/>
      <c r="X1101" s="51">
        <v>46027</v>
      </c>
      <c r="Y1101" s="97" t="s">
        <v>1577</v>
      </c>
      <c r="Z1101" s="135" t="s">
        <v>2</v>
      </c>
      <c r="AA1101" s="135">
        <v>0</v>
      </c>
    </row>
    <row r="1102" spans="1:27" ht="13" customHeight="1">
      <c r="A1102" s="11">
        <v>1096</v>
      </c>
      <c r="B1102" s="47">
        <v>206889908</v>
      </c>
      <c r="C1102" s="89" t="s">
        <v>1853</v>
      </c>
      <c r="D1102" s="11" t="s">
        <v>1854</v>
      </c>
      <c r="E1102" s="48" t="s">
        <v>31</v>
      </c>
      <c r="F1102" s="48" t="s">
        <v>74</v>
      </c>
      <c r="G1102" s="11" t="s">
        <v>64</v>
      </c>
      <c r="H1102" s="48" t="str">
        <f>VLOOKUP(Table1[[#This Row],[Psoft No]],[1]Roster!$C$2:$H$1402,6,)</f>
        <v>AUH1</v>
      </c>
      <c r="I1102" s="48" t="b">
        <f>Table1[[#This Row],[Building]]=Table1[[#This Row],[Column1]]</f>
        <v>1</v>
      </c>
      <c r="J1102" s="11" t="s">
        <v>75</v>
      </c>
      <c r="K1102" s="11">
        <v>1299</v>
      </c>
      <c r="L1102" s="49" t="s">
        <v>32</v>
      </c>
      <c r="M1102" s="49" t="s">
        <v>76</v>
      </c>
      <c r="N1102" s="49" t="s">
        <v>85</v>
      </c>
      <c r="O1102" s="49" t="s">
        <v>88</v>
      </c>
      <c r="P1102" s="48" t="s">
        <v>89</v>
      </c>
      <c r="Q1102" s="49" t="s">
        <v>37</v>
      </c>
      <c r="R1102" s="11" t="s">
        <v>80</v>
      </c>
      <c r="S1102" s="11" t="s">
        <v>96</v>
      </c>
      <c r="T1102" s="49" t="s">
        <v>231</v>
      </c>
      <c r="U1102" s="102" t="s">
        <v>1753</v>
      </c>
      <c r="V1102" s="116" t="str">
        <f>VLOOKUP(Table1[[#This Row],[Psoft No]],[2]Sheet1!$A$2:$G$386,7,0)</f>
        <v>P</v>
      </c>
      <c r="W1102" s="88"/>
      <c r="X1102" s="51">
        <v>46027</v>
      </c>
      <c r="Y1102" s="97" t="s">
        <v>1577</v>
      </c>
      <c r="Z1102" s="135" t="s">
        <v>2</v>
      </c>
      <c r="AA1102" s="135">
        <v>0</v>
      </c>
    </row>
    <row r="1103" spans="1:27" ht="13" customHeight="1">
      <c r="A1103" s="11">
        <v>1097</v>
      </c>
      <c r="B1103" s="47">
        <v>206897663</v>
      </c>
      <c r="C1103" s="89" t="s">
        <v>1895</v>
      </c>
      <c r="D1103" s="11" t="s">
        <v>1896</v>
      </c>
      <c r="E1103" s="48" t="s">
        <v>31</v>
      </c>
      <c r="F1103" s="48" t="s">
        <v>74</v>
      </c>
      <c r="G1103" s="11" t="s">
        <v>64</v>
      </c>
      <c r="H1103" s="48" t="str">
        <f>VLOOKUP(Table1[[#This Row],[Psoft No]],[1]Roster!$C$2:$H$1402,6,)</f>
        <v>AUH1</v>
      </c>
      <c r="I1103" s="48" t="b">
        <f>Table1[[#This Row],[Building]]=Table1[[#This Row],[Column1]]</f>
        <v>1</v>
      </c>
      <c r="J1103" s="11" t="s">
        <v>75</v>
      </c>
      <c r="K1103" s="11">
        <v>1290</v>
      </c>
      <c r="L1103" s="49" t="s">
        <v>39</v>
      </c>
      <c r="M1103" s="49" t="s">
        <v>76</v>
      </c>
      <c r="N1103" s="49" t="s">
        <v>84</v>
      </c>
      <c r="O1103" s="49" t="s">
        <v>85</v>
      </c>
      <c r="P1103" s="49" t="s">
        <v>89</v>
      </c>
      <c r="Q1103" s="49" t="s">
        <v>37</v>
      </c>
      <c r="R1103" s="11" t="s">
        <v>80</v>
      </c>
      <c r="S1103" s="11" t="s">
        <v>81</v>
      </c>
      <c r="T1103" s="49" t="s">
        <v>1066</v>
      </c>
      <c r="U1103" s="97" t="s">
        <v>2717</v>
      </c>
      <c r="V1103" s="116" t="s">
        <v>1</v>
      </c>
      <c r="W1103" s="88"/>
      <c r="X1103" s="51">
        <v>46030</v>
      </c>
      <c r="Y1103" s="97" t="s">
        <v>1578</v>
      </c>
      <c r="Z1103" s="135" t="s">
        <v>2</v>
      </c>
      <c r="AA1103" s="135">
        <v>0</v>
      </c>
    </row>
    <row r="1104" spans="1:27" ht="13" customHeight="1">
      <c r="A1104" s="11">
        <v>1098</v>
      </c>
      <c r="B1104" s="47">
        <v>204010043</v>
      </c>
      <c r="C1104" s="89" t="s">
        <v>2339</v>
      </c>
      <c r="D1104" s="11" t="s">
        <v>2340</v>
      </c>
      <c r="E1104" s="48" t="s">
        <v>31</v>
      </c>
      <c r="F1104" s="48" t="s">
        <v>74</v>
      </c>
      <c r="G1104" s="11" t="s">
        <v>64</v>
      </c>
      <c r="H1104" s="48" t="str">
        <f>VLOOKUP(Table1[[#This Row],[Psoft No]],[1]Roster!$C$2:$H$1402,6,)</f>
        <v>AUH1</v>
      </c>
      <c r="I1104" s="48" t="b">
        <f>Table1[[#This Row],[Building]]=Table1[[#This Row],[Column1]]</f>
        <v>1</v>
      </c>
      <c r="J1104" s="11" t="s">
        <v>75</v>
      </c>
      <c r="K1104" s="11">
        <v>1299</v>
      </c>
      <c r="L1104" s="49" t="s">
        <v>32</v>
      </c>
      <c r="M1104" s="49" t="s">
        <v>76</v>
      </c>
      <c r="N1104" s="49" t="s">
        <v>78</v>
      </c>
      <c r="O1104" s="49" t="s">
        <v>92</v>
      </c>
      <c r="P1104" s="48" t="s">
        <v>86</v>
      </c>
      <c r="Q1104" s="49" t="s">
        <v>37</v>
      </c>
      <c r="R1104" s="11" t="s">
        <v>80</v>
      </c>
      <c r="S1104" s="11" t="s">
        <v>90</v>
      </c>
      <c r="T1104" s="49" t="s">
        <v>1066</v>
      </c>
      <c r="U1104" s="102" t="s">
        <v>2717</v>
      </c>
      <c r="V1104" s="116" t="s">
        <v>10</v>
      </c>
      <c r="W1104" s="88"/>
      <c r="X1104" s="51">
        <v>45551</v>
      </c>
      <c r="Y1104" s="97" t="s">
        <v>1578</v>
      </c>
      <c r="Z1104" s="135" t="s">
        <v>3023</v>
      </c>
      <c r="AA1104" s="135">
        <v>0</v>
      </c>
    </row>
    <row r="1105" spans="1:27" ht="13" customHeight="1">
      <c r="A1105" s="11">
        <v>1099</v>
      </c>
      <c r="B1105" s="92">
        <v>201536170</v>
      </c>
      <c r="C1105" s="47" t="s">
        <v>1225</v>
      </c>
      <c r="D1105" s="89" t="s">
        <v>1226</v>
      </c>
      <c r="E1105" s="48" t="s">
        <v>31</v>
      </c>
      <c r="F1105" s="48" t="s">
        <v>74</v>
      </c>
      <c r="G1105" s="11" t="s">
        <v>64</v>
      </c>
      <c r="H1105" s="48" t="str">
        <f>VLOOKUP(Table1[[#This Row],[Psoft No]],[1]Roster!$C$2:$H$1402,6,)</f>
        <v>AUH1</v>
      </c>
      <c r="I1105" s="48" t="b">
        <f>Table1[[#This Row],[Building]]=Table1[[#This Row],[Column1]]</f>
        <v>1</v>
      </c>
      <c r="J1105" s="11" t="s">
        <v>75</v>
      </c>
      <c r="K1105" s="11">
        <v>1299</v>
      </c>
      <c r="L1105" s="49" t="s">
        <v>32</v>
      </c>
      <c r="M1105" s="49" t="s">
        <v>76</v>
      </c>
      <c r="N1105" s="49" t="s">
        <v>95</v>
      </c>
      <c r="O1105" s="49" t="s">
        <v>77</v>
      </c>
      <c r="P1105" s="49" t="s">
        <v>86</v>
      </c>
      <c r="Q1105" s="49" t="s">
        <v>37</v>
      </c>
      <c r="R1105" s="11" t="s">
        <v>80</v>
      </c>
      <c r="S1105" s="11" t="s">
        <v>87</v>
      </c>
      <c r="T1105" s="11" t="s">
        <v>647</v>
      </c>
      <c r="U1105" s="102" t="s">
        <v>1798</v>
      </c>
      <c r="V1105" s="116" t="str">
        <f>VLOOKUP(Table1[[#This Row],[Psoft No]],[2]Sheet1!$A$2:$G$386,7,0)</f>
        <v>P</v>
      </c>
      <c r="W1105" s="88"/>
      <c r="X1105" s="51">
        <v>45568</v>
      </c>
      <c r="Y1105" s="97" t="s">
        <v>1578</v>
      </c>
      <c r="Z1105" s="135" t="s">
        <v>2</v>
      </c>
      <c r="AA1105" s="135">
        <v>0</v>
      </c>
    </row>
    <row r="1106" spans="1:27" ht="13" customHeight="1">
      <c r="A1106" s="11">
        <v>1100</v>
      </c>
      <c r="B1106" s="47">
        <v>203342037</v>
      </c>
      <c r="C1106" s="89" t="s">
        <v>1227</v>
      </c>
      <c r="D1106" s="11" t="s">
        <v>1228</v>
      </c>
      <c r="E1106" s="48" t="s">
        <v>31</v>
      </c>
      <c r="F1106" s="48" t="s">
        <v>74</v>
      </c>
      <c r="G1106" s="11" t="s">
        <v>64</v>
      </c>
      <c r="H1106" s="48" t="str">
        <f>VLOOKUP(Table1[[#This Row],[Psoft No]],[1]Roster!$C$2:$H$1402,6,)</f>
        <v>AUH1</v>
      </c>
      <c r="I1106" s="48" t="b">
        <f>Table1[[#This Row],[Building]]=Table1[[#This Row],[Column1]]</f>
        <v>1</v>
      </c>
      <c r="J1106" s="11" t="s">
        <v>75</v>
      </c>
      <c r="K1106" s="11">
        <v>1299</v>
      </c>
      <c r="L1106" s="49" t="s">
        <v>32</v>
      </c>
      <c r="M1106" s="49" t="s">
        <v>76</v>
      </c>
      <c r="N1106" s="49" t="s">
        <v>95</v>
      </c>
      <c r="O1106" s="49" t="s">
        <v>77</v>
      </c>
      <c r="P1106" s="48" t="s">
        <v>86</v>
      </c>
      <c r="Q1106" s="49" t="s">
        <v>37</v>
      </c>
      <c r="R1106" s="11" t="s">
        <v>80</v>
      </c>
      <c r="S1106" s="11" t="s">
        <v>99</v>
      </c>
      <c r="T1106" s="49" t="s">
        <v>631</v>
      </c>
      <c r="U1106" s="102" t="s">
        <v>632</v>
      </c>
      <c r="V1106" s="116" t="str">
        <f>VLOOKUP(Table1[[#This Row],[Psoft No]],[2]Sheet1!$A$2:$G$386,7,0)</f>
        <v>P</v>
      </c>
      <c r="W1106" s="88"/>
      <c r="X1106" s="51">
        <v>45432</v>
      </c>
      <c r="Y1106" s="97" t="s">
        <v>1577</v>
      </c>
      <c r="Z1106" s="135" t="s">
        <v>2</v>
      </c>
      <c r="AA1106" s="135">
        <v>0</v>
      </c>
    </row>
    <row r="1107" spans="1:27" ht="13" customHeight="1">
      <c r="A1107" s="11">
        <v>1101</v>
      </c>
      <c r="B1107" s="47">
        <v>206139179</v>
      </c>
      <c r="C1107" s="89" t="s">
        <v>1229</v>
      </c>
      <c r="D1107" s="11" t="s">
        <v>1230</v>
      </c>
      <c r="E1107" s="48" t="s">
        <v>31</v>
      </c>
      <c r="F1107" s="48" t="s">
        <v>74</v>
      </c>
      <c r="G1107" s="11" t="s">
        <v>64</v>
      </c>
      <c r="H1107" s="48" t="str">
        <f>VLOOKUP(Table1[[#This Row],[Psoft No]],[1]Roster!$C$2:$H$1402,6,)</f>
        <v>AUH1</v>
      </c>
      <c r="I1107" s="48" t="b">
        <f>Table1[[#This Row],[Building]]=Table1[[#This Row],[Column1]]</f>
        <v>1</v>
      </c>
      <c r="J1107" s="11" t="s">
        <v>75</v>
      </c>
      <c r="K1107" s="11">
        <v>1299</v>
      </c>
      <c r="L1107" s="49" t="s">
        <v>32</v>
      </c>
      <c r="M1107" s="49" t="s">
        <v>76</v>
      </c>
      <c r="N1107" s="49" t="s">
        <v>95</v>
      </c>
      <c r="O1107" s="49" t="s">
        <v>77</v>
      </c>
      <c r="P1107" s="49" t="s">
        <v>79</v>
      </c>
      <c r="Q1107" s="49" t="s">
        <v>37</v>
      </c>
      <c r="R1107" s="11" t="s">
        <v>80</v>
      </c>
      <c r="S1107" s="11" t="s">
        <v>81</v>
      </c>
      <c r="T1107" s="11" t="s">
        <v>631</v>
      </c>
      <c r="U1107" s="102" t="s">
        <v>632</v>
      </c>
      <c r="V1107" s="116" t="str">
        <f>VLOOKUP(Table1[[#This Row],[Psoft No]],[2]Sheet1!$A$2:$G$386,7,0)</f>
        <v>P</v>
      </c>
      <c r="W1107" s="88"/>
      <c r="X1107" s="51">
        <v>45929</v>
      </c>
      <c r="Y1107" s="97" t="s">
        <v>1577</v>
      </c>
      <c r="Z1107" s="135" t="s">
        <v>2</v>
      </c>
      <c r="AA1107" s="135">
        <v>0</v>
      </c>
    </row>
    <row r="1108" spans="1:27" ht="13" customHeight="1">
      <c r="A1108" s="11">
        <v>1102</v>
      </c>
      <c r="B1108" s="47">
        <v>203881659</v>
      </c>
      <c r="C1108" s="89" t="s">
        <v>1231</v>
      </c>
      <c r="D1108" s="11" t="s">
        <v>1232</v>
      </c>
      <c r="E1108" s="48" t="s">
        <v>31</v>
      </c>
      <c r="F1108" s="48" t="s">
        <v>74</v>
      </c>
      <c r="G1108" s="11" t="s">
        <v>64</v>
      </c>
      <c r="H1108" s="48" t="str">
        <f>VLOOKUP(Table1[[#This Row],[Psoft No]],[1]Roster!$C$2:$H$1402,6,)</f>
        <v>AUH1</v>
      </c>
      <c r="I1108" s="48" t="b">
        <f>Table1[[#This Row],[Building]]=Table1[[#This Row],[Column1]]</f>
        <v>1</v>
      </c>
      <c r="J1108" s="11" t="s">
        <v>75</v>
      </c>
      <c r="K1108" s="11">
        <v>1299</v>
      </c>
      <c r="L1108" s="49" t="s">
        <v>39</v>
      </c>
      <c r="M1108" s="49" t="s">
        <v>76</v>
      </c>
      <c r="N1108" s="49" t="s">
        <v>36</v>
      </c>
      <c r="O1108" s="49" t="s">
        <v>84</v>
      </c>
      <c r="P1108" s="49" t="s">
        <v>79</v>
      </c>
      <c r="Q1108" s="49" t="s">
        <v>37</v>
      </c>
      <c r="R1108" s="11" t="s">
        <v>80</v>
      </c>
      <c r="S1108" s="11" t="s">
        <v>81</v>
      </c>
      <c r="T1108" s="11" t="s">
        <v>631</v>
      </c>
      <c r="U1108" s="11" t="s">
        <v>632</v>
      </c>
      <c r="V1108" s="116" t="s">
        <v>1</v>
      </c>
      <c r="W1108" s="88"/>
      <c r="X1108" s="51">
        <v>45530</v>
      </c>
      <c r="Y1108" s="97" t="s">
        <v>1577</v>
      </c>
      <c r="Z1108" s="135" t="s">
        <v>2</v>
      </c>
      <c r="AA1108" s="135">
        <v>0</v>
      </c>
    </row>
    <row r="1109" spans="1:27" ht="13" customHeight="1">
      <c r="A1109" s="11">
        <v>1103</v>
      </c>
      <c r="B1109" s="47">
        <v>201204303</v>
      </c>
      <c r="C1109" s="89" t="s">
        <v>1233</v>
      </c>
      <c r="D1109" s="11" t="s">
        <v>1234</v>
      </c>
      <c r="E1109" s="48" t="s">
        <v>31</v>
      </c>
      <c r="F1109" s="48" t="s">
        <v>74</v>
      </c>
      <c r="G1109" s="11" t="s">
        <v>64</v>
      </c>
      <c r="H1109" s="48" t="str">
        <f>VLOOKUP(Table1[[#This Row],[Psoft No]],[1]Roster!$C$2:$H$1402,6,)</f>
        <v>AUH1</v>
      </c>
      <c r="I1109" s="48" t="b">
        <f>Table1[[#This Row],[Building]]=Table1[[#This Row],[Column1]]</f>
        <v>1</v>
      </c>
      <c r="J1109" s="11" t="s">
        <v>75</v>
      </c>
      <c r="K1109" s="11">
        <v>1299</v>
      </c>
      <c r="L1109" s="49" t="s">
        <v>32</v>
      </c>
      <c r="M1109" s="49" t="s">
        <v>76</v>
      </c>
      <c r="N1109" s="49" t="s">
        <v>85</v>
      </c>
      <c r="O1109" s="49" t="s">
        <v>88</v>
      </c>
      <c r="P1109" s="48" t="s">
        <v>79</v>
      </c>
      <c r="Q1109" s="49" t="s">
        <v>37</v>
      </c>
      <c r="R1109" s="11" t="s">
        <v>80</v>
      </c>
      <c r="S1109" s="11" t="s">
        <v>81</v>
      </c>
      <c r="T1109" s="11" t="s">
        <v>2845</v>
      </c>
      <c r="U1109" s="102" t="s">
        <v>2846</v>
      </c>
      <c r="V1109" s="116" t="str">
        <f>VLOOKUP(Table1[[#This Row],[Psoft No]],[2]Sheet1!$A$2:$G$386,7,0)</f>
        <v>P</v>
      </c>
      <c r="W1109" s="88"/>
      <c r="X1109" s="51">
        <v>45544</v>
      </c>
      <c r="Y1109" s="97" t="s">
        <v>1577</v>
      </c>
      <c r="Z1109" s="135" t="s">
        <v>2</v>
      </c>
      <c r="AA1109" s="135">
        <v>0</v>
      </c>
    </row>
    <row r="1110" spans="1:27" ht="13" customHeight="1">
      <c r="A1110" s="11">
        <v>1104</v>
      </c>
      <c r="B1110" s="47">
        <v>203800479</v>
      </c>
      <c r="C1110" s="89" t="s">
        <v>2424</v>
      </c>
      <c r="D1110" s="11" t="s">
        <v>2425</v>
      </c>
      <c r="E1110" s="11" t="s">
        <v>31</v>
      </c>
      <c r="F1110" s="48" t="s">
        <v>74</v>
      </c>
      <c r="G1110" s="11" t="s">
        <v>64</v>
      </c>
      <c r="H1110" s="48" t="str">
        <f>VLOOKUP(Table1[[#This Row],[Psoft No]],[1]Roster!$C$2:$H$1402,6,)</f>
        <v>AUH1</v>
      </c>
      <c r="I1110" s="48" t="b">
        <f>Table1[[#This Row],[Building]]=Table1[[#This Row],[Column1]]</f>
        <v>1</v>
      </c>
      <c r="J1110" s="11" t="s">
        <v>75</v>
      </c>
      <c r="K1110" s="11">
        <v>1299</v>
      </c>
      <c r="L1110" s="49" t="s">
        <v>32</v>
      </c>
      <c r="M1110" s="49" t="s">
        <v>76</v>
      </c>
      <c r="N1110" s="49" t="s">
        <v>77</v>
      </c>
      <c r="O1110" s="49" t="s">
        <v>78</v>
      </c>
      <c r="P1110" s="49" t="s">
        <v>86</v>
      </c>
      <c r="Q1110" s="49" t="s">
        <v>37</v>
      </c>
      <c r="R1110" s="11" t="s">
        <v>80</v>
      </c>
      <c r="S1110" s="11" t="s">
        <v>90</v>
      </c>
      <c r="T1110" s="11" t="s">
        <v>1066</v>
      </c>
      <c r="U1110" s="102" t="s">
        <v>2717</v>
      </c>
      <c r="V1110" s="116" t="str">
        <f>VLOOKUP(Table1[[#This Row],[Psoft No]],[2]Sheet1!$A$2:$G$386,7,0)</f>
        <v>P</v>
      </c>
      <c r="W1110" s="88"/>
      <c r="X1110" s="51">
        <v>45516</v>
      </c>
      <c r="Y1110" s="97" t="s">
        <v>1577</v>
      </c>
      <c r="Z1110" s="135" t="s">
        <v>2</v>
      </c>
      <c r="AA1110" s="135">
        <v>0</v>
      </c>
    </row>
    <row r="1111" spans="1:27" ht="13" customHeight="1">
      <c r="A1111" s="11">
        <v>1105</v>
      </c>
      <c r="B1111" s="47">
        <v>204868706</v>
      </c>
      <c r="C1111" s="89" t="s">
        <v>1235</v>
      </c>
      <c r="D1111" s="11" t="s">
        <v>1236</v>
      </c>
      <c r="E1111" s="11" t="s">
        <v>31</v>
      </c>
      <c r="F1111" s="48" t="s">
        <v>74</v>
      </c>
      <c r="G1111" s="11" t="s">
        <v>64</v>
      </c>
      <c r="H1111" s="48" t="str">
        <f>VLOOKUP(Table1[[#This Row],[Psoft No]],[1]Roster!$C$2:$H$1402,6,)</f>
        <v>AUH1</v>
      </c>
      <c r="I1111" s="48" t="b">
        <f>Table1[[#This Row],[Building]]=Table1[[#This Row],[Column1]]</f>
        <v>1</v>
      </c>
      <c r="J1111" s="11" t="s">
        <v>75</v>
      </c>
      <c r="K1111" s="11">
        <v>1299</v>
      </c>
      <c r="L1111" s="49" t="s">
        <v>32</v>
      </c>
      <c r="M1111" s="49" t="s">
        <v>76</v>
      </c>
      <c r="N1111" s="49" t="s">
        <v>85</v>
      </c>
      <c r="O1111" s="49" t="s">
        <v>88</v>
      </c>
      <c r="P1111" s="49" t="s">
        <v>86</v>
      </c>
      <c r="Q1111" s="49" t="s">
        <v>37</v>
      </c>
      <c r="R1111" s="11" t="s">
        <v>80</v>
      </c>
      <c r="S1111" s="11" t="s">
        <v>90</v>
      </c>
      <c r="T1111" s="11" t="s">
        <v>647</v>
      </c>
      <c r="U1111" s="102" t="s">
        <v>1798</v>
      </c>
      <c r="V1111" s="116" t="str">
        <f>VLOOKUP(Table1[[#This Row],[Psoft No]],[2]Sheet1!$A$2:$G$386,7,0)</f>
        <v>P</v>
      </c>
      <c r="W1111" s="88"/>
      <c r="X1111" s="51">
        <v>45894</v>
      </c>
      <c r="Y1111" s="97" t="s">
        <v>1577</v>
      </c>
      <c r="Z1111" s="135" t="s">
        <v>2</v>
      </c>
      <c r="AA1111" s="135">
        <v>0</v>
      </c>
    </row>
    <row r="1112" spans="1:27" ht="13" customHeight="1">
      <c r="A1112" s="11">
        <v>1106</v>
      </c>
      <c r="B1112" s="92">
        <v>203881695</v>
      </c>
      <c r="C1112" s="47" t="s">
        <v>1237</v>
      </c>
      <c r="D1112" s="89" t="s">
        <v>1238</v>
      </c>
      <c r="E1112" s="48" t="s">
        <v>31</v>
      </c>
      <c r="F1112" s="48" t="s">
        <v>74</v>
      </c>
      <c r="G1112" s="11" t="s">
        <v>64</v>
      </c>
      <c r="H1112" s="48" t="str">
        <f>VLOOKUP(Table1[[#This Row],[Psoft No]],[1]Roster!$C$2:$H$1402,6,)</f>
        <v>AUH1</v>
      </c>
      <c r="I1112" s="48" t="b">
        <f>Table1[[#This Row],[Building]]=Table1[[#This Row],[Column1]]</f>
        <v>1</v>
      </c>
      <c r="J1112" s="11" t="s">
        <v>75</v>
      </c>
      <c r="K1112" s="11">
        <v>1299</v>
      </c>
      <c r="L1112" s="49" t="s">
        <v>39</v>
      </c>
      <c r="M1112" s="49" t="s">
        <v>76</v>
      </c>
      <c r="N1112" s="49" t="s">
        <v>88</v>
      </c>
      <c r="O1112" s="49" t="s">
        <v>95</v>
      </c>
      <c r="P1112" s="49" t="s">
        <v>79</v>
      </c>
      <c r="Q1112" s="49" t="s">
        <v>37</v>
      </c>
      <c r="R1112" s="11" t="s">
        <v>80</v>
      </c>
      <c r="S1112" s="11" t="s">
        <v>81</v>
      </c>
      <c r="T1112" s="11" t="s">
        <v>631</v>
      </c>
      <c r="U1112" s="102" t="s">
        <v>632</v>
      </c>
      <c r="V1112" s="116" t="s">
        <v>1</v>
      </c>
      <c r="W1112" s="88"/>
      <c r="X1112" s="51">
        <v>45530</v>
      </c>
      <c r="Y1112" s="97" t="s">
        <v>1579</v>
      </c>
      <c r="Z1112" s="135" t="s">
        <v>2</v>
      </c>
      <c r="AA1112" s="135">
        <v>0</v>
      </c>
    </row>
    <row r="1113" spans="1:27" ht="13" customHeight="1">
      <c r="A1113" s="11">
        <v>1107</v>
      </c>
      <c r="B1113" s="47">
        <v>113366831</v>
      </c>
      <c r="C1113" s="89" t="s">
        <v>1239</v>
      </c>
      <c r="D1113" s="11" t="s">
        <v>1240</v>
      </c>
      <c r="E1113" s="48" t="s">
        <v>31</v>
      </c>
      <c r="F1113" s="48" t="s">
        <v>74</v>
      </c>
      <c r="G1113" s="11" t="s">
        <v>64</v>
      </c>
      <c r="H1113" s="48" t="str">
        <f>VLOOKUP(Table1[[#This Row],[Psoft No]],[1]Roster!$C$2:$H$1402,6,)</f>
        <v>AUH1</v>
      </c>
      <c r="I1113" s="48" t="b">
        <f>Table1[[#This Row],[Building]]=Table1[[#This Row],[Column1]]</f>
        <v>1</v>
      </c>
      <c r="J1113" s="11" t="s">
        <v>75</v>
      </c>
      <c r="K1113" s="11">
        <v>1299</v>
      </c>
      <c r="L1113" s="49" t="s">
        <v>39</v>
      </c>
      <c r="M1113" s="49" t="s">
        <v>76</v>
      </c>
      <c r="N1113" s="49" t="s">
        <v>77</v>
      </c>
      <c r="O1113" s="49" t="s">
        <v>78</v>
      </c>
      <c r="P1113" s="49" t="s">
        <v>86</v>
      </c>
      <c r="Q1113" s="49" t="s">
        <v>37</v>
      </c>
      <c r="R1113" s="11" t="s">
        <v>80</v>
      </c>
      <c r="S1113" s="11" t="s">
        <v>99</v>
      </c>
      <c r="T1113" s="49" t="s">
        <v>627</v>
      </c>
      <c r="U1113" s="102" t="s">
        <v>628</v>
      </c>
      <c r="V1113" s="116" t="s">
        <v>4</v>
      </c>
      <c r="W1113" s="88"/>
      <c r="X1113" s="51">
        <v>45537</v>
      </c>
      <c r="Y1113" s="97" t="s">
        <v>1577</v>
      </c>
      <c r="Z1113" s="135" t="s">
        <v>3023</v>
      </c>
      <c r="AA1113" s="135">
        <v>0</v>
      </c>
    </row>
    <row r="1114" spans="1:27" ht="13" customHeight="1">
      <c r="A1114" s="11">
        <v>1108</v>
      </c>
      <c r="B1114" s="47">
        <v>205939862</v>
      </c>
      <c r="C1114" s="89" t="s">
        <v>2082</v>
      </c>
      <c r="D1114" s="11" t="s">
        <v>2083</v>
      </c>
      <c r="E1114" s="48" t="s">
        <v>31</v>
      </c>
      <c r="F1114" s="48" t="s">
        <v>74</v>
      </c>
      <c r="G1114" s="11" t="s">
        <v>64</v>
      </c>
      <c r="H1114" s="48" t="str">
        <f>VLOOKUP(Table1[[#This Row],[Psoft No]],[1]Roster!$C$2:$H$1402,6,)</f>
        <v>AUH1</v>
      </c>
      <c r="I1114" s="48" t="b">
        <f>Table1[[#This Row],[Building]]=Table1[[#This Row],[Column1]]</f>
        <v>1</v>
      </c>
      <c r="J1114" s="11" t="s">
        <v>75</v>
      </c>
      <c r="K1114" s="11">
        <v>1299</v>
      </c>
      <c r="L1114" s="49" t="s">
        <v>32</v>
      </c>
      <c r="M1114" s="49" t="s">
        <v>76</v>
      </c>
      <c r="N1114" s="49" t="s">
        <v>78</v>
      </c>
      <c r="O1114" s="49" t="s">
        <v>92</v>
      </c>
      <c r="P1114" s="48" t="s">
        <v>89</v>
      </c>
      <c r="Q1114" s="49" t="s">
        <v>37</v>
      </c>
      <c r="R1114" s="11" t="s">
        <v>80</v>
      </c>
      <c r="S1114" s="11" t="s">
        <v>96</v>
      </c>
      <c r="T1114" s="11" t="s">
        <v>631</v>
      </c>
      <c r="U1114" s="11" t="s">
        <v>632</v>
      </c>
      <c r="V1114" s="116" t="s">
        <v>10</v>
      </c>
      <c r="W1114" s="88"/>
      <c r="X1114" s="51">
        <v>46048</v>
      </c>
      <c r="Y1114" s="97" t="s">
        <v>1577</v>
      </c>
      <c r="Z1114" s="135" t="s">
        <v>3023</v>
      </c>
      <c r="AA1114" s="135">
        <v>0</v>
      </c>
    </row>
    <row r="1115" spans="1:27" ht="13" customHeight="1">
      <c r="A1115" s="11">
        <v>1109</v>
      </c>
      <c r="B1115" s="47">
        <v>203736775</v>
      </c>
      <c r="C1115" s="89" t="s">
        <v>1241</v>
      </c>
      <c r="D1115" s="11" t="s">
        <v>1242</v>
      </c>
      <c r="E1115" s="48" t="s">
        <v>31</v>
      </c>
      <c r="F1115" s="48" t="s">
        <v>74</v>
      </c>
      <c r="G1115" s="11" t="s">
        <v>64</v>
      </c>
      <c r="H1115" s="48" t="str">
        <f>VLOOKUP(Table1[[#This Row],[Psoft No]],[1]Roster!$C$2:$H$1402,6,)</f>
        <v>AUH1</v>
      </c>
      <c r="I1115" s="48" t="b">
        <f>Table1[[#This Row],[Building]]=Table1[[#This Row],[Column1]]</f>
        <v>1</v>
      </c>
      <c r="J1115" s="11" t="s">
        <v>75</v>
      </c>
      <c r="K1115" s="11">
        <v>1299</v>
      </c>
      <c r="L1115" s="49" t="s">
        <v>32</v>
      </c>
      <c r="M1115" s="49" t="s">
        <v>76</v>
      </c>
      <c r="N1115" s="49" t="s">
        <v>77</v>
      </c>
      <c r="O1115" s="49" t="s">
        <v>78</v>
      </c>
      <c r="P1115" s="48" t="s">
        <v>86</v>
      </c>
      <c r="Q1115" s="49" t="s">
        <v>37</v>
      </c>
      <c r="R1115" s="11" t="s">
        <v>80</v>
      </c>
      <c r="S1115" s="11" t="s">
        <v>99</v>
      </c>
      <c r="T1115" s="11" t="s">
        <v>2845</v>
      </c>
      <c r="U1115" s="11" t="s">
        <v>2846</v>
      </c>
      <c r="V1115" s="116" t="s">
        <v>3</v>
      </c>
      <c r="W1115" s="88"/>
      <c r="X1115" s="51">
        <v>45502</v>
      </c>
      <c r="Y1115" s="97" t="s">
        <v>1577</v>
      </c>
      <c r="Z1115" s="135" t="s">
        <v>3023</v>
      </c>
      <c r="AA1115" s="135">
        <v>0</v>
      </c>
    </row>
    <row r="1116" spans="1:27" ht="13" customHeight="1">
      <c r="A1116" s="11">
        <v>1110</v>
      </c>
      <c r="B1116" s="47">
        <v>112549647</v>
      </c>
      <c r="C1116" s="89" t="s">
        <v>1243</v>
      </c>
      <c r="D1116" s="11" t="s">
        <v>1244</v>
      </c>
      <c r="E1116" s="48" t="s">
        <v>31</v>
      </c>
      <c r="F1116" s="48" t="s">
        <v>74</v>
      </c>
      <c r="G1116" s="11" t="s">
        <v>64</v>
      </c>
      <c r="H1116" s="48" t="str">
        <f>VLOOKUP(Table1[[#This Row],[Psoft No]],[1]Roster!$C$2:$H$1402,6,)</f>
        <v>AUH1</v>
      </c>
      <c r="I1116" s="48" t="b">
        <f>Table1[[#This Row],[Building]]=Table1[[#This Row],[Column1]]</f>
        <v>1</v>
      </c>
      <c r="J1116" s="11" t="s">
        <v>75</v>
      </c>
      <c r="K1116" s="11">
        <v>1299</v>
      </c>
      <c r="L1116" s="49" t="s">
        <v>32</v>
      </c>
      <c r="M1116" s="49" t="s">
        <v>76</v>
      </c>
      <c r="N1116" s="49" t="s">
        <v>36</v>
      </c>
      <c r="O1116" s="49" t="s">
        <v>84</v>
      </c>
      <c r="P1116" s="48" t="s">
        <v>86</v>
      </c>
      <c r="Q1116" s="49" t="s">
        <v>37</v>
      </c>
      <c r="R1116" s="11" t="s">
        <v>80</v>
      </c>
      <c r="S1116" s="11" t="s">
        <v>87</v>
      </c>
      <c r="T1116" s="49" t="s">
        <v>647</v>
      </c>
      <c r="U1116" s="11" t="s">
        <v>1798</v>
      </c>
      <c r="V1116" s="116" t="str">
        <f>VLOOKUP(Table1[[#This Row],[Psoft No]],[2]Sheet1!$A$2:$G$386,7,0)</f>
        <v>P</v>
      </c>
      <c r="W1116" s="88" t="s">
        <v>3017</v>
      </c>
      <c r="X1116" s="51">
        <v>45586</v>
      </c>
      <c r="Y1116" s="97" t="s">
        <v>1577</v>
      </c>
      <c r="Z1116" s="135" t="s">
        <v>2</v>
      </c>
      <c r="AA1116" s="135">
        <v>0</v>
      </c>
    </row>
    <row r="1117" spans="1:27" ht="13" customHeight="1">
      <c r="A1117" s="11">
        <v>1111</v>
      </c>
      <c r="B1117" s="47">
        <v>202199036</v>
      </c>
      <c r="C1117" s="89" t="s">
        <v>1245</v>
      </c>
      <c r="D1117" s="11" t="s">
        <v>1246</v>
      </c>
      <c r="E1117" s="48" t="s">
        <v>31</v>
      </c>
      <c r="F1117" s="48" t="s">
        <v>74</v>
      </c>
      <c r="G1117" s="11" t="s">
        <v>64</v>
      </c>
      <c r="H1117" s="48" t="str">
        <f>VLOOKUP(Table1[[#This Row],[Psoft No]],[1]Roster!$C$2:$H$1402,6,)</f>
        <v>AUH1</v>
      </c>
      <c r="I1117" s="48" t="b">
        <f>Table1[[#This Row],[Building]]=Table1[[#This Row],[Column1]]</f>
        <v>1</v>
      </c>
      <c r="J1117" s="11" t="s">
        <v>75</v>
      </c>
      <c r="K1117" s="11">
        <v>1299</v>
      </c>
      <c r="L1117" s="49" t="s">
        <v>39</v>
      </c>
      <c r="M1117" s="49" t="s">
        <v>76</v>
      </c>
      <c r="N1117" s="49" t="s">
        <v>77</v>
      </c>
      <c r="O1117" s="49" t="s">
        <v>78</v>
      </c>
      <c r="P1117" s="48" t="s">
        <v>86</v>
      </c>
      <c r="Q1117" s="49" t="s">
        <v>37</v>
      </c>
      <c r="R1117" s="11" t="s">
        <v>80</v>
      </c>
      <c r="S1117" s="11" t="s">
        <v>87</v>
      </c>
      <c r="T1117" s="49" t="s">
        <v>647</v>
      </c>
      <c r="U1117" s="11" t="s">
        <v>1798</v>
      </c>
      <c r="V1117" s="116" t="s">
        <v>1</v>
      </c>
      <c r="W1117" s="88"/>
      <c r="X1117" s="51">
        <v>45561</v>
      </c>
      <c r="Y1117" s="97" t="s">
        <v>1577</v>
      </c>
      <c r="Z1117" s="135" t="s">
        <v>2</v>
      </c>
      <c r="AA1117" s="135">
        <v>0</v>
      </c>
    </row>
    <row r="1118" spans="1:27" ht="13" customHeight="1">
      <c r="A1118" s="11">
        <v>1112</v>
      </c>
      <c r="B1118" s="92">
        <v>204373724</v>
      </c>
      <c r="C1118" s="47" t="s">
        <v>1247</v>
      </c>
      <c r="D1118" s="89" t="s">
        <v>1248</v>
      </c>
      <c r="E1118" s="48" t="s">
        <v>31</v>
      </c>
      <c r="F1118" s="48" t="s">
        <v>74</v>
      </c>
      <c r="G1118" s="11" t="s">
        <v>64</v>
      </c>
      <c r="H1118" s="48" t="str">
        <f>VLOOKUP(Table1[[#This Row],[Psoft No]],[1]Roster!$C$2:$H$1402,6,)</f>
        <v>AUH1</v>
      </c>
      <c r="I1118" s="48" t="b">
        <f>Table1[[#This Row],[Building]]=Table1[[#This Row],[Column1]]</f>
        <v>1</v>
      </c>
      <c r="J1118" s="11" t="s">
        <v>75</v>
      </c>
      <c r="K1118" s="11">
        <v>1299</v>
      </c>
      <c r="L1118" s="49" t="s">
        <v>32</v>
      </c>
      <c r="M1118" s="49" t="s">
        <v>76</v>
      </c>
      <c r="N1118" s="49" t="s">
        <v>88</v>
      </c>
      <c r="O1118" s="49" t="s">
        <v>95</v>
      </c>
      <c r="P1118" s="48" t="s">
        <v>86</v>
      </c>
      <c r="Q1118" s="49" t="s">
        <v>37</v>
      </c>
      <c r="R1118" s="11" t="s">
        <v>80</v>
      </c>
      <c r="S1118" s="11" t="s">
        <v>99</v>
      </c>
      <c r="T1118" s="11" t="s">
        <v>647</v>
      </c>
      <c r="U1118" s="11" t="s">
        <v>1798</v>
      </c>
      <c r="V1118" s="116" t="str">
        <f>VLOOKUP(Table1[[#This Row],[Psoft No]],[2]Sheet1!$A$2:$G$386,7,0)</f>
        <v>P</v>
      </c>
      <c r="W1118" s="88"/>
      <c r="X1118" s="51">
        <v>45593</v>
      </c>
      <c r="Y1118" s="97" t="s">
        <v>1577</v>
      </c>
      <c r="Z1118" s="135" t="s">
        <v>2</v>
      </c>
      <c r="AA1118" s="135">
        <v>0</v>
      </c>
    </row>
    <row r="1119" spans="1:27" ht="13" customHeight="1">
      <c r="A1119" s="11">
        <v>1113</v>
      </c>
      <c r="B1119" s="47">
        <v>203918123</v>
      </c>
      <c r="C1119" s="89" t="s">
        <v>1249</v>
      </c>
      <c r="D1119" s="11" t="s">
        <v>1250</v>
      </c>
      <c r="E1119" s="48" t="s">
        <v>31</v>
      </c>
      <c r="F1119" s="48" t="s">
        <v>74</v>
      </c>
      <c r="G1119" s="11" t="s">
        <v>64</v>
      </c>
      <c r="H1119" s="48" t="str">
        <f>VLOOKUP(Table1[[#This Row],[Psoft No]],[1]Roster!$C$2:$H$1402,6,)</f>
        <v>AUH1</v>
      </c>
      <c r="I1119" s="48" t="b">
        <f>Table1[[#This Row],[Building]]=Table1[[#This Row],[Column1]]</f>
        <v>1</v>
      </c>
      <c r="J1119" s="11" t="s">
        <v>75</v>
      </c>
      <c r="K1119" s="11">
        <v>1299</v>
      </c>
      <c r="L1119" s="49" t="s">
        <v>39</v>
      </c>
      <c r="M1119" s="49" t="s">
        <v>76</v>
      </c>
      <c r="N1119" s="49" t="s">
        <v>84</v>
      </c>
      <c r="O1119" s="49" t="s">
        <v>85</v>
      </c>
      <c r="P1119" s="48" t="s">
        <v>86</v>
      </c>
      <c r="Q1119" s="49" t="s">
        <v>37</v>
      </c>
      <c r="R1119" s="11" t="s">
        <v>80</v>
      </c>
      <c r="S1119" s="11" t="s">
        <v>99</v>
      </c>
      <c r="T1119" s="11" t="s">
        <v>2845</v>
      </c>
      <c r="U1119" s="11" t="s">
        <v>2846</v>
      </c>
      <c r="V1119" s="116" t="s">
        <v>1</v>
      </c>
      <c r="W1119" s="88"/>
      <c r="X1119" s="51">
        <v>45537</v>
      </c>
      <c r="Y1119" s="97" t="s">
        <v>1577</v>
      </c>
      <c r="Z1119" s="135" t="s">
        <v>2</v>
      </c>
      <c r="AA1119" s="135">
        <v>0</v>
      </c>
    </row>
    <row r="1120" spans="1:27" ht="13" customHeight="1">
      <c r="A1120" s="11">
        <v>1114</v>
      </c>
      <c r="B1120" s="47">
        <v>205199830</v>
      </c>
      <c r="C1120" s="89" t="s">
        <v>2066</v>
      </c>
      <c r="D1120" s="11" t="s">
        <v>2067</v>
      </c>
      <c r="E1120" s="48" t="s">
        <v>31</v>
      </c>
      <c r="F1120" s="48" t="s">
        <v>74</v>
      </c>
      <c r="G1120" s="11" t="s">
        <v>64</v>
      </c>
      <c r="H1120" s="48" t="str">
        <f>VLOOKUP(Table1[[#This Row],[Psoft No]],[1]Roster!$C$2:$H$1402,6,)</f>
        <v>AUH1</v>
      </c>
      <c r="I1120" s="48" t="b">
        <f>Table1[[#This Row],[Building]]=Table1[[#This Row],[Column1]]</f>
        <v>1</v>
      </c>
      <c r="J1120" s="11" t="s">
        <v>75</v>
      </c>
      <c r="K1120" s="11">
        <v>1299</v>
      </c>
      <c r="L1120" s="49" t="s">
        <v>39</v>
      </c>
      <c r="M1120" s="49" t="s">
        <v>76</v>
      </c>
      <c r="N1120" s="49" t="s">
        <v>95</v>
      </c>
      <c r="O1120" s="49" t="s">
        <v>77</v>
      </c>
      <c r="P1120" s="49" t="s">
        <v>79</v>
      </c>
      <c r="Q1120" s="49" t="s">
        <v>37</v>
      </c>
      <c r="R1120" s="11" t="s">
        <v>80</v>
      </c>
      <c r="S1120" s="11" t="s">
        <v>96</v>
      </c>
      <c r="T1120" s="49" t="s">
        <v>2845</v>
      </c>
      <c r="U1120" s="49" t="s">
        <v>2846</v>
      </c>
      <c r="V1120" s="116" t="s">
        <v>1</v>
      </c>
      <c r="W1120" s="88"/>
      <c r="X1120" s="51">
        <v>46048</v>
      </c>
      <c r="Y1120" s="97" t="s">
        <v>1577</v>
      </c>
      <c r="Z1120" s="135" t="s">
        <v>2</v>
      </c>
      <c r="AA1120" s="135">
        <v>0</v>
      </c>
    </row>
    <row r="1121" spans="1:27" ht="13" customHeight="1">
      <c r="A1121" s="11">
        <v>1115</v>
      </c>
      <c r="B1121" s="47">
        <v>201264954</v>
      </c>
      <c r="C1121" s="89" t="s">
        <v>1251</v>
      </c>
      <c r="D1121" s="11" t="s">
        <v>1252</v>
      </c>
      <c r="E1121" s="48" t="s">
        <v>31</v>
      </c>
      <c r="F1121" s="48" t="s">
        <v>74</v>
      </c>
      <c r="G1121" s="11" t="s">
        <v>64</v>
      </c>
      <c r="H1121" s="48" t="str">
        <f>VLOOKUP(Table1[[#This Row],[Psoft No]],[1]Roster!$C$2:$H$1402,6,)</f>
        <v>AUH1</v>
      </c>
      <c r="I1121" s="48" t="b">
        <f>Table1[[#This Row],[Building]]=Table1[[#This Row],[Column1]]</f>
        <v>1</v>
      </c>
      <c r="J1121" s="11" t="s">
        <v>75</v>
      </c>
      <c r="K1121" s="11">
        <v>1299</v>
      </c>
      <c r="L1121" s="49" t="s">
        <v>32</v>
      </c>
      <c r="M1121" s="49" t="s">
        <v>76</v>
      </c>
      <c r="N1121" s="49" t="s">
        <v>77</v>
      </c>
      <c r="O1121" s="49" t="s">
        <v>78</v>
      </c>
      <c r="P1121" s="49" t="s">
        <v>86</v>
      </c>
      <c r="Q1121" s="48" t="s">
        <v>37</v>
      </c>
      <c r="R1121" s="48" t="s">
        <v>80</v>
      </c>
      <c r="S1121" s="11" t="s">
        <v>87</v>
      </c>
      <c r="T1121" s="49" t="s">
        <v>647</v>
      </c>
      <c r="U1121" s="11" t="s">
        <v>1798</v>
      </c>
      <c r="V1121" s="116" t="str">
        <f>VLOOKUP(Table1[[#This Row],[Psoft No]],[2]Sheet1!$A$2:$G$386,7,0)</f>
        <v>P</v>
      </c>
      <c r="W1121" s="88"/>
      <c r="X1121" s="51">
        <v>45561</v>
      </c>
      <c r="Y1121" s="97" t="s">
        <v>1577</v>
      </c>
      <c r="Z1121" s="135" t="s">
        <v>2</v>
      </c>
      <c r="AA1121" s="135">
        <v>0</v>
      </c>
    </row>
    <row r="1122" spans="1:27" ht="13" customHeight="1">
      <c r="A1122" s="11">
        <v>1116</v>
      </c>
      <c r="B1122" s="47">
        <v>203468744</v>
      </c>
      <c r="C1122" s="89" t="s">
        <v>1253</v>
      </c>
      <c r="D1122" s="11" t="s">
        <v>1254</v>
      </c>
      <c r="E1122" s="48" t="s">
        <v>31</v>
      </c>
      <c r="F1122" s="48" t="s">
        <v>74</v>
      </c>
      <c r="G1122" s="11" t="s">
        <v>64</v>
      </c>
      <c r="H1122" s="48" t="str">
        <f>VLOOKUP(Table1[[#This Row],[Psoft No]],[1]Roster!$C$2:$H$1402,6,)</f>
        <v>AUH1</v>
      </c>
      <c r="I1122" s="48" t="b">
        <f>Table1[[#This Row],[Building]]=Table1[[#This Row],[Column1]]</f>
        <v>1</v>
      </c>
      <c r="J1122" s="11" t="s">
        <v>75</v>
      </c>
      <c r="K1122" s="11">
        <v>1299</v>
      </c>
      <c r="L1122" s="49" t="s">
        <v>39</v>
      </c>
      <c r="M1122" s="49" t="s">
        <v>76</v>
      </c>
      <c r="N1122" s="49" t="s">
        <v>77</v>
      </c>
      <c r="O1122" s="49" t="s">
        <v>78</v>
      </c>
      <c r="P1122" s="48" t="s">
        <v>79</v>
      </c>
      <c r="Q1122" s="49" t="s">
        <v>37</v>
      </c>
      <c r="R1122" s="11" t="s">
        <v>80</v>
      </c>
      <c r="S1122" s="11" t="s">
        <v>81</v>
      </c>
      <c r="T1122" s="11" t="s">
        <v>627</v>
      </c>
      <c r="U1122" s="11" t="s">
        <v>628</v>
      </c>
      <c r="V1122" s="116" t="s">
        <v>1</v>
      </c>
      <c r="W1122" s="88"/>
      <c r="X1122" s="51">
        <v>45456</v>
      </c>
      <c r="Y1122" s="97" t="s">
        <v>1579</v>
      </c>
      <c r="Z1122" s="135" t="s">
        <v>2</v>
      </c>
      <c r="AA1122" s="135">
        <v>0</v>
      </c>
    </row>
    <row r="1123" spans="1:27" ht="13" customHeight="1">
      <c r="A1123" s="11">
        <v>1117</v>
      </c>
      <c r="B1123" s="47">
        <v>205127496</v>
      </c>
      <c r="C1123" s="89" t="s">
        <v>2096</v>
      </c>
      <c r="D1123" s="11" t="s">
        <v>2097</v>
      </c>
      <c r="E1123" s="48" t="s">
        <v>31</v>
      </c>
      <c r="F1123" s="48" t="s">
        <v>74</v>
      </c>
      <c r="G1123" s="11" t="s">
        <v>64</v>
      </c>
      <c r="H1123" s="48" t="str">
        <f>VLOOKUP(Table1[[#This Row],[Psoft No]],[1]Roster!$C$2:$H$1402,6,)</f>
        <v>AUH1</v>
      </c>
      <c r="I1123" s="48" t="b">
        <f>Table1[[#This Row],[Building]]=Table1[[#This Row],[Column1]]</f>
        <v>1</v>
      </c>
      <c r="J1123" s="11" t="s">
        <v>75</v>
      </c>
      <c r="K1123" s="11">
        <v>1299</v>
      </c>
      <c r="L1123" s="49" t="s">
        <v>39</v>
      </c>
      <c r="M1123" s="49" t="s">
        <v>76</v>
      </c>
      <c r="N1123" s="49" t="s">
        <v>85</v>
      </c>
      <c r="O1123" s="49" t="s">
        <v>88</v>
      </c>
      <c r="P1123" s="48" t="s">
        <v>89</v>
      </c>
      <c r="Q1123" s="49" t="s">
        <v>37</v>
      </c>
      <c r="R1123" s="11" t="s">
        <v>80</v>
      </c>
      <c r="S1123" s="11" t="s">
        <v>96</v>
      </c>
      <c r="T1123" s="49" t="s">
        <v>2719</v>
      </c>
      <c r="U1123" s="11" t="s">
        <v>642</v>
      </c>
      <c r="V1123" s="116" t="s">
        <v>1</v>
      </c>
      <c r="W1123" s="88"/>
      <c r="X1123" s="51">
        <v>46048</v>
      </c>
      <c r="Y1123" s="97" t="s">
        <v>1577</v>
      </c>
      <c r="Z1123" s="135" t="s">
        <v>2</v>
      </c>
      <c r="AA1123" s="135">
        <v>0</v>
      </c>
    </row>
    <row r="1124" spans="1:27" ht="13" customHeight="1">
      <c r="A1124" s="11">
        <v>1118</v>
      </c>
      <c r="B1124" s="47">
        <v>204009358</v>
      </c>
      <c r="C1124" s="89" t="s">
        <v>1255</v>
      </c>
      <c r="D1124" s="11" t="s">
        <v>1256</v>
      </c>
      <c r="E1124" s="48" t="s">
        <v>31</v>
      </c>
      <c r="F1124" s="48" t="s">
        <v>74</v>
      </c>
      <c r="G1124" s="11" t="s">
        <v>64</v>
      </c>
      <c r="H1124" s="48" t="str">
        <f>VLOOKUP(Table1[[#This Row],[Psoft No]],[1]Roster!$C$2:$H$1402,6,)</f>
        <v>AUH1</v>
      </c>
      <c r="I1124" s="48" t="b">
        <f>Table1[[#This Row],[Building]]=Table1[[#This Row],[Column1]]</f>
        <v>1</v>
      </c>
      <c r="J1124" s="11" t="s">
        <v>75</v>
      </c>
      <c r="K1124" s="11">
        <v>1299</v>
      </c>
      <c r="L1124" s="49" t="s">
        <v>32</v>
      </c>
      <c r="M1124" s="49" t="s">
        <v>76</v>
      </c>
      <c r="N1124" s="49" t="s">
        <v>88</v>
      </c>
      <c r="O1124" s="49" t="s">
        <v>95</v>
      </c>
      <c r="P1124" s="48" t="s">
        <v>86</v>
      </c>
      <c r="Q1124" s="49" t="s">
        <v>37</v>
      </c>
      <c r="R1124" s="11" t="s">
        <v>80</v>
      </c>
      <c r="S1124" s="11" t="s">
        <v>90</v>
      </c>
      <c r="T1124" s="11" t="s">
        <v>647</v>
      </c>
      <c r="U1124" s="11" t="s">
        <v>1798</v>
      </c>
      <c r="V1124" s="116" t="str">
        <f>VLOOKUP(Table1[[#This Row],[Psoft No]],[2]Sheet1!$A$2:$G$386,7,0)</f>
        <v>P</v>
      </c>
      <c r="W1124" s="88"/>
      <c r="X1124" s="51">
        <v>45551</v>
      </c>
      <c r="Y1124" s="97" t="s">
        <v>1577</v>
      </c>
      <c r="Z1124" s="135" t="s">
        <v>2</v>
      </c>
      <c r="AA1124" s="135">
        <v>0</v>
      </c>
    </row>
    <row r="1125" spans="1:27" ht="13" customHeight="1">
      <c r="A1125" s="11">
        <v>1119</v>
      </c>
      <c r="B1125" s="47">
        <v>205845550</v>
      </c>
      <c r="C1125" s="89" t="s">
        <v>2812</v>
      </c>
      <c r="D1125" s="11" t="s">
        <v>2813</v>
      </c>
      <c r="E1125" s="48" t="s">
        <v>31</v>
      </c>
      <c r="F1125" s="48" t="s">
        <v>74</v>
      </c>
      <c r="G1125" s="11" t="s">
        <v>64</v>
      </c>
      <c r="H1125" s="48" t="str">
        <f>VLOOKUP(Table1[[#This Row],[Psoft No]],[1]Roster!$C$2:$H$1402,6,)</f>
        <v>AUH1</v>
      </c>
      <c r="I1125" s="48" t="b">
        <f>Table1[[#This Row],[Building]]=Table1[[#This Row],[Column1]]</f>
        <v>1</v>
      </c>
      <c r="J1125" s="11" t="s">
        <v>75</v>
      </c>
      <c r="K1125" s="11">
        <v>1299</v>
      </c>
      <c r="L1125" s="49" t="s">
        <v>32</v>
      </c>
      <c r="M1125" s="49" t="s">
        <v>76</v>
      </c>
      <c r="N1125" s="49" t="s">
        <v>36</v>
      </c>
      <c r="O1125" s="49" t="s">
        <v>84</v>
      </c>
      <c r="P1125" s="49" t="s">
        <v>89</v>
      </c>
      <c r="Q1125" s="49" t="s">
        <v>37</v>
      </c>
      <c r="R1125" s="11" t="s">
        <v>80</v>
      </c>
      <c r="S1125" s="11" t="s">
        <v>90</v>
      </c>
      <c r="T1125" s="49" t="s">
        <v>2845</v>
      </c>
      <c r="U1125" s="11" t="s">
        <v>2846</v>
      </c>
      <c r="V1125" s="116" t="str">
        <f>VLOOKUP(Table1[[#This Row],[Psoft No]],[2]Sheet1!$A$2:$G$386,7,0)</f>
        <v>P</v>
      </c>
      <c r="W1125" s="88" t="s">
        <v>3017</v>
      </c>
      <c r="X1125" s="51">
        <v>45894</v>
      </c>
      <c r="Y1125" s="97" t="s">
        <v>1577</v>
      </c>
      <c r="Z1125" s="135" t="s">
        <v>2</v>
      </c>
      <c r="AA1125" s="135">
        <v>0</v>
      </c>
    </row>
    <row r="1126" spans="1:27" ht="13" customHeight="1">
      <c r="A1126" s="11">
        <v>1120</v>
      </c>
      <c r="B1126" s="47">
        <v>103776227</v>
      </c>
      <c r="C1126" s="89" t="s">
        <v>1257</v>
      </c>
      <c r="D1126" s="47" t="s">
        <v>1258</v>
      </c>
      <c r="E1126" s="47" t="s">
        <v>34</v>
      </c>
      <c r="F1126" s="48" t="s">
        <v>74</v>
      </c>
      <c r="G1126" s="11" t="s">
        <v>64</v>
      </c>
      <c r="H1126" s="48" t="str">
        <f>VLOOKUP(Table1[[#This Row],[Psoft No]],[1]Roster!$C$2:$H$1402,6,)</f>
        <v>AUH1</v>
      </c>
      <c r="I1126" s="48" t="b">
        <f>Table1[[#This Row],[Building]]=Table1[[#This Row],[Column1]]</f>
        <v>1</v>
      </c>
      <c r="J1126" s="11" t="s">
        <v>75</v>
      </c>
      <c r="K1126" s="47">
        <v>1299</v>
      </c>
      <c r="L1126" s="49" t="s">
        <v>32</v>
      </c>
      <c r="M1126" s="49" t="s">
        <v>76</v>
      </c>
      <c r="N1126" s="49" t="s">
        <v>88</v>
      </c>
      <c r="O1126" s="49" t="s">
        <v>95</v>
      </c>
      <c r="P1126" s="49" t="s">
        <v>108</v>
      </c>
      <c r="Q1126" s="49" t="s">
        <v>37</v>
      </c>
      <c r="R1126" s="11" t="s">
        <v>80</v>
      </c>
      <c r="S1126" s="47" t="s">
        <v>98</v>
      </c>
      <c r="T1126" s="11" t="s">
        <v>647</v>
      </c>
      <c r="U1126" s="11" t="s">
        <v>1798</v>
      </c>
      <c r="V1126" s="116" t="s">
        <v>1</v>
      </c>
      <c r="W1126" s="88"/>
      <c r="X1126" s="51">
        <v>44782</v>
      </c>
      <c r="Y1126" s="97" t="s">
        <v>1577</v>
      </c>
      <c r="Z1126" s="135" t="s">
        <v>2</v>
      </c>
      <c r="AA1126" s="135">
        <v>0</v>
      </c>
    </row>
    <row r="1127" spans="1:27" ht="13" customHeight="1">
      <c r="A1127" s="11">
        <v>1121</v>
      </c>
      <c r="B1127" s="47">
        <v>206230580</v>
      </c>
      <c r="C1127" s="89" t="s">
        <v>1643</v>
      </c>
      <c r="D1127" s="11" t="s">
        <v>1638</v>
      </c>
      <c r="E1127" s="48" t="s">
        <v>31</v>
      </c>
      <c r="F1127" s="48" t="s">
        <v>74</v>
      </c>
      <c r="G1127" s="11" t="s">
        <v>64</v>
      </c>
      <c r="H1127" s="48" t="str">
        <f>VLOOKUP(Table1[[#This Row],[Psoft No]],[1]Roster!$C$2:$H$1402,6,)</f>
        <v>AUH1</v>
      </c>
      <c r="I1127" s="48" t="b">
        <f>Table1[[#This Row],[Building]]=Table1[[#This Row],[Column1]]</f>
        <v>1</v>
      </c>
      <c r="J1127" s="11" t="s">
        <v>75</v>
      </c>
      <c r="K1127" s="11">
        <v>1299</v>
      </c>
      <c r="L1127" s="49" t="s">
        <v>32</v>
      </c>
      <c r="M1127" s="49" t="s">
        <v>76</v>
      </c>
      <c r="N1127" s="49" t="s">
        <v>95</v>
      </c>
      <c r="O1127" s="49" t="s">
        <v>77</v>
      </c>
      <c r="P1127" s="48" t="s">
        <v>89</v>
      </c>
      <c r="Q1127" s="49" t="s">
        <v>37</v>
      </c>
      <c r="R1127" s="11" t="s">
        <v>80</v>
      </c>
      <c r="S1127" s="11" t="s">
        <v>96</v>
      </c>
      <c r="T1127" s="11" t="s">
        <v>2845</v>
      </c>
      <c r="U1127" s="11" t="s">
        <v>2846</v>
      </c>
      <c r="V1127" s="116" t="str">
        <f>VLOOKUP(Table1[[#This Row],[Psoft No]],[2]Sheet1!$A$2:$G$386,7,0)</f>
        <v>P</v>
      </c>
      <c r="W1127" s="88"/>
      <c r="X1127" s="51">
        <v>45943</v>
      </c>
      <c r="Y1127" s="97" t="s">
        <v>1576</v>
      </c>
      <c r="Z1127" s="135" t="s">
        <v>2</v>
      </c>
      <c r="AA1127" s="135">
        <v>0</v>
      </c>
    </row>
    <row r="1128" spans="1:27" ht="13" customHeight="1">
      <c r="A1128" s="11">
        <v>1122</v>
      </c>
      <c r="B1128" s="47">
        <v>205853886</v>
      </c>
      <c r="C1128" s="89" t="s">
        <v>1259</v>
      </c>
      <c r="D1128" s="11" t="s">
        <v>1260</v>
      </c>
      <c r="E1128" s="48" t="s">
        <v>31</v>
      </c>
      <c r="F1128" s="48" t="s">
        <v>74</v>
      </c>
      <c r="G1128" s="11" t="s">
        <v>64</v>
      </c>
      <c r="H1128" s="48" t="str">
        <f>VLOOKUP(Table1[[#This Row],[Psoft No]],[1]Roster!$C$2:$H$1402,6,)</f>
        <v>AUH1</v>
      </c>
      <c r="I1128" s="48" t="b">
        <f>Table1[[#This Row],[Building]]=Table1[[#This Row],[Column1]]</f>
        <v>1</v>
      </c>
      <c r="J1128" s="11" t="s">
        <v>75</v>
      </c>
      <c r="K1128" s="11">
        <v>1299</v>
      </c>
      <c r="L1128" s="49" t="s">
        <v>32</v>
      </c>
      <c r="M1128" s="49" t="s">
        <v>76</v>
      </c>
      <c r="N1128" s="49" t="s">
        <v>95</v>
      </c>
      <c r="O1128" s="49" t="s">
        <v>77</v>
      </c>
      <c r="P1128" s="48" t="s">
        <v>89</v>
      </c>
      <c r="Q1128" s="49" t="s">
        <v>37</v>
      </c>
      <c r="R1128" s="11" t="s">
        <v>80</v>
      </c>
      <c r="S1128" s="11" t="s">
        <v>96</v>
      </c>
      <c r="T1128" s="11" t="s">
        <v>2845</v>
      </c>
      <c r="U1128" s="11" t="s">
        <v>2846</v>
      </c>
      <c r="V1128" s="116" t="str">
        <f>VLOOKUP(Table1[[#This Row],[Psoft No]],[2]Sheet1!$A$2:$G$386,7,0)</f>
        <v>P</v>
      </c>
      <c r="W1128" s="88"/>
      <c r="X1128" s="51">
        <v>45894</v>
      </c>
      <c r="Y1128" s="97" t="s">
        <v>1577</v>
      </c>
      <c r="Z1128" s="135" t="s">
        <v>2</v>
      </c>
      <c r="AA1128" s="135">
        <v>0</v>
      </c>
    </row>
    <row r="1129" spans="1:27" ht="13" customHeight="1">
      <c r="A1129" s="11">
        <v>1123</v>
      </c>
      <c r="B1129" s="47">
        <v>203965456</v>
      </c>
      <c r="C1129" s="89" t="s">
        <v>1261</v>
      </c>
      <c r="D1129" s="11" t="s">
        <v>1262</v>
      </c>
      <c r="E1129" s="48" t="s">
        <v>31</v>
      </c>
      <c r="F1129" s="48" t="s">
        <v>74</v>
      </c>
      <c r="G1129" s="11" t="s">
        <v>64</v>
      </c>
      <c r="H1129" s="48" t="str">
        <f>VLOOKUP(Table1[[#This Row],[Psoft No]],[1]Roster!$C$2:$H$1402,6,)</f>
        <v>AUH1</v>
      </c>
      <c r="I1129" s="48" t="b">
        <f>Table1[[#This Row],[Building]]=Table1[[#This Row],[Column1]]</f>
        <v>1</v>
      </c>
      <c r="J1129" s="11" t="s">
        <v>75</v>
      </c>
      <c r="K1129" s="11">
        <v>1299</v>
      </c>
      <c r="L1129" s="49" t="s">
        <v>39</v>
      </c>
      <c r="M1129" s="49" t="s">
        <v>76</v>
      </c>
      <c r="N1129" s="49" t="s">
        <v>95</v>
      </c>
      <c r="O1129" s="49" t="s">
        <v>77</v>
      </c>
      <c r="P1129" s="48" t="s">
        <v>79</v>
      </c>
      <c r="Q1129" s="49" t="s">
        <v>37</v>
      </c>
      <c r="R1129" s="11" t="s">
        <v>80</v>
      </c>
      <c r="S1129" s="11" t="s">
        <v>81</v>
      </c>
      <c r="T1129" s="49" t="s">
        <v>631</v>
      </c>
      <c r="U1129" s="11" t="s">
        <v>632</v>
      </c>
      <c r="V1129" s="116" t="s">
        <v>1</v>
      </c>
      <c r="W1129" s="88"/>
      <c r="X1129" s="51">
        <v>45544</v>
      </c>
      <c r="Y1129" s="97" t="s">
        <v>1577</v>
      </c>
      <c r="Z1129" s="135" t="s">
        <v>2</v>
      </c>
      <c r="AA1129" s="135">
        <v>0</v>
      </c>
    </row>
    <row r="1130" spans="1:27" ht="13" customHeight="1">
      <c r="A1130" s="11">
        <v>1124</v>
      </c>
      <c r="B1130" s="47">
        <v>206886513</v>
      </c>
      <c r="C1130" s="89" t="s">
        <v>1855</v>
      </c>
      <c r="D1130" s="11" t="s">
        <v>1856</v>
      </c>
      <c r="E1130" s="48" t="s">
        <v>31</v>
      </c>
      <c r="F1130" s="48" t="s">
        <v>74</v>
      </c>
      <c r="G1130" s="11" t="s">
        <v>64</v>
      </c>
      <c r="H1130" s="48" t="str">
        <f>VLOOKUP(Table1[[#This Row],[Psoft No]],[1]Roster!$C$2:$H$1402,6,)</f>
        <v>AUH1</v>
      </c>
      <c r="I1130" s="48" t="b">
        <f>Table1[[#This Row],[Building]]=Table1[[#This Row],[Column1]]</f>
        <v>1</v>
      </c>
      <c r="J1130" s="11" t="s">
        <v>75</v>
      </c>
      <c r="K1130" s="11">
        <v>1299</v>
      </c>
      <c r="L1130" s="49" t="s">
        <v>39</v>
      </c>
      <c r="M1130" s="49" t="s">
        <v>76</v>
      </c>
      <c r="N1130" s="49" t="s">
        <v>85</v>
      </c>
      <c r="O1130" s="49" t="s">
        <v>88</v>
      </c>
      <c r="P1130" s="48" t="s">
        <v>89</v>
      </c>
      <c r="Q1130" s="49" t="s">
        <v>37</v>
      </c>
      <c r="R1130" s="11" t="s">
        <v>80</v>
      </c>
      <c r="S1130" s="11" t="s">
        <v>96</v>
      </c>
      <c r="T1130" s="49" t="s">
        <v>1066</v>
      </c>
      <c r="U1130" s="11" t="s">
        <v>2717</v>
      </c>
      <c r="V1130" s="116" t="s">
        <v>1</v>
      </c>
      <c r="W1130" s="88"/>
      <c r="X1130" s="51">
        <v>46027</v>
      </c>
      <c r="Y1130" s="97" t="s">
        <v>1577</v>
      </c>
      <c r="Z1130" s="135" t="s">
        <v>2</v>
      </c>
      <c r="AA1130" s="135">
        <v>0</v>
      </c>
    </row>
    <row r="1131" spans="1:27" ht="13" customHeight="1">
      <c r="A1131" s="11">
        <v>1125</v>
      </c>
      <c r="B1131" s="47">
        <v>206886644</v>
      </c>
      <c r="C1131" s="89" t="s">
        <v>1857</v>
      </c>
      <c r="D1131" s="11" t="s">
        <v>1858</v>
      </c>
      <c r="E1131" s="48" t="s">
        <v>31</v>
      </c>
      <c r="F1131" s="48" t="s">
        <v>74</v>
      </c>
      <c r="G1131" s="11" t="s">
        <v>64</v>
      </c>
      <c r="H1131" s="48" t="str">
        <f>VLOOKUP(Table1[[#This Row],[Psoft No]],[1]Roster!$C$2:$H$1402,6,)</f>
        <v>AUH1</v>
      </c>
      <c r="I1131" s="48" t="b">
        <f>Table1[[#This Row],[Building]]=Table1[[#This Row],[Column1]]</f>
        <v>1</v>
      </c>
      <c r="J1131" s="11" t="s">
        <v>75</v>
      </c>
      <c r="K1131" s="11">
        <v>1299</v>
      </c>
      <c r="L1131" s="49" t="s">
        <v>39</v>
      </c>
      <c r="M1131" s="49" t="s">
        <v>76</v>
      </c>
      <c r="N1131" s="49" t="s">
        <v>85</v>
      </c>
      <c r="O1131" s="49" t="s">
        <v>88</v>
      </c>
      <c r="P1131" s="48" t="s">
        <v>89</v>
      </c>
      <c r="Q1131" s="49" t="s">
        <v>37</v>
      </c>
      <c r="R1131" s="11" t="s">
        <v>80</v>
      </c>
      <c r="S1131" s="11" t="s">
        <v>96</v>
      </c>
      <c r="T1131" s="11" t="s">
        <v>1066</v>
      </c>
      <c r="U1131" s="11" t="s">
        <v>2717</v>
      </c>
      <c r="V1131" s="116" t="s">
        <v>1</v>
      </c>
      <c r="W1131" s="88"/>
      <c r="X1131" s="51">
        <v>46027</v>
      </c>
      <c r="Y1131" s="97" t="s">
        <v>1577</v>
      </c>
      <c r="Z1131" s="135" t="s">
        <v>2</v>
      </c>
      <c r="AA1131" s="135">
        <v>0</v>
      </c>
    </row>
    <row r="1132" spans="1:27" ht="13" customHeight="1">
      <c r="A1132" s="11">
        <v>1126</v>
      </c>
      <c r="B1132" s="47">
        <v>205845549</v>
      </c>
      <c r="C1132" s="89" t="s">
        <v>2814</v>
      </c>
      <c r="D1132" s="11" t="s">
        <v>2815</v>
      </c>
      <c r="E1132" s="48" t="s">
        <v>31</v>
      </c>
      <c r="F1132" s="48" t="s">
        <v>74</v>
      </c>
      <c r="G1132" s="11" t="s">
        <v>64</v>
      </c>
      <c r="H1132" s="48" t="str">
        <f>VLOOKUP(Table1[[#This Row],[Psoft No]],[1]Roster!$C$2:$H$1402,6,)</f>
        <v>AUH1</v>
      </c>
      <c r="I1132" s="48" t="b">
        <f>Table1[[#This Row],[Building]]=Table1[[#This Row],[Column1]]</f>
        <v>1</v>
      </c>
      <c r="J1132" s="11" t="s">
        <v>75</v>
      </c>
      <c r="K1132" s="11">
        <v>1299</v>
      </c>
      <c r="L1132" s="49" t="s">
        <v>32</v>
      </c>
      <c r="M1132" s="49" t="s">
        <v>76</v>
      </c>
      <c r="N1132" s="49" t="s">
        <v>92</v>
      </c>
      <c r="O1132" s="49" t="s">
        <v>84</v>
      </c>
      <c r="P1132" s="48" t="s">
        <v>89</v>
      </c>
      <c r="Q1132" s="49" t="s">
        <v>37</v>
      </c>
      <c r="R1132" s="11" t="s">
        <v>80</v>
      </c>
      <c r="S1132" s="11" t="s">
        <v>90</v>
      </c>
      <c r="T1132" s="11" t="s">
        <v>2845</v>
      </c>
      <c r="U1132" s="11" t="s">
        <v>2846</v>
      </c>
      <c r="V1132" s="116" t="s">
        <v>10</v>
      </c>
      <c r="W1132" s="88"/>
      <c r="X1132" s="51">
        <v>45894</v>
      </c>
      <c r="Y1132" s="97" t="s">
        <v>1577</v>
      </c>
      <c r="Z1132" s="135" t="s">
        <v>3023</v>
      </c>
      <c r="AA1132" s="135">
        <v>0</v>
      </c>
    </row>
    <row r="1133" spans="1:27" ht="13" customHeight="1">
      <c r="A1133" s="11">
        <v>1127</v>
      </c>
      <c r="B1133" s="47">
        <v>206192239</v>
      </c>
      <c r="C1133" s="89" t="s">
        <v>1611</v>
      </c>
      <c r="D1133" s="11" t="s">
        <v>1604</v>
      </c>
      <c r="E1133" s="48" t="s">
        <v>31</v>
      </c>
      <c r="F1133" s="48" t="s">
        <v>74</v>
      </c>
      <c r="G1133" s="11" t="s">
        <v>64</v>
      </c>
      <c r="H1133" s="48" t="str">
        <f>VLOOKUP(Table1[[#This Row],[Psoft No]],[1]Roster!$C$2:$H$1402,6,)</f>
        <v>AUH1</v>
      </c>
      <c r="I1133" s="48" t="b">
        <f>Table1[[#This Row],[Building]]=Table1[[#This Row],[Column1]]</f>
        <v>1</v>
      </c>
      <c r="J1133" s="11" t="s">
        <v>75</v>
      </c>
      <c r="K1133" s="11">
        <v>1299</v>
      </c>
      <c r="L1133" s="49" t="s">
        <v>39</v>
      </c>
      <c r="M1133" s="49" t="s">
        <v>76</v>
      </c>
      <c r="N1133" s="49" t="s">
        <v>95</v>
      </c>
      <c r="O1133" s="49" t="s">
        <v>77</v>
      </c>
      <c r="P1133" s="48" t="s">
        <v>79</v>
      </c>
      <c r="Q1133" s="49" t="s">
        <v>37</v>
      </c>
      <c r="R1133" s="11" t="s">
        <v>80</v>
      </c>
      <c r="S1133" s="11" t="s">
        <v>96</v>
      </c>
      <c r="T1133" s="11" t="s">
        <v>627</v>
      </c>
      <c r="U1133" s="11" t="s">
        <v>628</v>
      </c>
      <c r="V1133" s="116" t="s">
        <v>1</v>
      </c>
      <c r="W1133" s="88"/>
      <c r="X1133" s="51">
        <v>45936</v>
      </c>
      <c r="Y1133" s="97" t="s">
        <v>1577</v>
      </c>
      <c r="Z1133" s="135" t="s">
        <v>2</v>
      </c>
      <c r="AA1133" s="135">
        <v>0</v>
      </c>
    </row>
    <row r="1134" spans="1:27" ht="13" customHeight="1">
      <c r="A1134" s="11">
        <v>1128</v>
      </c>
      <c r="B1134" s="47">
        <v>203512943</v>
      </c>
      <c r="C1134" s="89" t="s">
        <v>1263</v>
      </c>
      <c r="D1134" s="11" t="s">
        <v>1264</v>
      </c>
      <c r="E1134" s="48" t="s">
        <v>31</v>
      </c>
      <c r="F1134" s="48" t="s">
        <v>74</v>
      </c>
      <c r="G1134" s="11" t="s">
        <v>64</v>
      </c>
      <c r="H1134" s="48" t="str">
        <f>VLOOKUP(Table1[[#This Row],[Psoft No]],[1]Roster!$C$2:$H$1402,6,)</f>
        <v>AUH1</v>
      </c>
      <c r="I1134" s="48" t="b">
        <f>Table1[[#This Row],[Building]]=Table1[[#This Row],[Column1]]</f>
        <v>1</v>
      </c>
      <c r="J1134" s="11" t="s">
        <v>75</v>
      </c>
      <c r="K1134" s="11">
        <v>1299</v>
      </c>
      <c r="L1134" s="49" t="s">
        <v>39</v>
      </c>
      <c r="M1134" s="49" t="s">
        <v>76</v>
      </c>
      <c r="N1134" s="49" t="s">
        <v>84</v>
      </c>
      <c r="O1134" s="49" t="s">
        <v>85</v>
      </c>
      <c r="P1134" s="48" t="s">
        <v>79</v>
      </c>
      <c r="Q1134" s="49" t="s">
        <v>37</v>
      </c>
      <c r="R1134" s="11" t="s">
        <v>80</v>
      </c>
      <c r="S1134" s="11" t="s">
        <v>81</v>
      </c>
      <c r="T1134" s="11" t="s">
        <v>647</v>
      </c>
      <c r="U1134" s="11" t="s">
        <v>1798</v>
      </c>
      <c r="V1134" s="116" t="s">
        <v>1</v>
      </c>
      <c r="W1134" s="88"/>
      <c r="X1134" s="51">
        <v>45463</v>
      </c>
      <c r="Y1134" s="133" t="s">
        <v>1577</v>
      </c>
      <c r="Z1134" s="135" t="s">
        <v>2</v>
      </c>
      <c r="AA1134" s="135">
        <v>0</v>
      </c>
    </row>
    <row r="1135" spans="1:27" ht="13" customHeight="1">
      <c r="A1135" s="11">
        <v>1129</v>
      </c>
      <c r="B1135" s="47">
        <v>204009949</v>
      </c>
      <c r="C1135" s="89" t="s">
        <v>1265</v>
      </c>
      <c r="D1135" s="11" t="s">
        <v>1266</v>
      </c>
      <c r="E1135" s="48" t="s">
        <v>31</v>
      </c>
      <c r="F1135" s="48" t="s">
        <v>74</v>
      </c>
      <c r="G1135" s="11" t="s">
        <v>64</v>
      </c>
      <c r="H1135" s="48" t="str">
        <f>VLOOKUP(Table1[[#This Row],[Psoft No]],[1]Roster!$C$2:$H$1402,6,)</f>
        <v>AUH1</v>
      </c>
      <c r="I1135" s="48" t="b">
        <f>Table1[[#This Row],[Building]]=Table1[[#This Row],[Column1]]</f>
        <v>1</v>
      </c>
      <c r="J1135" s="11" t="s">
        <v>75</v>
      </c>
      <c r="K1135" s="11">
        <v>1299</v>
      </c>
      <c r="L1135" s="49" t="s">
        <v>32</v>
      </c>
      <c r="M1135" s="49" t="s">
        <v>76</v>
      </c>
      <c r="N1135" s="49" t="s">
        <v>78</v>
      </c>
      <c r="O1135" s="49" t="s">
        <v>92</v>
      </c>
      <c r="P1135" s="48" t="s">
        <v>86</v>
      </c>
      <c r="Q1135" s="49" t="s">
        <v>37</v>
      </c>
      <c r="R1135" s="11" t="s">
        <v>80</v>
      </c>
      <c r="S1135" s="11" t="s">
        <v>90</v>
      </c>
      <c r="T1135" s="49" t="s">
        <v>639</v>
      </c>
      <c r="U1135" s="11" t="s">
        <v>2718</v>
      </c>
      <c r="V1135" s="116" t="s">
        <v>10</v>
      </c>
      <c r="W1135" s="88"/>
      <c r="X1135" s="51">
        <v>45789</v>
      </c>
      <c r="Y1135" s="97" t="s">
        <v>1577</v>
      </c>
      <c r="Z1135" s="135" t="s">
        <v>3023</v>
      </c>
      <c r="AA1135" s="135">
        <v>0</v>
      </c>
    </row>
    <row r="1136" spans="1:27" ht="13" customHeight="1">
      <c r="A1136" s="11">
        <v>1130</v>
      </c>
      <c r="B1136" s="47">
        <v>203964990</v>
      </c>
      <c r="C1136" s="89" t="s">
        <v>1267</v>
      </c>
      <c r="D1136" s="11" t="s">
        <v>1268</v>
      </c>
      <c r="E1136" s="48" t="s">
        <v>31</v>
      </c>
      <c r="F1136" s="48" t="s">
        <v>74</v>
      </c>
      <c r="G1136" s="11" t="s">
        <v>64</v>
      </c>
      <c r="H1136" s="48" t="str">
        <f>VLOOKUP(Table1[[#This Row],[Psoft No]],[1]Roster!$C$2:$H$1402,6,)</f>
        <v>AUH1</v>
      </c>
      <c r="I1136" s="48" t="b">
        <f>Table1[[#This Row],[Building]]=Table1[[#This Row],[Column1]]</f>
        <v>1</v>
      </c>
      <c r="J1136" s="11" t="s">
        <v>75</v>
      </c>
      <c r="K1136" s="11">
        <v>1299</v>
      </c>
      <c r="L1136" s="49" t="s">
        <v>32</v>
      </c>
      <c r="M1136" s="49" t="s">
        <v>76</v>
      </c>
      <c r="N1136" s="49" t="s">
        <v>36</v>
      </c>
      <c r="O1136" s="49" t="s">
        <v>92</v>
      </c>
      <c r="P1136" s="48" t="s">
        <v>86</v>
      </c>
      <c r="Q1136" s="49" t="s">
        <v>37</v>
      </c>
      <c r="R1136" s="11" t="s">
        <v>80</v>
      </c>
      <c r="S1136" s="11" t="s">
        <v>99</v>
      </c>
      <c r="T1136" s="11" t="s">
        <v>647</v>
      </c>
      <c r="U1136" s="11" t="s">
        <v>1798</v>
      </c>
      <c r="V1136" s="116" t="s">
        <v>10</v>
      </c>
      <c r="W1136" s="88"/>
      <c r="X1136" s="51">
        <v>45544</v>
      </c>
      <c r="Y1136" s="97" t="s">
        <v>1577</v>
      </c>
      <c r="Z1136" s="135" t="s">
        <v>3023</v>
      </c>
      <c r="AA1136" s="135">
        <v>0</v>
      </c>
    </row>
    <row r="1137" spans="1:27" ht="13" customHeight="1">
      <c r="A1137" s="11">
        <v>1131</v>
      </c>
      <c r="B1137" s="47">
        <v>204117685</v>
      </c>
      <c r="C1137" s="89" t="s">
        <v>1269</v>
      </c>
      <c r="D1137" s="11" t="s">
        <v>1270</v>
      </c>
      <c r="E1137" s="48" t="s">
        <v>31</v>
      </c>
      <c r="F1137" s="48" t="s">
        <v>74</v>
      </c>
      <c r="G1137" s="11" t="s">
        <v>64</v>
      </c>
      <c r="H1137" s="48" t="str">
        <f>VLOOKUP(Table1[[#This Row],[Psoft No]],[1]Roster!$C$2:$H$1402,6,)</f>
        <v>AUH1</v>
      </c>
      <c r="I1137" s="48" t="b">
        <f>Table1[[#This Row],[Building]]=Table1[[#This Row],[Column1]]</f>
        <v>1</v>
      </c>
      <c r="J1137" s="11" t="s">
        <v>75</v>
      </c>
      <c r="K1137" s="11">
        <v>1299</v>
      </c>
      <c r="L1137" s="49" t="s">
        <v>39</v>
      </c>
      <c r="M1137" s="49" t="s">
        <v>76</v>
      </c>
      <c r="N1137" s="49" t="s">
        <v>85</v>
      </c>
      <c r="O1137" s="49" t="s">
        <v>88</v>
      </c>
      <c r="P1137" s="48" t="s">
        <v>86</v>
      </c>
      <c r="Q1137" s="49" t="s">
        <v>37</v>
      </c>
      <c r="R1137" s="11" t="s">
        <v>80</v>
      </c>
      <c r="S1137" s="11" t="s">
        <v>87</v>
      </c>
      <c r="T1137" s="11" t="s">
        <v>627</v>
      </c>
      <c r="U1137" s="11" t="s">
        <v>628</v>
      </c>
      <c r="V1137" s="116" t="s">
        <v>1</v>
      </c>
      <c r="W1137" s="88"/>
      <c r="X1137" s="51">
        <v>45561</v>
      </c>
      <c r="Y1137" s="97" t="s">
        <v>1577</v>
      </c>
      <c r="Z1137" s="135" t="s">
        <v>2</v>
      </c>
      <c r="AA1137" s="135">
        <v>0</v>
      </c>
    </row>
    <row r="1138" spans="1:27" ht="13" customHeight="1">
      <c r="A1138" s="11">
        <v>1132</v>
      </c>
      <c r="B1138" s="92">
        <v>205845546</v>
      </c>
      <c r="C1138" s="47" t="s">
        <v>2816</v>
      </c>
      <c r="D1138" s="89" t="s">
        <v>2817</v>
      </c>
      <c r="E1138" s="48" t="s">
        <v>31</v>
      </c>
      <c r="F1138" s="48" t="s">
        <v>74</v>
      </c>
      <c r="G1138" s="11" t="s">
        <v>64</v>
      </c>
      <c r="H1138" s="48" t="str">
        <f>VLOOKUP(Table1[[#This Row],[Psoft No]],[1]Roster!$C$2:$H$1402,6,)</f>
        <v>AUH1</v>
      </c>
      <c r="I1138" s="48" t="b">
        <f>Table1[[#This Row],[Building]]=Table1[[#This Row],[Column1]]</f>
        <v>1</v>
      </c>
      <c r="J1138" s="11" t="s">
        <v>75</v>
      </c>
      <c r="K1138" s="11">
        <v>1299</v>
      </c>
      <c r="L1138" s="49" t="s">
        <v>32</v>
      </c>
      <c r="M1138" s="49" t="s">
        <v>76</v>
      </c>
      <c r="N1138" s="49" t="s">
        <v>85</v>
      </c>
      <c r="O1138" s="49" t="s">
        <v>88</v>
      </c>
      <c r="P1138" s="48" t="s">
        <v>86</v>
      </c>
      <c r="Q1138" s="49" t="s">
        <v>37</v>
      </c>
      <c r="R1138" s="11" t="s">
        <v>80</v>
      </c>
      <c r="S1138" s="11" t="s">
        <v>90</v>
      </c>
      <c r="T1138" s="11" t="s">
        <v>2845</v>
      </c>
      <c r="U1138" s="11" t="s">
        <v>2846</v>
      </c>
      <c r="V1138" s="116" t="str">
        <f>VLOOKUP(Table1[[#This Row],[Psoft No]],[2]Sheet1!$A$2:$G$386,7,0)</f>
        <v>P</v>
      </c>
      <c r="W1138" s="88"/>
      <c r="X1138" s="51">
        <v>45894</v>
      </c>
      <c r="Y1138" s="97" t="s">
        <v>1577</v>
      </c>
      <c r="Z1138" s="135" t="s">
        <v>2</v>
      </c>
      <c r="AA1138" s="135">
        <v>0</v>
      </c>
    </row>
    <row r="1139" spans="1:27" ht="13" customHeight="1">
      <c r="A1139" s="11">
        <v>1133</v>
      </c>
      <c r="B1139" s="47">
        <v>203908332</v>
      </c>
      <c r="C1139" s="89" t="s">
        <v>2341</v>
      </c>
      <c r="D1139" s="11" t="s">
        <v>2342</v>
      </c>
      <c r="E1139" s="48" t="s">
        <v>31</v>
      </c>
      <c r="F1139" s="48" t="s">
        <v>74</v>
      </c>
      <c r="G1139" s="11" t="s">
        <v>64</v>
      </c>
      <c r="H1139" s="48" t="str">
        <f>VLOOKUP(Table1[[#This Row],[Psoft No]],[1]Roster!$C$2:$H$1402,6,)</f>
        <v>AUH1</v>
      </c>
      <c r="I1139" s="48" t="b">
        <f>Table1[[#This Row],[Building]]=Table1[[#This Row],[Column1]]</f>
        <v>1</v>
      </c>
      <c r="J1139" s="11" t="s">
        <v>75</v>
      </c>
      <c r="K1139" s="11">
        <v>1299</v>
      </c>
      <c r="L1139" s="49" t="s">
        <v>32</v>
      </c>
      <c r="M1139" s="49" t="s">
        <v>76</v>
      </c>
      <c r="N1139" s="49" t="s">
        <v>77</v>
      </c>
      <c r="O1139" s="49" t="s">
        <v>78</v>
      </c>
      <c r="P1139" s="48" t="s">
        <v>86</v>
      </c>
      <c r="Q1139" s="49" t="s">
        <v>37</v>
      </c>
      <c r="R1139" s="11" t="s">
        <v>80</v>
      </c>
      <c r="S1139" s="11" t="s">
        <v>90</v>
      </c>
      <c r="T1139" s="11" t="s">
        <v>627</v>
      </c>
      <c r="U1139" s="11" t="s">
        <v>628</v>
      </c>
      <c r="V1139" s="116" t="str">
        <f>VLOOKUP(Table1[[#This Row],[Psoft No]],[2]Sheet1!$A$2:$G$386,7,0)</f>
        <v>P</v>
      </c>
      <c r="W1139" s="88"/>
      <c r="X1139" s="51">
        <v>45537</v>
      </c>
      <c r="Y1139" s="97" t="s">
        <v>1578</v>
      </c>
      <c r="Z1139" s="135" t="s">
        <v>2</v>
      </c>
      <c r="AA1139" s="135">
        <v>0</v>
      </c>
    </row>
    <row r="1140" spans="1:27" ht="13" customHeight="1">
      <c r="A1140" s="11">
        <v>1134</v>
      </c>
      <c r="B1140" s="47">
        <v>206604522</v>
      </c>
      <c r="C1140" s="89" t="s">
        <v>2068</v>
      </c>
      <c r="D1140" s="11" t="s">
        <v>2069</v>
      </c>
      <c r="E1140" s="48" t="s">
        <v>31</v>
      </c>
      <c r="F1140" s="48" t="s">
        <v>74</v>
      </c>
      <c r="G1140" s="11" t="s">
        <v>64</v>
      </c>
      <c r="H1140" s="48" t="str">
        <f>VLOOKUP(Table1[[#This Row],[Psoft No]],[1]Roster!$C$2:$H$1402,6,)</f>
        <v>AUH1</v>
      </c>
      <c r="I1140" s="48" t="b">
        <f>Table1[[#This Row],[Building]]=Table1[[#This Row],[Column1]]</f>
        <v>1</v>
      </c>
      <c r="J1140" s="11" t="s">
        <v>75</v>
      </c>
      <c r="K1140" s="11">
        <v>1299</v>
      </c>
      <c r="L1140" s="49" t="s">
        <v>39</v>
      </c>
      <c r="M1140" s="49" t="s">
        <v>76</v>
      </c>
      <c r="N1140" s="49" t="s">
        <v>92</v>
      </c>
      <c r="O1140" s="49" t="s">
        <v>84</v>
      </c>
      <c r="P1140" s="48" t="s">
        <v>89</v>
      </c>
      <c r="Q1140" s="49" t="s">
        <v>37</v>
      </c>
      <c r="R1140" s="11" t="s">
        <v>80</v>
      </c>
      <c r="S1140" s="11" t="s">
        <v>96</v>
      </c>
      <c r="T1140" s="11" t="s">
        <v>2719</v>
      </c>
      <c r="U1140" s="11" t="s">
        <v>642</v>
      </c>
      <c r="V1140" s="116" t="s">
        <v>10</v>
      </c>
      <c r="W1140" s="88"/>
      <c r="X1140" s="51">
        <v>46048</v>
      </c>
      <c r="Y1140" s="97" t="s">
        <v>1577</v>
      </c>
      <c r="Z1140" s="135" t="s">
        <v>3023</v>
      </c>
      <c r="AA1140" s="135">
        <v>0</v>
      </c>
    </row>
    <row r="1141" spans="1:27" ht="13" customHeight="1">
      <c r="A1141" s="11">
        <v>1135</v>
      </c>
      <c r="B1141" s="47">
        <v>206851164</v>
      </c>
      <c r="C1141" s="89" t="s">
        <v>1869</v>
      </c>
      <c r="D1141" s="11" t="s">
        <v>1870</v>
      </c>
      <c r="E1141" s="48" t="s">
        <v>31</v>
      </c>
      <c r="F1141" s="48" t="s">
        <v>74</v>
      </c>
      <c r="G1141" s="11" t="s">
        <v>64</v>
      </c>
      <c r="H1141" s="48" t="str">
        <f>VLOOKUP(Table1[[#This Row],[Psoft No]],[1]Roster!$C$2:$H$1402,6,)</f>
        <v>AUH1</v>
      </c>
      <c r="I1141" s="48" t="b">
        <f>Table1[[#This Row],[Building]]=Table1[[#This Row],[Column1]]</f>
        <v>1</v>
      </c>
      <c r="J1141" s="11" t="s">
        <v>75</v>
      </c>
      <c r="K1141" s="11">
        <v>1299</v>
      </c>
      <c r="L1141" s="49" t="s">
        <v>39</v>
      </c>
      <c r="M1141" s="49" t="s">
        <v>76</v>
      </c>
      <c r="N1141" s="49" t="s">
        <v>84</v>
      </c>
      <c r="O1141" s="49" t="s">
        <v>85</v>
      </c>
      <c r="P1141" s="48" t="s">
        <v>89</v>
      </c>
      <c r="Q1141" s="49" t="s">
        <v>37</v>
      </c>
      <c r="R1141" s="11" t="s">
        <v>80</v>
      </c>
      <c r="S1141" s="11" t="s">
        <v>90</v>
      </c>
      <c r="T1141" s="11" t="s">
        <v>647</v>
      </c>
      <c r="U1141" s="11" t="s">
        <v>1798</v>
      </c>
      <c r="V1141" s="116" t="s">
        <v>1</v>
      </c>
      <c r="W1141" s="88"/>
      <c r="X1141" s="51">
        <v>46030</v>
      </c>
      <c r="Y1141" s="97" t="s">
        <v>1577</v>
      </c>
      <c r="Z1141" s="135" t="s">
        <v>2</v>
      </c>
      <c r="AA1141" s="135">
        <v>0</v>
      </c>
    </row>
    <row r="1142" spans="1:27" ht="13" customHeight="1">
      <c r="A1142" s="11">
        <v>1136</v>
      </c>
      <c r="B1142" s="47">
        <v>203908334</v>
      </c>
      <c r="C1142" s="89" t="s">
        <v>1271</v>
      </c>
      <c r="D1142" s="11" t="s">
        <v>1272</v>
      </c>
      <c r="E1142" s="48" t="s">
        <v>31</v>
      </c>
      <c r="F1142" s="48" t="s">
        <v>74</v>
      </c>
      <c r="G1142" s="11" t="s">
        <v>64</v>
      </c>
      <c r="H1142" s="48" t="str">
        <f>VLOOKUP(Table1[[#This Row],[Psoft No]],[1]Roster!$C$2:$H$1402,6,)</f>
        <v>AUH1</v>
      </c>
      <c r="I1142" s="48" t="b">
        <f>Table1[[#This Row],[Building]]=Table1[[#This Row],[Column1]]</f>
        <v>1</v>
      </c>
      <c r="J1142" s="11" t="s">
        <v>75</v>
      </c>
      <c r="K1142" s="11">
        <v>1299</v>
      </c>
      <c r="L1142" s="49" t="s">
        <v>39</v>
      </c>
      <c r="M1142" s="49" t="s">
        <v>76</v>
      </c>
      <c r="N1142" s="49" t="s">
        <v>78</v>
      </c>
      <c r="O1142" s="49" t="s">
        <v>92</v>
      </c>
      <c r="P1142" s="48" t="s">
        <v>86</v>
      </c>
      <c r="Q1142" s="49" t="s">
        <v>37</v>
      </c>
      <c r="R1142" s="11" t="s">
        <v>80</v>
      </c>
      <c r="S1142" s="11" t="s">
        <v>90</v>
      </c>
      <c r="T1142" s="49" t="s">
        <v>631</v>
      </c>
      <c r="U1142" s="11" t="s">
        <v>632</v>
      </c>
      <c r="V1142" s="116" t="s">
        <v>10</v>
      </c>
      <c r="W1142" s="88"/>
      <c r="X1142" s="51">
        <v>45537</v>
      </c>
      <c r="Y1142" s="97" t="s">
        <v>1578</v>
      </c>
      <c r="Z1142" s="135" t="s">
        <v>3023</v>
      </c>
      <c r="AA1142" s="135">
        <v>0</v>
      </c>
    </row>
    <row r="1143" spans="1:27" ht="13" customHeight="1">
      <c r="A1143" s="11">
        <v>1137</v>
      </c>
      <c r="B1143" s="47">
        <v>206129263</v>
      </c>
      <c r="C1143" s="89" t="s">
        <v>1273</v>
      </c>
      <c r="D1143" s="11" t="s">
        <v>1274</v>
      </c>
      <c r="E1143" s="48" t="s">
        <v>31</v>
      </c>
      <c r="F1143" s="48" t="s">
        <v>74</v>
      </c>
      <c r="G1143" s="11" t="s">
        <v>64</v>
      </c>
      <c r="H1143" s="48" t="str">
        <f>VLOOKUP(Table1[[#This Row],[Psoft No]],[1]Roster!$C$2:$H$1402,6,)</f>
        <v>AUH1</v>
      </c>
      <c r="I1143" s="48" t="b">
        <f>Table1[[#This Row],[Building]]=Table1[[#This Row],[Column1]]</f>
        <v>1</v>
      </c>
      <c r="J1143" s="11" t="s">
        <v>75</v>
      </c>
      <c r="K1143" s="11">
        <v>1299</v>
      </c>
      <c r="L1143" s="49" t="s">
        <v>32</v>
      </c>
      <c r="M1143" s="49" t="s">
        <v>76</v>
      </c>
      <c r="N1143" s="49" t="s">
        <v>78</v>
      </c>
      <c r="O1143" s="49" t="s">
        <v>92</v>
      </c>
      <c r="P1143" s="48" t="s">
        <v>79</v>
      </c>
      <c r="Q1143" s="49" t="s">
        <v>37</v>
      </c>
      <c r="R1143" s="11" t="s">
        <v>80</v>
      </c>
      <c r="S1143" s="11" t="s">
        <v>81</v>
      </c>
      <c r="T1143" s="49" t="s">
        <v>647</v>
      </c>
      <c r="U1143" s="11" t="s">
        <v>1798</v>
      </c>
      <c r="V1143" s="116" t="s">
        <v>10</v>
      </c>
      <c r="W1143" s="88"/>
      <c r="X1143" s="51">
        <v>45929</v>
      </c>
      <c r="Y1143" s="97" t="s">
        <v>1577</v>
      </c>
      <c r="Z1143" s="135" t="s">
        <v>3023</v>
      </c>
      <c r="AA1143" s="135">
        <v>0</v>
      </c>
    </row>
    <row r="1144" spans="1:27" ht="13" customHeight="1">
      <c r="A1144" s="11">
        <v>1138</v>
      </c>
      <c r="B1144" s="47">
        <v>204013685</v>
      </c>
      <c r="C1144" s="89" t="s">
        <v>1275</v>
      </c>
      <c r="D1144" s="11" t="s">
        <v>1276</v>
      </c>
      <c r="E1144" s="48" t="s">
        <v>31</v>
      </c>
      <c r="F1144" s="48" t="s">
        <v>74</v>
      </c>
      <c r="G1144" s="11" t="s">
        <v>64</v>
      </c>
      <c r="H1144" s="48" t="str">
        <f>VLOOKUP(Table1[[#This Row],[Psoft No]],[1]Roster!$C$2:$H$1402,6,)</f>
        <v>AUH1</v>
      </c>
      <c r="I1144" s="48" t="b">
        <f>Table1[[#This Row],[Building]]=Table1[[#This Row],[Column1]]</f>
        <v>1</v>
      </c>
      <c r="J1144" s="11" t="s">
        <v>75</v>
      </c>
      <c r="K1144" s="11">
        <v>1299</v>
      </c>
      <c r="L1144" s="49" t="s">
        <v>39</v>
      </c>
      <c r="M1144" s="49" t="s">
        <v>76</v>
      </c>
      <c r="N1144" s="49" t="s">
        <v>92</v>
      </c>
      <c r="O1144" s="49" t="s">
        <v>84</v>
      </c>
      <c r="P1144" s="49" t="s">
        <v>79</v>
      </c>
      <c r="Q1144" s="49" t="s">
        <v>37</v>
      </c>
      <c r="R1144" s="11" t="s">
        <v>80</v>
      </c>
      <c r="S1144" s="11" t="s">
        <v>81</v>
      </c>
      <c r="T1144" s="11" t="s">
        <v>627</v>
      </c>
      <c r="U1144" s="11" t="s">
        <v>628</v>
      </c>
      <c r="V1144" s="116" t="s">
        <v>10</v>
      </c>
      <c r="W1144" s="88"/>
      <c r="X1144" s="51">
        <v>45551</v>
      </c>
      <c r="Y1144" s="97" t="s">
        <v>1576</v>
      </c>
      <c r="Z1144" s="135" t="s">
        <v>3023</v>
      </c>
      <c r="AA1144" s="135">
        <v>0</v>
      </c>
    </row>
    <row r="1145" spans="1:27" ht="13" customHeight="1">
      <c r="A1145" s="11">
        <v>1139</v>
      </c>
      <c r="B1145" s="92">
        <v>205199356</v>
      </c>
      <c r="C1145" s="47" t="s">
        <v>2873</v>
      </c>
      <c r="D1145" s="89" t="s">
        <v>2874</v>
      </c>
      <c r="E1145" s="48" t="s">
        <v>31</v>
      </c>
      <c r="F1145" s="48" t="s">
        <v>74</v>
      </c>
      <c r="G1145" s="11" t="s">
        <v>64</v>
      </c>
      <c r="H1145" s="48" t="str">
        <f>VLOOKUP(Table1[[#This Row],[Psoft No]],[1]Roster!$C$2:$H$1402,6,)</f>
        <v>AUH1</v>
      </c>
      <c r="I1145" s="48" t="b">
        <f>Table1[[#This Row],[Building]]=Table1[[#This Row],[Column1]]</f>
        <v>1</v>
      </c>
      <c r="J1145" s="11" t="s">
        <v>75</v>
      </c>
      <c r="K1145" s="11">
        <v>1299</v>
      </c>
      <c r="L1145" s="49" t="s">
        <v>39</v>
      </c>
      <c r="M1145" s="49" t="s">
        <v>76</v>
      </c>
      <c r="N1145" s="49" t="s">
        <v>84</v>
      </c>
      <c r="O1145" s="49" t="s">
        <v>85</v>
      </c>
      <c r="P1145" s="48" t="s">
        <v>89</v>
      </c>
      <c r="Q1145" s="49" t="s">
        <v>37</v>
      </c>
      <c r="R1145" s="11" t="s">
        <v>80</v>
      </c>
      <c r="S1145" s="11" t="s">
        <v>96</v>
      </c>
      <c r="T1145" s="11" t="s">
        <v>1066</v>
      </c>
      <c r="U1145" s="11" t="s">
        <v>2717</v>
      </c>
      <c r="V1145" s="116" t="s">
        <v>1</v>
      </c>
      <c r="W1145" s="88"/>
      <c r="X1145" s="51">
        <v>46238</v>
      </c>
      <c r="Y1145" s="97" t="s">
        <v>1577</v>
      </c>
      <c r="Z1145" s="135" t="s">
        <v>2</v>
      </c>
      <c r="AA1145" s="135">
        <v>0</v>
      </c>
    </row>
    <row r="1146" spans="1:27" ht="13" customHeight="1">
      <c r="A1146" s="11">
        <v>1140</v>
      </c>
      <c r="B1146" s="47">
        <v>206200800</v>
      </c>
      <c r="C1146" s="89" t="s">
        <v>1595</v>
      </c>
      <c r="D1146" s="11" t="s">
        <v>1589</v>
      </c>
      <c r="E1146" s="48" t="s">
        <v>31</v>
      </c>
      <c r="F1146" s="48" t="s">
        <v>74</v>
      </c>
      <c r="G1146" s="11" t="s">
        <v>64</v>
      </c>
      <c r="H1146" s="48" t="str">
        <f>VLOOKUP(Table1[[#This Row],[Psoft No]],[1]Roster!$C$2:$H$1402,6,)</f>
        <v>AUH1</v>
      </c>
      <c r="I1146" s="48" t="b">
        <f>Table1[[#This Row],[Building]]=Table1[[#This Row],[Column1]]</f>
        <v>1</v>
      </c>
      <c r="J1146" s="11" t="s">
        <v>75</v>
      </c>
      <c r="K1146" s="11">
        <v>1299</v>
      </c>
      <c r="L1146" s="49" t="s">
        <v>32</v>
      </c>
      <c r="M1146" s="49" t="s">
        <v>76</v>
      </c>
      <c r="N1146" s="49" t="s">
        <v>77</v>
      </c>
      <c r="O1146" s="49" t="s">
        <v>78</v>
      </c>
      <c r="P1146" s="48" t="s">
        <v>89</v>
      </c>
      <c r="Q1146" s="49" t="s">
        <v>37</v>
      </c>
      <c r="R1146" s="11" t="s">
        <v>80</v>
      </c>
      <c r="S1146" s="11" t="s">
        <v>81</v>
      </c>
      <c r="T1146" s="11" t="s">
        <v>2719</v>
      </c>
      <c r="U1146" s="11" t="s">
        <v>642</v>
      </c>
      <c r="V1146" s="116" t="str">
        <f>VLOOKUP(Table1[[#This Row],[Psoft No]],[2]Sheet1!$A$2:$G$386,7,0)</f>
        <v>P</v>
      </c>
      <c r="W1146" s="88"/>
      <c r="X1146" s="51">
        <v>45936</v>
      </c>
      <c r="Y1146" s="97" t="s">
        <v>1577</v>
      </c>
      <c r="Z1146" s="135" t="s">
        <v>2</v>
      </c>
      <c r="AA1146" s="135">
        <v>0</v>
      </c>
    </row>
    <row r="1147" spans="1:27" ht="13" customHeight="1">
      <c r="A1147" s="11">
        <v>1141</v>
      </c>
      <c r="B1147" s="47">
        <v>206846532</v>
      </c>
      <c r="C1147" s="89" t="s">
        <v>1817</v>
      </c>
      <c r="D1147" s="11" t="s">
        <v>1818</v>
      </c>
      <c r="E1147" s="48" t="s">
        <v>31</v>
      </c>
      <c r="F1147" s="48" t="s">
        <v>74</v>
      </c>
      <c r="G1147" s="11" t="s">
        <v>64</v>
      </c>
      <c r="H1147" s="48" t="str">
        <f>VLOOKUP(Table1[[#This Row],[Psoft No]],[1]Roster!$C$2:$H$1402,6,)</f>
        <v>AUH1</v>
      </c>
      <c r="I1147" s="48" t="b">
        <f>Table1[[#This Row],[Building]]=Table1[[#This Row],[Column1]]</f>
        <v>1</v>
      </c>
      <c r="J1147" s="11" t="s">
        <v>75</v>
      </c>
      <c r="K1147" s="11">
        <v>1299</v>
      </c>
      <c r="L1147" s="49" t="s">
        <v>39</v>
      </c>
      <c r="M1147" s="49" t="s">
        <v>76</v>
      </c>
      <c r="N1147" s="49" t="s">
        <v>84</v>
      </c>
      <c r="O1147" s="49" t="s">
        <v>85</v>
      </c>
      <c r="P1147" s="48" t="s">
        <v>89</v>
      </c>
      <c r="Q1147" s="49" t="s">
        <v>37</v>
      </c>
      <c r="R1147" s="11" t="s">
        <v>80</v>
      </c>
      <c r="S1147" s="11" t="s">
        <v>90</v>
      </c>
      <c r="T1147" s="49" t="s">
        <v>2844</v>
      </c>
      <c r="U1147" s="11" t="s">
        <v>2716</v>
      </c>
      <c r="V1147" s="116" t="s">
        <v>1</v>
      </c>
      <c r="W1147" s="88"/>
      <c r="X1147" s="51">
        <v>46013</v>
      </c>
      <c r="Y1147" s="97" t="s">
        <v>1577</v>
      </c>
      <c r="Z1147" s="135" t="s">
        <v>2</v>
      </c>
      <c r="AA1147" s="135">
        <v>0</v>
      </c>
    </row>
    <row r="1148" spans="1:27" ht="13" customHeight="1">
      <c r="A1148" s="11">
        <v>1142</v>
      </c>
      <c r="B1148" s="47">
        <v>206129267</v>
      </c>
      <c r="C1148" s="89" t="s">
        <v>1133</v>
      </c>
      <c r="D1148" s="11" t="s">
        <v>1134</v>
      </c>
      <c r="E1148" s="48" t="s">
        <v>31</v>
      </c>
      <c r="F1148" s="48" t="s">
        <v>74</v>
      </c>
      <c r="G1148" s="11" t="s">
        <v>64</v>
      </c>
      <c r="H1148" s="48" t="str">
        <f>VLOOKUP(Table1[[#This Row],[Psoft No]],[1]Roster!$C$2:$H$1402,6,)</f>
        <v>AUH1</v>
      </c>
      <c r="I1148" s="48" t="b">
        <f>Table1[[#This Row],[Building]]=Table1[[#This Row],[Column1]]</f>
        <v>1</v>
      </c>
      <c r="J1148" s="11" t="s">
        <v>75</v>
      </c>
      <c r="K1148" s="11">
        <v>1299</v>
      </c>
      <c r="L1148" s="49" t="s">
        <v>32</v>
      </c>
      <c r="M1148" s="49" t="s">
        <v>76</v>
      </c>
      <c r="N1148" s="49" t="s">
        <v>78</v>
      </c>
      <c r="O1148" s="49" t="s">
        <v>92</v>
      </c>
      <c r="P1148" s="49" t="s">
        <v>79</v>
      </c>
      <c r="Q1148" s="49" t="s">
        <v>37</v>
      </c>
      <c r="R1148" s="11" t="s">
        <v>80</v>
      </c>
      <c r="S1148" s="11" t="s">
        <v>81</v>
      </c>
      <c r="T1148" s="11" t="s">
        <v>647</v>
      </c>
      <c r="U1148" s="11" t="s">
        <v>1798</v>
      </c>
      <c r="V1148" s="116" t="s">
        <v>10</v>
      </c>
      <c r="W1148" s="88"/>
      <c r="X1148" s="51">
        <v>45929</v>
      </c>
      <c r="Y1148" s="97" t="s">
        <v>1577</v>
      </c>
      <c r="Z1148" s="135" t="s">
        <v>3023</v>
      </c>
      <c r="AA1148" s="135">
        <v>0</v>
      </c>
    </row>
    <row r="1149" spans="1:27" ht="13" customHeight="1">
      <c r="A1149" s="11">
        <v>1143</v>
      </c>
      <c r="B1149" s="47">
        <v>108019725</v>
      </c>
      <c r="C1149" s="89" t="s">
        <v>2366</v>
      </c>
      <c r="D1149" s="11" t="s">
        <v>2367</v>
      </c>
      <c r="E1149" s="48" t="s">
        <v>34</v>
      </c>
      <c r="F1149" s="48" t="s">
        <v>74</v>
      </c>
      <c r="G1149" s="11" t="s">
        <v>64</v>
      </c>
      <c r="H1149" s="48" t="str">
        <f>VLOOKUP(Table1[[#This Row],[Psoft No]],[1]Roster!$C$2:$H$1402,6,)</f>
        <v>AUH1</v>
      </c>
      <c r="I1149" s="48" t="b">
        <f>Table1[[#This Row],[Building]]=Table1[[#This Row],[Column1]]</f>
        <v>1</v>
      </c>
      <c r="J1149" s="11" t="s">
        <v>75</v>
      </c>
      <c r="K1149" s="11">
        <v>1299</v>
      </c>
      <c r="L1149" s="49" t="s">
        <v>39</v>
      </c>
      <c r="M1149" s="49" t="s">
        <v>76</v>
      </c>
      <c r="N1149" s="49" t="s">
        <v>84</v>
      </c>
      <c r="O1149" s="49" t="s">
        <v>85</v>
      </c>
      <c r="P1149" s="48" t="s">
        <v>97</v>
      </c>
      <c r="Q1149" s="49" t="s">
        <v>37</v>
      </c>
      <c r="R1149" s="11" t="s">
        <v>80</v>
      </c>
      <c r="S1149" s="11" t="s">
        <v>98</v>
      </c>
      <c r="T1149" s="49" t="s">
        <v>631</v>
      </c>
      <c r="U1149" s="11" t="s">
        <v>632</v>
      </c>
      <c r="V1149" s="116" t="s">
        <v>1</v>
      </c>
      <c r="W1149" s="88"/>
      <c r="X1149" s="51">
        <v>44757</v>
      </c>
      <c r="Y1149" s="97" t="s">
        <v>1577</v>
      </c>
      <c r="Z1149" s="135" t="s">
        <v>2</v>
      </c>
      <c r="AA1149" s="135">
        <v>0</v>
      </c>
    </row>
    <row r="1150" spans="1:27" ht="13" customHeight="1">
      <c r="A1150" s="11">
        <v>1144</v>
      </c>
      <c r="B1150" s="47">
        <v>203908914</v>
      </c>
      <c r="C1150" s="89" t="s">
        <v>1277</v>
      </c>
      <c r="D1150" s="47" t="s">
        <v>1278</v>
      </c>
      <c r="E1150" s="47" t="s">
        <v>31</v>
      </c>
      <c r="F1150" s="48" t="s">
        <v>74</v>
      </c>
      <c r="G1150" s="11" t="s">
        <v>64</v>
      </c>
      <c r="H1150" s="48" t="str">
        <f>VLOOKUP(Table1[[#This Row],[Psoft No]],[1]Roster!$C$2:$H$1402,6,)</f>
        <v>AUH1</v>
      </c>
      <c r="I1150" s="48" t="b">
        <f>Table1[[#This Row],[Building]]=Table1[[#This Row],[Column1]]</f>
        <v>1</v>
      </c>
      <c r="J1150" s="11" t="s">
        <v>75</v>
      </c>
      <c r="K1150" s="47">
        <v>1299</v>
      </c>
      <c r="L1150" s="49" t="s">
        <v>39</v>
      </c>
      <c r="M1150" s="49" t="s">
        <v>76</v>
      </c>
      <c r="N1150" s="49" t="s">
        <v>88</v>
      </c>
      <c r="O1150" s="49" t="s">
        <v>95</v>
      </c>
      <c r="P1150" s="49" t="s">
        <v>86</v>
      </c>
      <c r="Q1150" s="49" t="s">
        <v>37</v>
      </c>
      <c r="R1150" s="11" t="s">
        <v>80</v>
      </c>
      <c r="S1150" s="47" t="s">
        <v>90</v>
      </c>
      <c r="T1150" s="49" t="s">
        <v>647</v>
      </c>
      <c r="U1150" s="47" t="s">
        <v>1798</v>
      </c>
      <c r="V1150" s="116" t="s">
        <v>1</v>
      </c>
      <c r="W1150" s="88"/>
      <c r="X1150" s="51">
        <v>45537</v>
      </c>
      <c r="Y1150" s="97" t="s">
        <v>1577</v>
      </c>
      <c r="Z1150" s="135" t="s">
        <v>2</v>
      </c>
      <c r="AA1150" s="135">
        <v>0</v>
      </c>
    </row>
    <row r="1151" spans="1:27" ht="13" customHeight="1">
      <c r="A1151" s="11">
        <v>1145</v>
      </c>
      <c r="B1151" s="47">
        <v>206348026</v>
      </c>
      <c r="C1151" s="89" t="s">
        <v>1680</v>
      </c>
      <c r="D1151" s="11" t="s">
        <v>1681</v>
      </c>
      <c r="E1151" s="48" t="s">
        <v>31</v>
      </c>
      <c r="F1151" s="48" t="s">
        <v>74</v>
      </c>
      <c r="G1151" s="11" t="s">
        <v>65</v>
      </c>
      <c r="H1151" s="48" t="str">
        <f>VLOOKUP(Table1[[#This Row],[Psoft No]],[1]Roster!$C$2:$H$1402,6,)</f>
        <v>AUH3</v>
      </c>
      <c r="I1151" s="48" t="b">
        <f>Table1[[#This Row],[Building]]=Table1[[#This Row],[Column1]]</f>
        <v>1</v>
      </c>
      <c r="J1151" s="11" t="s">
        <v>1332</v>
      </c>
      <c r="K1151" s="11">
        <v>1181</v>
      </c>
      <c r="L1151" s="49" t="s">
        <v>32</v>
      </c>
      <c r="M1151" s="49" t="s">
        <v>76</v>
      </c>
      <c r="N1151" s="49" t="s">
        <v>88</v>
      </c>
      <c r="O1151" s="49" t="s">
        <v>95</v>
      </c>
      <c r="P1151" s="48" t="s">
        <v>89</v>
      </c>
      <c r="Q1151" s="49" t="s">
        <v>68</v>
      </c>
      <c r="R1151" s="11" t="s">
        <v>80</v>
      </c>
      <c r="S1151" s="11" t="s">
        <v>90</v>
      </c>
      <c r="T1151" s="11" t="s">
        <v>1336</v>
      </c>
      <c r="U1151" s="11" t="s">
        <v>1337</v>
      </c>
      <c r="V1151" s="116" t="s">
        <v>1</v>
      </c>
      <c r="W1151" s="88"/>
      <c r="X1151" s="51">
        <v>45957</v>
      </c>
      <c r="Y1151" s="97" t="s">
        <v>68</v>
      </c>
      <c r="Z1151" s="135" t="s">
        <v>2</v>
      </c>
      <c r="AA1151" s="135">
        <v>0</v>
      </c>
    </row>
    <row r="1152" spans="1:27" ht="13" customHeight="1">
      <c r="A1152" s="11">
        <v>1146</v>
      </c>
      <c r="B1152" s="47">
        <v>206137337</v>
      </c>
      <c r="C1152" s="89" t="s">
        <v>1279</v>
      </c>
      <c r="D1152" s="11" t="s">
        <v>1280</v>
      </c>
      <c r="E1152" s="48" t="s">
        <v>31</v>
      </c>
      <c r="F1152" s="48" t="s">
        <v>74</v>
      </c>
      <c r="G1152" s="11" t="s">
        <v>64</v>
      </c>
      <c r="H1152" s="48" t="str">
        <f>VLOOKUP(Table1[[#This Row],[Psoft No]],[1]Roster!$C$2:$H$1402,6,)</f>
        <v>AUH1</v>
      </c>
      <c r="I1152" s="48" t="b">
        <f>Table1[[#This Row],[Building]]=Table1[[#This Row],[Column1]]</f>
        <v>1</v>
      </c>
      <c r="J1152" s="11" t="s">
        <v>75</v>
      </c>
      <c r="K1152" s="11">
        <v>1299</v>
      </c>
      <c r="L1152" s="49" t="s">
        <v>39</v>
      </c>
      <c r="M1152" s="49" t="s">
        <v>76</v>
      </c>
      <c r="N1152" s="49" t="s">
        <v>84</v>
      </c>
      <c r="O1152" s="49" t="s">
        <v>85</v>
      </c>
      <c r="P1152" s="48" t="s">
        <v>79</v>
      </c>
      <c r="Q1152" s="49" t="s">
        <v>37</v>
      </c>
      <c r="R1152" s="11" t="s">
        <v>80</v>
      </c>
      <c r="S1152" s="11" t="s">
        <v>81</v>
      </c>
      <c r="T1152" s="11" t="s">
        <v>627</v>
      </c>
      <c r="U1152" s="11" t="s">
        <v>628</v>
      </c>
      <c r="V1152" s="116" t="s">
        <v>7</v>
      </c>
      <c r="W1152" s="88"/>
      <c r="X1152" s="51">
        <v>45929</v>
      </c>
      <c r="Y1152" s="97" t="s">
        <v>1577</v>
      </c>
      <c r="Z1152" s="135" t="s">
        <v>3023</v>
      </c>
      <c r="AA1152" s="135" t="s">
        <v>3024</v>
      </c>
    </row>
    <row r="1153" spans="1:27" ht="13" customHeight="1">
      <c r="A1153" s="11">
        <v>1147</v>
      </c>
      <c r="B1153" s="47">
        <v>203512964</v>
      </c>
      <c r="C1153" s="89" t="s">
        <v>1281</v>
      </c>
      <c r="D1153" s="11" t="s">
        <v>1282</v>
      </c>
      <c r="E1153" s="48" t="s">
        <v>31</v>
      </c>
      <c r="F1153" s="48" t="s">
        <v>74</v>
      </c>
      <c r="G1153" s="11" t="s">
        <v>64</v>
      </c>
      <c r="H1153" s="48" t="str">
        <f>VLOOKUP(Table1[[#This Row],[Psoft No]],[1]Roster!$C$2:$H$1402,6,)</f>
        <v>AUH1</v>
      </c>
      <c r="I1153" s="48" t="b">
        <f>Table1[[#This Row],[Building]]=Table1[[#This Row],[Column1]]</f>
        <v>1</v>
      </c>
      <c r="J1153" s="11" t="s">
        <v>75</v>
      </c>
      <c r="K1153" s="11">
        <v>1299</v>
      </c>
      <c r="L1153" s="49" t="s">
        <v>39</v>
      </c>
      <c r="M1153" s="49" t="s">
        <v>76</v>
      </c>
      <c r="N1153" s="49" t="s">
        <v>95</v>
      </c>
      <c r="O1153" s="49" t="s">
        <v>77</v>
      </c>
      <c r="P1153" s="48" t="s">
        <v>79</v>
      </c>
      <c r="Q1153" s="49" t="s">
        <v>37</v>
      </c>
      <c r="R1153" s="11" t="s">
        <v>80</v>
      </c>
      <c r="S1153" s="11" t="s">
        <v>81</v>
      </c>
      <c r="T1153" s="49" t="s">
        <v>1066</v>
      </c>
      <c r="U1153" s="11" t="s">
        <v>2717</v>
      </c>
      <c r="V1153" s="116" t="s">
        <v>1</v>
      </c>
      <c r="W1153" s="88"/>
      <c r="X1153" s="51">
        <v>45463</v>
      </c>
      <c r="Y1153" s="97" t="s">
        <v>1577</v>
      </c>
      <c r="Z1153" s="135" t="s">
        <v>2</v>
      </c>
      <c r="AA1153" s="135">
        <v>0</v>
      </c>
    </row>
    <row r="1154" spans="1:27" ht="13" customHeight="1">
      <c r="A1154" s="11">
        <v>1148</v>
      </c>
      <c r="B1154" s="47">
        <v>203908343</v>
      </c>
      <c r="C1154" s="89" t="s">
        <v>2430</v>
      </c>
      <c r="D1154" s="11" t="s">
        <v>2431</v>
      </c>
      <c r="E1154" s="48" t="s">
        <v>31</v>
      </c>
      <c r="F1154" s="48" t="s">
        <v>74</v>
      </c>
      <c r="G1154" s="11" t="s">
        <v>64</v>
      </c>
      <c r="H1154" s="48" t="str">
        <f>VLOOKUP(Table1[[#This Row],[Psoft No]],[1]Roster!$C$2:$H$1402,6,)</f>
        <v>AUH1</v>
      </c>
      <c r="I1154" s="48" t="b">
        <f>Table1[[#This Row],[Building]]=Table1[[#This Row],[Column1]]</f>
        <v>1</v>
      </c>
      <c r="J1154" s="11" t="s">
        <v>75</v>
      </c>
      <c r="K1154" s="11">
        <v>1299</v>
      </c>
      <c r="L1154" s="49" t="s">
        <v>39</v>
      </c>
      <c r="M1154" s="49" t="s">
        <v>76</v>
      </c>
      <c r="N1154" s="49" t="s">
        <v>85</v>
      </c>
      <c r="O1154" s="49" t="s">
        <v>88</v>
      </c>
      <c r="P1154" s="48" t="s">
        <v>86</v>
      </c>
      <c r="Q1154" s="49" t="s">
        <v>37</v>
      </c>
      <c r="R1154" s="11" t="s">
        <v>80</v>
      </c>
      <c r="S1154" s="11" t="s">
        <v>90</v>
      </c>
      <c r="T1154" s="11" t="s">
        <v>631</v>
      </c>
      <c r="U1154" s="11" t="s">
        <v>632</v>
      </c>
      <c r="V1154" s="116" t="s">
        <v>1</v>
      </c>
      <c r="W1154" s="88"/>
      <c r="X1154" s="51">
        <v>45537</v>
      </c>
      <c r="Y1154" s="97" t="s">
        <v>1577</v>
      </c>
      <c r="Z1154" s="135" t="s">
        <v>2</v>
      </c>
      <c r="AA1154" s="135">
        <v>0</v>
      </c>
    </row>
    <row r="1155" spans="1:27" ht="13" customHeight="1">
      <c r="A1155" s="11">
        <v>1149</v>
      </c>
      <c r="B1155" s="47">
        <v>203881713</v>
      </c>
      <c r="C1155" s="89" t="s">
        <v>1283</v>
      </c>
      <c r="D1155" s="11" t="s">
        <v>1284</v>
      </c>
      <c r="E1155" s="48" t="s">
        <v>31</v>
      </c>
      <c r="F1155" s="48" t="s">
        <v>74</v>
      </c>
      <c r="G1155" s="11" t="s">
        <v>64</v>
      </c>
      <c r="H1155" s="48" t="str">
        <f>VLOOKUP(Table1[[#This Row],[Psoft No]],[1]Roster!$C$2:$H$1402,6,)</f>
        <v>AUH1</v>
      </c>
      <c r="I1155" s="48" t="b">
        <f>Table1[[#This Row],[Building]]=Table1[[#This Row],[Column1]]</f>
        <v>1</v>
      </c>
      <c r="J1155" s="11" t="s">
        <v>75</v>
      </c>
      <c r="K1155" s="11">
        <v>1299</v>
      </c>
      <c r="L1155" s="49" t="s">
        <v>32</v>
      </c>
      <c r="M1155" s="49" t="s">
        <v>76</v>
      </c>
      <c r="N1155" s="49" t="s">
        <v>84</v>
      </c>
      <c r="O1155" s="49" t="s">
        <v>85</v>
      </c>
      <c r="P1155" s="48" t="s">
        <v>79</v>
      </c>
      <c r="Q1155" s="49" t="s">
        <v>37</v>
      </c>
      <c r="R1155" s="11" t="s">
        <v>80</v>
      </c>
      <c r="S1155" s="11" t="s">
        <v>81</v>
      </c>
      <c r="T1155" s="49" t="s">
        <v>647</v>
      </c>
      <c r="U1155" s="11" t="s">
        <v>1798</v>
      </c>
      <c r="V1155" s="116" t="str">
        <f>VLOOKUP(Table1[[#This Row],[Psoft No]],[2]Sheet1!$A$2:$G$386,7,0)</f>
        <v>P</v>
      </c>
      <c r="W1155" s="88"/>
      <c r="X1155" s="51">
        <v>45530</v>
      </c>
      <c r="Y1155" s="97" t="s">
        <v>1577</v>
      </c>
      <c r="Z1155" s="135" t="s">
        <v>2</v>
      </c>
      <c r="AA1155" s="135">
        <v>0</v>
      </c>
    </row>
    <row r="1156" spans="1:27" ht="13" customHeight="1">
      <c r="A1156" s="11">
        <v>1150</v>
      </c>
      <c r="B1156" s="47">
        <v>206136735</v>
      </c>
      <c r="C1156" s="89" t="s">
        <v>2855</v>
      </c>
      <c r="D1156" s="11" t="s">
        <v>2856</v>
      </c>
      <c r="E1156" s="48" t="s">
        <v>31</v>
      </c>
      <c r="F1156" s="48" t="s">
        <v>74</v>
      </c>
      <c r="G1156" s="11" t="s">
        <v>64</v>
      </c>
      <c r="H1156" s="48" t="str">
        <f>VLOOKUP(Table1[[#This Row],[Psoft No]],[1]Roster!$C$2:$H$1402,6,)</f>
        <v>AUH1</v>
      </c>
      <c r="I1156" s="48" t="b">
        <f>Table1[[#This Row],[Building]]=Table1[[#This Row],[Column1]]</f>
        <v>1</v>
      </c>
      <c r="J1156" s="11" t="s">
        <v>75</v>
      </c>
      <c r="K1156" s="11">
        <v>1299</v>
      </c>
      <c r="L1156" s="49" t="s">
        <v>39</v>
      </c>
      <c r="M1156" s="49" t="s">
        <v>76</v>
      </c>
      <c r="N1156" s="49" t="s">
        <v>92</v>
      </c>
      <c r="O1156" s="49" t="s">
        <v>84</v>
      </c>
      <c r="P1156" s="49" t="s">
        <v>89</v>
      </c>
      <c r="Q1156" s="49" t="s">
        <v>37</v>
      </c>
      <c r="R1156" s="11" t="s">
        <v>80</v>
      </c>
      <c r="S1156" s="11" t="s">
        <v>96</v>
      </c>
      <c r="T1156" s="49" t="s">
        <v>1066</v>
      </c>
      <c r="U1156" s="11" t="s">
        <v>2717</v>
      </c>
      <c r="V1156" s="116" t="s">
        <v>10</v>
      </c>
      <c r="W1156" s="88"/>
      <c r="X1156" s="51">
        <v>46238</v>
      </c>
      <c r="Y1156" s="97" t="s">
        <v>1579</v>
      </c>
      <c r="Z1156" s="135" t="s">
        <v>3023</v>
      </c>
      <c r="AA1156" s="135">
        <v>0</v>
      </c>
    </row>
    <row r="1157" spans="1:27" ht="13" customHeight="1">
      <c r="A1157" s="11">
        <v>1151</v>
      </c>
      <c r="B1157" s="47">
        <v>203341958</v>
      </c>
      <c r="C1157" s="89" t="s">
        <v>1615</v>
      </c>
      <c r="D1157" s="11" t="s">
        <v>1285</v>
      </c>
      <c r="E1157" s="48" t="s">
        <v>31</v>
      </c>
      <c r="F1157" s="48" t="s">
        <v>74</v>
      </c>
      <c r="G1157" s="11" t="s">
        <v>64</v>
      </c>
      <c r="H1157" s="48" t="str">
        <f>VLOOKUP(Table1[[#This Row],[Psoft No]],[1]Roster!$C$2:$H$1402,6,)</f>
        <v>AUH1</v>
      </c>
      <c r="I1157" s="48" t="b">
        <f>Table1[[#This Row],[Building]]=Table1[[#This Row],[Column1]]</f>
        <v>1</v>
      </c>
      <c r="J1157" s="11" t="s">
        <v>75</v>
      </c>
      <c r="K1157" s="11">
        <v>1299</v>
      </c>
      <c r="L1157" s="49" t="s">
        <v>32</v>
      </c>
      <c r="M1157" s="49" t="s">
        <v>76</v>
      </c>
      <c r="N1157" s="49" t="s">
        <v>95</v>
      </c>
      <c r="O1157" s="49" t="s">
        <v>77</v>
      </c>
      <c r="P1157" s="49" t="s">
        <v>86</v>
      </c>
      <c r="Q1157" s="49" t="s">
        <v>37</v>
      </c>
      <c r="R1157" s="11" t="s">
        <v>80</v>
      </c>
      <c r="S1157" s="11" t="s">
        <v>99</v>
      </c>
      <c r="T1157" s="49" t="s">
        <v>631</v>
      </c>
      <c r="U1157" s="11" t="s">
        <v>632</v>
      </c>
      <c r="V1157" s="116" t="str">
        <f>VLOOKUP(Table1[[#This Row],[Psoft No]],[2]Sheet1!$A$2:$G$386,7,0)</f>
        <v>P</v>
      </c>
      <c r="W1157" s="88"/>
      <c r="X1157" s="51">
        <v>45432</v>
      </c>
      <c r="Y1157" s="97" t="s">
        <v>1578</v>
      </c>
      <c r="Z1157" s="135" t="s">
        <v>2</v>
      </c>
      <c r="AA1157" s="135">
        <v>0</v>
      </c>
    </row>
    <row r="1158" spans="1:27" ht="13" customHeight="1">
      <c r="A1158" s="11">
        <v>1152</v>
      </c>
      <c r="B1158" s="47">
        <v>206073366</v>
      </c>
      <c r="C1158" s="89" t="s">
        <v>414</v>
      </c>
      <c r="D1158" s="11" t="s">
        <v>415</v>
      </c>
      <c r="E1158" s="48" t="s">
        <v>31</v>
      </c>
      <c r="F1158" s="48" t="s">
        <v>74</v>
      </c>
      <c r="G1158" s="11" t="s">
        <v>64</v>
      </c>
      <c r="H1158" s="48" t="str">
        <f>VLOOKUP(Table1[[#This Row],[Psoft No]],[1]Roster!$C$2:$H$1402,6,)</f>
        <v>AUH1</v>
      </c>
      <c r="I1158" s="48" t="b">
        <f>Table1[[#This Row],[Building]]=Table1[[#This Row],[Column1]]</f>
        <v>1</v>
      </c>
      <c r="J1158" s="11" t="s">
        <v>75</v>
      </c>
      <c r="K1158" s="11">
        <v>1299</v>
      </c>
      <c r="L1158" s="49" t="s">
        <v>32</v>
      </c>
      <c r="M1158" s="49" t="s">
        <v>76</v>
      </c>
      <c r="N1158" s="49" t="s">
        <v>78</v>
      </c>
      <c r="O1158" s="49" t="s">
        <v>92</v>
      </c>
      <c r="P1158" s="48" t="s">
        <v>79</v>
      </c>
      <c r="Q1158" s="49" t="s">
        <v>35</v>
      </c>
      <c r="R1158" s="11" t="s">
        <v>80</v>
      </c>
      <c r="S1158" s="11" t="s">
        <v>81</v>
      </c>
      <c r="T1158" s="11" t="s">
        <v>231</v>
      </c>
      <c r="U1158" s="11" t="s">
        <v>1753</v>
      </c>
      <c r="V1158" s="116" t="s">
        <v>10</v>
      </c>
      <c r="W1158" s="88"/>
      <c r="X1158" s="51">
        <v>45922</v>
      </c>
      <c r="Y1158" s="97" t="s">
        <v>1573</v>
      </c>
      <c r="Z1158" s="135" t="s">
        <v>3023</v>
      </c>
      <c r="AA1158" s="135" t="s">
        <v>3015</v>
      </c>
    </row>
    <row r="1159" spans="1:27" ht="13" customHeight="1">
      <c r="A1159" s="11">
        <v>1153</v>
      </c>
      <c r="B1159" s="47">
        <v>203993454</v>
      </c>
      <c r="C1159" s="89" t="s">
        <v>2818</v>
      </c>
      <c r="D1159" s="11" t="s">
        <v>2819</v>
      </c>
      <c r="E1159" s="48" t="s">
        <v>31</v>
      </c>
      <c r="F1159" s="48" t="s">
        <v>74</v>
      </c>
      <c r="G1159" s="11" t="s">
        <v>64</v>
      </c>
      <c r="H1159" s="48" t="str">
        <f>VLOOKUP(Table1[[#This Row],[Psoft No]],[1]Roster!$C$2:$H$1402,6,)</f>
        <v>AUH1</v>
      </c>
      <c r="I1159" s="48" t="b">
        <f>Table1[[#This Row],[Building]]=Table1[[#This Row],[Column1]]</f>
        <v>1</v>
      </c>
      <c r="J1159" s="11" t="s">
        <v>75</v>
      </c>
      <c r="K1159" s="11">
        <v>1299</v>
      </c>
      <c r="L1159" s="49" t="s">
        <v>39</v>
      </c>
      <c r="M1159" s="49" t="s">
        <v>76</v>
      </c>
      <c r="N1159" s="49" t="s">
        <v>88</v>
      </c>
      <c r="O1159" s="49" t="s">
        <v>95</v>
      </c>
      <c r="P1159" s="48" t="s">
        <v>86</v>
      </c>
      <c r="Q1159" s="49" t="s">
        <v>37</v>
      </c>
      <c r="R1159" s="11" t="s">
        <v>80</v>
      </c>
      <c r="S1159" s="11" t="s">
        <v>90</v>
      </c>
      <c r="T1159" s="11" t="s">
        <v>2845</v>
      </c>
      <c r="U1159" s="11" t="s">
        <v>2846</v>
      </c>
      <c r="V1159" s="116" t="s">
        <v>1</v>
      </c>
      <c r="W1159" s="88"/>
      <c r="X1159" s="51">
        <v>45551</v>
      </c>
      <c r="Y1159" s="97" t="s">
        <v>1577</v>
      </c>
      <c r="Z1159" s="135" t="s">
        <v>2</v>
      </c>
      <c r="AA1159" s="135">
        <v>0</v>
      </c>
    </row>
    <row r="1160" spans="1:27" ht="13" customHeight="1">
      <c r="A1160" s="11">
        <v>1154</v>
      </c>
      <c r="B1160" s="47">
        <v>203965497</v>
      </c>
      <c r="C1160" s="89" t="s">
        <v>1288</v>
      </c>
      <c r="D1160" s="11" t="s">
        <v>1289</v>
      </c>
      <c r="E1160" s="48" t="s">
        <v>31</v>
      </c>
      <c r="F1160" s="48" t="s">
        <v>74</v>
      </c>
      <c r="G1160" s="11" t="s">
        <v>64</v>
      </c>
      <c r="H1160" s="48" t="str">
        <f>VLOOKUP(Table1[[#This Row],[Psoft No]],[1]Roster!$C$2:$H$1402,6,)</f>
        <v>AUH1</v>
      </c>
      <c r="I1160" s="48" t="b">
        <f>Table1[[#This Row],[Building]]=Table1[[#This Row],[Column1]]</f>
        <v>1</v>
      </c>
      <c r="J1160" s="11" t="s">
        <v>75</v>
      </c>
      <c r="K1160" s="11">
        <v>1299</v>
      </c>
      <c r="L1160" s="49" t="s">
        <v>32</v>
      </c>
      <c r="M1160" s="49" t="s">
        <v>76</v>
      </c>
      <c r="N1160" s="49" t="s">
        <v>36</v>
      </c>
      <c r="O1160" s="49" t="s">
        <v>92</v>
      </c>
      <c r="P1160" s="48" t="s">
        <v>79</v>
      </c>
      <c r="Q1160" s="49" t="s">
        <v>37</v>
      </c>
      <c r="R1160" s="11" t="s">
        <v>80</v>
      </c>
      <c r="S1160" s="11" t="s">
        <v>81</v>
      </c>
      <c r="T1160" s="49" t="s">
        <v>1066</v>
      </c>
      <c r="U1160" s="11" t="s">
        <v>2717</v>
      </c>
      <c r="V1160" s="116" t="s">
        <v>10</v>
      </c>
      <c r="W1160" s="88"/>
      <c r="X1160" s="51">
        <v>45544</v>
      </c>
      <c r="Y1160" s="97" t="s">
        <v>1577</v>
      </c>
      <c r="Z1160" s="135" t="s">
        <v>3023</v>
      </c>
      <c r="AA1160" s="135">
        <v>0</v>
      </c>
    </row>
    <row r="1161" spans="1:27" ht="13" customHeight="1">
      <c r="A1161" s="11">
        <v>1155</v>
      </c>
      <c r="B1161" s="47">
        <v>204116445</v>
      </c>
      <c r="C1161" s="89" t="s">
        <v>1290</v>
      </c>
      <c r="D1161" s="11" t="s">
        <v>1291</v>
      </c>
      <c r="E1161" s="48" t="s">
        <v>31</v>
      </c>
      <c r="F1161" s="48" t="s">
        <v>74</v>
      </c>
      <c r="G1161" s="11" t="s">
        <v>64</v>
      </c>
      <c r="H1161" s="48" t="str">
        <f>VLOOKUP(Table1[[#This Row],[Psoft No]],[1]Roster!$C$2:$H$1402,6,)</f>
        <v>AUH1</v>
      </c>
      <c r="I1161" s="48" t="b">
        <f>Table1[[#This Row],[Building]]=Table1[[#This Row],[Column1]]</f>
        <v>1</v>
      </c>
      <c r="J1161" s="11" t="s">
        <v>75</v>
      </c>
      <c r="K1161" s="11">
        <v>1299</v>
      </c>
      <c r="L1161" s="49" t="s">
        <v>39</v>
      </c>
      <c r="M1161" s="49" t="s">
        <v>76</v>
      </c>
      <c r="N1161" s="49" t="s">
        <v>78</v>
      </c>
      <c r="O1161" s="49" t="s">
        <v>92</v>
      </c>
      <c r="P1161" s="48" t="s">
        <v>86</v>
      </c>
      <c r="Q1161" s="49" t="s">
        <v>37</v>
      </c>
      <c r="R1161" s="11" t="s">
        <v>80</v>
      </c>
      <c r="S1161" s="11" t="s">
        <v>87</v>
      </c>
      <c r="T1161" s="49" t="s">
        <v>1066</v>
      </c>
      <c r="U1161" s="11" t="s">
        <v>2717</v>
      </c>
      <c r="V1161" s="116" t="s">
        <v>10</v>
      </c>
      <c r="W1161" s="88"/>
      <c r="X1161" s="51">
        <v>45561</v>
      </c>
      <c r="Y1161" s="97" t="s">
        <v>1576</v>
      </c>
      <c r="Z1161" s="135" t="s">
        <v>3023</v>
      </c>
      <c r="AA1161" s="135">
        <v>0</v>
      </c>
    </row>
    <row r="1162" spans="1:27" ht="13" customHeight="1">
      <c r="A1162" s="11">
        <v>1156</v>
      </c>
      <c r="B1162" s="47">
        <v>204095447</v>
      </c>
      <c r="C1162" s="89" t="s">
        <v>1292</v>
      </c>
      <c r="D1162" s="47" t="s">
        <v>1293</v>
      </c>
      <c r="E1162" s="47" t="s">
        <v>31</v>
      </c>
      <c r="F1162" s="48" t="s">
        <v>74</v>
      </c>
      <c r="G1162" s="11" t="s">
        <v>64</v>
      </c>
      <c r="H1162" s="48" t="str">
        <f>VLOOKUP(Table1[[#This Row],[Psoft No]],[1]Roster!$C$2:$H$1402,6,)</f>
        <v>AUH1</v>
      </c>
      <c r="I1162" s="48" t="b">
        <f>Table1[[#This Row],[Building]]=Table1[[#This Row],[Column1]]</f>
        <v>1</v>
      </c>
      <c r="J1162" s="11" t="s">
        <v>75</v>
      </c>
      <c r="K1162" s="47">
        <v>1299</v>
      </c>
      <c r="L1162" s="49" t="s">
        <v>39</v>
      </c>
      <c r="M1162" s="49" t="s">
        <v>76</v>
      </c>
      <c r="N1162" s="49" t="s">
        <v>92</v>
      </c>
      <c r="O1162" s="49" t="s">
        <v>84</v>
      </c>
      <c r="P1162" s="49" t="s">
        <v>86</v>
      </c>
      <c r="Q1162" s="49" t="s">
        <v>37</v>
      </c>
      <c r="R1162" s="11" t="s">
        <v>80</v>
      </c>
      <c r="S1162" s="47" t="s">
        <v>87</v>
      </c>
      <c r="T1162" s="49" t="s">
        <v>1066</v>
      </c>
      <c r="U1162" s="47" t="s">
        <v>2717</v>
      </c>
      <c r="V1162" s="116" t="s">
        <v>10</v>
      </c>
      <c r="W1162" s="88"/>
      <c r="X1162" s="51">
        <v>45561</v>
      </c>
      <c r="Y1162" s="97" t="s">
        <v>1578</v>
      </c>
      <c r="Z1162" s="135" t="s">
        <v>3023</v>
      </c>
      <c r="AA1162" s="135">
        <v>0</v>
      </c>
    </row>
    <row r="1163" spans="1:27" ht="13" customHeight="1">
      <c r="A1163" s="11">
        <v>1157</v>
      </c>
      <c r="B1163" s="47">
        <v>206137339</v>
      </c>
      <c r="C1163" s="89" t="s">
        <v>1294</v>
      </c>
      <c r="D1163" s="11" t="s">
        <v>1295</v>
      </c>
      <c r="E1163" s="103" t="s">
        <v>31</v>
      </c>
      <c r="F1163" s="48" t="s">
        <v>74</v>
      </c>
      <c r="G1163" s="11" t="s">
        <v>64</v>
      </c>
      <c r="H1163" s="48" t="str">
        <f>VLOOKUP(Table1[[#This Row],[Psoft No]],[1]Roster!$C$2:$H$1402,6,)</f>
        <v>AUH1</v>
      </c>
      <c r="I1163" s="48" t="b">
        <f>Table1[[#This Row],[Building]]=Table1[[#This Row],[Column1]]</f>
        <v>1</v>
      </c>
      <c r="J1163" s="11" t="s">
        <v>75</v>
      </c>
      <c r="K1163" s="11">
        <v>1299</v>
      </c>
      <c r="L1163" s="49" t="s">
        <v>39</v>
      </c>
      <c r="M1163" s="49" t="s">
        <v>76</v>
      </c>
      <c r="N1163" s="49" t="s">
        <v>85</v>
      </c>
      <c r="O1163" s="49" t="s">
        <v>88</v>
      </c>
      <c r="P1163" s="49" t="s">
        <v>79</v>
      </c>
      <c r="Q1163" s="49" t="s">
        <v>37</v>
      </c>
      <c r="R1163" s="49" t="s">
        <v>80</v>
      </c>
      <c r="S1163" s="49" t="s">
        <v>81</v>
      </c>
      <c r="T1163" s="11" t="s">
        <v>627</v>
      </c>
      <c r="U1163" s="49" t="s">
        <v>628</v>
      </c>
      <c r="V1163" s="116" t="s">
        <v>1</v>
      </c>
      <c r="W1163" s="88"/>
      <c r="X1163" s="51">
        <v>45929</v>
      </c>
      <c r="Y1163" s="97" t="s">
        <v>1577</v>
      </c>
      <c r="Z1163" s="135" t="s">
        <v>2</v>
      </c>
      <c r="AA1163" s="135">
        <v>0</v>
      </c>
    </row>
    <row r="1164" spans="1:27" ht="13" customHeight="1">
      <c r="A1164" s="11">
        <v>1158</v>
      </c>
      <c r="B1164" s="47">
        <v>204052514</v>
      </c>
      <c r="C1164" s="89" t="s">
        <v>1296</v>
      </c>
      <c r="D1164" s="11" t="s">
        <v>1297</v>
      </c>
      <c r="E1164" s="48" t="s">
        <v>31</v>
      </c>
      <c r="F1164" s="48" t="s">
        <v>74</v>
      </c>
      <c r="G1164" s="11" t="s">
        <v>64</v>
      </c>
      <c r="H1164" s="48" t="str">
        <f>VLOOKUP(Table1[[#This Row],[Psoft No]],[1]Roster!$C$2:$H$1402,6,)</f>
        <v>AUH1</v>
      </c>
      <c r="I1164" s="48" t="b">
        <f>Table1[[#This Row],[Building]]=Table1[[#This Row],[Column1]]</f>
        <v>1</v>
      </c>
      <c r="J1164" s="11" t="s">
        <v>75</v>
      </c>
      <c r="K1164" s="11">
        <v>1299</v>
      </c>
      <c r="L1164" s="49" t="s">
        <v>32</v>
      </c>
      <c r="M1164" s="49" t="s">
        <v>76</v>
      </c>
      <c r="N1164" s="49" t="s">
        <v>78</v>
      </c>
      <c r="O1164" s="49" t="s">
        <v>92</v>
      </c>
      <c r="P1164" s="49" t="s">
        <v>86</v>
      </c>
      <c r="Q1164" s="48" t="s">
        <v>37</v>
      </c>
      <c r="R1164" s="48" t="s">
        <v>80</v>
      </c>
      <c r="S1164" s="11" t="s">
        <v>99</v>
      </c>
      <c r="T1164" s="49" t="s">
        <v>647</v>
      </c>
      <c r="U1164" s="11" t="s">
        <v>1798</v>
      </c>
      <c r="V1164" s="116" t="s">
        <v>10</v>
      </c>
      <c r="W1164" s="88"/>
      <c r="X1164" s="51">
        <v>45558</v>
      </c>
      <c r="Y1164" s="97" t="s">
        <v>1576</v>
      </c>
      <c r="Z1164" s="135" t="s">
        <v>3023</v>
      </c>
      <c r="AA1164" s="135">
        <v>0</v>
      </c>
    </row>
    <row r="1165" spans="1:27" ht="13" customHeight="1">
      <c r="A1165" s="11">
        <v>1159</v>
      </c>
      <c r="B1165" s="47">
        <v>205133785</v>
      </c>
      <c r="C1165" s="89" t="s">
        <v>2086</v>
      </c>
      <c r="D1165" s="11" t="s">
        <v>2087</v>
      </c>
      <c r="E1165" s="48" t="s">
        <v>31</v>
      </c>
      <c r="F1165" s="48" t="s">
        <v>74</v>
      </c>
      <c r="G1165" s="11" t="s">
        <v>64</v>
      </c>
      <c r="H1165" s="48" t="str">
        <f>VLOOKUP(Table1[[#This Row],[Psoft No]],[1]Roster!$C$2:$H$1402,6,)</f>
        <v>AUH1</v>
      </c>
      <c r="I1165" s="48" t="b">
        <f>Table1[[#This Row],[Building]]=Table1[[#This Row],[Column1]]</f>
        <v>1</v>
      </c>
      <c r="J1165" s="11" t="s">
        <v>75</v>
      </c>
      <c r="K1165" s="11">
        <v>1299</v>
      </c>
      <c r="L1165" s="49" t="s">
        <v>39</v>
      </c>
      <c r="M1165" s="49" t="s">
        <v>76</v>
      </c>
      <c r="N1165" s="49" t="s">
        <v>88</v>
      </c>
      <c r="O1165" s="49" t="s">
        <v>95</v>
      </c>
      <c r="P1165" s="48" t="s">
        <v>79</v>
      </c>
      <c r="Q1165" s="49" t="s">
        <v>37</v>
      </c>
      <c r="R1165" s="11" t="s">
        <v>80</v>
      </c>
      <c r="S1165" s="11" t="s">
        <v>96</v>
      </c>
      <c r="T1165" s="11" t="s">
        <v>631</v>
      </c>
      <c r="U1165" s="11" t="s">
        <v>632</v>
      </c>
      <c r="V1165" s="116" t="s">
        <v>4</v>
      </c>
      <c r="W1165" s="88"/>
      <c r="X1165" s="51">
        <v>46048</v>
      </c>
      <c r="Y1165" s="97" t="s">
        <v>1577</v>
      </c>
      <c r="Z1165" s="135" t="s">
        <v>3023</v>
      </c>
      <c r="AA1165" s="135">
        <v>0</v>
      </c>
    </row>
    <row r="1166" spans="1:27" ht="13" customHeight="1">
      <c r="A1166" s="11">
        <v>1160</v>
      </c>
      <c r="B1166" s="92">
        <v>204072899</v>
      </c>
      <c r="C1166" s="47" t="s">
        <v>2820</v>
      </c>
      <c r="D1166" s="89" t="s">
        <v>2821</v>
      </c>
      <c r="E1166" s="48" t="s">
        <v>31</v>
      </c>
      <c r="F1166" s="48" t="s">
        <v>74</v>
      </c>
      <c r="G1166" s="11" t="s">
        <v>64</v>
      </c>
      <c r="H1166" s="48" t="str">
        <f>VLOOKUP(Table1[[#This Row],[Psoft No]],[1]Roster!$C$2:$H$1402,6,)</f>
        <v>AUH1</v>
      </c>
      <c r="I1166" s="48" t="b">
        <f>Table1[[#This Row],[Building]]=Table1[[#This Row],[Column1]]</f>
        <v>1</v>
      </c>
      <c r="J1166" s="11" t="s">
        <v>75</v>
      </c>
      <c r="K1166" s="11">
        <v>1299</v>
      </c>
      <c r="L1166" s="49" t="s">
        <v>39</v>
      </c>
      <c r="M1166" s="49" t="s">
        <v>76</v>
      </c>
      <c r="N1166" s="49" t="s">
        <v>95</v>
      </c>
      <c r="O1166" s="49" t="s">
        <v>77</v>
      </c>
      <c r="P1166" s="48" t="s">
        <v>86</v>
      </c>
      <c r="Q1166" s="49" t="s">
        <v>37</v>
      </c>
      <c r="R1166" s="11" t="s">
        <v>80</v>
      </c>
      <c r="S1166" s="11" t="s">
        <v>90</v>
      </c>
      <c r="T1166" s="11" t="s">
        <v>2845</v>
      </c>
      <c r="U1166" s="11" t="s">
        <v>2846</v>
      </c>
      <c r="V1166" s="116" t="s">
        <v>1</v>
      </c>
      <c r="W1166" s="88"/>
      <c r="X1166" s="51">
        <v>45558</v>
      </c>
      <c r="Y1166" s="97" t="s">
        <v>1577</v>
      </c>
      <c r="Z1166" s="135" t="s">
        <v>2</v>
      </c>
      <c r="AA1166" s="135">
        <v>0</v>
      </c>
    </row>
    <row r="1167" spans="1:27" ht="13" customHeight="1">
      <c r="A1167" s="11">
        <v>1161</v>
      </c>
      <c r="B1167" s="92">
        <v>106262687</v>
      </c>
      <c r="C1167" s="47" t="s">
        <v>1298</v>
      </c>
      <c r="D1167" s="89" t="s">
        <v>1299</v>
      </c>
      <c r="E1167" s="48" t="s">
        <v>34</v>
      </c>
      <c r="F1167" s="48" t="s">
        <v>74</v>
      </c>
      <c r="G1167" s="11" t="s">
        <v>64</v>
      </c>
      <c r="H1167" s="48" t="str">
        <f>VLOOKUP(Table1[[#This Row],[Psoft No]],[1]Roster!$C$2:$H$1402,6,)</f>
        <v>AUH1</v>
      </c>
      <c r="I1167" s="48" t="b">
        <f>Table1[[#This Row],[Building]]=Table1[[#This Row],[Column1]]</f>
        <v>1</v>
      </c>
      <c r="J1167" s="11" t="s">
        <v>75</v>
      </c>
      <c r="K1167" s="11">
        <v>1299</v>
      </c>
      <c r="L1167" s="49" t="s">
        <v>32</v>
      </c>
      <c r="M1167" s="49" t="s">
        <v>76</v>
      </c>
      <c r="N1167" s="49" t="s">
        <v>36</v>
      </c>
      <c r="O1167" s="49" t="s">
        <v>92</v>
      </c>
      <c r="P1167" s="49" t="s">
        <v>97</v>
      </c>
      <c r="Q1167" s="49" t="s">
        <v>37</v>
      </c>
      <c r="R1167" s="11" t="s">
        <v>80</v>
      </c>
      <c r="S1167" s="11" t="s">
        <v>98</v>
      </c>
      <c r="T1167" s="11" t="s">
        <v>2719</v>
      </c>
      <c r="U1167" s="11" t="s">
        <v>642</v>
      </c>
      <c r="V1167" s="116" t="s">
        <v>10</v>
      </c>
      <c r="W1167" s="88"/>
      <c r="X1167" s="51">
        <v>44757</v>
      </c>
      <c r="Y1167" s="97" t="s">
        <v>1578</v>
      </c>
      <c r="Z1167" s="135" t="s">
        <v>3023</v>
      </c>
      <c r="AA1167" s="135">
        <v>0</v>
      </c>
    </row>
    <row r="1168" spans="1:27" ht="13" customHeight="1">
      <c r="A1168" s="11">
        <v>1162</v>
      </c>
      <c r="B1168" s="11">
        <v>203964997</v>
      </c>
      <c r="C1168" s="89" t="s">
        <v>1300</v>
      </c>
      <c r="D1168" s="11" t="s">
        <v>1301</v>
      </c>
      <c r="E1168" s="48" t="s">
        <v>31</v>
      </c>
      <c r="F1168" s="48" t="s">
        <v>74</v>
      </c>
      <c r="G1168" s="11" t="s">
        <v>64</v>
      </c>
      <c r="H1168" s="48" t="str">
        <f>VLOOKUP(Table1[[#This Row],[Psoft No]],[1]Roster!$C$2:$H$1402,6,)</f>
        <v>AUH1</v>
      </c>
      <c r="I1168" s="48" t="b">
        <f>Table1[[#This Row],[Building]]=Table1[[#This Row],[Column1]]</f>
        <v>1</v>
      </c>
      <c r="J1168" s="11" t="s">
        <v>75</v>
      </c>
      <c r="K1168" s="11">
        <v>1299</v>
      </c>
      <c r="L1168" s="49" t="s">
        <v>32</v>
      </c>
      <c r="M1168" s="49" t="s">
        <v>76</v>
      </c>
      <c r="N1168" s="49" t="s">
        <v>84</v>
      </c>
      <c r="O1168" s="49" t="s">
        <v>85</v>
      </c>
      <c r="P1168" s="11" t="s">
        <v>86</v>
      </c>
      <c r="Q1168" s="11" t="s">
        <v>37</v>
      </c>
      <c r="R1168" s="11" t="s">
        <v>80</v>
      </c>
      <c r="S1168" s="11" t="s">
        <v>99</v>
      </c>
      <c r="T1168" s="11" t="s">
        <v>647</v>
      </c>
      <c r="U1168" s="11" t="s">
        <v>1798</v>
      </c>
      <c r="V1168" s="116" t="str">
        <f>VLOOKUP(Table1[[#This Row],[Psoft No]],[2]Sheet1!$A$2:$G$386,7,0)</f>
        <v>P</v>
      </c>
      <c r="W1168" s="88"/>
      <c r="X1168" s="51">
        <v>45544</v>
      </c>
      <c r="Y1168" s="102" t="s">
        <v>1577</v>
      </c>
      <c r="Z1168" s="135" t="s">
        <v>2</v>
      </c>
      <c r="AA1168" s="135">
        <v>0</v>
      </c>
    </row>
    <row r="1169" spans="1:27" ht="13" customHeight="1">
      <c r="A1169" s="11">
        <v>1163</v>
      </c>
      <c r="B1169" s="47">
        <v>206348045</v>
      </c>
      <c r="C1169" s="89" t="s">
        <v>1682</v>
      </c>
      <c r="D1169" s="11" t="s">
        <v>1683</v>
      </c>
      <c r="E1169" s="48" t="s">
        <v>31</v>
      </c>
      <c r="F1169" s="48" t="s">
        <v>74</v>
      </c>
      <c r="G1169" s="11" t="s">
        <v>65</v>
      </c>
      <c r="H1169" s="48" t="str">
        <f>VLOOKUP(Table1[[#This Row],[Psoft No]],[1]Roster!$C$2:$H$1402,6,)</f>
        <v>AUH3</v>
      </c>
      <c r="I1169" s="48" t="b">
        <f>Table1[[#This Row],[Building]]=Table1[[#This Row],[Column1]]</f>
        <v>1</v>
      </c>
      <c r="J1169" s="11" t="s">
        <v>1332</v>
      </c>
      <c r="K1169" s="11">
        <v>1181</v>
      </c>
      <c r="L1169" s="49" t="s">
        <v>32</v>
      </c>
      <c r="M1169" s="49" t="s">
        <v>76</v>
      </c>
      <c r="N1169" s="49" t="s">
        <v>88</v>
      </c>
      <c r="O1169" s="49" t="s">
        <v>95</v>
      </c>
      <c r="P1169" s="49" t="s">
        <v>89</v>
      </c>
      <c r="Q1169" s="49" t="s">
        <v>68</v>
      </c>
      <c r="R1169" s="11" t="s">
        <v>80</v>
      </c>
      <c r="S1169" s="11" t="s">
        <v>90</v>
      </c>
      <c r="T1169" s="11" t="s">
        <v>1336</v>
      </c>
      <c r="U1169" s="11" t="s">
        <v>1337</v>
      </c>
      <c r="V1169" s="116" t="s">
        <v>1</v>
      </c>
      <c r="W1169" s="88"/>
      <c r="X1169" s="51">
        <v>45957</v>
      </c>
      <c r="Y1169" s="97" t="s">
        <v>68</v>
      </c>
      <c r="Z1169" s="135" t="s">
        <v>2</v>
      </c>
      <c r="AA1169" s="135">
        <v>0</v>
      </c>
    </row>
    <row r="1170" spans="1:27" ht="13" customHeight="1">
      <c r="A1170" s="11">
        <v>1164</v>
      </c>
      <c r="B1170" s="47">
        <v>206073368</v>
      </c>
      <c r="C1170" s="89" t="s">
        <v>1302</v>
      </c>
      <c r="D1170" s="11" t="s">
        <v>1303</v>
      </c>
      <c r="E1170" s="48" t="s">
        <v>31</v>
      </c>
      <c r="F1170" s="48" t="s">
        <v>74</v>
      </c>
      <c r="G1170" s="11" t="s">
        <v>64</v>
      </c>
      <c r="H1170" s="48" t="str">
        <f>VLOOKUP(Table1[[#This Row],[Psoft No]],[1]Roster!$C$2:$H$1402,6,)</f>
        <v>AUH1</v>
      </c>
      <c r="I1170" s="48" t="b">
        <f>Table1[[#This Row],[Building]]=Table1[[#This Row],[Column1]]</f>
        <v>1</v>
      </c>
      <c r="J1170" s="11" t="s">
        <v>75</v>
      </c>
      <c r="K1170" s="11">
        <v>1299</v>
      </c>
      <c r="L1170" s="49" t="s">
        <v>39</v>
      </c>
      <c r="M1170" s="49" t="s">
        <v>76</v>
      </c>
      <c r="N1170" s="49" t="s">
        <v>85</v>
      </c>
      <c r="O1170" s="49" t="s">
        <v>88</v>
      </c>
      <c r="P1170" s="49" t="s">
        <v>79</v>
      </c>
      <c r="Q1170" s="48" t="s">
        <v>37</v>
      </c>
      <c r="R1170" s="48" t="s">
        <v>80</v>
      </c>
      <c r="S1170" s="11" t="s">
        <v>81</v>
      </c>
      <c r="T1170" s="49" t="s">
        <v>2719</v>
      </c>
      <c r="U1170" s="11" t="s">
        <v>642</v>
      </c>
      <c r="V1170" s="116" t="s">
        <v>1</v>
      </c>
      <c r="W1170" s="88"/>
      <c r="X1170" s="51">
        <v>45922</v>
      </c>
      <c r="Y1170" s="97" t="s">
        <v>1577</v>
      </c>
      <c r="Z1170" s="135" t="s">
        <v>2</v>
      </c>
      <c r="AA1170" s="135">
        <v>0</v>
      </c>
    </row>
    <row r="1171" spans="1:27" ht="13" customHeight="1">
      <c r="A1171" s="11">
        <v>1165</v>
      </c>
      <c r="B1171" s="47">
        <v>206846535</v>
      </c>
      <c r="C1171" s="89" t="s">
        <v>1821</v>
      </c>
      <c r="D1171" s="11" t="s">
        <v>1822</v>
      </c>
      <c r="E1171" s="48" t="s">
        <v>31</v>
      </c>
      <c r="F1171" s="48" t="s">
        <v>74</v>
      </c>
      <c r="G1171" s="11" t="s">
        <v>64</v>
      </c>
      <c r="H1171" s="48" t="str">
        <f>VLOOKUP(Table1[[#This Row],[Psoft No]],[1]Roster!$C$2:$H$1402,6,)</f>
        <v>AUH1</v>
      </c>
      <c r="I1171" s="48" t="b">
        <f>Table1[[#This Row],[Building]]=Table1[[#This Row],[Column1]]</f>
        <v>1</v>
      </c>
      <c r="J1171" s="11" t="s">
        <v>75</v>
      </c>
      <c r="K1171" s="11">
        <v>1299</v>
      </c>
      <c r="L1171" s="49" t="s">
        <v>32</v>
      </c>
      <c r="M1171" s="49" t="s">
        <v>76</v>
      </c>
      <c r="N1171" s="49" t="s">
        <v>95</v>
      </c>
      <c r="O1171" s="49" t="s">
        <v>77</v>
      </c>
      <c r="P1171" s="48" t="s">
        <v>89</v>
      </c>
      <c r="Q1171" s="49" t="s">
        <v>37</v>
      </c>
      <c r="R1171" s="11" t="s">
        <v>80</v>
      </c>
      <c r="S1171" s="11" t="s">
        <v>90</v>
      </c>
      <c r="T1171" s="11" t="s">
        <v>2719</v>
      </c>
      <c r="U1171" s="11" t="s">
        <v>642</v>
      </c>
      <c r="V1171" s="116" t="str">
        <f>VLOOKUP(Table1[[#This Row],[Psoft No]],[2]Sheet1!$A$2:$G$386,7,0)</f>
        <v>P</v>
      </c>
      <c r="W1171" s="88"/>
      <c r="X1171" s="51">
        <v>46013</v>
      </c>
      <c r="Y1171" s="97" t="s">
        <v>1577</v>
      </c>
      <c r="Z1171" s="135" t="s">
        <v>2</v>
      </c>
      <c r="AA1171" s="135">
        <v>0</v>
      </c>
    </row>
    <row r="1172" spans="1:27" ht="13" customHeight="1">
      <c r="A1172" s="11">
        <v>1166</v>
      </c>
      <c r="B1172" s="47">
        <v>206851165</v>
      </c>
      <c r="C1172" s="89" t="s">
        <v>1863</v>
      </c>
      <c r="D1172" s="11" t="s">
        <v>1864</v>
      </c>
      <c r="E1172" s="48" t="s">
        <v>31</v>
      </c>
      <c r="F1172" s="48" t="s">
        <v>74</v>
      </c>
      <c r="G1172" s="11" t="s">
        <v>64</v>
      </c>
      <c r="H1172" s="48" t="str">
        <f>VLOOKUP(Table1[[#This Row],[Psoft No]],[1]Roster!$C$2:$H$1402,6,)</f>
        <v>AUH1</v>
      </c>
      <c r="I1172" s="48" t="b">
        <f>Table1[[#This Row],[Building]]=Table1[[#This Row],[Column1]]</f>
        <v>1</v>
      </c>
      <c r="J1172" s="11" t="s">
        <v>75</v>
      </c>
      <c r="K1172" s="11">
        <v>1299</v>
      </c>
      <c r="L1172" s="49" t="s">
        <v>39</v>
      </c>
      <c r="M1172" s="49" t="s">
        <v>76</v>
      </c>
      <c r="N1172" s="49" t="s">
        <v>88</v>
      </c>
      <c r="O1172" s="49" t="s">
        <v>95</v>
      </c>
      <c r="P1172" s="48" t="s">
        <v>89</v>
      </c>
      <c r="Q1172" s="49" t="s">
        <v>37</v>
      </c>
      <c r="R1172" s="11" t="s">
        <v>80</v>
      </c>
      <c r="S1172" s="11" t="s">
        <v>90</v>
      </c>
      <c r="T1172" s="11" t="s">
        <v>647</v>
      </c>
      <c r="U1172" s="11" t="s">
        <v>1798</v>
      </c>
      <c r="V1172" s="116" t="s">
        <v>1</v>
      </c>
      <c r="W1172" s="88"/>
      <c r="X1172" s="51">
        <v>46030</v>
      </c>
      <c r="Y1172" s="97" t="s">
        <v>1577</v>
      </c>
      <c r="Z1172" s="135" t="s">
        <v>2</v>
      </c>
      <c r="AA1172" s="135">
        <v>0</v>
      </c>
    </row>
    <row r="1173" spans="1:27" ht="13" customHeight="1">
      <c r="A1173" s="11">
        <v>1167</v>
      </c>
      <c r="B1173" s="47">
        <v>103868662</v>
      </c>
      <c r="C1173" s="89" t="s">
        <v>1304</v>
      </c>
      <c r="D1173" s="11" t="s">
        <v>1305</v>
      </c>
      <c r="E1173" s="48" t="s">
        <v>34</v>
      </c>
      <c r="F1173" s="48" t="s">
        <v>74</v>
      </c>
      <c r="G1173" s="11" t="s">
        <v>64</v>
      </c>
      <c r="H1173" s="48" t="str">
        <f>VLOOKUP(Table1[[#This Row],[Psoft No]],[1]Roster!$C$2:$H$1402,6,)</f>
        <v>AUH1</v>
      </c>
      <c r="I1173" s="48" t="b">
        <f>Table1[[#This Row],[Building]]=Table1[[#This Row],[Column1]]</f>
        <v>1</v>
      </c>
      <c r="J1173" s="11" t="s">
        <v>75</v>
      </c>
      <c r="K1173" s="11">
        <v>1299</v>
      </c>
      <c r="L1173" s="49" t="s">
        <v>39</v>
      </c>
      <c r="M1173" s="49" t="s">
        <v>76</v>
      </c>
      <c r="N1173" s="49" t="s">
        <v>95</v>
      </c>
      <c r="O1173" s="49" t="s">
        <v>77</v>
      </c>
      <c r="P1173" s="49" t="s">
        <v>108</v>
      </c>
      <c r="Q1173" s="48" t="s">
        <v>37</v>
      </c>
      <c r="R1173" s="48" t="s">
        <v>80</v>
      </c>
      <c r="S1173" s="11" t="s">
        <v>98</v>
      </c>
      <c r="T1173" s="49" t="s">
        <v>2845</v>
      </c>
      <c r="U1173" s="11" t="s">
        <v>2846</v>
      </c>
      <c r="V1173" s="116" t="s">
        <v>1</v>
      </c>
      <c r="W1173" s="88" t="s">
        <v>3015</v>
      </c>
      <c r="X1173" s="51">
        <v>44839</v>
      </c>
      <c r="Y1173" s="97" t="s">
        <v>1579</v>
      </c>
      <c r="Z1173" s="135" t="s">
        <v>2</v>
      </c>
      <c r="AA1173" s="135">
        <v>0</v>
      </c>
    </row>
    <row r="1174" spans="1:27" ht="13" customHeight="1">
      <c r="A1174" s="11">
        <v>1168</v>
      </c>
      <c r="B1174" s="47">
        <v>106301312</v>
      </c>
      <c r="C1174" s="89" t="s">
        <v>1306</v>
      </c>
      <c r="D1174" s="11" t="s">
        <v>1307</v>
      </c>
      <c r="E1174" s="48" t="s">
        <v>34</v>
      </c>
      <c r="F1174" s="48" t="s">
        <v>74</v>
      </c>
      <c r="G1174" s="11" t="s">
        <v>64</v>
      </c>
      <c r="H1174" s="48" t="str">
        <f>VLOOKUP(Table1[[#This Row],[Psoft No]],[1]Roster!$C$2:$H$1402,6,)</f>
        <v>AUH1</v>
      </c>
      <c r="I1174" s="48" t="b">
        <f>Table1[[#This Row],[Building]]=Table1[[#This Row],[Column1]]</f>
        <v>1</v>
      </c>
      <c r="J1174" s="11" t="s">
        <v>75</v>
      </c>
      <c r="K1174" s="11">
        <v>1299</v>
      </c>
      <c r="L1174" s="49" t="s">
        <v>39</v>
      </c>
      <c r="M1174" s="49" t="s">
        <v>76</v>
      </c>
      <c r="N1174" s="49" t="s">
        <v>95</v>
      </c>
      <c r="O1174" s="49" t="s">
        <v>77</v>
      </c>
      <c r="P1174" s="48" t="s">
        <v>108</v>
      </c>
      <c r="Q1174" s="49" t="s">
        <v>37</v>
      </c>
      <c r="R1174" s="11" t="s">
        <v>80</v>
      </c>
      <c r="S1174" s="11" t="s">
        <v>98</v>
      </c>
      <c r="T1174" s="49" t="s">
        <v>627</v>
      </c>
      <c r="U1174" s="11" t="s">
        <v>628</v>
      </c>
      <c r="V1174" s="116" t="s">
        <v>1</v>
      </c>
      <c r="W1174" s="88"/>
      <c r="X1174" s="51">
        <v>44757</v>
      </c>
      <c r="Y1174" s="97" t="s">
        <v>1577</v>
      </c>
      <c r="Z1174" s="135" t="s">
        <v>2</v>
      </c>
      <c r="AA1174" s="135">
        <v>0</v>
      </c>
    </row>
    <row r="1175" spans="1:27" ht="13" customHeight="1">
      <c r="A1175" s="11">
        <v>1169</v>
      </c>
      <c r="B1175" s="47">
        <v>203965011</v>
      </c>
      <c r="C1175" s="89" t="s">
        <v>1308</v>
      </c>
      <c r="D1175" s="11" t="s">
        <v>1309</v>
      </c>
      <c r="E1175" s="48" t="s">
        <v>31</v>
      </c>
      <c r="F1175" s="48" t="s">
        <v>74</v>
      </c>
      <c r="G1175" s="11" t="s">
        <v>64</v>
      </c>
      <c r="H1175" s="48" t="str">
        <f>VLOOKUP(Table1[[#This Row],[Psoft No]],[1]Roster!$C$2:$H$1402,6,)</f>
        <v>AUH1</v>
      </c>
      <c r="I1175" s="48" t="b">
        <f>Table1[[#This Row],[Building]]=Table1[[#This Row],[Column1]]</f>
        <v>1</v>
      </c>
      <c r="J1175" s="11" t="s">
        <v>75</v>
      </c>
      <c r="K1175" s="11">
        <v>1299</v>
      </c>
      <c r="L1175" s="49" t="s">
        <v>39</v>
      </c>
      <c r="M1175" s="49" t="s">
        <v>76</v>
      </c>
      <c r="N1175" s="49" t="s">
        <v>77</v>
      </c>
      <c r="O1175" s="49" t="s">
        <v>78</v>
      </c>
      <c r="P1175" s="48" t="s">
        <v>86</v>
      </c>
      <c r="Q1175" s="49" t="s">
        <v>37</v>
      </c>
      <c r="R1175" s="11" t="s">
        <v>80</v>
      </c>
      <c r="S1175" s="11" t="s">
        <v>99</v>
      </c>
      <c r="T1175" s="11" t="s">
        <v>1066</v>
      </c>
      <c r="U1175" s="11" t="s">
        <v>2717</v>
      </c>
      <c r="V1175" s="116" t="s">
        <v>1</v>
      </c>
      <c r="W1175" s="88"/>
      <c r="X1175" s="51">
        <v>45544</v>
      </c>
      <c r="Y1175" s="97" t="s">
        <v>1577</v>
      </c>
      <c r="Z1175" s="135" t="s">
        <v>2</v>
      </c>
      <c r="AA1175" s="135">
        <v>0</v>
      </c>
    </row>
    <row r="1176" spans="1:27" ht="13" customHeight="1">
      <c r="A1176" s="11">
        <v>1170</v>
      </c>
      <c r="B1176" s="47">
        <v>205845557</v>
      </c>
      <c r="C1176" s="89" t="s">
        <v>1310</v>
      </c>
      <c r="D1176" s="11" t="s">
        <v>1311</v>
      </c>
      <c r="E1176" s="48" t="s">
        <v>31</v>
      </c>
      <c r="F1176" s="48" t="s">
        <v>74</v>
      </c>
      <c r="G1176" s="11" t="s">
        <v>64</v>
      </c>
      <c r="H1176" s="48" t="str">
        <f>VLOOKUP(Table1[[#This Row],[Psoft No]],[1]Roster!$C$2:$H$1402,6,)</f>
        <v>AUH1</v>
      </c>
      <c r="I1176" s="48" t="b">
        <f>Table1[[#This Row],[Building]]=Table1[[#This Row],[Column1]]</f>
        <v>1</v>
      </c>
      <c r="J1176" s="11" t="s">
        <v>75</v>
      </c>
      <c r="K1176" s="11">
        <v>1299</v>
      </c>
      <c r="L1176" s="49" t="s">
        <v>32</v>
      </c>
      <c r="M1176" s="49" t="s">
        <v>76</v>
      </c>
      <c r="N1176" s="49" t="s">
        <v>3007</v>
      </c>
      <c r="O1176" s="49" t="s">
        <v>88</v>
      </c>
      <c r="P1176" s="48" t="s">
        <v>89</v>
      </c>
      <c r="Q1176" s="49" t="s">
        <v>37</v>
      </c>
      <c r="R1176" s="11" t="s">
        <v>80</v>
      </c>
      <c r="S1176" s="11" t="s">
        <v>90</v>
      </c>
      <c r="T1176" s="11" t="s">
        <v>627</v>
      </c>
      <c r="U1176" s="11" t="s">
        <v>628</v>
      </c>
      <c r="V1176" s="116" t="str">
        <f>VLOOKUP(Table1[[#This Row],[Psoft No]],[2]Sheet1!$A$2:$G$386,7,0)</f>
        <v>P</v>
      </c>
      <c r="W1176" s="88"/>
      <c r="X1176" s="51">
        <v>45894</v>
      </c>
      <c r="Y1176" s="97" t="s">
        <v>1576</v>
      </c>
      <c r="Z1176" s="135" t="s">
        <v>2</v>
      </c>
      <c r="AA1176" s="135">
        <v>0</v>
      </c>
    </row>
    <row r="1177" spans="1:27" ht="13" customHeight="1">
      <c r="A1177" s="11">
        <v>1171</v>
      </c>
      <c r="B1177" s="47">
        <v>203993451</v>
      </c>
      <c r="C1177" s="89" t="s">
        <v>1312</v>
      </c>
      <c r="D1177" s="11" t="s">
        <v>1313</v>
      </c>
      <c r="E1177" s="48" t="s">
        <v>31</v>
      </c>
      <c r="F1177" s="48" t="s">
        <v>74</v>
      </c>
      <c r="G1177" s="11" t="s">
        <v>64</v>
      </c>
      <c r="H1177" s="48" t="str">
        <f>VLOOKUP(Table1[[#This Row],[Psoft No]],[1]Roster!$C$2:$H$1402,6,)</f>
        <v>AUH1</v>
      </c>
      <c r="I1177" s="48" t="b">
        <f>Table1[[#This Row],[Building]]=Table1[[#This Row],[Column1]]</f>
        <v>1</v>
      </c>
      <c r="J1177" s="11" t="s">
        <v>75</v>
      </c>
      <c r="K1177" s="11">
        <v>1299</v>
      </c>
      <c r="L1177" s="49" t="s">
        <v>39</v>
      </c>
      <c r="M1177" s="49" t="s">
        <v>76</v>
      </c>
      <c r="N1177" s="49" t="s">
        <v>85</v>
      </c>
      <c r="O1177" s="49" t="s">
        <v>88</v>
      </c>
      <c r="P1177" s="48" t="s">
        <v>86</v>
      </c>
      <c r="Q1177" s="49" t="s">
        <v>37</v>
      </c>
      <c r="R1177" s="11" t="s">
        <v>80</v>
      </c>
      <c r="S1177" s="11" t="s">
        <v>90</v>
      </c>
      <c r="T1177" s="11" t="s">
        <v>647</v>
      </c>
      <c r="U1177" s="11" t="s">
        <v>1798</v>
      </c>
      <c r="V1177" s="116" t="s">
        <v>1</v>
      </c>
      <c r="W1177" s="88"/>
      <c r="X1177" s="51">
        <v>45894</v>
      </c>
      <c r="Y1177" s="97" t="s">
        <v>1577</v>
      </c>
      <c r="Z1177" s="135" t="s">
        <v>2</v>
      </c>
      <c r="AA1177" s="135">
        <v>0</v>
      </c>
    </row>
    <row r="1178" spans="1:27" ht="13" customHeight="1">
      <c r="A1178" s="11">
        <v>1172</v>
      </c>
      <c r="B1178" s="47">
        <v>205854086</v>
      </c>
      <c r="C1178" s="89" t="s">
        <v>1314</v>
      </c>
      <c r="D1178" s="11" t="s">
        <v>1315</v>
      </c>
      <c r="E1178" s="48" t="s">
        <v>31</v>
      </c>
      <c r="F1178" s="48" t="s">
        <v>74</v>
      </c>
      <c r="G1178" s="11" t="s">
        <v>64</v>
      </c>
      <c r="H1178" s="48" t="str">
        <f>VLOOKUP(Table1[[#This Row],[Psoft No]],[1]Roster!$C$2:$H$1402,6,)</f>
        <v>AUH1</v>
      </c>
      <c r="I1178" s="48" t="b">
        <f>Table1[[#This Row],[Building]]=Table1[[#This Row],[Column1]]</f>
        <v>1</v>
      </c>
      <c r="J1178" s="11" t="s">
        <v>75</v>
      </c>
      <c r="K1178" s="11">
        <v>1299</v>
      </c>
      <c r="L1178" s="49" t="s">
        <v>32</v>
      </c>
      <c r="M1178" s="49" t="s">
        <v>76</v>
      </c>
      <c r="N1178" s="49" t="s">
        <v>92</v>
      </c>
      <c r="O1178" s="49" t="s">
        <v>84</v>
      </c>
      <c r="P1178" s="48" t="s">
        <v>89</v>
      </c>
      <c r="Q1178" s="49" t="s">
        <v>37</v>
      </c>
      <c r="R1178" s="11" t="s">
        <v>80</v>
      </c>
      <c r="S1178" s="11" t="s">
        <v>96</v>
      </c>
      <c r="T1178" s="11" t="s">
        <v>647</v>
      </c>
      <c r="U1178" s="11" t="s">
        <v>1798</v>
      </c>
      <c r="V1178" s="116" t="s">
        <v>10</v>
      </c>
      <c r="W1178" s="88"/>
      <c r="X1178" s="51">
        <v>45894</v>
      </c>
      <c r="Y1178" s="97" t="s">
        <v>1577</v>
      </c>
      <c r="Z1178" s="135" t="s">
        <v>3023</v>
      </c>
      <c r="AA1178" s="135">
        <v>0</v>
      </c>
    </row>
    <row r="1179" spans="1:27" ht="13" customHeight="1">
      <c r="A1179" s="11">
        <v>1173</v>
      </c>
      <c r="B1179" s="47">
        <v>206915790</v>
      </c>
      <c r="C1179" s="89" t="s">
        <v>1918</v>
      </c>
      <c r="D1179" s="11" t="s">
        <v>1903</v>
      </c>
      <c r="E1179" s="48" t="s">
        <v>31</v>
      </c>
      <c r="F1179" s="48" t="s">
        <v>74</v>
      </c>
      <c r="G1179" s="11" t="s">
        <v>64</v>
      </c>
      <c r="H1179" s="48" t="str">
        <f>VLOOKUP(Table1[[#This Row],[Psoft No]],[1]Roster!$C$2:$H$1402,6,)</f>
        <v>AUH1</v>
      </c>
      <c r="I1179" s="48" t="b">
        <f>Table1[[#This Row],[Building]]=Table1[[#This Row],[Column1]]</f>
        <v>1</v>
      </c>
      <c r="J1179" s="11" t="s">
        <v>75</v>
      </c>
      <c r="K1179" s="11">
        <v>1299</v>
      </c>
      <c r="L1179" s="49" t="s">
        <v>32</v>
      </c>
      <c r="M1179" s="49" t="s">
        <v>76</v>
      </c>
      <c r="N1179" s="49" t="s">
        <v>88</v>
      </c>
      <c r="O1179" s="49" t="s">
        <v>95</v>
      </c>
      <c r="P1179" s="49" t="s">
        <v>89</v>
      </c>
      <c r="Q1179" s="49" t="s">
        <v>37</v>
      </c>
      <c r="R1179" s="11" t="s">
        <v>80</v>
      </c>
      <c r="S1179" s="11" t="s">
        <v>90</v>
      </c>
      <c r="T1179" s="49" t="s">
        <v>2719</v>
      </c>
      <c r="U1179" s="11" t="s">
        <v>642</v>
      </c>
      <c r="V1179" s="116" t="str">
        <f>VLOOKUP(Table1[[#This Row],[Psoft No]],[2]Sheet1!$A$2:$G$386,7,0)</f>
        <v>P</v>
      </c>
      <c r="W1179" s="88"/>
      <c r="X1179" s="51">
        <v>46034</v>
      </c>
      <c r="Y1179" s="97" t="s">
        <v>1577</v>
      </c>
      <c r="Z1179" s="135" t="s">
        <v>2</v>
      </c>
      <c r="AA1179" s="135">
        <v>0</v>
      </c>
    </row>
    <row r="1180" spans="1:27" ht="13" customHeight="1">
      <c r="A1180" s="11">
        <v>1174</v>
      </c>
      <c r="B1180" s="47">
        <v>206915794</v>
      </c>
      <c r="C1180" s="89" t="s">
        <v>1909</v>
      </c>
      <c r="D1180" s="11" t="s">
        <v>1915</v>
      </c>
      <c r="E1180" s="48" t="s">
        <v>31</v>
      </c>
      <c r="F1180" s="48" t="s">
        <v>74</v>
      </c>
      <c r="G1180" s="11" t="s">
        <v>64</v>
      </c>
      <c r="H1180" s="48" t="str">
        <f>VLOOKUP(Table1[[#This Row],[Psoft No]],[1]Roster!$C$2:$H$1402,6,)</f>
        <v>AUH1</v>
      </c>
      <c r="I1180" s="48" t="b">
        <f>Table1[[#This Row],[Building]]=Table1[[#This Row],[Column1]]</f>
        <v>1</v>
      </c>
      <c r="J1180" s="11" t="s">
        <v>75</v>
      </c>
      <c r="K1180" s="11">
        <v>1299</v>
      </c>
      <c r="L1180" s="49" t="s">
        <v>39</v>
      </c>
      <c r="M1180" s="49" t="s">
        <v>76</v>
      </c>
      <c r="N1180" s="49" t="s">
        <v>92</v>
      </c>
      <c r="O1180" s="49" t="s">
        <v>84</v>
      </c>
      <c r="P1180" s="49" t="s">
        <v>89</v>
      </c>
      <c r="Q1180" s="49" t="s">
        <v>37</v>
      </c>
      <c r="R1180" s="11" t="s">
        <v>80</v>
      </c>
      <c r="S1180" s="11" t="s">
        <v>90</v>
      </c>
      <c r="T1180" s="11" t="s">
        <v>647</v>
      </c>
      <c r="U1180" s="11" t="s">
        <v>1798</v>
      </c>
      <c r="V1180" s="116" t="s">
        <v>10</v>
      </c>
      <c r="W1180" s="88"/>
      <c r="X1180" s="51">
        <v>46034</v>
      </c>
      <c r="Y1180" s="97" t="s">
        <v>1576</v>
      </c>
      <c r="Z1180" s="135" t="s">
        <v>3023</v>
      </c>
      <c r="AA1180" s="135">
        <v>0</v>
      </c>
    </row>
    <row r="1181" spans="1:27" ht="13" customHeight="1">
      <c r="A1181" s="11">
        <v>1175</v>
      </c>
      <c r="B1181" s="47">
        <v>203555845</v>
      </c>
      <c r="C1181" s="89" t="s">
        <v>1316</v>
      </c>
      <c r="D1181" s="11" t="s">
        <v>1317</v>
      </c>
      <c r="E1181" s="48" t="s">
        <v>31</v>
      </c>
      <c r="F1181" s="48" t="s">
        <v>74</v>
      </c>
      <c r="G1181" s="11" t="s">
        <v>64</v>
      </c>
      <c r="H1181" s="48" t="str">
        <f>VLOOKUP(Table1[[#This Row],[Psoft No]],[1]Roster!$C$2:$H$1402,6,)</f>
        <v>AUH1</v>
      </c>
      <c r="I1181" s="48" t="b">
        <f>Table1[[#This Row],[Building]]=Table1[[#This Row],[Column1]]</f>
        <v>1</v>
      </c>
      <c r="J1181" s="11" t="s">
        <v>75</v>
      </c>
      <c r="K1181" s="11">
        <v>1299</v>
      </c>
      <c r="L1181" s="49" t="s">
        <v>39</v>
      </c>
      <c r="M1181" s="49" t="s">
        <v>76</v>
      </c>
      <c r="N1181" s="49" t="s">
        <v>85</v>
      </c>
      <c r="O1181" s="49" t="s">
        <v>88</v>
      </c>
      <c r="P1181" s="48" t="s">
        <v>86</v>
      </c>
      <c r="Q1181" s="49" t="s">
        <v>37</v>
      </c>
      <c r="R1181" s="11" t="s">
        <v>80</v>
      </c>
      <c r="S1181" s="11" t="s">
        <v>99</v>
      </c>
      <c r="T1181" s="11" t="s">
        <v>1066</v>
      </c>
      <c r="U1181" s="11" t="s">
        <v>2717</v>
      </c>
      <c r="V1181" s="116" t="s">
        <v>1</v>
      </c>
      <c r="W1181" s="88"/>
      <c r="X1181" s="51">
        <v>45470</v>
      </c>
      <c r="Y1181" s="97" t="s">
        <v>1577</v>
      </c>
      <c r="Z1181" s="135" t="s">
        <v>2</v>
      </c>
      <c r="AA1181" s="135">
        <v>0</v>
      </c>
    </row>
    <row r="1182" spans="1:27" ht="13" customHeight="1">
      <c r="A1182" s="11">
        <v>1176</v>
      </c>
      <c r="B1182" s="47">
        <v>203964988</v>
      </c>
      <c r="C1182" s="89" t="s">
        <v>1318</v>
      </c>
      <c r="D1182" s="11" t="s">
        <v>1319</v>
      </c>
      <c r="E1182" s="48" t="s">
        <v>31</v>
      </c>
      <c r="F1182" s="48" t="s">
        <v>74</v>
      </c>
      <c r="G1182" s="11" t="s">
        <v>64</v>
      </c>
      <c r="H1182" s="48" t="str">
        <f>VLOOKUP(Table1[[#This Row],[Psoft No]],[1]Roster!$C$2:$H$1402,6,)</f>
        <v>AUH1</v>
      </c>
      <c r="I1182" s="48" t="b">
        <f>Table1[[#This Row],[Building]]=Table1[[#This Row],[Column1]]</f>
        <v>1</v>
      </c>
      <c r="J1182" s="11" t="s">
        <v>75</v>
      </c>
      <c r="K1182" s="11">
        <v>1299</v>
      </c>
      <c r="L1182" s="49" t="s">
        <v>32</v>
      </c>
      <c r="M1182" s="49" t="s">
        <v>76</v>
      </c>
      <c r="N1182" s="49" t="s">
        <v>78</v>
      </c>
      <c r="O1182" s="49" t="s">
        <v>92</v>
      </c>
      <c r="P1182" s="49" t="s">
        <v>86</v>
      </c>
      <c r="Q1182" s="49" t="s">
        <v>37</v>
      </c>
      <c r="R1182" s="11" t="s">
        <v>80</v>
      </c>
      <c r="S1182" s="11" t="s">
        <v>99</v>
      </c>
      <c r="T1182" s="11" t="s">
        <v>647</v>
      </c>
      <c r="U1182" s="11" t="s">
        <v>1798</v>
      </c>
      <c r="V1182" s="116" t="s">
        <v>10</v>
      </c>
      <c r="W1182" s="88"/>
      <c r="X1182" s="51">
        <v>45544</v>
      </c>
      <c r="Y1182" s="97" t="s">
        <v>1577</v>
      </c>
      <c r="Z1182" s="135" t="s">
        <v>3023</v>
      </c>
      <c r="AA1182" s="135">
        <v>0</v>
      </c>
    </row>
    <row r="1183" spans="1:27" ht="13" customHeight="1">
      <c r="A1183" s="11">
        <v>1177</v>
      </c>
      <c r="B1183" s="47">
        <v>204137704</v>
      </c>
      <c r="C1183" s="89" t="s">
        <v>1320</v>
      </c>
      <c r="D1183" s="11" t="s">
        <v>1321</v>
      </c>
      <c r="E1183" s="48" t="s">
        <v>31</v>
      </c>
      <c r="F1183" s="48" t="s">
        <v>74</v>
      </c>
      <c r="G1183" s="11" t="s">
        <v>64</v>
      </c>
      <c r="H1183" s="48" t="str">
        <f>VLOOKUP(Table1[[#This Row],[Psoft No]],[1]Roster!$C$2:$H$1402,6,)</f>
        <v>AUH1</v>
      </c>
      <c r="I1183" s="48" t="b">
        <f>Table1[[#This Row],[Building]]=Table1[[#This Row],[Column1]]</f>
        <v>1</v>
      </c>
      <c r="J1183" s="11" t="s">
        <v>75</v>
      </c>
      <c r="K1183" s="11">
        <v>1299</v>
      </c>
      <c r="L1183" s="49" t="s">
        <v>39</v>
      </c>
      <c r="M1183" s="49" t="s">
        <v>76</v>
      </c>
      <c r="N1183" s="49" t="s">
        <v>78</v>
      </c>
      <c r="O1183" s="49" t="s">
        <v>92</v>
      </c>
      <c r="P1183" s="48" t="s">
        <v>86</v>
      </c>
      <c r="Q1183" s="49" t="s">
        <v>37</v>
      </c>
      <c r="R1183" s="11" t="s">
        <v>80</v>
      </c>
      <c r="S1183" s="11" t="s">
        <v>87</v>
      </c>
      <c r="T1183" s="11" t="s">
        <v>647</v>
      </c>
      <c r="U1183" s="11" t="s">
        <v>1798</v>
      </c>
      <c r="V1183" s="116" t="s">
        <v>10</v>
      </c>
      <c r="W1183" s="88"/>
      <c r="X1183" s="51">
        <v>45565</v>
      </c>
      <c r="Y1183" s="97" t="s">
        <v>1577</v>
      </c>
      <c r="Z1183" s="135" t="s">
        <v>3023</v>
      </c>
      <c r="AA1183" s="135">
        <v>0</v>
      </c>
    </row>
    <row r="1184" spans="1:27" ht="13" customHeight="1">
      <c r="A1184" s="11">
        <v>1178</v>
      </c>
      <c r="B1184" s="47">
        <v>206846538</v>
      </c>
      <c r="C1184" s="89" t="s">
        <v>1819</v>
      </c>
      <c r="D1184" s="11" t="s">
        <v>1820</v>
      </c>
      <c r="E1184" s="48" t="s">
        <v>31</v>
      </c>
      <c r="F1184" s="48" t="s">
        <v>74</v>
      </c>
      <c r="G1184" s="11" t="s">
        <v>64</v>
      </c>
      <c r="H1184" s="48" t="str">
        <f>VLOOKUP(Table1[[#This Row],[Psoft No]],[1]Roster!$C$2:$H$1402,6,)</f>
        <v>AUH1</v>
      </c>
      <c r="I1184" s="48" t="b">
        <f>Table1[[#This Row],[Building]]=Table1[[#This Row],[Column1]]</f>
        <v>1</v>
      </c>
      <c r="J1184" s="11" t="s">
        <v>75</v>
      </c>
      <c r="K1184" s="11">
        <v>1299</v>
      </c>
      <c r="L1184" s="49" t="s">
        <v>39</v>
      </c>
      <c r="M1184" s="49" t="s">
        <v>76</v>
      </c>
      <c r="N1184" s="49" t="s">
        <v>95</v>
      </c>
      <c r="O1184" s="49" t="s">
        <v>77</v>
      </c>
      <c r="P1184" s="48" t="s">
        <v>89</v>
      </c>
      <c r="Q1184" s="49" t="s">
        <v>37</v>
      </c>
      <c r="R1184" s="11" t="s">
        <v>80</v>
      </c>
      <c r="S1184" s="11" t="s">
        <v>90</v>
      </c>
      <c r="T1184" s="11" t="s">
        <v>2719</v>
      </c>
      <c r="U1184" s="11" t="s">
        <v>642</v>
      </c>
      <c r="V1184" s="116" t="s">
        <v>1</v>
      </c>
      <c r="W1184" s="88"/>
      <c r="X1184" s="51">
        <v>46013</v>
      </c>
      <c r="Y1184" s="97" t="s">
        <v>1577</v>
      </c>
      <c r="Z1184" s="135" t="s">
        <v>2</v>
      </c>
      <c r="AA1184" s="135">
        <v>0</v>
      </c>
    </row>
    <row r="1185" spans="1:27" ht="13" customHeight="1">
      <c r="A1185" s="11">
        <v>1179</v>
      </c>
      <c r="B1185" s="47">
        <v>206136722</v>
      </c>
      <c r="C1185" s="89" t="s">
        <v>2867</v>
      </c>
      <c r="D1185" s="11" t="s">
        <v>2868</v>
      </c>
      <c r="E1185" s="48" t="s">
        <v>31</v>
      </c>
      <c r="F1185" s="48" t="s">
        <v>74</v>
      </c>
      <c r="G1185" s="11" t="s">
        <v>64</v>
      </c>
      <c r="H1185" s="48" t="str">
        <f>VLOOKUP(Table1[[#This Row],[Psoft No]],[1]Roster!$C$2:$H$1402,6,)</f>
        <v>AUH1</v>
      </c>
      <c r="I1185" s="48" t="b">
        <f>Table1[[#This Row],[Building]]=Table1[[#This Row],[Column1]]</f>
        <v>1</v>
      </c>
      <c r="J1185" s="11" t="s">
        <v>75</v>
      </c>
      <c r="K1185" s="11">
        <v>1299</v>
      </c>
      <c r="L1185" s="49" t="s">
        <v>39</v>
      </c>
      <c r="M1185" s="49" t="s">
        <v>76</v>
      </c>
      <c r="N1185" s="49" t="s">
        <v>85</v>
      </c>
      <c r="O1185" s="49" t="s">
        <v>88</v>
      </c>
      <c r="P1185" s="48" t="s">
        <v>89</v>
      </c>
      <c r="Q1185" s="49" t="s">
        <v>37</v>
      </c>
      <c r="R1185" s="11" t="s">
        <v>80</v>
      </c>
      <c r="S1185" s="11" t="s">
        <v>96</v>
      </c>
      <c r="T1185" s="11" t="s">
        <v>1066</v>
      </c>
      <c r="U1185" s="11" t="s">
        <v>2717</v>
      </c>
      <c r="V1185" s="116" t="s">
        <v>1</v>
      </c>
      <c r="W1185" s="88"/>
      <c r="X1185" s="51">
        <v>46238</v>
      </c>
      <c r="Y1185" s="97" t="s">
        <v>1578</v>
      </c>
      <c r="Z1185" s="135" t="s">
        <v>2</v>
      </c>
      <c r="AA1185" s="135">
        <v>0</v>
      </c>
    </row>
    <row r="1186" spans="1:27" ht="13" customHeight="1">
      <c r="A1186" s="11">
        <v>1180</v>
      </c>
      <c r="B1186" s="47">
        <v>205997632</v>
      </c>
      <c r="C1186" s="89" t="s">
        <v>1089</v>
      </c>
      <c r="D1186" s="11" t="s">
        <v>1090</v>
      </c>
      <c r="E1186" s="48" t="s">
        <v>31</v>
      </c>
      <c r="F1186" s="48" t="s">
        <v>74</v>
      </c>
      <c r="G1186" s="11" t="s">
        <v>64</v>
      </c>
      <c r="H1186" s="48" t="str">
        <f>VLOOKUP(Table1[[#This Row],[Psoft No]],[1]Roster!$C$2:$H$1402,6,)</f>
        <v>AUH1</v>
      </c>
      <c r="I1186" s="48" t="b">
        <f>Table1[[#This Row],[Building]]=Table1[[#This Row],[Column1]]</f>
        <v>1</v>
      </c>
      <c r="J1186" s="11" t="s">
        <v>75</v>
      </c>
      <c r="K1186" s="11">
        <v>1299</v>
      </c>
      <c r="L1186" s="49" t="s">
        <v>32</v>
      </c>
      <c r="M1186" s="49" t="s">
        <v>76</v>
      </c>
      <c r="N1186" s="49" t="s">
        <v>88</v>
      </c>
      <c r="O1186" s="49" t="s">
        <v>95</v>
      </c>
      <c r="P1186" s="48" t="s">
        <v>79</v>
      </c>
      <c r="Q1186" s="49" t="s">
        <v>37</v>
      </c>
      <c r="R1186" s="11" t="s">
        <v>80</v>
      </c>
      <c r="S1186" s="11" t="s">
        <v>81</v>
      </c>
      <c r="T1186" s="49" t="s">
        <v>2845</v>
      </c>
      <c r="U1186" s="11" t="s">
        <v>2846</v>
      </c>
      <c r="V1186" s="116" t="str">
        <f>VLOOKUP(Table1[[#This Row],[Psoft No]],[2]Sheet1!$A$2:$G$386,7,0)</f>
        <v>P</v>
      </c>
      <c r="W1186" s="88"/>
      <c r="X1186" s="51">
        <v>45915</v>
      </c>
      <c r="Y1186" s="97" t="s">
        <v>1577</v>
      </c>
      <c r="Z1186" s="135" t="s">
        <v>2</v>
      </c>
      <c r="AA1186" s="135">
        <v>0</v>
      </c>
    </row>
    <row r="1187" spans="1:27" ht="13" customHeight="1">
      <c r="A1187" s="11">
        <v>1181</v>
      </c>
      <c r="B1187" s="47">
        <v>206902844</v>
      </c>
      <c r="C1187" s="89" t="s">
        <v>1883</v>
      </c>
      <c r="D1187" s="11" t="s">
        <v>1884</v>
      </c>
      <c r="E1187" s="48" t="s">
        <v>31</v>
      </c>
      <c r="F1187" s="48" t="s">
        <v>74</v>
      </c>
      <c r="G1187" s="11" t="s">
        <v>64</v>
      </c>
      <c r="H1187" s="48" t="str">
        <f>VLOOKUP(Table1[[#This Row],[Psoft No]],[1]Roster!$C$2:$H$1402,6,)</f>
        <v>AUH1</v>
      </c>
      <c r="I1187" s="48" t="b">
        <f>Table1[[#This Row],[Building]]=Table1[[#This Row],[Column1]]</f>
        <v>1</v>
      </c>
      <c r="J1187" s="11" t="s">
        <v>75</v>
      </c>
      <c r="K1187" s="11">
        <v>1290</v>
      </c>
      <c r="L1187" s="49" t="s">
        <v>39</v>
      </c>
      <c r="M1187" s="49" t="s">
        <v>76</v>
      </c>
      <c r="N1187" s="49" t="s">
        <v>92</v>
      </c>
      <c r="O1187" s="49" t="s">
        <v>84</v>
      </c>
      <c r="P1187" s="48" t="s">
        <v>89</v>
      </c>
      <c r="Q1187" s="49" t="s">
        <v>37</v>
      </c>
      <c r="R1187" s="11" t="s">
        <v>80</v>
      </c>
      <c r="S1187" s="11" t="s">
        <v>90</v>
      </c>
      <c r="T1187" s="11" t="s">
        <v>647</v>
      </c>
      <c r="U1187" s="11" t="s">
        <v>1798</v>
      </c>
      <c r="V1187" s="116" t="s">
        <v>10</v>
      </c>
      <c r="W1187" s="88"/>
      <c r="X1187" s="51">
        <v>46030</v>
      </c>
      <c r="Y1187" s="97" t="s">
        <v>1577</v>
      </c>
      <c r="Z1187" s="135" t="s">
        <v>3023</v>
      </c>
      <c r="AA1187" s="135">
        <v>0</v>
      </c>
    </row>
    <row r="1188" spans="1:27" ht="13" customHeight="1">
      <c r="A1188" s="11">
        <v>1182</v>
      </c>
      <c r="B1188" s="47">
        <v>203911200</v>
      </c>
      <c r="C1188" s="89" t="s">
        <v>1322</v>
      </c>
      <c r="D1188" s="11" t="s">
        <v>1323</v>
      </c>
      <c r="E1188" s="48" t="s">
        <v>31</v>
      </c>
      <c r="F1188" s="48" t="s">
        <v>74</v>
      </c>
      <c r="G1188" s="11" t="s">
        <v>64</v>
      </c>
      <c r="H1188" s="48" t="str">
        <f>VLOOKUP(Table1[[#This Row],[Psoft No]],[1]Roster!$C$2:$H$1402,6,)</f>
        <v>AUH1</v>
      </c>
      <c r="I1188" s="48" t="b">
        <f>Table1[[#This Row],[Building]]=Table1[[#This Row],[Column1]]</f>
        <v>1</v>
      </c>
      <c r="J1188" s="11" t="s">
        <v>75</v>
      </c>
      <c r="K1188" s="11">
        <v>1299</v>
      </c>
      <c r="L1188" s="49" t="s">
        <v>39</v>
      </c>
      <c r="M1188" s="49" t="s">
        <v>76</v>
      </c>
      <c r="N1188" s="49" t="s">
        <v>78</v>
      </c>
      <c r="O1188" s="49" t="s">
        <v>92</v>
      </c>
      <c r="P1188" s="48" t="s">
        <v>86</v>
      </c>
      <c r="Q1188" s="49" t="s">
        <v>37</v>
      </c>
      <c r="R1188" s="11" t="s">
        <v>80</v>
      </c>
      <c r="S1188" s="11" t="s">
        <v>99</v>
      </c>
      <c r="T1188" s="11" t="s">
        <v>647</v>
      </c>
      <c r="U1188" s="11" t="s">
        <v>1798</v>
      </c>
      <c r="V1188" s="116" t="s">
        <v>10</v>
      </c>
      <c r="W1188" s="88"/>
      <c r="X1188" s="51">
        <v>45537</v>
      </c>
      <c r="Y1188" s="97" t="s">
        <v>1578</v>
      </c>
      <c r="Z1188" s="135" t="s">
        <v>3023</v>
      </c>
      <c r="AA1188" s="135">
        <v>0</v>
      </c>
    </row>
    <row r="1189" spans="1:27" ht="13" customHeight="1">
      <c r="A1189" s="11">
        <v>1183</v>
      </c>
      <c r="B1189" s="47">
        <v>205845559</v>
      </c>
      <c r="C1189" s="89" t="s">
        <v>2822</v>
      </c>
      <c r="D1189" s="11" t="s">
        <v>2823</v>
      </c>
      <c r="E1189" s="48" t="s">
        <v>31</v>
      </c>
      <c r="F1189" s="48" t="s">
        <v>74</v>
      </c>
      <c r="G1189" s="11" t="s">
        <v>64</v>
      </c>
      <c r="H1189" s="48" t="str">
        <f>VLOOKUP(Table1[[#This Row],[Psoft No]],[1]Roster!$C$2:$H$1402,6,)</f>
        <v>AUH1</v>
      </c>
      <c r="I1189" s="48" t="b">
        <f>Table1[[#This Row],[Building]]=Table1[[#This Row],[Column1]]</f>
        <v>1</v>
      </c>
      <c r="J1189" s="11" t="s">
        <v>75</v>
      </c>
      <c r="K1189" s="11">
        <v>1299</v>
      </c>
      <c r="L1189" s="49" t="s">
        <v>39</v>
      </c>
      <c r="M1189" s="49" t="s">
        <v>76</v>
      </c>
      <c r="N1189" s="49" t="s">
        <v>85</v>
      </c>
      <c r="O1189" s="49" t="s">
        <v>88</v>
      </c>
      <c r="P1189" s="48" t="s">
        <v>86</v>
      </c>
      <c r="Q1189" s="49" t="s">
        <v>37</v>
      </c>
      <c r="R1189" s="11" t="s">
        <v>80</v>
      </c>
      <c r="S1189" s="11" t="s">
        <v>90</v>
      </c>
      <c r="T1189" s="11" t="s">
        <v>2719</v>
      </c>
      <c r="U1189" s="11" t="s">
        <v>642</v>
      </c>
      <c r="V1189" s="116" t="s">
        <v>1</v>
      </c>
      <c r="W1189" s="88"/>
      <c r="X1189" s="51">
        <v>45894</v>
      </c>
      <c r="Y1189" s="97" t="s">
        <v>1577</v>
      </c>
      <c r="Z1189" s="135" t="s">
        <v>2</v>
      </c>
      <c r="AA1189" s="135">
        <v>0</v>
      </c>
    </row>
    <row r="1190" spans="1:27" ht="13" customHeight="1">
      <c r="A1190" s="11">
        <v>1184</v>
      </c>
      <c r="B1190" s="47">
        <v>204009364</v>
      </c>
      <c r="C1190" s="89" t="s">
        <v>2824</v>
      </c>
      <c r="D1190" s="11" t="s">
        <v>2825</v>
      </c>
      <c r="E1190" s="48" t="s">
        <v>31</v>
      </c>
      <c r="F1190" s="48" t="s">
        <v>74</v>
      </c>
      <c r="G1190" s="11" t="s">
        <v>64</v>
      </c>
      <c r="H1190" s="48" t="str">
        <f>VLOOKUP(Table1[[#This Row],[Psoft No]],[1]Roster!$C$2:$H$1402,6,)</f>
        <v>AUH1</v>
      </c>
      <c r="I1190" s="48" t="b">
        <f>Table1[[#This Row],[Building]]=Table1[[#This Row],[Column1]]</f>
        <v>1</v>
      </c>
      <c r="J1190" s="11" t="s">
        <v>75</v>
      </c>
      <c r="K1190" s="11">
        <v>1299</v>
      </c>
      <c r="L1190" s="49" t="s">
        <v>32</v>
      </c>
      <c r="M1190" s="49" t="s">
        <v>76</v>
      </c>
      <c r="N1190" s="49" t="s">
        <v>84</v>
      </c>
      <c r="O1190" s="49" t="s">
        <v>85</v>
      </c>
      <c r="P1190" s="48" t="s">
        <v>89</v>
      </c>
      <c r="Q1190" s="49" t="s">
        <v>37</v>
      </c>
      <c r="R1190" s="11" t="s">
        <v>80</v>
      </c>
      <c r="S1190" s="11" t="s">
        <v>90</v>
      </c>
      <c r="T1190" s="11" t="s">
        <v>2845</v>
      </c>
      <c r="U1190" s="11" t="s">
        <v>2846</v>
      </c>
      <c r="V1190" s="116" t="str">
        <f>VLOOKUP(Table1[[#This Row],[Psoft No]],[2]Sheet1!$A$2:$G$386,7,0)</f>
        <v>P</v>
      </c>
      <c r="W1190" s="88"/>
      <c r="X1190" s="51">
        <v>45551</v>
      </c>
      <c r="Y1190" s="97" t="s">
        <v>1577</v>
      </c>
      <c r="Z1190" s="135" t="s">
        <v>2</v>
      </c>
      <c r="AA1190" s="135">
        <v>0</v>
      </c>
    </row>
    <row r="1191" spans="1:27" ht="13" customHeight="1">
      <c r="A1191" s="11">
        <v>1185</v>
      </c>
      <c r="B1191" s="47">
        <v>206192237</v>
      </c>
      <c r="C1191" s="89" t="s">
        <v>2832</v>
      </c>
      <c r="D1191" s="11" t="s">
        <v>2833</v>
      </c>
      <c r="E1191" s="48" t="s">
        <v>31</v>
      </c>
      <c r="F1191" s="48" t="s">
        <v>74</v>
      </c>
      <c r="G1191" s="11" t="s">
        <v>64</v>
      </c>
      <c r="H1191" s="48" t="str">
        <f>VLOOKUP(Table1[[#This Row],[Psoft No]],[1]Roster!$C$2:$H$1402,6,)</f>
        <v>AUH1</v>
      </c>
      <c r="I1191" s="48" t="b">
        <f>Table1[[#This Row],[Building]]=Table1[[#This Row],[Column1]]</f>
        <v>1</v>
      </c>
      <c r="J1191" s="11" t="s">
        <v>75</v>
      </c>
      <c r="K1191" s="11">
        <v>1299</v>
      </c>
      <c r="L1191" s="49" t="s">
        <v>39</v>
      </c>
      <c r="M1191" s="49" t="s">
        <v>76</v>
      </c>
      <c r="N1191" s="49" t="s">
        <v>92</v>
      </c>
      <c r="O1191" s="49" t="s">
        <v>84</v>
      </c>
      <c r="P1191" s="49" t="s">
        <v>89</v>
      </c>
      <c r="Q1191" s="49" t="s">
        <v>37</v>
      </c>
      <c r="R1191" s="11" t="s">
        <v>80</v>
      </c>
      <c r="S1191" s="11" t="s">
        <v>96</v>
      </c>
      <c r="T1191" s="11" t="s">
        <v>627</v>
      </c>
      <c r="U1191" s="11" t="s">
        <v>628</v>
      </c>
      <c r="V1191" s="116" t="s">
        <v>10</v>
      </c>
      <c r="W1191" s="88"/>
      <c r="X1191" s="51">
        <v>46226</v>
      </c>
      <c r="Y1191" s="97" t="s">
        <v>1577</v>
      </c>
      <c r="Z1191" s="135" t="s">
        <v>3023</v>
      </c>
      <c r="AA1191" s="135">
        <v>0</v>
      </c>
    </row>
    <row r="1192" spans="1:27" ht="13" customHeight="1">
      <c r="A1192" s="11">
        <v>1186</v>
      </c>
      <c r="B1192" s="47">
        <v>203881697</v>
      </c>
      <c r="C1192" s="89" t="s">
        <v>1324</v>
      </c>
      <c r="D1192" s="11" t="s">
        <v>1325</v>
      </c>
      <c r="E1192" s="48" t="s">
        <v>31</v>
      </c>
      <c r="F1192" s="48" t="s">
        <v>74</v>
      </c>
      <c r="G1192" s="11" t="s">
        <v>64</v>
      </c>
      <c r="H1192" s="48" t="str">
        <f>VLOOKUP(Table1[[#This Row],[Psoft No]],[1]Roster!$C$2:$H$1402,6,)</f>
        <v>AUH1</v>
      </c>
      <c r="I1192" s="48" t="b">
        <f>Table1[[#This Row],[Building]]=Table1[[#This Row],[Column1]]</f>
        <v>1</v>
      </c>
      <c r="J1192" s="11" t="s">
        <v>75</v>
      </c>
      <c r="K1192" s="11">
        <v>1299</v>
      </c>
      <c r="L1192" s="49" t="s">
        <v>39</v>
      </c>
      <c r="M1192" s="49" t="s">
        <v>76</v>
      </c>
      <c r="N1192" s="49" t="s">
        <v>85</v>
      </c>
      <c r="O1192" s="49" t="s">
        <v>88</v>
      </c>
      <c r="P1192" s="49" t="s">
        <v>79</v>
      </c>
      <c r="Q1192" s="49" t="s">
        <v>37</v>
      </c>
      <c r="R1192" s="11" t="s">
        <v>80</v>
      </c>
      <c r="S1192" s="11" t="s">
        <v>81</v>
      </c>
      <c r="T1192" s="11" t="s">
        <v>639</v>
      </c>
      <c r="U1192" s="11" t="s">
        <v>2718</v>
      </c>
      <c r="V1192" s="116" t="s">
        <v>1</v>
      </c>
      <c r="W1192" s="88"/>
      <c r="X1192" s="51">
        <v>45530</v>
      </c>
      <c r="Y1192" s="97" t="s">
        <v>1579</v>
      </c>
      <c r="Z1192" s="135" t="s">
        <v>2</v>
      </c>
      <c r="AA1192" s="135">
        <v>0</v>
      </c>
    </row>
    <row r="1193" spans="1:27" ht="13" customHeight="1">
      <c r="A1193" s="11">
        <v>1187</v>
      </c>
      <c r="B1193" s="47">
        <v>206897671</v>
      </c>
      <c r="C1193" s="89" t="s">
        <v>2851</v>
      </c>
      <c r="D1193" s="11" t="s">
        <v>2852</v>
      </c>
      <c r="E1193" s="48" t="s">
        <v>31</v>
      </c>
      <c r="F1193" s="48" t="s">
        <v>74</v>
      </c>
      <c r="G1193" s="11" t="s">
        <v>64</v>
      </c>
      <c r="H1193" s="48" t="str">
        <f>VLOOKUP(Table1[[#This Row],[Psoft No]],[1]Roster!$C$2:$H$1402,6,)</f>
        <v>AUH1</v>
      </c>
      <c r="I1193" s="48" t="b">
        <f>Table1[[#This Row],[Building]]=Table1[[#This Row],[Column1]]</f>
        <v>1</v>
      </c>
      <c r="J1193" s="11" t="s">
        <v>75</v>
      </c>
      <c r="K1193" s="11">
        <v>1299</v>
      </c>
      <c r="L1193" s="49" t="s">
        <v>39</v>
      </c>
      <c r="M1193" s="49" t="s">
        <v>76</v>
      </c>
      <c r="N1193" s="49" t="s">
        <v>92</v>
      </c>
      <c r="O1193" s="49" t="s">
        <v>84</v>
      </c>
      <c r="P1193" s="48" t="s">
        <v>89</v>
      </c>
      <c r="Q1193" s="49" t="s">
        <v>37</v>
      </c>
      <c r="R1193" s="11" t="s">
        <v>80</v>
      </c>
      <c r="S1193" s="11" t="s">
        <v>81</v>
      </c>
      <c r="T1193" s="11" t="s">
        <v>631</v>
      </c>
      <c r="U1193" s="11" t="s">
        <v>632</v>
      </c>
      <c r="V1193" s="116" t="s">
        <v>10</v>
      </c>
      <c r="W1193" s="88"/>
      <c r="X1193" s="51">
        <v>46238</v>
      </c>
      <c r="Y1193" s="97" t="s">
        <v>1579</v>
      </c>
      <c r="Z1193" s="135" t="s">
        <v>3023</v>
      </c>
      <c r="AA1193" s="135">
        <v>0</v>
      </c>
    </row>
    <row r="1194" spans="1:27" ht="13" customHeight="1">
      <c r="A1194" s="11">
        <v>1188</v>
      </c>
      <c r="B1194" s="47">
        <v>206902847</v>
      </c>
      <c r="C1194" s="89" t="s">
        <v>1881</v>
      </c>
      <c r="D1194" s="11" t="s">
        <v>1882</v>
      </c>
      <c r="E1194" s="48" t="s">
        <v>31</v>
      </c>
      <c r="F1194" s="48" t="s">
        <v>74</v>
      </c>
      <c r="G1194" s="11" t="s">
        <v>64</v>
      </c>
      <c r="H1194" s="48" t="str">
        <f>VLOOKUP(Table1[[#This Row],[Psoft No]],[1]Roster!$C$2:$H$1402,6,)</f>
        <v>AUH1</v>
      </c>
      <c r="I1194" s="48" t="b">
        <f>Table1[[#This Row],[Building]]=Table1[[#This Row],[Column1]]</f>
        <v>1</v>
      </c>
      <c r="J1194" s="11" t="s">
        <v>75</v>
      </c>
      <c r="K1194" s="11">
        <v>1290</v>
      </c>
      <c r="L1194" s="49" t="s">
        <v>32</v>
      </c>
      <c r="M1194" s="49" t="s">
        <v>76</v>
      </c>
      <c r="N1194" s="49" t="s">
        <v>92</v>
      </c>
      <c r="O1194" s="49" t="s">
        <v>84</v>
      </c>
      <c r="P1194" s="49" t="s">
        <v>89</v>
      </c>
      <c r="Q1194" s="49" t="s">
        <v>37</v>
      </c>
      <c r="R1194" s="11" t="s">
        <v>80</v>
      </c>
      <c r="S1194" s="11" t="s">
        <v>90</v>
      </c>
      <c r="T1194" s="11" t="s">
        <v>647</v>
      </c>
      <c r="U1194" s="11" t="s">
        <v>1798</v>
      </c>
      <c r="V1194" s="116" t="s">
        <v>10</v>
      </c>
      <c r="W1194" s="88"/>
      <c r="X1194" s="51">
        <v>46030</v>
      </c>
      <c r="Y1194" s="97" t="s">
        <v>1577</v>
      </c>
      <c r="Z1194" s="135" t="s">
        <v>3023</v>
      </c>
      <c r="AA1194" s="135">
        <v>0</v>
      </c>
    </row>
    <row r="1195" spans="1:27" ht="13" customHeight="1">
      <c r="A1195" s="11">
        <v>1189</v>
      </c>
      <c r="B1195" s="47">
        <v>203908342</v>
      </c>
      <c r="C1195" s="89" t="s">
        <v>2434</v>
      </c>
      <c r="D1195" s="11" t="s">
        <v>2435</v>
      </c>
      <c r="E1195" s="48" t="s">
        <v>31</v>
      </c>
      <c r="F1195" s="48" t="s">
        <v>74</v>
      </c>
      <c r="G1195" s="11" t="s">
        <v>64</v>
      </c>
      <c r="H1195" s="48" t="str">
        <f>VLOOKUP(Table1[[#This Row],[Psoft No]],[1]Roster!$C$2:$H$1402,6,)</f>
        <v>AUH1</v>
      </c>
      <c r="I1195" s="48" t="b">
        <f>Table1[[#This Row],[Building]]=Table1[[#This Row],[Column1]]</f>
        <v>1</v>
      </c>
      <c r="J1195" s="11" t="s">
        <v>75</v>
      </c>
      <c r="K1195" s="11">
        <v>1299</v>
      </c>
      <c r="L1195" s="49" t="s">
        <v>39</v>
      </c>
      <c r="M1195" s="49" t="s">
        <v>76</v>
      </c>
      <c r="N1195" s="49" t="s">
        <v>77</v>
      </c>
      <c r="O1195" s="49" t="s">
        <v>78</v>
      </c>
      <c r="P1195" s="48" t="s">
        <v>86</v>
      </c>
      <c r="Q1195" s="49" t="s">
        <v>37</v>
      </c>
      <c r="R1195" s="11" t="s">
        <v>80</v>
      </c>
      <c r="S1195" s="11" t="s">
        <v>90</v>
      </c>
      <c r="T1195" s="11" t="s">
        <v>1066</v>
      </c>
      <c r="U1195" s="11" t="s">
        <v>2717</v>
      </c>
      <c r="V1195" s="116" t="s">
        <v>1</v>
      </c>
      <c r="W1195" s="88"/>
      <c r="X1195" s="51">
        <v>45537</v>
      </c>
      <c r="Y1195" s="97" t="s">
        <v>1577</v>
      </c>
      <c r="Z1195" s="135" t="s">
        <v>2</v>
      </c>
      <c r="AA1195" s="135">
        <v>0</v>
      </c>
    </row>
    <row r="1196" spans="1:27" ht="13" customHeight="1">
      <c r="A1196" s="11">
        <v>1190</v>
      </c>
      <c r="B1196" s="47">
        <v>204095810</v>
      </c>
      <c r="C1196" s="89" t="s">
        <v>1326</v>
      </c>
      <c r="D1196" s="11" t="s">
        <v>1327</v>
      </c>
      <c r="E1196" s="48" t="s">
        <v>31</v>
      </c>
      <c r="F1196" s="48" t="s">
        <v>74</v>
      </c>
      <c r="G1196" s="11" t="s">
        <v>64</v>
      </c>
      <c r="H1196" s="48" t="str">
        <f>VLOOKUP(Table1[[#This Row],[Psoft No]],[1]Roster!$C$2:$H$1402,6,)</f>
        <v>AUH1</v>
      </c>
      <c r="I1196" s="48" t="b">
        <f>Table1[[#This Row],[Building]]=Table1[[#This Row],[Column1]]</f>
        <v>1</v>
      </c>
      <c r="J1196" s="11" t="s">
        <v>75</v>
      </c>
      <c r="K1196" s="11">
        <v>1299</v>
      </c>
      <c r="L1196" s="49" t="s">
        <v>39</v>
      </c>
      <c r="M1196" s="49" t="s">
        <v>76</v>
      </c>
      <c r="N1196" s="49" t="s">
        <v>78</v>
      </c>
      <c r="O1196" s="49" t="s">
        <v>92</v>
      </c>
      <c r="P1196" s="48" t="s">
        <v>86</v>
      </c>
      <c r="Q1196" s="49" t="s">
        <v>37</v>
      </c>
      <c r="R1196" s="11" t="s">
        <v>80</v>
      </c>
      <c r="S1196" s="11" t="s">
        <v>87</v>
      </c>
      <c r="T1196" s="11" t="s">
        <v>631</v>
      </c>
      <c r="U1196" s="11" t="s">
        <v>632</v>
      </c>
      <c r="V1196" s="116" t="s">
        <v>10</v>
      </c>
      <c r="W1196" s="88"/>
      <c r="X1196" s="51">
        <v>45561</v>
      </c>
      <c r="Y1196" s="102" t="s">
        <v>1579</v>
      </c>
      <c r="Z1196" s="135" t="s">
        <v>3023</v>
      </c>
      <c r="AA1196" s="135">
        <v>0</v>
      </c>
    </row>
    <row r="1197" spans="1:27" ht="13" customHeight="1">
      <c r="A1197" s="11">
        <v>1191</v>
      </c>
      <c r="B1197" s="47">
        <v>206902848</v>
      </c>
      <c r="C1197" s="89" t="s">
        <v>1877</v>
      </c>
      <c r="D1197" s="11" t="s">
        <v>1878</v>
      </c>
      <c r="E1197" s="48" t="s">
        <v>31</v>
      </c>
      <c r="F1197" s="48" t="s">
        <v>74</v>
      </c>
      <c r="G1197" s="11" t="s">
        <v>64</v>
      </c>
      <c r="H1197" s="48" t="str">
        <f>VLOOKUP(Table1[[#This Row],[Psoft No]],[1]Roster!$C$2:$H$1402,6,)</f>
        <v>AUH1</v>
      </c>
      <c r="I1197" s="48" t="b">
        <f>Table1[[#This Row],[Building]]=Table1[[#This Row],[Column1]]</f>
        <v>1</v>
      </c>
      <c r="J1197" s="11" t="s">
        <v>75</v>
      </c>
      <c r="K1197" s="11">
        <v>1290</v>
      </c>
      <c r="L1197" s="49" t="s">
        <v>39</v>
      </c>
      <c r="M1197" s="49" t="s">
        <v>76</v>
      </c>
      <c r="N1197" s="49" t="s">
        <v>92</v>
      </c>
      <c r="O1197" s="49" t="s">
        <v>84</v>
      </c>
      <c r="P1197" s="48" t="s">
        <v>89</v>
      </c>
      <c r="Q1197" s="49" t="s">
        <v>37</v>
      </c>
      <c r="R1197" s="11" t="s">
        <v>80</v>
      </c>
      <c r="S1197" s="11" t="s">
        <v>90</v>
      </c>
      <c r="T1197" s="11" t="s">
        <v>647</v>
      </c>
      <c r="U1197" s="11" t="s">
        <v>1798</v>
      </c>
      <c r="V1197" s="116" t="s">
        <v>10</v>
      </c>
      <c r="W1197" s="88"/>
      <c r="X1197" s="51">
        <v>46030</v>
      </c>
      <c r="Y1197" s="97" t="s">
        <v>1577</v>
      </c>
      <c r="Z1197" s="135" t="s">
        <v>3023</v>
      </c>
      <c r="AA1197" s="135">
        <v>0</v>
      </c>
    </row>
    <row r="1198" spans="1:27" ht="13" customHeight="1">
      <c r="A1198" s="11">
        <v>1192</v>
      </c>
      <c r="B1198" s="47">
        <v>205845554</v>
      </c>
      <c r="C1198" s="89" t="s">
        <v>1328</v>
      </c>
      <c r="D1198" s="11" t="s">
        <v>1329</v>
      </c>
      <c r="E1198" s="48" t="s">
        <v>31</v>
      </c>
      <c r="F1198" s="48" t="s">
        <v>74</v>
      </c>
      <c r="G1198" s="11" t="s">
        <v>64</v>
      </c>
      <c r="H1198" s="48" t="str">
        <f>VLOOKUP(Table1[[#This Row],[Psoft No]],[1]Roster!$C$2:$H$1402,6,)</f>
        <v>AUH1</v>
      </c>
      <c r="I1198" s="48" t="b">
        <f>Table1[[#This Row],[Building]]=Table1[[#This Row],[Column1]]</f>
        <v>1</v>
      </c>
      <c r="J1198" s="11" t="s">
        <v>75</v>
      </c>
      <c r="K1198" s="11">
        <v>1299</v>
      </c>
      <c r="L1198" s="49" t="s">
        <v>32</v>
      </c>
      <c r="M1198" s="49" t="s">
        <v>76</v>
      </c>
      <c r="N1198" s="49" t="s">
        <v>85</v>
      </c>
      <c r="O1198" s="49" t="s">
        <v>88</v>
      </c>
      <c r="P1198" s="49" t="s">
        <v>86</v>
      </c>
      <c r="Q1198" s="49" t="s">
        <v>37</v>
      </c>
      <c r="R1198" s="11" t="s">
        <v>80</v>
      </c>
      <c r="S1198" s="11" t="s">
        <v>90</v>
      </c>
      <c r="T1198" s="11" t="s">
        <v>627</v>
      </c>
      <c r="U1198" s="11" t="s">
        <v>628</v>
      </c>
      <c r="V1198" s="116" t="s">
        <v>1</v>
      </c>
      <c r="W1198" s="88" t="s">
        <v>3021</v>
      </c>
      <c r="X1198" s="51">
        <v>45894</v>
      </c>
      <c r="Y1198" s="97" t="s">
        <v>1576</v>
      </c>
      <c r="Z1198" s="135" t="s">
        <v>2</v>
      </c>
      <c r="AA1198" s="135">
        <v>0</v>
      </c>
    </row>
    <row r="1199" spans="1:27" ht="13" customHeight="1">
      <c r="A1199" s="11">
        <v>1193</v>
      </c>
      <c r="B1199" s="47">
        <v>104033277</v>
      </c>
      <c r="C1199" s="89" t="s">
        <v>1330</v>
      </c>
      <c r="D1199" s="11" t="s">
        <v>1331</v>
      </c>
      <c r="E1199" s="48" t="s">
        <v>34</v>
      </c>
      <c r="F1199" s="48" t="s">
        <v>74</v>
      </c>
      <c r="G1199" s="11" t="s">
        <v>64</v>
      </c>
      <c r="H1199" s="48" t="str">
        <f>VLOOKUP(Table1[[#This Row],[Psoft No]],[1]Roster!$C$2:$H$1402,6,)</f>
        <v>AUH1</v>
      </c>
      <c r="I1199" s="48" t="b">
        <f>Table1[[#This Row],[Building]]=Table1[[#This Row],[Column1]]</f>
        <v>1</v>
      </c>
      <c r="J1199" s="11" t="s">
        <v>75</v>
      </c>
      <c r="K1199" s="11">
        <v>1299</v>
      </c>
      <c r="L1199" s="49" t="s">
        <v>32</v>
      </c>
      <c r="M1199" s="49" t="s">
        <v>76</v>
      </c>
      <c r="N1199" s="49" t="s">
        <v>77</v>
      </c>
      <c r="O1199" s="49" t="s">
        <v>78</v>
      </c>
      <c r="P1199" s="48" t="s">
        <v>108</v>
      </c>
      <c r="Q1199" s="49" t="s">
        <v>37</v>
      </c>
      <c r="R1199" s="11" t="s">
        <v>80</v>
      </c>
      <c r="S1199" s="11" t="s">
        <v>98</v>
      </c>
      <c r="T1199" s="11" t="s">
        <v>647</v>
      </c>
      <c r="U1199" s="11" t="s">
        <v>1798</v>
      </c>
      <c r="V1199" s="116" t="str">
        <f>VLOOKUP(Table1[[#This Row],[Psoft No]],[2]Sheet1!$A$2:$G$386,7,0)</f>
        <v>P</v>
      </c>
      <c r="W1199" s="88"/>
      <c r="X1199" s="51">
        <v>44839</v>
      </c>
      <c r="Y1199" s="97" t="s">
        <v>1577</v>
      </c>
      <c r="Z1199" s="135" t="s">
        <v>2</v>
      </c>
      <c r="AA1199" s="135">
        <v>0</v>
      </c>
    </row>
    <row r="1200" spans="1:27" ht="13" customHeight="1">
      <c r="A1200" s="11">
        <v>1194</v>
      </c>
      <c r="B1200" s="47">
        <v>203513400</v>
      </c>
      <c r="C1200" s="89" t="s">
        <v>1367</v>
      </c>
      <c r="D1200" s="11" t="s">
        <v>1368</v>
      </c>
      <c r="E1200" s="103" t="s">
        <v>31</v>
      </c>
      <c r="F1200" s="48" t="s">
        <v>74</v>
      </c>
      <c r="G1200" s="11" t="s">
        <v>65</v>
      </c>
      <c r="H1200" s="48" t="str">
        <f>VLOOKUP(Table1[[#This Row],[Psoft No]],[1]Roster!$C$2:$H$1402,6,)</f>
        <v>AUH3</v>
      </c>
      <c r="I1200" s="48" t="b">
        <f>Table1[[#This Row],[Building]]=Table1[[#This Row],[Column1]]</f>
        <v>1</v>
      </c>
      <c r="J1200" s="11" t="s">
        <v>1332</v>
      </c>
      <c r="K1200" s="11">
        <v>1181</v>
      </c>
      <c r="L1200" s="49" t="s">
        <v>32</v>
      </c>
      <c r="M1200" s="49" t="s">
        <v>76</v>
      </c>
      <c r="N1200" s="49" t="s">
        <v>77</v>
      </c>
      <c r="O1200" s="49" t="s">
        <v>78</v>
      </c>
      <c r="P1200" s="49" t="s">
        <v>79</v>
      </c>
      <c r="Q1200" s="49" t="s">
        <v>68</v>
      </c>
      <c r="R1200" s="49" t="s">
        <v>80</v>
      </c>
      <c r="S1200" s="49" t="s">
        <v>81</v>
      </c>
      <c r="T1200" s="49" t="s">
        <v>1336</v>
      </c>
      <c r="U1200" s="49" t="s">
        <v>1337</v>
      </c>
      <c r="V1200" s="116" t="s">
        <v>1</v>
      </c>
      <c r="W1200" s="88"/>
      <c r="X1200" s="51">
        <v>45463</v>
      </c>
      <c r="Y1200" s="97" t="s">
        <v>68</v>
      </c>
      <c r="Z1200" s="135" t="s">
        <v>2</v>
      </c>
      <c r="AA1200" s="135">
        <v>0</v>
      </c>
    </row>
    <row r="1201" spans="1:27" ht="13" customHeight="1">
      <c r="A1201" s="11">
        <v>1195</v>
      </c>
      <c r="B1201" s="47">
        <v>203555218</v>
      </c>
      <c r="C1201" s="89" t="s">
        <v>1334</v>
      </c>
      <c r="D1201" s="11" t="s">
        <v>1335</v>
      </c>
      <c r="E1201" s="48" t="s">
        <v>31</v>
      </c>
      <c r="F1201" s="48" t="s">
        <v>74</v>
      </c>
      <c r="G1201" s="11" t="s">
        <v>65</v>
      </c>
      <c r="H1201" s="48" t="str">
        <f>VLOOKUP(Table1[[#This Row],[Psoft No]],[1]Roster!$C$2:$H$1402,6,)</f>
        <v>AUH3</v>
      </c>
      <c r="I1201" s="48" t="b">
        <f>Table1[[#This Row],[Building]]=Table1[[#This Row],[Column1]]</f>
        <v>1</v>
      </c>
      <c r="J1201" s="11" t="s">
        <v>1332</v>
      </c>
      <c r="K1201" s="11">
        <v>1181</v>
      </c>
      <c r="L1201" s="49" t="s">
        <v>39</v>
      </c>
      <c r="M1201" s="49" t="s">
        <v>76</v>
      </c>
      <c r="N1201" s="49" t="s">
        <v>95</v>
      </c>
      <c r="O1201" s="49" t="s">
        <v>77</v>
      </c>
      <c r="P1201" s="48" t="s">
        <v>79</v>
      </c>
      <c r="Q1201" s="49" t="s">
        <v>68</v>
      </c>
      <c r="R1201" s="11" t="s">
        <v>80</v>
      </c>
      <c r="S1201" s="11" t="s">
        <v>81</v>
      </c>
      <c r="T1201" s="11" t="s">
        <v>2720</v>
      </c>
      <c r="U1201" s="11" t="s">
        <v>2721</v>
      </c>
      <c r="V1201" s="116" t="s">
        <v>1</v>
      </c>
      <c r="W1201" s="88"/>
      <c r="X1201" s="51">
        <v>45470</v>
      </c>
      <c r="Y1201" s="97" t="s">
        <v>68</v>
      </c>
      <c r="Z1201" s="135" t="s">
        <v>2</v>
      </c>
      <c r="AA1201" s="135">
        <v>0</v>
      </c>
    </row>
    <row r="1202" spans="1:27" ht="13" customHeight="1">
      <c r="A1202" s="11">
        <v>1196</v>
      </c>
      <c r="B1202" s="47">
        <v>202137760</v>
      </c>
      <c r="C1202" s="89" t="s">
        <v>1338</v>
      </c>
      <c r="D1202" s="11" t="s">
        <v>1339</v>
      </c>
      <c r="E1202" s="48" t="s">
        <v>31</v>
      </c>
      <c r="F1202" s="48" t="s">
        <v>74</v>
      </c>
      <c r="G1202" s="11" t="s">
        <v>65</v>
      </c>
      <c r="H1202" s="48" t="str">
        <f>VLOOKUP(Table1[[#This Row],[Psoft No]],[1]Roster!$C$2:$H$1402,6,)</f>
        <v>AUH3</v>
      </c>
      <c r="I1202" s="48" t="b">
        <f>Table1[[#This Row],[Building]]=Table1[[#This Row],[Column1]]</f>
        <v>1</v>
      </c>
      <c r="J1202" s="11" t="s">
        <v>1332</v>
      </c>
      <c r="K1202" s="11">
        <v>1181</v>
      </c>
      <c r="L1202" s="49" t="s">
        <v>39</v>
      </c>
      <c r="M1202" s="49" t="s">
        <v>76</v>
      </c>
      <c r="N1202" s="49" t="s">
        <v>95</v>
      </c>
      <c r="O1202" s="49" t="s">
        <v>77</v>
      </c>
      <c r="P1202" s="48" t="s">
        <v>86</v>
      </c>
      <c r="Q1202" s="49" t="s">
        <v>68</v>
      </c>
      <c r="R1202" s="11" t="s">
        <v>80</v>
      </c>
      <c r="S1202" s="11" t="s">
        <v>87</v>
      </c>
      <c r="T1202" s="11" t="s">
        <v>2720</v>
      </c>
      <c r="U1202" s="11" t="s">
        <v>2721</v>
      </c>
      <c r="V1202" s="116" t="s">
        <v>1</v>
      </c>
      <c r="W1202" s="88"/>
      <c r="X1202" s="51">
        <v>45589</v>
      </c>
      <c r="Y1202" s="97" t="s">
        <v>68</v>
      </c>
      <c r="Z1202" s="135" t="s">
        <v>2</v>
      </c>
      <c r="AA1202" s="135">
        <v>0</v>
      </c>
    </row>
    <row r="1203" spans="1:27" ht="13" customHeight="1">
      <c r="A1203" s="11">
        <v>1197</v>
      </c>
      <c r="B1203" s="47">
        <v>206348048</v>
      </c>
      <c r="C1203" s="89" t="s">
        <v>1686</v>
      </c>
      <c r="D1203" s="11" t="s">
        <v>1687</v>
      </c>
      <c r="E1203" s="48" t="s">
        <v>31</v>
      </c>
      <c r="F1203" s="48" t="s">
        <v>74</v>
      </c>
      <c r="G1203" s="11" t="s">
        <v>65</v>
      </c>
      <c r="H1203" s="48" t="str">
        <f>VLOOKUP(Table1[[#This Row],[Psoft No]],[1]Roster!$C$2:$H$1402,6,)</f>
        <v>AUH3</v>
      </c>
      <c r="I1203" s="48" t="b">
        <f>Table1[[#This Row],[Building]]=Table1[[#This Row],[Column1]]</f>
        <v>1</v>
      </c>
      <c r="J1203" s="11" t="s">
        <v>1332</v>
      </c>
      <c r="K1203" s="11">
        <v>1181</v>
      </c>
      <c r="L1203" s="49" t="s">
        <v>32</v>
      </c>
      <c r="M1203" s="49" t="s">
        <v>76</v>
      </c>
      <c r="N1203" s="49" t="s">
        <v>88</v>
      </c>
      <c r="O1203" s="49" t="s">
        <v>95</v>
      </c>
      <c r="P1203" s="48" t="s">
        <v>89</v>
      </c>
      <c r="Q1203" s="49" t="s">
        <v>68</v>
      </c>
      <c r="R1203" s="11" t="s">
        <v>80</v>
      </c>
      <c r="S1203" s="11" t="s">
        <v>90</v>
      </c>
      <c r="T1203" s="11" t="s">
        <v>1336</v>
      </c>
      <c r="U1203" s="11" t="s">
        <v>1337</v>
      </c>
      <c r="V1203" s="116" t="s">
        <v>1</v>
      </c>
      <c r="W1203" s="88"/>
      <c r="X1203" s="51">
        <v>45957</v>
      </c>
      <c r="Y1203" s="97" t="s">
        <v>68</v>
      </c>
      <c r="Z1203" s="135" t="s">
        <v>2</v>
      </c>
      <c r="AA1203" s="135">
        <v>0</v>
      </c>
    </row>
    <row r="1204" spans="1:27" ht="13" customHeight="1">
      <c r="A1204" s="11">
        <v>1198</v>
      </c>
      <c r="B1204" s="47">
        <v>206361774</v>
      </c>
      <c r="C1204" s="89" t="s">
        <v>2436</v>
      </c>
      <c r="D1204" s="11" t="s">
        <v>2437</v>
      </c>
      <c r="E1204" s="48" t="s">
        <v>31</v>
      </c>
      <c r="F1204" s="48" t="s">
        <v>74</v>
      </c>
      <c r="G1204" s="11" t="s">
        <v>65</v>
      </c>
      <c r="H1204" s="48" t="str">
        <f>VLOOKUP(Table1[[#This Row],[Psoft No]],[1]Roster!$C$2:$H$1402,6,)</f>
        <v>AUH3</v>
      </c>
      <c r="I1204" s="48" t="b">
        <f>Table1[[#This Row],[Building]]=Table1[[#This Row],[Column1]]</f>
        <v>1</v>
      </c>
      <c r="J1204" s="11" t="s">
        <v>1332</v>
      </c>
      <c r="K1204" s="11">
        <v>1181</v>
      </c>
      <c r="L1204" s="49" t="s">
        <v>39</v>
      </c>
      <c r="M1204" s="49" t="s">
        <v>76</v>
      </c>
      <c r="N1204" s="49" t="s">
        <v>85</v>
      </c>
      <c r="O1204" s="49" t="s">
        <v>88</v>
      </c>
      <c r="P1204" s="49" t="s">
        <v>89</v>
      </c>
      <c r="Q1204" s="49" t="s">
        <v>68</v>
      </c>
      <c r="R1204" s="11" t="s">
        <v>80</v>
      </c>
      <c r="S1204" s="11" t="s">
        <v>96</v>
      </c>
      <c r="T1204" s="11" t="s">
        <v>2720</v>
      </c>
      <c r="U1204" s="11" t="s">
        <v>2721</v>
      </c>
      <c r="V1204" s="116" t="s">
        <v>1</v>
      </c>
      <c r="W1204" s="88"/>
      <c r="X1204" s="51">
        <v>45957</v>
      </c>
      <c r="Y1204" s="97" t="s">
        <v>68</v>
      </c>
      <c r="Z1204" s="135" t="s">
        <v>2</v>
      </c>
      <c r="AA1204" s="135">
        <v>0</v>
      </c>
    </row>
    <row r="1205" spans="1:27" ht="13" customHeight="1">
      <c r="A1205" s="11">
        <v>1199</v>
      </c>
      <c r="B1205" s="47">
        <v>104383492</v>
      </c>
      <c r="C1205" s="89" t="s">
        <v>2457</v>
      </c>
      <c r="D1205" s="11" t="s">
        <v>2458</v>
      </c>
      <c r="E1205" s="48" t="s">
        <v>34</v>
      </c>
      <c r="F1205" s="48" t="s">
        <v>74</v>
      </c>
      <c r="G1205" s="11" t="s">
        <v>65</v>
      </c>
      <c r="H1205" s="48" t="str">
        <f>VLOOKUP(Table1[[#This Row],[Psoft No]],[1]Roster!$C$2:$H$1402,6,)</f>
        <v>AUH3</v>
      </c>
      <c r="I1205" s="48" t="b">
        <f>Table1[[#This Row],[Building]]=Table1[[#This Row],[Column1]]</f>
        <v>1</v>
      </c>
      <c r="J1205" s="11" t="s">
        <v>1332</v>
      </c>
      <c r="K1205" s="11">
        <v>1182</v>
      </c>
      <c r="L1205" s="49" t="s">
        <v>39</v>
      </c>
      <c r="M1205" s="49" t="s">
        <v>76</v>
      </c>
      <c r="N1205" s="49" t="s">
        <v>92</v>
      </c>
      <c r="O1205" s="49" t="s">
        <v>84</v>
      </c>
      <c r="P1205" s="49" t="s">
        <v>1333</v>
      </c>
      <c r="Q1205" s="49" t="s">
        <v>68</v>
      </c>
      <c r="R1205" s="11" t="s">
        <v>80</v>
      </c>
      <c r="S1205" s="11" t="s">
        <v>98</v>
      </c>
      <c r="T1205" s="11" t="s">
        <v>2720</v>
      </c>
      <c r="U1205" s="11" t="s">
        <v>2721</v>
      </c>
      <c r="V1205" s="116" t="s">
        <v>10</v>
      </c>
      <c r="W1205" s="88"/>
      <c r="X1205" s="51">
        <v>44728</v>
      </c>
      <c r="Y1205" s="97" t="s">
        <v>68</v>
      </c>
      <c r="Z1205" s="135" t="s">
        <v>3023</v>
      </c>
      <c r="AA1205" s="135">
        <v>0</v>
      </c>
    </row>
    <row r="1206" spans="1:27" ht="13" customHeight="1">
      <c r="A1206" s="11">
        <v>1200</v>
      </c>
      <c r="B1206" s="47">
        <v>204013737</v>
      </c>
      <c r="C1206" s="89" t="s">
        <v>566</v>
      </c>
      <c r="D1206" s="11" t="s">
        <v>567</v>
      </c>
      <c r="E1206" s="48" t="s">
        <v>31</v>
      </c>
      <c r="F1206" s="48" t="s">
        <v>74</v>
      </c>
      <c r="G1206" s="11" t="s">
        <v>64</v>
      </c>
      <c r="H1206" s="48" t="str">
        <f>VLOOKUP(Table1[[#This Row],[Psoft No]],[1]Roster!$C$2:$H$1402,6,)</f>
        <v>AUH1</v>
      </c>
      <c r="I1206" s="48" t="b">
        <f>Table1[[#This Row],[Building]]=Table1[[#This Row],[Column1]]</f>
        <v>1</v>
      </c>
      <c r="J1206" s="11" t="s">
        <v>75</v>
      </c>
      <c r="K1206" s="11">
        <v>1299</v>
      </c>
      <c r="L1206" s="49" t="s">
        <v>32</v>
      </c>
      <c r="M1206" s="49" t="s">
        <v>76</v>
      </c>
      <c r="N1206" s="49" t="s">
        <v>78</v>
      </c>
      <c r="O1206" s="49" t="s">
        <v>92</v>
      </c>
      <c r="P1206" s="48" t="s">
        <v>79</v>
      </c>
      <c r="Q1206" s="49" t="s">
        <v>35</v>
      </c>
      <c r="R1206" s="11" t="s">
        <v>80</v>
      </c>
      <c r="S1206" s="11" t="s">
        <v>81</v>
      </c>
      <c r="T1206" s="11" t="s">
        <v>225</v>
      </c>
      <c r="U1206" s="11" t="s">
        <v>226</v>
      </c>
      <c r="V1206" s="116" t="s">
        <v>10</v>
      </c>
      <c r="W1206" s="88"/>
      <c r="X1206" s="51">
        <v>45551</v>
      </c>
      <c r="Y1206" s="97" t="s">
        <v>1573</v>
      </c>
      <c r="Z1206" s="135" t="s">
        <v>3023</v>
      </c>
      <c r="AA1206" s="135" t="s">
        <v>3015</v>
      </c>
    </row>
    <row r="1207" spans="1:27" ht="13" customHeight="1">
      <c r="A1207" s="11">
        <v>1201</v>
      </c>
      <c r="B1207" s="47">
        <v>203881712</v>
      </c>
      <c r="C1207" s="89" t="s">
        <v>1342</v>
      </c>
      <c r="D1207" s="11" t="s">
        <v>1343</v>
      </c>
      <c r="E1207" s="48" t="s">
        <v>31</v>
      </c>
      <c r="F1207" s="48" t="s">
        <v>74</v>
      </c>
      <c r="G1207" s="11" t="s">
        <v>65</v>
      </c>
      <c r="H1207" s="48" t="str">
        <f>VLOOKUP(Table1[[#This Row],[Psoft No]],[1]Roster!$C$2:$H$1402,6,)</f>
        <v>AUH3</v>
      </c>
      <c r="I1207" s="48" t="b">
        <f>Table1[[#This Row],[Building]]=Table1[[#This Row],[Column1]]</f>
        <v>1</v>
      </c>
      <c r="J1207" s="11" t="s">
        <v>1332</v>
      </c>
      <c r="K1207" s="11">
        <v>1181</v>
      </c>
      <c r="L1207" s="49" t="s">
        <v>39</v>
      </c>
      <c r="M1207" s="49" t="s">
        <v>76</v>
      </c>
      <c r="N1207" s="49" t="s">
        <v>95</v>
      </c>
      <c r="O1207" s="49" t="s">
        <v>77</v>
      </c>
      <c r="P1207" s="49" t="s">
        <v>79</v>
      </c>
      <c r="Q1207" s="49" t="s">
        <v>68</v>
      </c>
      <c r="R1207" s="11" t="s">
        <v>80</v>
      </c>
      <c r="S1207" s="11" t="s">
        <v>81</v>
      </c>
      <c r="T1207" s="11" t="s">
        <v>2720</v>
      </c>
      <c r="U1207" s="11" t="s">
        <v>2721</v>
      </c>
      <c r="V1207" s="116" t="s">
        <v>1</v>
      </c>
      <c r="W1207" s="88"/>
      <c r="X1207" s="51">
        <v>45530</v>
      </c>
      <c r="Y1207" s="97" t="s">
        <v>68</v>
      </c>
      <c r="Z1207" s="135" t="s">
        <v>2</v>
      </c>
      <c r="AA1207" s="135">
        <v>0</v>
      </c>
    </row>
    <row r="1208" spans="1:27" ht="13" customHeight="1">
      <c r="A1208" s="11">
        <v>1202</v>
      </c>
      <c r="B1208" s="47">
        <v>206015636</v>
      </c>
      <c r="C1208" s="89" t="s">
        <v>586</v>
      </c>
      <c r="D1208" s="11" t="s">
        <v>587</v>
      </c>
      <c r="E1208" s="48" t="s">
        <v>31</v>
      </c>
      <c r="F1208" s="48" t="s">
        <v>74</v>
      </c>
      <c r="G1208" s="11" t="s">
        <v>64</v>
      </c>
      <c r="H1208" s="48" t="str">
        <f>VLOOKUP(Table1[[#This Row],[Psoft No]],[1]Roster!$C$2:$H$1402,6,)</f>
        <v>AUH1</v>
      </c>
      <c r="I1208" s="48" t="b">
        <f>Table1[[#This Row],[Building]]=Table1[[#This Row],[Column1]]</f>
        <v>1</v>
      </c>
      <c r="J1208" s="11" t="s">
        <v>75</v>
      </c>
      <c r="K1208" s="11">
        <v>1299</v>
      </c>
      <c r="L1208" s="49" t="s">
        <v>32</v>
      </c>
      <c r="M1208" s="49" t="s">
        <v>76</v>
      </c>
      <c r="N1208" s="49" t="s">
        <v>78</v>
      </c>
      <c r="O1208" s="49" t="s">
        <v>92</v>
      </c>
      <c r="P1208" s="48" t="s">
        <v>79</v>
      </c>
      <c r="Q1208" s="49" t="s">
        <v>35</v>
      </c>
      <c r="R1208" s="11" t="s">
        <v>80</v>
      </c>
      <c r="S1208" s="11" t="s">
        <v>81</v>
      </c>
      <c r="T1208" s="11" t="s">
        <v>224</v>
      </c>
      <c r="U1208" s="11" t="s">
        <v>2715</v>
      </c>
      <c r="V1208" s="116" t="s">
        <v>10</v>
      </c>
      <c r="W1208" s="88"/>
      <c r="X1208" s="51">
        <v>45915</v>
      </c>
      <c r="Y1208" s="97" t="s">
        <v>1573</v>
      </c>
      <c r="Z1208" s="135" t="s">
        <v>3023</v>
      </c>
      <c r="AA1208" s="135">
        <v>0</v>
      </c>
    </row>
    <row r="1209" spans="1:27" ht="13" customHeight="1">
      <c r="A1209" s="11">
        <v>1203</v>
      </c>
      <c r="B1209" s="47">
        <v>201188904</v>
      </c>
      <c r="C1209" s="89" t="s">
        <v>1344</v>
      </c>
      <c r="D1209" s="11" t="s">
        <v>1345</v>
      </c>
      <c r="E1209" s="48" t="s">
        <v>31</v>
      </c>
      <c r="F1209" s="48" t="s">
        <v>74</v>
      </c>
      <c r="G1209" s="11" t="s">
        <v>65</v>
      </c>
      <c r="H1209" s="48" t="str">
        <f>VLOOKUP(Table1[[#This Row],[Psoft No]],[1]Roster!$C$2:$H$1402,6,)</f>
        <v>AUH3</v>
      </c>
      <c r="I1209" s="48" t="b">
        <f>Table1[[#This Row],[Building]]=Table1[[#This Row],[Column1]]</f>
        <v>1</v>
      </c>
      <c r="J1209" s="11" t="s">
        <v>1332</v>
      </c>
      <c r="K1209" s="11">
        <v>1181</v>
      </c>
      <c r="L1209" s="49" t="s">
        <v>39</v>
      </c>
      <c r="M1209" s="49" t="s">
        <v>76</v>
      </c>
      <c r="N1209" s="49" t="s">
        <v>84</v>
      </c>
      <c r="O1209" s="49" t="s">
        <v>85</v>
      </c>
      <c r="P1209" s="49" t="s">
        <v>79</v>
      </c>
      <c r="Q1209" s="49" t="s">
        <v>68</v>
      </c>
      <c r="R1209" s="11" t="s">
        <v>80</v>
      </c>
      <c r="S1209" s="11" t="s">
        <v>81</v>
      </c>
      <c r="T1209" s="11" t="s">
        <v>2720</v>
      </c>
      <c r="U1209" s="11" t="s">
        <v>2721</v>
      </c>
      <c r="V1209" s="116" t="s">
        <v>1</v>
      </c>
      <c r="W1209" s="88"/>
      <c r="X1209" s="51">
        <v>45530</v>
      </c>
      <c r="Y1209" s="97" t="s">
        <v>68</v>
      </c>
      <c r="Z1209" s="135" t="s">
        <v>2</v>
      </c>
      <c r="AA1209" s="135">
        <v>0</v>
      </c>
    </row>
    <row r="1210" spans="1:27" ht="13" customHeight="1">
      <c r="A1210" s="11">
        <v>1204</v>
      </c>
      <c r="B1210" s="47">
        <v>206348027</v>
      </c>
      <c r="C1210" s="89" t="s">
        <v>1670</v>
      </c>
      <c r="D1210" s="11" t="s">
        <v>1671</v>
      </c>
      <c r="E1210" s="48" t="s">
        <v>31</v>
      </c>
      <c r="F1210" s="48" t="s">
        <v>74</v>
      </c>
      <c r="G1210" s="11" t="s">
        <v>65</v>
      </c>
      <c r="H1210" s="48" t="str">
        <f>VLOOKUP(Table1[[#This Row],[Psoft No]],[1]Roster!$C$2:$H$1402,6,)</f>
        <v>AUH3</v>
      </c>
      <c r="I1210" s="48" t="b">
        <f>Table1[[#This Row],[Building]]=Table1[[#This Row],[Column1]]</f>
        <v>1</v>
      </c>
      <c r="J1210" s="11" t="s">
        <v>1332</v>
      </c>
      <c r="K1210" s="11">
        <v>1181</v>
      </c>
      <c r="L1210" s="49" t="s">
        <v>39</v>
      </c>
      <c r="M1210" s="49" t="s">
        <v>76</v>
      </c>
      <c r="N1210" s="49" t="s">
        <v>78</v>
      </c>
      <c r="O1210" s="49" t="s">
        <v>92</v>
      </c>
      <c r="P1210" s="48" t="s">
        <v>89</v>
      </c>
      <c r="Q1210" s="49" t="s">
        <v>68</v>
      </c>
      <c r="R1210" s="11" t="s">
        <v>80</v>
      </c>
      <c r="S1210" s="11" t="s">
        <v>90</v>
      </c>
      <c r="T1210" s="11" t="s">
        <v>2720</v>
      </c>
      <c r="U1210" s="11" t="s">
        <v>2721</v>
      </c>
      <c r="V1210" s="116" t="s">
        <v>10</v>
      </c>
      <c r="W1210" s="88"/>
      <c r="X1210" s="51">
        <v>45957</v>
      </c>
      <c r="Y1210" s="97" t="s">
        <v>68</v>
      </c>
      <c r="Z1210" s="135" t="s">
        <v>3023</v>
      </c>
      <c r="AA1210" s="135">
        <v>0</v>
      </c>
    </row>
    <row r="1211" spans="1:27" ht="13" customHeight="1">
      <c r="A1211" s="11">
        <v>1205</v>
      </c>
      <c r="B1211" s="47">
        <v>206239763</v>
      </c>
      <c r="C1211" s="89" t="s">
        <v>1647</v>
      </c>
      <c r="D1211" s="11" t="s">
        <v>1626</v>
      </c>
      <c r="E1211" s="48" t="s">
        <v>31</v>
      </c>
      <c r="F1211" s="48" t="s">
        <v>74</v>
      </c>
      <c r="G1211" s="11" t="s">
        <v>64</v>
      </c>
      <c r="H1211" s="48" t="str">
        <f>VLOOKUP(Table1[[#This Row],[Psoft No]],[1]Roster!$C$2:$H$1402,6,)</f>
        <v>AUH1</v>
      </c>
      <c r="I1211" s="48" t="b">
        <f>Table1[[#This Row],[Building]]=Table1[[#This Row],[Column1]]</f>
        <v>1</v>
      </c>
      <c r="J1211" s="11" t="s">
        <v>75</v>
      </c>
      <c r="K1211" s="11">
        <v>1299</v>
      </c>
      <c r="L1211" s="87" t="s">
        <v>32</v>
      </c>
      <c r="M1211" s="49" t="s">
        <v>76</v>
      </c>
      <c r="N1211" s="49" t="s">
        <v>78</v>
      </c>
      <c r="O1211" s="49" t="s">
        <v>92</v>
      </c>
      <c r="P1211" s="49" t="s">
        <v>79</v>
      </c>
      <c r="Q1211" s="49" t="s">
        <v>37</v>
      </c>
      <c r="R1211" s="11" t="s">
        <v>80</v>
      </c>
      <c r="S1211" s="11" t="s">
        <v>81</v>
      </c>
      <c r="T1211" s="11" t="s">
        <v>1066</v>
      </c>
      <c r="U1211" s="11" t="s">
        <v>2717</v>
      </c>
      <c r="V1211" s="116" t="s">
        <v>10</v>
      </c>
      <c r="W1211" s="88"/>
      <c r="X1211" s="51">
        <v>45943</v>
      </c>
      <c r="Y1211" s="97" t="s">
        <v>1577</v>
      </c>
      <c r="Z1211" s="135" t="s">
        <v>3023</v>
      </c>
      <c r="AA1211" s="135" t="s">
        <v>3015</v>
      </c>
    </row>
    <row r="1212" spans="1:27" ht="13" customHeight="1">
      <c r="A1212" s="11">
        <v>1206</v>
      </c>
      <c r="B1212" s="47">
        <v>206199998</v>
      </c>
      <c r="C1212" s="89" t="s">
        <v>1592</v>
      </c>
      <c r="D1212" s="11" t="s">
        <v>1586</v>
      </c>
      <c r="E1212" s="48" t="s">
        <v>31</v>
      </c>
      <c r="F1212" s="48" t="s">
        <v>74</v>
      </c>
      <c r="G1212" s="11" t="s">
        <v>64</v>
      </c>
      <c r="H1212" s="48" t="str">
        <f>VLOOKUP(Table1[[#This Row],[Psoft No]],[1]Roster!$C$2:$H$1402,6,)</f>
        <v>AUH1</v>
      </c>
      <c r="I1212" s="48" t="b">
        <f>Table1[[#This Row],[Building]]=Table1[[#This Row],[Column1]]</f>
        <v>1</v>
      </c>
      <c r="J1212" s="11" t="s">
        <v>75</v>
      </c>
      <c r="K1212" s="11">
        <v>1299</v>
      </c>
      <c r="L1212" s="49" t="s">
        <v>32</v>
      </c>
      <c r="M1212" s="49" t="s">
        <v>76</v>
      </c>
      <c r="N1212" s="49" t="s">
        <v>78</v>
      </c>
      <c r="O1212" s="49" t="s">
        <v>92</v>
      </c>
      <c r="P1212" s="48" t="s">
        <v>89</v>
      </c>
      <c r="Q1212" s="49" t="s">
        <v>37</v>
      </c>
      <c r="R1212" s="11" t="s">
        <v>80</v>
      </c>
      <c r="S1212" s="11" t="s">
        <v>81</v>
      </c>
      <c r="T1212" s="49" t="s">
        <v>1066</v>
      </c>
      <c r="U1212" s="11" t="s">
        <v>2717</v>
      </c>
      <c r="V1212" s="116" t="s">
        <v>10</v>
      </c>
      <c r="W1212" s="88"/>
      <c r="X1212" s="51">
        <v>45936</v>
      </c>
      <c r="Y1212" s="97" t="s">
        <v>1577</v>
      </c>
      <c r="Z1212" s="135" t="s">
        <v>3023</v>
      </c>
      <c r="AA1212" s="135" t="s">
        <v>3015</v>
      </c>
    </row>
    <row r="1213" spans="1:27" ht="13" customHeight="1">
      <c r="A1213" s="11">
        <v>1207</v>
      </c>
      <c r="B1213" s="47">
        <v>102205688</v>
      </c>
      <c r="C1213" s="89" t="s">
        <v>1350</v>
      </c>
      <c r="D1213" s="11" t="s">
        <v>1351</v>
      </c>
      <c r="E1213" s="48" t="s">
        <v>34</v>
      </c>
      <c r="F1213" s="48" t="s">
        <v>74</v>
      </c>
      <c r="G1213" s="11" t="s">
        <v>65</v>
      </c>
      <c r="H1213" s="48" t="str">
        <f>VLOOKUP(Table1[[#This Row],[Psoft No]],[1]Roster!$C$2:$H$1402,6,)</f>
        <v>AUH3</v>
      </c>
      <c r="I1213" s="48" t="b">
        <f>Table1[[#This Row],[Building]]=Table1[[#This Row],[Column1]]</f>
        <v>1</v>
      </c>
      <c r="J1213" s="11" t="s">
        <v>1332</v>
      </c>
      <c r="K1213" s="11">
        <v>1182</v>
      </c>
      <c r="L1213" s="49" t="s">
        <v>39</v>
      </c>
      <c r="M1213" s="49" t="s">
        <v>76</v>
      </c>
      <c r="N1213" s="49" t="s">
        <v>77</v>
      </c>
      <c r="O1213" s="49" t="s">
        <v>78</v>
      </c>
      <c r="P1213" s="48" t="s">
        <v>108</v>
      </c>
      <c r="Q1213" s="49" t="s">
        <v>68</v>
      </c>
      <c r="R1213" s="11" t="s">
        <v>80</v>
      </c>
      <c r="S1213" s="11" t="s">
        <v>98</v>
      </c>
      <c r="T1213" s="11" t="s">
        <v>2720</v>
      </c>
      <c r="U1213" s="11" t="s">
        <v>2721</v>
      </c>
      <c r="V1213" s="116" t="s">
        <v>1</v>
      </c>
      <c r="W1213" s="88"/>
      <c r="X1213" s="51">
        <v>42868</v>
      </c>
      <c r="Y1213" s="97" t="s">
        <v>68</v>
      </c>
      <c r="Z1213" s="135" t="s">
        <v>2</v>
      </c>
      <c r="AA1213" s="135">
        <v>0</v>
      </c>
    </row>
    <row r="1214" spans="1:27" ht="13" customHeight="1">
      <c r="A1214" s="11">
        <v>1208</v>
      </c>
      <c r="B1214" s="47">
        <v>103640429</v>
      </c>
      <c r="C1214" s="89" t="s">
        <v>1352</v>
      </c>
      <c r="D1214" s="11" t="s">
        <v>1353</v>
      </c>
      <c r="E1214" s="48" t="s">
        <v>34</v>
      </c>
      <c r="F1214" s="48" t="s">
        <v>74</v>
      </c>
      <c r="G1214" s="11" t="s">
        <v>65</v>
      </c>
      <c r="H1214" s="48" t="str">
        <f>VLOOKUP(Table1[[#This Row],[Psoft No]],[1]Roster!$C$2:$H$1402,6,)</f>
        <v>AUH3</v>
      </c>
      <c r="I1214" s="48" t="b">
        <f>Table1[[#This Row],[Building]]=Table1[[#This Row],[Column1]]</f>
        <v>1</v>
      </c>
      <c r="J1214" s="11" t="s">
        <v>1332</v>
      </c>
      <c r="K1214" s="11">
        <v>1182</v>
      </c>
      <c r="L1214" s="49" t="s">
        <v>39</v>
      </c>
      <c r="M1214" s="49" t="s">
        <v>76</v>
      </c>
      <c r="N1214" s="49" t="s">
        <v>95</v>
      </c>
      <c r="O1214" s="49" t="s">
        <v>77</v>
      </c>
      <c r="P1214" s="48" t="s">
        <v>108</v>
      </c>
      <c r="Q1214" s="49" t="s">
        <v>68</v>
      </c>
      <c r="R1214" s="11" t="s">
        <v>80</v>
      </c>
      <c r="S1214" s="11" t="s">
        <v>98</v>
      </c>
      <c r="T1214" s="11" t="s">
        <v>2720</v>
      </c>
      <c r="U1214" s="11" t="s">
        <v>2721</v>
      </c>
      <c r="V1214" s="116" t="s">
        <v>1</v>
      </c>
      <c r="W1214" s="88"/>
      <c r="X1214" s="51">
        <v>44724</v>
      </c>
      <c r="Y1214" s="97" t="s">
        <v>68</v>
      </c>
      <c r="Z1214" s="135" t="s">
        <v>2</v>
      </c>
      <c r="AA1214" s="135">
        <v>0</v>
      </c>
    </row>
    <row r="1215" spans="1:27" ht="13" customHeight="1">
      <c r="A1215" s="11">
        <v>1209</v>
      </c>
      <c r="B1215" s="47">
        <v>203555221</v>
      </c>
      <c r="C1215" s="89" t="s">
        <v>1408</v>
      </c>
      <c r="D1215" s="11" t="s">
        <v>1409</v>
      </c>
      <c r="E1215" s="48" t="s">
        <v>31</v>
      </c>
      <c r="F1215" s="48" t="s">
        <v>74</v>
      </c>
      <c r="G1215" s="11" t="s">
        <v>65</v>
      </c>
      <c r="H1215" s="48" t="str">
        <f>VLOOKUP(Table1[[#This Row],[Psoft No]],[1]Roster!$C$2:$H$1402,6,)</f>
        <v>AUH3</v>
      </c>
      <c r="I1215" s="48" t="b">
        <f>Table1[[#This Row],[Building]]=Table1[[#This Row],[Column1]]</f>
        <v>1</v>
      </c>
      <c r="J1215" s="11" t="s">
        <v>1332</v>
      </c>
      <c r="K1215" s="11">
        <v>1181</v>
      </c>
      <c r="L1215" s="49" t="s">
        <v>32</v>
      </c>
      <c r="M1215" s="49" t="s">
        <v>76</v>
      </c>
      <c r="N1215" s="49" t="s">
        <v>77</v>
      </c>
      <c r="O1215" s="49" t="s">
        <v>78</v>
      </c>
      <c r="P1215" s="49" t="s">
        <v>79</v>
      </c>
      <c r="Q1215" s="49" t="s">
        <v>68</v>
      </c>
      <c r="R1215" s="11" t="s">
        <v>80</v>
      </c>
      <c r="S1215" s="11" t="s">
        <v>81</v>
      </c>
      <c r="T1215" s="11" t="s">
        <v>1336</v>
      </c>
      <c r="U1215" s="11" t="s">
        <v>1337</v>
      </c>
      <c r="V1215" s="116" t="s">
        <v>1</v>
      </c>
      <c r="W1215" s="88"/>
      <c r="X1215" s="51">
        <v>45470</v>
      </c>
      <c r="Y1215" s="97" t="s">
        <v>68</v>
      </c>
      <c r="Z1215" s="135" t="s">
        <v>2</v>
      </c>
      <c r="AA1215" s="135">
        <v>0</v>
      </c>
    </row>
    <row r="1216" spans="1:27" ht="13" customHeight="1">
      <c r="A1216" s="11">
        <v>1210</v>
      </c>
      <c r="B1216" s="47">
        <v>206004602</v>
      </c>
      <c r="C1216" s="89" t="s">
        <v>1125</v>
      </c>
      <c r="D1216" s="11" t="s">
        <v>1126</v>
      </c>
      <c r="E1216" s="48" t="s">
        <v>31</v>
      </c>
      <c r="F1216" s="48" t="s">
        <v>74</v>
      </c>
      <c r="G1216" s="11" t="s">
        <v>64</v>
      </c>
      <c r="H1216" s="48" t="str">
        <f>VLOOKUP(Table1[[#This Row],[Psoft No]],[1]Roster!$C$2:$H$1402,6,)</f>
        <v>AUH1</v>
      </c>
      <c r="I1216" s="48" t="b">
        <f>Table1[[#This Row],[Building]]=Table1[[#This Row],[Column1]]</f>
        <v>1</v>
      </c>
      <c r="J1216" s="11" t="s">
        <v>75</v>
      </c>
      <c r="K1216" s="11">
        <v>1299</v>
      </c>
      <c r="L1216" s="49" t="s">
        <v>32</v>
      </c>
      <c r="M1216" s="49" t="s">
        <v>76</v>
      </c>
      <c r="N1216" s="49" t="s">
        <v>84</v>
      </c>
      <c r="O1216" s="49" t="s">
        <v>85</v>
      </c>
      <c r="P1216" s="48" t="s">
        <v>79</v>
      </c>
      <c r="Q1216" s="49" t="s">
        <v>37</v>
      </c>
      <c r="R1216" s="11" t="s">
        <v>80</v>
      </c>
      <c r="S1216" s="11" t="s">
        <v>81</v>
      </c>
      <c r="T1216" s="49" t="s">
        <v>639</v>
      </c>
      <c r="U1216" s="11" t="s">
        <v>2718</v>
      </c>
      <c r="V1216" s="116" t="str">
        <f>VLOOKUP(Table1[[#This Row],[Psoft No]],[2]Sheet1!$A$2:$G$386,7,0)</f>
        <v>P</v>
      </c>
      <c r="W1216" s="88"/>
      <c r="X1216" s="51">
        <v>45922</v>
      </c>
      <c r="Y1216" s="97" t="s">
        <v>1577</v>
      </c>
      <c r="Z1216" s="135" t="s">
        <v>2</v>
      </c>
      <c r="AA1216" s="135">
        <v>0</v>
      </c>
    </row>
    <row r="1217" spans="1:27" ht="13" customHeight="1">
      <c r="A1217" s="11">
        <v>1211</v>
      </c>
      <c r="B1217" s="47">
        <v>103058874</v>
      </c>
      <c r="C1217" s="89" t="s">
        <v>1357</v>
      </c>
      <c r="D1217" s="11" t="s">
        <v>1358</v>
      </c>
      <c r="E1217" s="48" t="s">
        <v>34</v>
      </c>
      <c r="F1217" s="48" t="s">
        <v>74</v>
      </c>
      <c r="G1217" s="11" t="s">
        <v>65</v>
      </c>
      <c r="H1217" s="48" t="str">
        <f>VLOOKUP(Table1[[#This Row],[Psoft No]],[1]Roster!$C$2:$H$1402,6,)</f>
        <v>AUH3</v>
      </c>
      <c r="I1217" s="48" t="b">
        <f>Table1[[#This Row],[Building]]=Table1[[#This Row],[Column1]]</f>
        <v>1</v>
      </c>
      <c r="J1217" s="11" t="s">
        <v>1332</v>
      </c>
      <c r="K1217" s="11">
        <v>1182</v>
      </c>
      <c r="L1217" s="49" t="s">
        <v>39</v>
      </c>
      <c r="M1217" s="49" t="s">
        <v>76</v>
      </c>
      <c r="N1217" s="49" t="s">
        <v>78</v>
      </c>
      <c r="O1217" s="49" t="s">
        <v>92</v>
      </c>
      <c r="P1217" s="49" t="s">
        <v>108</v>
      </c>
      <c r="Q1217" s="49" t="s">
        <v>68</v>
      </c>
      <c r="R1217" s="11" t="s">
        <v>80</v>
      </c>
      <c r="S1217" s="11" t="s">
        <v>98</v>
      </c>
      <c r="T1217" s="11" t="s">
        <v>2720</v>
      </c>
      <c r="U1217" s="11" t="s">
        <v>2721</v>
      </c>
      <c r="V1217" s="116" t="s">
        <v>10</v>
      </c>
      <c r="W1217" s="88"/>
      <c r="X1217" s="51">
        <v>43024</v>
      </c>
      <c r="Y1217" s="97" t="s">
        <v>68</v>
      </c>
      <c r="Z1217" s="135" t="s">
        <v>3023</v>
      </c>
      <c r="AA1217" s="135">
        <v>0</v>
      </c>
    </row>
    <row r="1218" spans="1:27" ht="13" customHeight="1">
      <c r="A1218" s="11">
        <v>1212</v>
      </c>
      <c r="B1218" s="47">
        <v>102981727</v>
      </c>
      <c r="C1218" s="89" t="s">
        <v>107</v>
      </c>
      <c r="D1218" s="11" t="s">
        <v>1929</v>
      </c>
      <c r="E1218" s="48" t="s">
        <v>34</v>
      </c>
      <c r="F1218" s="48" t="s">
        <v>74</v>
      </c>
      <c r="G1218" s="11" t="s">
        <v>65</v>
      </c>
      <c r="H1218" s="48" t="str">
        <f>VLOOKUP(Table1[[#This Row],[Psoft No]],[1]Roster!$C$2:$H$1402,6,)</f>
        <v>AUH3</v>
      </c>
      <c r="I1218" s="48" t="b">
        <f>Table1[[#This Row],[Building]]=Table1[[#This Row],[Column1]]</f>
        <v>1</v>
      </c>
      <c r="J1218" s="11" t="s">
        <v>1332</v>
      </c>
      <c r="K1218" s="11">
        <v>1299</v>
      </c>
      <c r="L1218" s="49" t="s">
        <v>39</v>
      </c>
      <c r="M1218" s="49" t="s">
        <v>76</v>
      </c>
      <c r="N1218" s="49" t="s">
        <v>77</v>
      </c>
      <c r="O1218" s="49" t="s">
        <v>78</v>
      </c>
      <c r="P1218" s="48" t="s">
        <v>108</v>
      </c>
      <c r="Q1218" s="49" t="s">
        <v>68</v>
      </c>
      <c r="R1218" s="11" t="s">
        <v>80</v>
      </c>
      <c r="S1218" s="11" t="s">
        <v>98</v>
      </c>
      <c r="T1218" s="11" t="s">
        <v>2720</v>
      </c>
      <c r="U1218" s="11" t="s">
        <v>2721</v>
      </c>
      <c r="V1218" s="116" t="s">
        <v>1</v>
      </c>
      <c r="W1218" s="88"/>
      <c r="X1218" s="51">
        <v>43040</v>
      </c>
      <c r="Y1218" s="97" t="s">
        <v>68</v>
      </c>
      <c r="Z1218" s="135" t="s">
        <v>2</v>
      </c>
      <c r="AA1218" s="135">
        <v>0</v>
      </c>
    </row>
    <row r="1219" spans="1:27" ht="13" customHeight="1">
      <c r="A1219" s="11">
        <v>1213</v>
      </c>
      <c r="B1219" s="47">
        <v>206361295</v>
      </c>
      <c r="C1219" s="89" t="s">
        <v>2440</v>
      </c>
      <c r="D1219" s="11" t="s">
        <v>2441</v>
      </c>
      <c r="E1219" s="48" t="s">
        <v>31</v>
      </c>
      <c r="F1219" s="48" t="s">
        <v>74</v>
      </c>
      <c r="G1219" s="11" t="s">
        <v>65</v>
      </c>
      <c r="H1219" s="48" t="str">
        <f>VLOOKUP(Table1[[#This Row],[Psoft No]],[1]Roster!$C$2:$H$1402,6,)</f>
        <v>AUH3</v>
      </c>
      <c r="I1219" s="48" t="b">
        <f>Table1[[#This Row],[Building]]=Table1[[#This Row],[Column1]]</f>
        <v>1</v>
      </c>
      <c r="J1219" s="11" t="s">
        <v>1332</v>
      </c>
      <c r="K1219" s="11">
        <v>1181</v>
      </c>
      <c r="L1219" s="49" t="s">
        <v>39</v>
      </c>
      <c r="M1219" s="49" t="s">
        <v>76</v>
      </c>
      <c r="N1219" s="49" t="s">
        <v>78</v>
      </c>
      <c r="O1219" s="49" t="s">
        <v>92</v>
      </c>
      <c r="P1219" s="48" t="s">
        <v>89</v>
      </c>
      <c r="Q1219" s="49" t="s">
        <v>68</v>
      </c>
      <c r="R1219" s="11" t="s">
        <v>80</v>
      </c>
      <c r="S1219" s="11" t="s">
        <v>96</v>
      </c>
      <c r="T1219" s="11" t="s">
        <v>2720</v>
      </c>
      <c r="U1219" s="11" t="s">
        <v>2721</v>
      </c>
      <c r="V1219" s="116" t="s">
        <v>10</v>
      </c>
      <c r="W1219" s="88"/>
      <c r="X1219" s="51">
        <v>45957</v>
      </c>
      <c r="Y1219" s="97" t="s">
        <v>68</v>
      </c>
      <c r="Z1219" s="135" t="s">
        <v>3023</v>
      </c>
      <c r="AA1219" s="135">
        <v>0</v>
      </c>
    </row>
    <row r="1220" spans="1:27" ht="13" customHeight="1">
      <c r="A1220" s="11">
        <v>1214</v>
      </c>
      <c r="B1220" s="47">
        <v>111249388</v>
      </c>
      <c r="C1220" s="89" t="s">
        <v>1360</v>
      </c>
      <c r="D1220" s="11" t="s">
        <v>1361</v>
      </c>
      <c r="E1220" s="48" t="s">
        <v>31</v>
      </c>
      <c r="F1220" s="48" t="s">
        <v>74</v>
      </c>
      <c r="G1220" s="11" t="s">
        <v>65</v>
      </c>
      <c r="H1220" s="48" t="str">
        <f>VLOOKUP(Table1[[#This Row],[Psoft No]],[1]Roster!$C$2:$H$1402,6,)</f>
        <v>AUH3</v>
      </c>
      <c r="I1220" s="48" t="b">
        <f>Table1[[#This Row],[Building]]=Table1[[#This Row],[Column1]]</f>
        <v>1</v>
      </c>
      <c r="J1220" s="11" t="s">
        <v>1332</v>
      </c>
      <c r="K1220" s="11">
        <v>1181</v>
      </c>
      <c r="L1220" s="49" t="s">
        <v>39</v>
      </c>
      <c r="M1220" s="49" t="s">
        <v>76</v>
      </c>
      <c r="N1220" s="49" t="s">
        <v>88</v>
      </c>
      <c r="O1220" s="49" t="s">
        <v>95</v>
      </c>
      <c r="P1220" s="48" t="s">
        <v>79</v>
      </c>
      <c r="Q1220" s="49" t="s">
        <v>68</v>
      </c>
      <c r="R1220" s="11" t="s">
        <v>80</v>
      </c>
      <c r="S1220" s="11" t="s">
        <v>81</v>
      </c>
      <c r="T1220" s="11" t="s">
        <v>2720</v>
      </c>
      <c r="U1220" s="11" t="s">
        <v>2721</v>
      </c>
      <c r="V1220" s="116" t="s">
        <v>1</v>
      </c>
      <c r="W1220" s="88"/>
      <c r="X1220" s="51">
        <v>45530</v>
      </c>
      <c r="Y1220" s="97" t="s">
        <v>68</v>
      </c>
      <c r="Z1220" s="135" t="s">
        <v>2</v>
      </c>
      <c r="AA1220" s="135">
        <v>0</v>
      </c>
    </row>
    <row r="1221" spans="1:27" ht="13" customHeight="1">
      <c r="A1221" s="11">
        <v>1215</v>
      </c>
      <c r="B1221" s="47">
        <v>203635494</v>
      </c>
      <c r="C1221" s="89" t="s">
        <v>1135</v>
      </c>
      <c r="D1221" s="11" t="s">
        <v>1136</v>
      </c>
      <c r="E1221" s="48" t="s">
        <v>31</v>
      </c>
      <c r="F1221" s="48" t="s">
        <v>74</v>
      </c>
      <c r="G1221" s="11" t="s">
        <v>64</v>
      </c>
      <c r="H1221" s="48" t="str">
        <f>VLOOKUP(Table1[[#This Row],[Psoft No]],[1]Roster!$C$2:$H$1402,6,)</f>
        <v>AUH1</v>
      </c>
      <c r="I1221" s="48" t="b">
        <f>Table1[[#This Row],[Building]]=Table1[[#This Row],[Column1]]</f>
        <v>1</v>
      </c>
      <c r="J1221" s="11" t="s">
        <v>75</v>
      </c>
      <c r="K1221" s="11">
        <v>1299</v>
      </c>
      <c r="L1221" s="49" t="s">
        <v>32</v>
      </c>
      <c r="M1221" s="49" t="s">
        <v>76</v>
      </c>
      <c r="N1221" s="49" t="s">
        <v>84</v>
      </c>
      <c r="O1221" s="49" t="s">
        <v>85</v>
      </c>
      <c r="P1221" s="48" t="s">
        <v>79</v>
      </c>
      <c r="Q1221" s="49" t="s">
        <v>37</v>
      </c>
      <c r="R1221" s="11" t="s">
        <v>80</v>
      </c>
      <c r="S1221" s="11" t="s">
        <v>81</v>
      </c>
      <c r="T1221" s="49" t="s">
        <v>647</v>
      </c>
      <c r="U1221" s="11" t="s">
        <v>1798</v>
      </c>
      <c r="V1221" s="116" t="s">
        <v>7</v>
      </c>
      <c r="W1221" s="88" t="s">
        <v>3015</v>
      </c>
      <c r="X1221" s="51">
        <v>45481</v>
      </c>
      <c r="Y1221" s="97" t="s">
        <v>1577</v>
      </c>
      <c r="Z1221" s="135" t="s">
        <v>3023</v>
      </c>
      <c r="AA1221" s="135" t="s">
        <v>3015</v>
      </c>
    </row>
    <row r="1222" spans="1:27" ht="13" customHeight="1">
      <c r="A1222" s="11">
        <v>1216</v>
      </c>
      <c r="B1222" s="47">
        <v>203555213</v>
      </c>
      <c r="C1222" s="89" t="s">
        <v>1365</v>
      </c>
      <c r="D1222" s="11" t="s">
        <v>1366</v>
      </c>
      <c r="E1222" s="48" t="s">
        <v>31</v>
      </c>
      <c r="F1222" s="48" t="s">
        <v>74</v>
      </c>
      <c r="G1222" s="11" t="s">
        <v>65</v>
      </c>
      <c r="H1222" s="48" t="str">
        <f>VLOOKUP(Table1[[#This Row],[Psoft No]],[1]Roster!$C$2:$H$1402,6,)</f>
        <v>AUH3</v>
      </c>
      <c r="I1222" s="48" t="b">
        <f>Table1[[#This Row],[Building]]=Table1[[#This Row],[Column1]]</f>
        <v>1</v>
      </c>
      <c r="J1222" s="11" t="s">
        <v>1332</v>
      </c>
      <c r="K1222" s="11">
        <v>1181</v>
      </c>
      <c r="L1222" s="49" t="s">
        <v>39</v>
      </c>
      <c r="M1222" s="49" t="s">
        <v>76</v>
      </c>
      <c r="N1222" s="49" t="s">
        <v>77</v>
      </c>
      <c r="O1222" s="49" t="s">
        <v>78</v>
      </c>
      <c r="P1222" s="49" t="s">
        <v>79</v>
      </c>
      <c r="Q1222" s="49" t="s">
        <v>68</v>
      </c>
      <c r="R1222" s="11" t="s">
        <v>80</v>
      </c>
      <c r="S1222" s="11" t="s">
        <v>81</v>
      </c>
      <c r="T1222" s="11" t="s">
        <v>2720</v>
      </c>
      <c r="U1222" s="11" t="s">
        <v>2721</v>
      </c>
      <c r="V1222" s="116" t="s">
        <v>1</v>
      </c>
      <c r="W1222" s="88"/>
      <c r="X1222" s="51">
        <v>45470</v>
      </c>
      <c r="Y1222" s="97" t="s">
        <v>68</v>
      </c>
      <c r="Z1222" s="135" t="s">
        <v>2</v>
      </c>
      <c r="AA1222" s="135">
        <v>0</v>
      </c>
    </row>
    <row r="1223" spans="1:27" ht="13" customHeight="1">
      <c r="A1223" s="11">
        <v>1217</v>
      </c>
      <c r="B1223" s="47">
        <v>206368539</v>
      </c>
      <c r="C1223" s="89" t="s">
        <v>1672</v>
      </c>
      <c r="D1223" s="11" t="s">
        <v>1673</v>
      </c>
      <c r="E1223" s="48" t="s">
        <v>31</v>
      </c>
      <c r="F1223" s="48" t="s">
        <v>74</v>
      </c>
      <c r="G1223" s="11" t="s">
        <v>65</v>
      </c>
      <c r="H1223" s="48" t="str">
        <f>VLOOKUP(Table1[[#This Row],[Psoft No]],[1]Roster!$C$2:$H$1402,6,)</f>
        <v>AUH3</v>
      </c>
      <c r="I1223" s="48" t="b">
        <f>Table1[[#This Row],[Building]]=Table1[[#This Row],[Column1]]</f>
        <v>1</v>
      </c>
      <c r="J1223" s="11" t="s">
        <v>1332</v>
      </c>
      <c r="K1223" s="11">
        <v>1181</v>
      </c>
      <c r="L1223" s="49" t="s">
        <v>39</v>
      </c>
      <c r="M1223" s="49" t="s">
        <v>76</v>
      </c>
      <c r="N1223" s="49" t="s">
        <v>77</v>
      </c>
      <c r="O1223" s="49" t="s">
        <v>78</v>
      </c>
      <c r="P1223" s="48" t="s">
        <v>89</v>
      </c>
      <c r="Q1223" s="49" t="s">
        <v>68</v>
      </c>
      <c r="R1223" s="11" t="s">
        <v>80</v>
      </c>
      <c r="S1223" s="11" t="s">
        <v>96</v>
      </c>
      <c r="T1223" s="11" t="s">
        <v>2720</v>
      </c>
      <c r="U1223" s="11" t="s">
        <v>2721</v>
      </c>
      <c r="V1223" s="116" t="s">
        <v>1</v>
      </c>
      <c r="W1223" s="88"/>
      <c r="X1223" s="51">
        <v>45957</v>
      </c>
      <c r="Y1223" s="97" t="s">
        <v>68</v>
      </c>
      <c r="Z1223" s="135" t="s">
        <v>2</v>
      </c>
      <c r="AA1223" s="135">
        <v>0</v>
      </c>
    </row>
    <row r="1224" spans="1:27" ht="13" customHeight="1">
      <c r="A1224" s="11">
        <v>1218</v>
      </c>
      <c r="B1224" s="47">
        <v>206129597</v>
      </c>
      <c r="C1224" s="89" t="s">
        <v>1177</v>
      </c>
      <c r="D1224" s="11" t="s">
        <v>1178</v>
      </c>
      <c r="E1224" s="48" t="s">
        <v>31</v>
      </c>
      <c r="F1224" s="48" t="s">
        <v>74</v>
      </c>
      <c r="G1224" s="11" t="s">
        <v>64</v>
      </c>
      <c r="H1224" s="48" t="str">
        <f>VLOOKUP(Table1[[#This Row],[Psoft No]],[1]Roster!$C$2:$H$1402,6,)</f>
        <v>AUH1</v>
      </c>
      <c r="I1224" s="48" t="b">
        <f>Table1[[#This Row],[Building]]=Table1[[#This Row],[Column1]]</f>
        <v>1</v>
      </c>
      <c r="J1224" s="11" t="s">
        <v>75</v>
      </c>
      <c r="K1224" s="11">
        <v>1299</v>
      </c>
      <c r="L1224" s="49" t="s">
        <v>32</v>
      </c>
      <c r="M1224" s="49" t="s">
        <v>76</v>
      </c>
      <c r="N1224" s="49" t="s">
        <v>84</v>
      </c>
      <c r="O1224" s="49" t="s">
        <v>85</v>
      </c>
      <c r="P1224" s="48" t="s">
        <v>79</v>
      </c>
      <c r="Q1224" s="49" t="s">
        <v>37</v>
      </c>
      <c r="R1224" s="11" t="s">
        <v>80</v>
      </c>
      <c r="S1224" s="11" t="s">
        <v>81</v>
      </c>
      <c r="T1224" s="11" t="s">
        <v>647</v>
      </c>
      <c r="U1224" s="11" t="s">
        <v>1798</v>
      </c>
      <c r="V1224" s="137" t="str">
        <f>VLOOKUP(Table1[[#This Row],[Psoft No]],[2]Sheet1!$A$2:$G$386,7,0)</f>
        <v>P</v>
      </c>
      <c r="W1224" s="88"/>
      <c r="X1224" s="51">
        <v>45929</v>
      </c>
      <c r="Y1224" s="97" t="s">
        <v>1577</v>
      </c>
      <c r="Z1224" s="135" t="s">
        <v>2</v>
      </c>
      <c r="AA1224" s="135">
        <v>0</v>
      </c>
    </row>
    <row r="1225" spans="1:27" ht="13" customHeight="1">
      <c r="A1225" s="11">
        <v>1219</v>
      </c>
      <c r="B1225" s="47">
        <v>108067922</v>
      </c>
      <c r="C1225" s="89" t="s">
        <v>1369</v>
      </c>
      <c r="D1225" s="11" t="s">
        <v>1370</v>
      </c>
      <c r="E1225" s="48" t="s">
        <v>34</v>
      </c>
      <c r="F1225" s="48" t="s">
        <v>74</v>
      </c>
      <c r="G1225" s="11" t="s">
        <v>65</v>
      </c>
      <c r="H1225" s="48" t="str">
        <f>VLOOKUP(Table1[[#This Row],[Psoft No]],[1]Roster!$C$2:$H$1402,6,)</f>
        <v>AUH3</v>
      </c>
      <c r="I1225" s="48" t="b">
        <f>Table1[[#This Row],[Building]]=Table1[[#This Row],[Column1]]</f>
        <v>1</v>
      </c>
      <c r="J1225" s="11" t="s">
        <v>1332</v>
      </c>
      <c r="K1225" s="11">
        <v>1182</v>
      </c>
      <c r="L1225" s="49" t="s">
        <v>39</v>
      </c>
      <c r="M1225" s="49" t="s">
        <v>76</v>
      </c>
      <c r="N1225" s="49" t="s">
        <v>77</v>
      </c>
      <c r="O1225" s="49" t="s">
        <v>78</v>
      </c>
      <c r="P1225" s="49" t="s">
        <v>97</v>
      </c>
      <c r="Q1225" s="49" t="s">
        <v>68</v>
      </c>
      <c r="R1225" s="11" t="s">
        <v>80</v>
      </c>
      <c r="S1225" s="11" t="s">
        <v>98</v>
      </c>
      <c r="T1225" s="11" t="s">
        <v>2720</v>
      </c>
      <c r="U1225" s="11" t="s">
        <v>2721</v>
      </c>
      <c r="V1225" s="116" t="s">
        <v>1</v>
      </c>
      <c r="W1225" s="88"/>
      <c r="X1225" s="51">
        <v>44728</v>
      </c>
      <c r="Y1225" s="97" t="s">
        <v>68</v>
      </c>
      <c r="Z1225" s="135" t="s">
        <v>2</v>
      </c>
      <c r="AA1225" s="135">
        <v>0</v>
      </c>
    </row>
    <row r="1226" spans="1:27" ht="13" customHeight="1">
      <c r="A1226" s="11">
        <v>1220</v>
      </c>
      <c r="B1226" s="47">
        <v>203513497</v>
      </c>
      <c r="C1226" s="89" t="s">
        <v>1371</v>
      </c>
      <c r="D1226" s="11" t="s">
        <v>1372</v>
      </c>
      <c r="E1226" s="48" t="s">
        <v>31</v>
      </c>
      <c r="F1226" s="48" t="s">
        <v>74</v>
      </c>
      <c r="G1226" s="11" t="s">
        <v>65</v>
      </c>
      <c r="H1226" s="48" t="str">
        <f>VLOOKUP(Table1[[#This Row],[Psoft No]],[1]Roster!$C$2:$H$1402,6,)</f>
        <v>AUH3</v>
      </c>
      <c r="I1226" s="48" t="b">
        <f>Table1[[#This Row],[Building]]=Table1[[#This Row],[Column1]]</f>
        <v>1</v>
      </c>
      <c r="J1226" s="11" t="s">
        <v>1332</v>
      </c>
      <c r="K1226" s="11">
        <v>1181</v>
      </c>
      <c r="L1226" s="49" t="s">
        <v>39</v>
      </c>
      <c r="M1226" s="49" t="s">
        <v>76</v>
      </c>
      <c r="N1226" s="49" t="s">
        <v>78</v>
      </c>
      <c r="O1226" s="49" t="s">
        <v>92</v>
      </c>
      <c r="P1226" s="48" t="s">
        <v>79</v>
      </c>
      <c r="Q1226" s="49" t="s">
        <v>68</v>
      </c>
      <c r="R1226" s="11" t="s">
        <v>80</v>
      </c>
      <c r="S1226" s="11" t="s">
        <v>81</v>
      </c>
      <c r="T1226" s="11" t="s">
        <v>2720</v>
      </c>
      <c r="U1226" s="11" t="s">
        <v>2721</v>
      </c>
      <c r="V1226" s="116" t="s">
        <v>10</v>
      </c>
      <c r="W1226" s="88"/>
      <c r="X1226" s="51">
        <v>45463</v>
      </c>
      <c r="Y1226" s="97" t="s">
        <v>68</v>
      </c>
      <c r="Z1226" s="135" t="s">
        <v>3023</v>
      </c>
      <c r="AA1226" s="135">
        <v>0</v>
      </c>
    </row>
    <row r="1227" spans="1:27" ht="13" customHeight="1">
      <c r="A1227" s="11">
        <v>1221</v>
      </c>
      <c r="B1227" s="47">
        <v>203965408</v>
      </c>
      <c r="C1227" s="89" t="s">
        <v>1286</v>
      </c>
      <c r="D1227" s="11" t="s">
        <v>1287</v>
      </c>
      <c r="E1227" s="48" t="s">
        <v>31</v>
      </c>
      <c r="F1227" s="48" t="s">
        <v>74</v>
      </c>
      <c r="G1227" s="11" t="s">
        <v>64</v>
      </c>
      <c r="H1227" s="48" t="str">
        <f>VLOOKUP(Table1[[#This Row],[Psoft No]],[1]Roster!$C$2:$H$1402,6,)</f>
        <v>AUH1</v>
      </c>
      <c r="I1227" s="48" t="b">
        <f>Table1[[#This Row],[Building]]=Table1[[#This Row],[Column1]]</f>
        <v>1</v>
      </c>
      <c r="J1227" s="11" t="s">
        <v>75</v>
      </c>
      <c r="K1227" s="11">
        <v>1299</v>
      </c>
      <c r="L1227" s="49" t="s">
        <v>32</v>
      </c>
      <c r="M1227" s="49" t="s">
        <v>76</v>
      </c>
      <c r="N1227" s="49" t="s">
        <v>92</v>
      </c>
      <c r="O1227" s="49" t="s">
        <v>84</v>
      </c>
      <c r="P1227" s="49" t="s">
        <v>79</v>
      </c>
      <c r="Q1227" s="49" t="s">
        <v>37</v>
      </c>
      <c r="R1227" s="49" t="s">
        <v>80</v>
      </c>
      <c r="S1227" s="49" t="s">
        <v>81</v>
      </c>
      <c r="T1227" s="11" t="s">
        <v>639</v>
      </c>
      <c r="U1227" s="11" t="s">
        <v>2718</v>
      </c>
      <c r="V1227" s="116" t="s">
        <v>10</v>
      </c>
      <c r="W1227" s="88"/>
      <c r="X1227" s="51">
        <v>45544</v>
      </c>
      <c r="Y1227" s="97" t="s">
        <v>1577</v>
      </c>
      <c r="Z1227" s="135" t="s">
        <v>3023</v>
      </c>
      <c r="AA1227" s="135" t="s">
        <v>3015</v>
      </c>
    </row>
    <row r="1228" spans="1:27" ht="13" customHeight="1">
      <c r="A1228" s="11">
        <v>1222</v>
      </c>
      <c r="B1228" s="47">
        <v>206239215</v>
      </c>
      <c r="C1228" s="89" t="s">
        <v>1655</v>
      </c>
      <c r="D1228" s="11" t="s">
        <v>1623</v>
      </c>
      <c r="E1228" s="48" t="s">
        <v>31</v>
      </c>
      <c r="F1228" s="48" t="s">
        <v>74</v>
      </c>
      <c r="G1228" s="11" t="s">
        <v>64</v>
      </c>
      <c r="H1228" s="48" t="str">
        <f>VLOOKUP(Table1[[#This Row],[Psoft No]],[1]Roster!$C$2:$H$1402,6,)</f>
        <v>AUH1</v>
      </c>
      <c r="I1228" s="48" t="b">
        <f>Table1[[#This Row],[Building]]=Table1[[#This Row],[Column1]]</f>
        <v>1</v>
      </c>
      <c r="J1228" s="11" t="s">
        <v>75</v>
      </c>
      <c r="K1228" s="11">
        <v>1299</v>
      </c>
      <c r="L1228" s="49" t="s">
        <v>32</v>
      </c>
      <c r="M1228" s="49" t="s">
        <v>76</v>
      </c>
      <c r="N1228" s="49" t="s">
        <v>84</v>
      </c>
      <c r="O1228" s="49" t="s">
        <v>85</v>
      </c>
      <c r="P1228" s="49" t="s">
        <v>79</v>
      </c>
      <c r="Q1228" s="49" t="s">
        <v>37</v>
      </c>
      <c r="R1228" s="11" t="s">
        <v>80</v>
      </c>
      <c r="S1228" s="11" t="s">
        <v>81</v>
      </c>
      <c r="T1228" s="11" t="s">
        <v>1066</v>
      </c>
      <c r="U1228" s="11" t="s">
        <v>2717</v>
      </c>
      <c r="V1228" s="116" t="s">
        <v>7</v>
      </c>
      <c r="W1228" s="88" t="s">
        <v>3018</v>
      </c>
      <c r="X1228" s="51">
        <v>45943</v>
      </c>
      <c r="Y1228" s="97" t="s">
        <v>1577</v>
      </c>
      <c r="Z1228" s="135" t="s">
        <v>3023</v>
      </c>
      <c r="AA1228" s="135" t="s">
        <v>3018</v>
      </c>
    </row>
    <row r="1229" spans="1:27" ht="13" customHeight="1">
      <c r="A1229" s="11">
        <v>1223</v>
      </c>
      <c r="B1229" s="47">
        <v>206191961</v>
      </c>
      <c r="C1229" s="89" t="s">
        <v>1600</v>
      </c>
      <c r="D1229" s="11" t="s">
        <v>1921</v>
      </c>
      <c r="E1229" s="48" t="s">
        <v>31</v>
      </c>
      <c r="F1229" s="48" t="s">
        <v>74</v>
      </c>
      <c r="G1229" s="11" t="s">
        <v>65</v>
      </c>
      <c r="H1229" s="48" t="str">
        <f>VLOOKUP(Table1[[#This Row],[Psoft No]],[1]Roster!$C$2:$H$1402,6,)</f>
        <v>AUH3</v>
      </c>
      <c r="I1229" s="48" t="b">
        <f>Table1[[#This Row],[Building]]=Table1[[#This Row],[Column1]]</f>
        <v>1</v>
      </c>
      <c r="J1229" s="11" t="s">
        <v>1332</v>
      </c>
      <c r="K1229" s="11">
        <v>1299</v>
      </c>
      <c r="L1229" s="49" t="s">
        <v>32</v>
      </c>
      <c r="M1229" s="49" t="s">
        <v>76</v>
      </c>
      <c r="N1229" s="49" t="s">
        <v>78</v>
      </c>
      <c r="O1229" s="49" t="s">
        <v>92</v>
      </c>
      <c r="P1229" s="48" t="s">
        <v>89</v>
      </c>
      <c r="Q1229" s="49" t="s">
        <v>68</v>
      </c>
      <c r="R1229" s="11" t="s">
        <v>80</v>
      </c>
      <c r="S1229" s="11" t="s">
        <v>96</v>
      </c>
      <c r="T1229" s="11" t="s">
        <v>1336</v>
      </c>
      <c r="U1229" s="11" t="s">
        <v>1337</v>
      </c>
      <c r="V1229" s="116" t="s">
        <v>10</v>
      </c>
      <c r="W1229" s="88"/>
      <c r="X1229" s="51">
        <v>45936</v>
      </c>
      <c r="Y1229" s="97" t="s">
        <v>68</v>
      </c>
      <c r="Z1229" s="135" t="s">
        <v>3023</v>
      </c>
      <c r="AA1229" s="135">
        <v>0</v>
      </c>
    </row>
    <row r="1230" spans="1:27" ht="13" customHeight="1">
      <c r="A1230" s="11">
        <v>1224</v>
      </c>
      <c r="B1230" s="47">
        <v>206348024</v>
      </c>
      <c r="C1230" s="89" t="s">
        <v>1674</v>
      </c>
      <c r="D1230" s="11" t="s">
        <v>1675</v>
      </c>
      <c r="E1230" s="103" t="s">
        <v>31</v>
      </c>
      <c r="F1230" s="48" t="s">
        <v>74</v>
      </c>
      <c r="G1230" s="11" t="s">
        <v>65</v>
      </c>
      <c r="H1230" s="48" t="str">
        <f>VLOOKUP(Table1[[#This Row],[Psoft No]],[1]Roster!$C$2:$H$1402,6,)</f>
        <v>AUH3</v>
      </c>
      <c r="I1230" s="48" t="b">
        <f>Table1[[#This Row],[Building]]=Table1[[#This Row],[Column1]]</f>
        <v>1</v>
      </c>
      <c r="J1230" s="11" t="s">
        <v>1332</v>
      </c>
      <c r="K1230" s="11">
        <v>1181</v>
      </c>
      <c r="L1230" s="49" t="s">
        <v>39</v>
      </c>
      <c r="M1230" s="49" t="s">
        <v>76</v>
      </c>
      <c r="N1230" s="49" t="s">
        <v>88</v>
      </c>
      <c r="O1230" s="49" t="s">
        <v>95</v>
      </c>
      <c r="P1230" s="49" t="s">
        <v>89</v>
      </c>
      <c r="Q1230" s="49" t="s">
        <v>68</v>
      </c>
      <c r="R1230" s="49" t="s">
        <v>80</v>
      </c>
      <c r="S1230" s="49" t="s">
        <v>81</v>
      </c>
      <c r="T1230" s="49" t="s">
        <v>2720</v>
      </c>
      <c r="U1230" s="49" t="s">
        <v>2721</v>
      </c>
      <c r="V1230" s="116" t="s">
        <v>1</v>
      </c>
      <c r="W1230" s="88"/>
      <c r="X1230" s="51">
        <v>45957</v>
      </c>
      <c r="Y1230" s="97" t="s">
        <v>68</v>
      </c>
      <c r="Z1230" s="135" t="s">
        <v>2</v>
      </c>
      <c r="AA1230" s="135">
        <v>0</v>
      </c>
    </row>
    <row r="1231" spans="1:27" ht="13" customHeight="1">
      <c r="A1231" s="11">
        <v>1225</v>
      </c>
      <c r="B1231" s="47">
        <v>203635598</v>
      </c>
      <c r="C1231" s="89" t="s">
        <v>1340</v>
      </c>
      <c r="D1231" s="11" t="s">
        <v>1341</v>
      </c>
      <c r="E1231" s="48" t="s">
        <v>31</v>
      </c>
      <c r="F1231" s="48" t="s">
        <v>74</v>
      </c>
      <c r="G1231" s="11" t="s">
        <v>65</v>
      </c>
      <c r="H1231" s="48" t="str">
        <f>VLOOKUP(Table1[[#This Row],[Psoft No]],[1]Roster!$C$2:$H$1402,6,)</f>
        <v>AUH3</v>
      </c>
      <c r="I1231" s="48" t="b">
        <f>Table1[[#This Row],[Building]]=Table1[[#This Row],[Column1]]</f>
        <v>1</v>
      </c>
      <c r="J1231" s="11" t="s">
        <v>1332</v>
      </c>
      <c r="K1231" s="11">
        <v>1181</v>
      </c>
      <c r="L1231" s="49" t="s">
        <v>32</v>
      </c>
      <c r="M1231" s="49" t="s">
        <v>76</v>
      </c>
      <c r="N1231" s="49" t="s">
        <v>88</v>
      </c>
      <c r="O1231" s="49" t="s">
        <v>95</v>
      </c>
      <c r="P1231" s="48" t="s">
        <v>79</v>
      </c>
      <c r="Q1231" s="49" t="s">
        <v>68</v>
      </c>
      <c r="R1231" s="11" t="s">
        <v>80</v>
      </c>
      <c r="S1231" s="11" t="s">
        <v>81</v>
      </c>
      <c r="T1231" s="11" t="s">
        <v>1336</v>
      </c>
      <c r="U1231" s="11" t="s">
        <v>1337</v>
      </c>
      <c r="V1231" s="116" t="s">
        <v>1</v>
      </c>
      <c r="W1231" s="88"/>
      <c r="X1231" s="51">
        <v>45481</v>
      </c>
      <c r="Y1231" s="97" t="s">
        <v>68</v>
      </c>
      <c r="Z1231" s="135" t="s">
        <v>2</v>
      </c>
      <c r="AA1231" s="135">
        <v>0</v>
      </c>
    </row>
    <row r="1232" spans="1:27" ht="13" customHeight="1">
      <c r="A1232" s="11">
        <v>1226</v>
      </c>
      <c r="B1232" s="47">
        <v>206368537</v>
      </c>
      <c r="C1232" s="89" t="s">
        <v>1676</v>
      </c>
      <c r="D1232" s="11" t="s">
        <v>1677</v>
      </c>
      <c r="E1232" s="48" t="s">
        <v>31</v>
      </c>
      <c r="F1232" s="48" t="s">
        <v>74</v>
      </c>
      <c r="G1232" s="11" t="s">
        <v>65</v>
      </c>
      <c r="H1232" s="48" t="str">
        <f>VLOOKUP(Table1[[#This Row],[Psoft No]],[1]Roster!$C$2:$H$1402,6,)</f>
        <v>AUH3</v>
      </c>
      <c r="I1232" s="48" t="b">
        <f>Table1[[#This Row],[Building]]=Table1[[#This Row],[Column1]]</f>
        <v>1</v>
      </c>
      <c r="J1232" s="11" t="s">
        <v>1332</v>
      </c>
      <c r="K1232" s="11">
        <v>1181</v>
      </c>
      <c r="L1232" s="49" t="s">
        <v>39</v>
      </c>
      <c r="M1232" s="49" t="s">
        <v>76</v>
      </c>
      <c r="N1232" s="49" t="s">
        <v>78</v>
      </c>
      <c r="O1232" s="49" t="s">
        <v>92</v>
      </c>
      <c r="P1232" s="49" t="s">
        <v>89</v>
      </c>
      <c r="Q1232" s="49" t="s">
        <v>68</v>
      </c>
      <c r="R1232" s="11" t="s">
        <v>80</v>
      </c>
      <c r="S1232" s="11" t="s">
        <v>96</v>
      </c>
      <c r="T1232" s="11" t="s">
        <v>2720</v>
      </c>
      <c r="U1232" s="11" t="s">
        <v>2721</v>
      </c>
      <c r="V1232" s="116" t="s">
        <v>10</v>
      </c>
      <c r="W1232" s="88"/>
      <c r="X1232" s="51">
        <v>45957</v>
      </c>
      <c r="Y1232" s="97" t="s">
        <v>68</v>
      </c>
      <c r="Z1232" s="135" t="s">
        <v>3023</v>
      </c>
      <c r="AA1232" s="135">
        <v>0</v>
      </c>
    </row>
    <row r="1233" spans="1:27" ht="13" customHeight="1">
      <c r="A1233" s="11">
        <v>1227</v>
      </c>
      <c r="B1233" s="47">
        <v>105545779</v>
      </c>
      <c r="C1233" s="89" t="s">
        <v>1382</v>
      </c>
      <c r="D1233" s="11" t="s">
        <v>1383</v>
      </c>
      <c r="E1233" s="48" t="s">
        <v>34</v>
      </c>
      <c r="F1233" s="48" t="s">
        <v>74</v>
      </c>
      <c r="G1233" s="11" t="s">
        <v>65</v>
      </c>
      <c r="H1233" s="48" t="str">
        <f>VLOOKUP(Table1[[#This Row],[Psoft No]],[1]Roster!$C$2:$H$1402,6,)</f>
        <v>AUH3</v>
      </c>
      <c r="I1233" s="48" t="b">
        <f>Table1[[#This Row],[Building]]=Table1[[#This Row],[Column1]]</f>
        <v>1</v>
      </c>
      <c r="J1233" s="11" t="s">
        <v>1332</v>
      </c>
      <c r="K1233" s="11">
        <v>1182</v>
      </c>
      <c r="L1233" s="49" t="s">
        <v>32</v>
      </c>
      <c r="M1233" s="49" t="s">
        <v>76</v>
      </c>
      <c r="N1233" s="49" t="s">
        <v>95</v>
      </c>
      <c r="O1233" s="49" t="s">
        <v>77</v>
      </c>
      <c r="P1233" s="49" t="s">
        <v>108</v>
      </c>
      <c r="Q1233" s="49" t="s">
        <v>68</v>
      </c>
      <c r="R1233" s="11" t="s">
        <v>80</v>
      </c>
      <c r="S1233" s="11" t="s">
        <v>98</v>
      </c>
      <c r="T1233" s="11" t="s">
        <v>1336</v>
      </c>
      <c r="U1233" s="11" t="s">
        <v>1337</v>
      </c>
      <c r="V1233" s="116" t="s">
        <v>1</v>
      </c>
      <c r="W1233" s="88"/>
      <c r="X1233" s="51">
        <v>44724</v>
      </c>
      <c r="Y1233" s="97" t="s">
        <v>68</v>
      </c>
      <c r="Z1233" s="135" t="s">
        <v>2</v>
      </c>
      <c r="AA1233" s="135">
        <v>0</v>
      </c>
    </row>
    <row r="1234" spans="1:27" ht="13" customHeight="1">
      <c r="A1234" s="11">
        <v>1228</v>
      </c>
      <c r="B1234" s="47">
        <v>206361785</v>
      </c>
      <c r="C1234" s="89" t="s">
        <v>1678</v>
      </c>
      <c r="D1234" s="11" t="s">
        <v>1679</v>
      </c>
      <c r="E1234" s="103" t="s">
        <v>31</v>
      </c>
      <c r="F1234" s="48" t="s">
        <v>74</v>
      </c>
      <c r="G1234" s="11" t="s">
        <v>65</v>
      </c>
      <c r="H1234" s="48" t="str">
        <f>VLOOKUP(Table1[[#This Row],[Psoft No]],[1]Roster!$C$2:$H$1402,6,)</f>
        <v>AUH3</v>
      </c>
      <c r="I1234" s="48" t="b">
        <f>Table1[[#This Row],[Building]]=Table1[[#This Row],[Column1]]</f>
        <v>1</v>
      </c>
      <c r="J1234" s="11" t="s">
        <v>1332</v>
      </c>
      <c r="K1234" s="11">
        <v>1181</v>
      </c>
      <c r="L1234" s="49" t="s">
        <v>39</v>
      </c>
      <c r="M1234" s="49" t="s">
        <v>76</v>
      </c>
      <c r="N1234" s="49" t="s">
        <v>88</v>
      </c>
      <c r="O1234" s="49" t="s">
        <v>95</v>
      </c>
      <c r="P1234" s="49" t="s">
        <v>89</v>
      </c>
      <c r="Q1234" s="49" t="s">
        <v>68</v>
      </c>
      <c r="R1234" s="49" t="s">
        <v>80</v>
      </c>
      <c r="S1234" s="49" t="s">
        <v>96</v>
      </c>
      <c r="T1234" s="49" t="s">
        <v>2720</v>
      </c>
      <c r="U1234" s="49" t="s">
        <v>2721</v>
      </c>
      <c r="V1234" s="116" t="s">
        <v>1</v>
      </c>
      <c r="W1234" s="88"/>
      <c r="X1234" s="51">
        <v>45957</v>
      </c>
      <c r="Y1234" s="97" t="s">
        <v>68</v>
      </c>
      <c r="Z1234" s="135" t="s">
        <v>2</v>
      </c>
      <c r="AA1234" s="135">
        <v>0</v>
      </c>
    </row>
    <row r="1235" spans="1:27" ht="13" customHeight="1">
      <c r="A1235" s="11">
        <v>1229</v>
      </c>
      <c r="B1235" s="47">
        <v>204868861</v>
      </c>
      <c r="C1235" s="89" t="s">
        <v>264</v>
      </c>
      <c r="D1235" s="11" t="s">
        <v>265</v>
      </c>
      <c r="E1235" s="48" t="s">
        <v>31</v>
      </c>
      <c r="F1235" s="48" t="s">
        <v>74</v>
      </c>
      <c r="G1235" s="11" t="s">
        <v>64</v>
      </c>
      <c r="H1235" s="48" t="str">
        <f>VLOOKUP(Table1[[#This Row],[Psoft No]],[1]Roster!$C$2:$H$1402,6,)</f>
        <v>AUH1</v>
      </c>
      <c r="I1235" s="48" t="b">
        <f>Table1[[#This Row],[Building]]=Table1[[#This Row],[Column1]]</f>
        <v>1</v>
      </c>
      <c r="J1235" s="11" t="s">
        <v>75</v>
      </c>
      <c r="K1235" s="11">
        <v>1299</v>
      </c>
      <c r="L1235" s="49" t="s">
        <v>32</v>
      </c>
      <c r="M1235" s="49" t="s">
        <v>76</v>
      </c>
      <c r="N1235" s="49" t="s">
        <v>77</v>
      </c>
      <c r="O1235" s="49" t="s">
        <v>78</v>
      </c>
      <c r="P1235" s="49" t="s">
        <v>86</v>
      </c>
      <c r="Q1235" s="49" t="s">
        <v>35</v>
      </c>
      <c r="R1235" s="11" t="s">
        <v>80</v>
      </c>
      <c r="S1235" s="11" t="s">
        <v>87</v>
      </c>
      <c r="T1235" s="11" t="s">
        <v>224</v>
      </c>
      <c r="U1235" s="11" t="s">
        <v>2715</v>
      </c>
      <c r="V1235" s="116" t="s">
        <v>1</v>
      </c>
      <c r="W1235" s="88"/>
      <c r="X1235" s="51">
        <v>45691</v>
      </c>
      <c r="Y1235" s="97" t="s">
        <v>1573</v>
      </c>
      <c r="Z1235" s="135" t="s">
        <v>3023</v>
      </c>
      <c r="AA1235" s="135">
        <v>0</v>
      </c>
    </row>
    <row r="1236" spans="1:27" ht="13" customHeight="1">
      <c r="A1236" s="11">
        <v>1230</v>
      </c>
      <c r="B1236" s="47">
        <v>203635486</v>
      </c>
      <c r="C1236" s="89" t="s">
        <v>1376</v>
      </c>
      <c r="D1236" s="11" t="s">
        <v>1377</v>
      </c>
      <c r="E1236" s="48" t="s">
        <v>31</v>
      </c>
      <c r="F1236" s="48" t="s">
        <v>74</v>
      </c>
      <c r="G1236" s="11" t="s">
        <v>65</v>
      </c>
      <c r="H1236" s="48" t="str">
        <f>VLOOKUP(Table1[[#This Row],[Psoft No]],[1]Roster!$C$2:$H$1402,6,)</f>
        <v>AUH3</v>
      </c>
      <c r="I1236" s="48" t="b">
        <f>Table1[[#This Row],[Building]]=Table1[[#This Row],[Column1]]</f>
        <v>1</v>
      </c>
      <c r="J1236" s="11" t="s">
        <v>1332</v>
      </c>
      <c r="K1236" s="11">
        <v>1181</v>
      </c>
      <c r="L1236" s="49" t="s">
        <v>32</v>
      </c>
      <c r="M1236" s="49" t="s">
        <v>76</v>
      </c>
      <c r="N1236" s="49" t="s">
        <v>92</v>
      </c>
      <c r="O1236" s="49" t="s">
        <v>84</v>
      </c>
      <c r="P1236" s="49" t="s">
        <v>79</v>
      </c>
      <c r="Q1236" s="49" t="s">
        <v>68</v>
      </c>
      <c r="R1236" s="11" t="s">
        <v>80</v>
      </c>
      <c r="S1236" s="11" t="s">
        <v>81</v>
      </c>
      <c r="T1236" s="11" t="s">
        <v>1336</v>
      </c>
      <c r="U1236" s="11" t="s">
        <v>1337</v>
      </c>
      <c r="V1236" s="116" t="s">
        <v>10</v>
      </c>
      <c r="W1236" s="88"/>
      <c r="X1236" s="51">
        <v>45481</v>
      </c>
      <c r="Y1236" s="97" t="s">
        <v>68</v>
      </c>
      <c r="Z1236" s="135" t="s">
        <v>3023</v>
      </c>
      <c r="AA1236" s="135">
        <v>0</v>
      </c>
    </row>
    <row r="1237" spans="1:27" ht="13" customHeight="1">
      <c r="A1237" s="11">
        <v>1231</v>
      </c>
      <c r="B1237" s="47">
        <v>203555155</v>
      </c>
      <c r="C1237" s="89" t="s">
        <v>1384</v>
      </c>
      <c r="D1237" s="11" t="s">
        <v>1385</v>
      </c>
      <c r="E1237" s="48" t="s">
        <v>31</v>
      </c>
      <c r="F1237" s="48" t="s">
        <v>74</v>
      </c>
      <c r="G1237" s="11" t="s">
        <v>65</v>
      </c>
      <c r="H1237" s="48" t="str">
        <f>VLOOKUP(Table1[[#This Row],[Psoft No]],[1]Roster!$C$2:$H$1402,6,)</f>
        <v>AUH3</v>
      </c>
      <c r="I1237" s="48" t="b">
        <f>Table1[[#This Row],[Building]]=Table1[[#This Row],[Column1]]</f>
        <v>1</v>
      </c>
      <c r="J1237" s="11" t="s">
        <v>1332</v>
      </c>
      <c r="K1237" s="11">
        <v>1181</v>
      </c>
      <c r="L1237" s="49" t="s">
        <v>32</v>
      </c>
      <c r="M1237" s="49" t="s">
        <v>76</v>
      </c>
      <c r="N1237" s="49" t="s">
        <v>78</v>
      </c>
      <c r="O1237" s="49" t="s">
        <v>92</v>
      </c>
      <c r="P1237" s="49" t="s">
        <v>79</v>
      </c>
      <c r="Q1237" s="49" t="s">
        <v>68</v>
      </c>
      <c r="R1237" s="11" t="s">
        <v>80</v>
      </c>
      <c r="S1237" s="11" t="s">
        <v>81</v>
      </c>
      <c r="T1237" s="11" t="s">
        <v>1336</v>
      </c>
      <c r="U1237" s="11" t="s">
        <v>1337</v>
      </c>
      <c r="V1237" s="116" t="s">
        <v>10</v>
      </c>
      <c r="W1237" s="88"/>
      <c r="X1237" s="51">
        <v>45470</v>
      </c>
      <c r="Y1237" s="97" t="s">
        <v>68</v>
      </c>
      <c r="Z1237" s="135" t="s">
        <v>3023</v>
      </c>
      <c r="AA1237" s="135">
        <v>0</v>
      </c>
    </row>
    <row r="1238" spans="1:27" ht="13" customHeight="1">
      <c r="A1238" s="11">
        <v>1232</v>
      </c>
      <c r="B1238" s="47">
        <v>203635597</v>
      </c>
      <c r="C1238" s="89" t="s">
        <v>1390</v>
      </c>
      <c r="D1238" s="11" t="s">
        <v>1391</v>
      </c>
      <c r="E1238" s="48" t="s">
        <v>31</v>
      </c>
      <c r="F1238" s="48" t="s">
        <v>74</v>
      </c>
      <c r="G1238" s="11" t="s">
        <v>65</v>
      </c>
      <c r="H1238" s="48" t="str">
        <f>VLOOKUP(Table1[[#This Row],[Psoft No]],[1]Roster!$C$2:$H$1402,6,)</f>
        <v>AUH3</v>
      </c>
      <c r="I1238" s="48" t="b">
        <f>Table1[[#This Row],[Building]]=Table1[[#This Row],[Column1]]</f>
        <v>1</v>
      </c>
      <c r="J1238" s="11" t="s">
        <v>1332</v>
      </c>
      <c r="K1238" s="11">
        <v>1181</v>
      </c>
      <c r="L1238" s="49" t="s">
        <v>32</v>
      </c>
      <c r="M1238" s="49" t="s">
        <v>76</v>
      </c>
      <c r="N1238" s="49" t="s">
        <v>85</v>
      </c>
      <c r="O1238" s="49" t="s">
        <v>88</v>
      </c>
      <c r="P1238" s="48" t="s">
        <v>79</v>
      </c>
      <c r="Q1238" s="49" t="s">
        <v>68</v>
      </c>
      <c r="R1238" s="11" t="s">
        <v>80</v>
      </c>
      <c r="S1238" s="11" t="s">
        <v>81</v>
      </c>
      <c r="T1238" s="11" t="s">
        <v>1336</v>
      </c>
      <c r="U1238" s="11" t="s">
        <v>1337</v>
      </c>
      <c r="V1238" s="116" t="s">
        <v>1</v>
      </c>
      <c r="W1238" s="88"/>
      <c r="X1238" s="51">
        <v>45481</v>
      </c>
      <c r="Y1238" s="97" t="s">
        <v>68</v>
      </c>
      <c r="Z1238" s="135" t="s">
        <v>2</v>
      </c>
      <c r="AA1238" s="135">
        <v>0</v>
      </c>
    </row>
    <row r="1239" spans="1:27" ht="13" customHeight="1">
      <c r="A1239" s="11">
        <v>1233</v>
      </c>
      <c r="B1239" s="47">
        <v>102582351</v>
      </c>
      <c r="C1239" s="89" t="s">
        <v>1388</v>
      </c>
      <c r="D1239" s="11" t="s">
        <v>1389</v>
      </c>
      <c r="E1239" s="48" t="s">
        <v>34</v>
      </c>
      <c r="F1239" s="48" t="s">
        <v>74</v>
      </c>
      <c r="G1239" s="11" t="s">
        <v>65</v>
      </c>
      <c r="H1239" s="48" t="str">
        <f>VLOOKUP(Table1[[#This Row],[Psoft No]],[1]Roster!$C$2:$H$1402,6,)</f>
        <v>AUH3</v>
      </c>
      <c r="I1239" s="48" t="b">
        <f>Table1[[#This Row],[Building]]=Table1[[#This Row],[Column1]]</f>
        <v>1</v>
      </c>
      <c r="J1239" s="11" t="s">
        <v>1332</v>
      </c>
      <c r="K1239" s="11">
        <v>1182</v>
      </c>
      <c r="L1239" s="49" t="s">
        <v>32</v>
      </c>
      <c r="M1239" s="49" t="s">
        <v>76</v>
      </c>
      <c r="N1239" s="49" t="s">
        <v>95</v>
      </c>
      <c r="O1239" s="49" t="s">
        <v>77</v>
      </c>
      <c r="P1239" s="48" t="s">
        <v>108</v>
      </c>
      <c r="Q1239" s="49" t="s">
        <v>68</v>
      </c>
      <c r="R1239" s="11" t="s">
        <v>80</v>
      </c>
      <c r="S1239" s="11" t="s">
        <v>98</v>
      </c>
      <c r="T1239" s="11" t="s">
        <v>1336</v>
      </c>
      <c r="U1239" s="11" t="s">
        <v>1337</v>
      </c>
      <c r="V1239" s="116" t="s">
        <v>1</v>
      </c>
      <c r="W1239" s="88"/>
      <c r="X1239" s="51">
        <v>42962</v>
      </c>
      <c r="Y1239" s="97" t="s">
        <v>68</v>
      </c>
      <c r="Z1239" s="135" t="s">
        <v>2</v>
      </c>
      <c r="AA1239" s="135">
        <v>0</v>
      </c>
    </row>
    <row r="1240" spans="1:27" ht="13" customHeight="1">
      <c r="A1240" s="11">
        <v>1234</v>
      </c>
      <c r="B1240" s="47">
        <v>204013731</v>
      </c>
      <c r="C1240" s="89" t="s">
        <v>1416</v>
      </c>
      <c r="D1240" s="11" t="s">
        <v>1417</v>
      </c>
      <c r="E1240" s="48" t="s">
        <v>31</v>
      </c>
      <c r="F1240" s="48" t="s">
        <v>74</v>
      </c>
      <c r="G1240" s="11" t="s">
        <v>65</v>
      </c>
      <c r="H1240" s="48" t="str">
        <f>VLOOKUP(Table1[[#This Row],[Psoft No]],[1]Roster!$C$2:$H$1402,6,)</f>
        <v>AUH3</v>
      </c>
      <c r="I1240" s="48" t="b">
        <f>Table1[[#This Row],[Building]]=Table1[[#This Row],[Column1]]</f>
        <v>1</v>
      </c>
      <c r="J1240" s="11" t="s">
        <v>1332</v>
      </c>
      <c r="K1240" s="11">
        <v>1181</v>
      </c>
      <c r="L1240" s="49" t="s">
        <v>32</v>
      </c>
      <c r="M1240" s="49" t="s">
        <v>76</v>
      </c>
      <c r="N1240" s="49" t="s">
        <v>92</v>
      </c>
      <c r="O1240" s="49" t="s">
        <v>84</v>
      </c>
      <c r="P1240" s="48" t="s">
        <v>79</v>
      </c>
      <c r="Q1240" s="49" t="s">
        <v>68</v>
      </c>
      <c r="R1240" s="11" t="s">
        <v>80</v>
      </c>
      <c r="S1240" s="11" t="s">
        <v>81</v>
      </c>
      <c r="T1240" s="49" t="s">
        <v>1336</v>
      </c>
      <c r="U1240" s="11" t="s">
        <v>1337</v>
      </c>
      <c r="V1240" s="116" t="s">
        <v>10</v>
      </c>
      <c r="W1240" s="88"/>
      <c r="X1240" s="51">
        <v>45551</v>
      </c>
      <c r="Y1240" s="97" t="s">
        <v>68</v>
      </c>
      <c r="Z1240" s="135" t="s">
        <v>3023</v>
      </c>
      <c r="AA1240" s="135" t="s">
        <v>3015</v>
      </c>
    </row>
    <row r="1241" spans="1:27" ht="13" customHeight="1">
      <c r="A1241" s="11">
        <v>1235</v>
      </c>
      <c r="B1241" s="47">
        <v>206348049</v>
      </c>
      <c r="C1241" s="89" t="s">
        <v>2442</v>
      </c>
      <c r="D1241" s="11" t="s">
        <v>2443</v>
      </c>
      <c r="E1241" s="48" t="s">
        <v>31</v>
      </c>
      <c r="F1241" s="48" t="s">
        <v>74</v>
      </c>
      <c r="G1241" s="11" t="s">
        <v>65</v>
      </c>
      <c r="H1241" s="48" t="str">
        <f>VLOOKUP(Table1[[#This Row],[Psoft No]],[1]Roster!$C$2:$H$1402,6,)</f>
        <v>AUH3</v>
      </c>
      <c r="I1241" s="48" t="b">
        <f>Table1[[#This Row],[Building]]=Table1[[#This Row],[Column1]]</f>
        <v>1</v>
      </c>
      <c r="J1241" s="11" t="s">
        <v>1332</v>
      </c>
      <c r="K1241" s="11">
        <v>1181</v>
      </c>
      <c r="L1241" s="49" t="s">
        <v>32</v>
      </c>
      <c r="M1241" s="49" t="s">
        <v>76</v>
      </c>
      <c r="N1241" s="49" t="s">
        <v>95</v>
      </c>
      <c r="O1241" s="49" t="s">
        <v>77</v>
      </c>
      <c r="P1241" s="48" t="s">
        <v>89</v>
      </c>
      <c r="Q1241" s="49" t="s">
        <v>68</v>
      </c>
      <c r="R1241" s="11" t="s">
        <v>80</v>
      </c>
      <c r="S1241" s="11" t="s">
        <v>90</v>
      </c>
      <c r="T1241" s="11" t="s">
        <v>1336</v>
      </c>
      <c r="U1241" s="11" t="s">
        <v>1337</v>
      </c>
      <c r="V1241" s="116" t="s">
        <v>1</v>
      </c>
      <c r="W1241" s="88"/>
      <c r="X1241" s="51">
        <v>45957</v>
      </c>
      <c r="Y1241" s="97" t="s">
        <v>68</v>
      </c>
      <c r="Z1241" s="135" t="s">
        <v>2</v>
      </c>
      <c r="AA1241" s="135">
        <v>0</v>
      </c>
    </row>
    <row r="1242" spans="1:27" ht="13" customHeight="1">
      <c r="A1242" s="11">
        <v>1236</v>
      </c>
      <c r="B1242" s="47">
        <v>206348041</v>
      </c>
      <c r="C1242" s="89" t="s">
        <v>1688</v>
      </c>
      <c r="D1242" s="11" t="s">
        <v>1689</v>
      </c>
      <c r="E1242" s="48" t="s">
        <v>31</v>
      </c>
      <c r="F1242" s="48" t="s">
        <v>74</v>
      </c>
      <c r="G1242" s="11" t="s">
        <v>65</v>
      </c>
      <c r="H1242" s="48" t="str">
        <f>VLOOKUP(Table1[[#This Row],[Psoft No]],[1]Roster!$C$2:$H$1402,6,)</f>
        <v>AUH3</v>
      </c>
      <c r="I1242" s="48" t="b">
        <f>Table1[[#This Row],[Building]]=Table1[[#This Row],[Column1]]</f>
        <v>1</v>
      </c>
      <c r="J1242" s="11" t="s">
        <v>1332</v>
      </c>
      <c r="K1242" s="11">
        <v>1181</v>
      </c>
      <c r="L1242" s="49" t="s">
        <v>39</v>
      </c>
      <c r="M1242" s="49" t="s">
        <v>76</v>
      </c>
      <c r="N1242" s="49" t="s">
        <v>92</v>
      </c>
      <c r="O1242" s="49" t="s">
        <v>84</v>
      </c>
      <c r="P1242" s="48" t="s">
        <v>89</v>
      </c>
      <c r="Q1242" s="49" t="s">
        <v>68</v>
      </c>
      <c r="R1242" s="11" t="s">
        <v>80</v>
      </c>
      <c r="S1242" s="11" t="s">
        <v>90</v>
      </c>
      <c r="T1242" s="11" t="s">
        <v>2720</v>
      </c>
      <c r="U1242" s="11" t="s">
        <v>2721</v>
      </c>
      <c r="V1242" s="116" t="s">
        <v>10</v>
      </c>
      <c r="W1242" s="88"/>
      <c r="X1242" s="51">
        <v>45957</v>
      </c>
      <c r="Y1242" s="97" t="s">
        <v>68</v>
      </c>
      <c r="Z1242" s="135" t="s">
        <v>3023</v>
      </c>
      <c r="AA1242" s="135">
        <v>0</v>
      </c>
    </row>
    <row r="1243" spans="1:27" ht="13" customHeight="1">
      <c r="A1243" s="11">
        <v>1237</v>
      </c>
      <c r="B1243" s="47">
        <v>201635982</v>
      </c>
      <c r="C1243" s="89" t="s">
        <v>1396</v>
      </c>
      <c r="D1243" s="11" t="s">
        <v>1397</v>
      </c>
      <c r="E1243" s="103" t="s">
        <v>31</v>
      </c>
      <c r="F1243" s="48" t="s">
        <v>74</v>
      </c>
      <c r="G1243" s="11" t="s">
        <v>65</v>
      </c>
      <c r="H1243" s="48" t="str">
        <f>VLOOKUP(Table1[[#This Row],[Psoft No]],[1]Roster!$C$2:$H$1402,6,)</f>
        <v>AUH3</v>
      </c>
      <c r="I1243" s="48" t="b">
        <f>Table1[[#This Row],[Building]]=Table1[[#This Row],[Column1]]</f>
        <v>1</v>
      </c>
      <c r="J1243" s="11" t="s">
        <v>1332</v>
      </c>
      <c r="K1243" s="11">
        <v>1181</v>
      </c>
      <c r="L1243" s="49" t="s">
        <v>32</v>
      </c>
      <c r="M1243" s="49" t="s">
        <v>76</v>
      </c>
      <c r="N1243" s="49" t="s">
        <v>84</v>
      </c>
      <c r="O1243" s="49" t="s">
        <v>85</v>
      </c>
      <c r="P1243" s="49" t="s">
        <v>79</v>
      </c>
      <c r="Q1243" s="49" t="s">
        <v>68</v>
      </c>
      <c r="R1243" s="49" t="s">
        <v>80</v>
      </c>
      <c r="S1243" s="49" t="s">
        <v>81</v>
      </c>
      <c r="T1243" s="49" t="s">
        <v>1336</v>
      </c>
      <c r="U1243" s="49" t="s">
        <v>1337</v>
      </c>
      <c r="V1243" s="116" t="s">
        <v>1</v>
      </c>
      <c r="W1243" s="88"/>
      <c r="X1243" s="51">
        <v>45530</v>
      </c>
      <c r="Y1243" s="97" t="s">
        <v>68</v>
      </c>
      <c r="Z1243" s="135" t="s">
        <v>2</v>
      </c>
      <c r="AA1243" s="135">
        <v>0</v>
      </c>
    </row>
    <row r="1244" spans="1:27" ht="13" customHeight="1">
      <c r="A1244" s="11">
        <v>1238</v>
      </c>
      <c r="B1244" s="47">
        <v>204013735</v>
      </c>
      <c r="C1244" s="89" t="s">
        <v>1392</v>
      </c>
      <c r="D1244" s="11" t="s">
        <v>1393</v>
      </c>
      <c r="E1244" s="48" t="s">
        <v>31</v>
      </c>
      <c r="F1244" s="48" t="s">
        <v>74</v>
      </c>
      <c r="G1244" s="11" t="s">
        <v>65</v>
      </c>
      <c r="H1244" s="48" t="str">
        <f>VLOOKUP(Table1[[#This Row],[Psoft No]],[1]Roster!$C$2:$H$1402,6,)</f>
        <v>AUH3</v>
      </c>
      <c r="I1244" s="48" t="b">
        <f>Table1[[#This Row],[Building]]=Table1[[#This Row],[Column1]]</f>
        <v>1</v>
      </c>
      <c r="J1244" s="11" t="s">
        <v>1332</v>
      </c>
      <c r="K1244" s="11">
        <v>1181</v>
      </c>
      <c r="L1244" s="49" t="s">
        <v>32</v>
      </c>
      <c r="M1244" s="49" t="s">
        <v>76</v>
      </c>
      <c r="N1244" s="49" t="s">
        <v>95</v>
      </c>
      <c r="O1244" s="49" t="s">
        <v>77</v>
      </c>
      <c r="P1244" s="48" t="s">
        <v>79</v>
      </c>
      <c r="Q1244" s="49" t="s">
        <v>68</v>
      </c>
      <c r="R1244" s="11" t="s">
        <v>80</v>
      </c>
      <c r="S1244" s="11" t="s">
        <v>81</v>
      </c>
      <c r="T1244" s="11" t="s">
        <v>1336</v>
      </c>
      <c r="U1244" s="11" t="s">
        <v>1337</v>
      </c>
      <c r="V1244" s="116" t="s">
        <v>1</v>
      </c>
      <c r="W1244" s="88"/>
      <c r="X1244" s="51">
        <v>45551</v>
      </c>
      <c r="Y1244" s="97" t="s">
        <v>68</v>
      </c>
      <c r="Z1244" s="135" t="s">
        <v>2</v>
      </c>
      <c r="AA1244" s="135">
        <v>0</v>
      </c>
    </row>
    <row r="1245" spans="1:27" ht="13" customHeight="1">
      <c r="A1245" s="11">
        <v>1239</v>
      </c>
      <c r="B1245" s="47">
        <v>204246160</v>
      </c>
      <c r="C1245" s="89" t="s">
        <v>160</v>
      </c>
      <c r="D1245" s="11" t="s">
        <v>161</v>
      </c>
      <c r="E1245" s="48" t="s">
        <v>31</v>
      </c>
      <c r="F1245" s="48" t="s">
        <v>74</v>
      </c>
      <c r="G1245" s="11" t="s">
        <v>64</v>
      </c>
      <c r="H1245" s="48" t="str">
        <f>VLOOKUP(Table1[[#This Row],[Psoft No]],[1]Roster!$C$2:$H$1402,6,)</f>
        <v>AUH1</v>
      </c>
      <c r="I1245" s="48" t="b">
        <f>Table1[[#This Row],[Building]]=Table1[[#This Row],[Column1]]</f>
        <v>1</v>
      </c>
      <c r="J1245" s="11" t="s">
        <v>75</v>
      </c>
      <c r="K1245" s="11">
        <v>1299</v>
      </c>
      <c r="L1245" s="49" t="s">
        <v>32</v>
      </c>
      <c r="M1245" s="49" t="s">
        <v>76</v>
      </c>
      <c r="N1245" s="49" t="s">
        <v>84</v>
      </c>
      <c r="O1245" s="49" t="s">
        <v>85</v>
      </c>
      <c r="P1245" s="48" t="s">
        <v>86</v>
      </c>
      <c r="Q1245" s="49" t="s">
        <v>33</v>
      </c>
      <c r="R1245" s="11" t="s">
        <v>80</v>
      </c>
      <c r="S1245" s="11" t="s">
        <v>87</v>
      </c>
      <c r="T1245" s="11" t="s">
        <v>159</v>
      </c>
      <c r="U1245" s="11" t="s">
        <v>2714</v>
      </c>
      <c r="V1245" s="116" t="str">
        <f>VLOOKUP(Table1[[#This Row],[Psoft No]],[2]Sheet1!$A$2:$G$386,7,0)</f>
        <v>P</v>
      </c>
      <c r="W1245" s="88"/>
      <c r="X1245" s="51">
        <v>45579</v>
      </c>
      <c r="Y1245" s="97" t="s">
        <v>1569</v>
      </c>
      <c r="Z1245" s="135" t="s">
        <v>2</v>
      </c>
      <c r="AA1245" s="135">
        <v>0</v>
      </c>
    </row>
    <row r="1246" spans="1:27" ht="13" customHeight="1">
      <c r="A1246" s="11">
        <v>1240</v>
      </c>
      <c r="B1246" s="47">
        <v>205276097</v>
      </c>
      <c r="C1246" s="89" t="s">
        <v>1394</v>
      </c>
      <c r="D1246" s="11" t="s">
        <v>1395</v>
      </c>
      <c r="E1246" s="48" t="s">
        <v>31</v>
      </c>
      <c r="F1246" s="48" t="s">
        <v>74</v>
      </c>
      <c r="G1246" s="11" t="s">
        <v>65</v>
      </c>
      <c r="H1246" s="48" t="str">
        <f>VLOOKUP(Table1[[#This Row],[Psoft No]],[1]Roster!$C$2:$H$1402,6,)</f>
        <v>AUH3</v>
      </c>
      <c r="I1246" s="48" t="b">
        <f>Table1[[#This Row],[Building]]=Table1[[#This Row],[Column1]]</f>
        <v>1</v>
      </c>
      <c r="J1246" s="11" t="s">
        <v>1332</v>
      </c>
      <c r="K1246" s="11">
        <v>1181</v>
      </c>
      <c r="L1246" s="49" t="s">
        <v>39</v>
      </c>
      <c r="M1246" s="49" t="s">
        <v>76</v>
      </c>
      <c r="N1246" s="49" t="s">
        <v>84</v>
      </c>
      <c r="O1246" s="49" t="s">
        <v>85</v>
      </c>
      <c r="P1246" s="49" t="s">
        <v>89</v>
      </c>
      <c r="Q1246" s="49" t="s">
        <v>68</v>
      </c>
      <c r="R1246" s="11" t="s">
        <v>80</v>
      </c>
      <c r="S1246" s="11" t="s">
        <v>90</v>
      </c>
      <c r="T1246" s="11" t="s">
        <v>2720</v>
      </c>
      <c r="U1246" s="11" t="s">
        <v>2721</v>
      </c>
      <c r="V1246" s="116" t="s">
        <v>1</v>
      </c>
      <c r="W1246" s="88"/>
      <c r="X1246" s="51">
        <v>45796</v>
      </c>
      <c r="Y1246" s="97" t="s">
        <v>68</v>
      </c>
      <c r="Z1246" s="135" t="s">
        <v>2</v>
      </c>
      <c r="AA1246" s="135">
        <v>0</v>
      </c>
    </row>
    <row r="1247" spans="1:27" ht="13" customHeight="1">
      <c r="A1247" s="11">
        <v>1241</v>
      </c>
      <c r="B1247" s="47">
        <v>201633155</v>
      </c>
      <c r="C1247" s="89" t="s">
        <v>505</v>
      </c>
      <c r="D1247" s="11" t="s">
        <v>506</v>
      </c>
      <c r="E1247" s="48" t="s">
        <v>31</v>
      </c>
      <c r="F1247" s="48" t="s">
        <v>74</v>
      </c>
      <c r="G1247" s="11" t="s">
        <v>64</v>
      </c>
      <c r="H1247" s="48" t="str">
        <f>VLOOKUP(Table1[[#This Row],[Psoft No]],[1]Roster!$C$2:$H$1402,6,)</f>
        <v>AUH1</v>
      </c>
      <c r="I1247" s="48" t="b">
        <f>Table1[[#This Row],[Building]]=Table1[[#This Row],[Column1]]</f>
        <v>1</v>
      </c>
      <c r="J1247" s="11" t="s">
        <v>75</v>
      </c>
      <c r="K1247" s="11">
        <v>1299</v>
      </c>
      <c r="L1247" s="49" t="s">
        <v>32</v>
      </c>
      <c r="M1247" s="49" t="s">
        <v>76</v>
      </c>
      <c r="N1247" s="49" t="s">
        <v>84</v>
      </c>
      <c r="O1247" s="49" t="s">
        <v>85</v>
      </c>
      <c r="P1247" s="48" t="s">
        <v>86</v>
      </c>
      <c r="Q1247" s="49" t="s">
        <v>35</v>
      </c>
      <c r="R1247" s="11" t="s">
        <v>80</v>
      </c>
      <c r="S1247" s="11" t="s">
        <v>87</v>
      </c>
      <c r="T1247" s="11" t="s">
        <v>225</v>
      </c>
      <c r="U1247" s="11" t="s">
        <v>226</v>
      </c>
      <c r="V1247" s="116" t="str">
        <f>VLOOKUP(Table1[[#This Row],[Psoft No]],[2]Sheet1!$A$2:$G$386,7,0)</f>
        <v>P</v>
      </c>
      <c r="W1247" s="88"/>
      <c r="X1247" s="51">
        <v>45581</v>
      </c>
      <c r="Y1247" s="97" t="s">
        <v>1573</v>
      </c>
      <c r="Z1247" s="135" t="s">
        <v>2</v>
      </c>
      <c r="AA1247" s="135">
        <v>0</v>
      </c>
    </row>
    <row r="1248" spans="1:27" ht="13" customHeight="1">
      <c r="A1248" s="11">
        <v>1242</v>
      </c>
      <c r="B1248" s="47">
        <v>204869087</v>
      </c>
      <c r="C1248" s="89" t="s">
        <v>588</v>
      </c>
      <c r="D1248" s="11" t="s">
        <v>589</v>
      </c>
      <c r="E1248" s="48" t="s">
        <v>31</v>
      </c>
      <c r="F1248" s="48" t="s">
        <v>74</v>
      </c>
      <c r="G1248" s="11" t="s">
        <v>64</v>
      </c>
      <c r="H1248" s="48" t="str">
        <f>VLOOKUP(Table1[[#This Row],[Psoft No]],[1]Roster!$C$2:$H$1402,6,)</f>
        <v>AUH1</v>
      </c>
      <c r="I1248" s="48" t="b">
        <f>Table1[[#This Row],[Building]]=Table1[[#This Row],[Column1]]</f>
        <v>1</v>
      </c>
      <c r="J1248" s="11" t="s">
        <v>75</v>
      </c>
      <c r="K1248" s="11">
        <v>1299</v>
      </c>
      <c r="L1248" s="49" t="s">
        <v>32</v>
      </c>
      <c r="M1248" s="49" t="s">
        <v>76</v>
      </c>
      <c r="N1248" s="49" t="s">
        <v>78</v>
      </c>
      <c r="O1248" s="49" t="s">
        <v>92</v>
      </c>
      <c r="P1248" s="48" t="s">
        <v>86</v>
      </c>
      <c r="Q1248" s="49" t="s">
        <v>35</v>
      </c>
      <c r="R1248" s="11" t="s">
        <v>80</v>
      </c>
      <c r="S1248" s="11" t="s">
        <v>87</v>
      </c>
      <c r="T1248" s="11" t="s">
        <v>231</v>
      </c>
      <c r="U1248" s="11" t="s">
        <v>1753</v>
      </c>
      <c r="V1248" s="116" t="s">
        <v>10</v>
      </c>
      <c r="W1248" s="88"/>
      <c r="X1248" s="51">
        <v>45691</v>
      </c>
      <c r="Y1248" s="97" t="s">
        <v>1573</v>
      </c>
      <c r="Z1248" s="135" t="s">
        <v>3023</v>
      </c>
      <c r="AA1248" s="135">
        <v>0</v>
      </c>
    </row>
    <row r="1249" spans="1:27" ht="13" customHeight="1">
      <c r="A1249" s="11">
        <v>1243</v>
      </c>
      <c r="B1249" s="47">
        <v>206957733</v>
      </c>
      <c r="C1249" s="89" t="s">
        <v>2172</v>
      </c>
      <c r="D1249" s="11" t="s">
        <v>2173</v>
      </c>
      <c r="E1249" s="48" t="s">
        <v>31</v>
      </c>
      <c r="F1249" s="48" t="s">
        <v>74</v>
      </c>
      <c r="G1249" s="11" t="s">
        <v>65</v>
      </c>
      <c r="H1249" s="48" t="str">
        <f>VLOOKUP(Table1[[#This Row],[Psoft No]],[1]Roster!$C$2:$H$1402,6,)</f>
        <v>AUH3</v>
      </c>
      <c r="I1249" s="48" t="b">
        <f>Table1[[#This Row],[Building]]=Table1[[#This Row],[Column1]]</f>
        <v>1</v>
      </c>
      <c r="J1249" s="11" t="s">
        <v>1332</v>
      </c>
      <c r="K1249" s="11">
        <v>1181</v>
      </c>
      <c r="L1249" s="49" t="s">
        <v>39</v>
      </c>
      <c r="M1249" s="49" t="s">
        <v>76</v>
      </c>
      <c r="N1249" s="49" t="s">
        <v>77</v>
      </c>
      <c r="O1249" s="49" t="s">
        <v>78</v>
      </c>
      <c r="P1249" s="48" t="s">
        <v>89</v>
      </c>
      <c r="Q1249" s="49" t="s">
        <v>68</v>
      </c>
      <c r="R1249" s="11" t="s">
        <v>80</v>
      </c>
      <c r="S1249" s="11" t="s">
        <v>96</v>
      </c>
      <c r="T1249" s="11" t="s">
        <v>2720</v>
      </c>
      <c r="U1249" s="11" t="s">
        <v>2721</v>
      </c>
      <c r="V1249" s="116" t="s">
        <v>1</v>
      </c>
      <c r="W1249" s="88"/>
      <c r="X1249" s="51">
        <v>46048</v>
      </c>
      <c r="Y1249" s="97" t="s">
        <v>68</v>
      </c>
      <c r="Z1249" s="135" t="s">
        <v>2</v>
      </c>
      <c r="AA1249" s="135">
        <v>0</v>
      </c>
    </row>
    <row r="1250" spans="1:27" ht="13" customHeight="1">
      <c r="A1250" s="11">
        <v>1244</v>
      </c>
      <c r="B1250" s="47">
        <v>206368538</v>
      </c>
      <c r="C1250" s="89" t="s">
        <v>1691</v>
      </c>
      <c r="D1250" s="11" t="s">
        <v>1692</v>
      </c>
      <c r="E1250" s="48" t="s">
        <v>31</v>
      </c>
      <c r="F1250" s="48" t="s">
        <v>74</v>
      </c>
      <c r="G1250" s="11" t="s">
        <v>65</v>
      </c>
      <c r="H1250" s="48" t="str">
        <f>VLOOKUP(Table1[[#This Row],[Psoft No]],[1]Roster!$C$2:$H$1402,6,)</f>
        <v>AUH3</v>
      </c>
      <c r="I1250" s="48" t="b">
        <f>Table1[[#This Row],[Building]]=Table1[[#This Row],[Column1]]</f>
        <v>1</v>
      </c>
      <c r="J1250" s="11" t="s">
        <v>1332</v>
      </c>
      <c r="K1250" s="11">
        <v>1181</v>
      </c>
      <c r="L1250" s="49" t="s">
        <v>39</v>
      </c>
      <c r="M1250" s="49" t="s">
        <v>76</v>
      </c>
      <c r="N1250" s="49" t="s">
        <v>77</v>
      </c>
      <c r="O1250" s="49" t="s">
        <v>78</v>
      </c>
      <c r="P1250" s="48" t="s">
        <v>89</v>
      </c>
      <c r="Q1250" s="49" t="s">
        <v>68</v>
      </c>
      <c r="R1250" s="11" t="s">
        <v>80</v>
      </c>
      <c r="S1250" s="11" t="s">
        <v>96</v>
      </c>
      <c r="T1250" s="11" t="s">
        <v>2720</v>
      </c>
      <c r="U1250" s="11" t="s">
        <v>2721</v>
      </c>
      <c r="V1250" s="116" t="s">
        <v>1</v>
      </c>
      <c r="W1250" s="88"/>
      <c r="X1250" s="51">
        <v>45957</v>
      </c>
      <c r="Y1250" s="97" t="s">
        <v>68</v>
      </c>
      <c r="Z1250" s="135" t="s">
        <v>2</v>
      </c>
      <c r="AA1250" s="135">
        <v>0</v>
      </c>
    </row>
    <row r="1251" spans="1:27" ht="13" customHeight="1">
      <c r="A1251" s="11">
        <v>1245</v>
      </c>
      <c r="B1251" s="47">
        <v>203635498</v>
      </c>
      <c r="C1251" s="89" t="s">
        <v>1398</v>
      </c>
      <c r="D1251" s="11" t="s">
        <v>1399</v>
      </c>
      <c r="E1251" s="103" t="s">
        <v>31</v>
      </c>
      <c r="F1251" s="48" t="s">
        <v>74</v>
      </c>
      <c r="G1251" s="11" t="s">
        <v>65</v>
      </c>
      <c r="H1251" s="48" t="str">
        <f>VLOOKUP(Table1[[#This Row],[Psoft No]],[1]Roster!$C$2:$H$1402,6,)</f>
        <v>AUH3</v>
      </c>
      <c r="I1251" s="48" t="b">
        <f>Table1[[#This Row],[Building]]=Table1[[#This Row],[Column1]]</f>
        <v>1</v>
      </c>
      <c r="J1251" s="11" t="s">
        <v>1332</v>
      </c>
      <c r="K1251" s="11">
        <v>1181</v>
      </c>
      <c r="L1251" s="49" t="s">
        <v>39</v>
      </c>
      <c r="M1251" s="49" t="s">
        <v>76</v>
      </c>
      <c r="N1251" s="49" t="s">
        <v>88</v>
      </c>
      <c r="O1251" s="49" t="s">
        <v>95</v>
      </c>
      <c r="P1251" s="49" t="s">
        <v>79</v>
      </c>
      <c r="Q1251" s="49" t="s">
        <v>68</v>
      </c>
      <c r="R1251" s="49" t="s">
        <v>80</v>
      </c>
      <c r="S1251" s="49" t="s">
        <v>81</v>
      </c>
      <c r="T1251" s="49" t="s">
        <v>2720</v>
      </c>
      <c r="U1251" s="49" t="s">
        <v>2721</v>
      </c>
      <c r="V1251" s="116" t="s">
        <v>1</v>
      </c>
      <c r="W1251" s="88"/>
      <c r="X1251" s="51">
        <v>45481</v>
      </c>
      <c r="Y1251" s="97" t="s">
        <v>68</v>
      </c>
      <c r="Z1251" s="135" t="s">
        <v>2</v>
      </c>
      <c r="AA1251" s="135">
        <v>0</v>
      </c>
    </row>
    <row r="1252" spans="1:27" ht="13" customHeight="1">
      <c r="A1252" s="11">
        <v>1246</v>
      </c>
      <c r="B1252" s="47">
        <v>205845548</v>
      </c>
      <c r="C1252" s="89" t="s">
        <v>1400</v>
      </c>
      <c r="D1252" s="11" t="s">
        <v>1401</v>
      </c>
      <c r="E1252" s="48" t="s">
        <v>31</v>
      </c>
      <c r="F1252" s="48" t="s">
        <v>74</v>
      </c>
      <c r="G1252" s="11" t="s">
        <v>65</v>
      </c>
      <c r="H1252" s="48" t="str">
        <f>VLOOKUP(Table1[[#This Row],[Psoft No]],[1]Roster!$C$2:$H$1402,6,)</f>
        <v>AUH3</v>
      </c>
      <c r="I1252" s="48" t="b">
        <f>Table1[[#This Row],[Building]]=Table1[[#This Row],[Column1]]</f>
        <v>1</v>
      </c>
      <c r="J1252" s="11" t="s">
        <v>1332</v>
      </c>
      <c r="K1252" s="11">
        <v>1181</v>
      </c>
      <c r="L1252" s="49" t="s">
        <v>39</v>
      </c>
      <c r="M1252" s="49" t="s">
        <v>76</v>
      </c>
      <c r="N1252" s="49" t="s">
        <v>92</v>
      </c>
      <c r="O1252" s="49" t="s">
        <v>84</v>
      </c>
      <c r="P1252" s="48" t="s">
        <v>89</v>
      </c>
      <c r="Q1252" s="49" t="s">
        <v>68</v>
      </c>
      <c r="R1252" s="11" t="s">
        <v>80</v>
      </c>
      <c r="S1252" s="11" t="s">
        <v>90</v>
      </c>
      <c r="T1252" s="11" t="s">
        <v>2720</v>
      </c>
      <c r="U1252" s="11" t="s">
        <v>2721</v>
      </c>
      <c r="V1252" s="116" t="s">
        <v>10</v>
      </c>
      <c r="W1252" s="88"/>
      <c r="X1252" s="51">
        <v>45894</v>
      </c>
      <c r="Y1252" s="97" t="s">
        <v>68</v>
      </c>
      <c r="Z1252" s="135" t="s">
        <v>3023</v>
      </c>
      <c r="AA1252" s="135">
        <v>0</v>
      </c>
    </row>
    <row r="1253" spans="1:27" ht="13" customHeight="1">
      <c r="A1253" s="11">
        <v>1247</v>
      </c>
      <c r="B1253" s="47">
        <v>206348029</v>
      </c>
      <c r="C1253" s="89" t="s">
        <v>1693</v>
      </c>
      <c r="D1253" s="11" t="s">
        <v>1694</v>
      </c>
      <c r="E1253" s="48" t="s">
        <v>31</v>
      </c>
      <c r="F1253" s="48" t="s">
        <v>74</v>
      </c>
      <c r="G1253" s="11" t="s">
        <v>65</v>
      </c>
      <c r="H1253" s="48" t="str">
        <f>VLOOKUP(Table1[[#This Row],[Psoft No]],[1]Roster!$C$2:$H$1402,6,)</f>
        <v>AUH3</v>
      </c>
      <c r="I1253" s="48" t="b">
        <f>Table1[[#This Row],[Building]]=Table1[[#This Row],[Column1]]</f>
        <v>1</v>
      </c>
      <c r="J1253" s="11" t="s">
        <v>1332</v>
      </c>
      <c r="K1253" s="11">
        <v>1181</v>
      </c>
      <c r="L1253" s="49" t="s">
        <v>39</v>
      </c>
      <c r="M1253" s="49" t="s">
        <v>76</v>
      </c>
      <c r="N1253" s="49" t="s">
        <v>77</v>
      </c>
      <c r="O1253" s="49" t="s">
        <v>78</v>
      </c>
      <c r="P1253" s="48" t="s">
        <v>89</v>
      </c>
      <c r="Q1253" s="49" t="s">
        <v>68</v>
      </c>
      <c r="R1253" s="11" t="s">
        <v>80</v>
      </c>
      <c r="S1253" s="11" t="s">
        <v>90</v>
      </c>
      <c r="T1253" s="11" t="s">
        <v>2720</v>
      </c>
      <c r="U1253" s="11" t="s">
        <v>2721</v>
      </c>
      <c r="V1253" s="116" t="s">
        <v>1</v>
      </c>
      <c r="W1253" s="88"/>
      <c r="X1253" s="51">
        <v>45957</v>
      </c>
      <c r="Y1253" s="97" t="s">
        <v>68</v>
      </c>
      <c r="Z1253" s="135" t="s">
        <v>2</v>
      </c>
      <c r="AA1253" s="135">
        <v>0</v>
      </c>
    </row>
    <row r="1254" spans="1:27" ht="13" customHeight="1">
      <c r="A1254" s="11">
        <v>1248</v>
      </c>
      <c r="B1254" s="47">
        <v>206958064</v>
      </c>
      <c r="C1254" s="89" t="s">
        <v>2174</v>
      </c>
      <c r="D1254" s="11" t="s">
        <v>2175</v>
      </c>
      <c r="E1254" s="103" t="s">
        <v>31</v>
      </c>
      <c r="F1254" s="48" t="s">
        <v>74</v>
      </c>
      <c r="G1254" s="11" t="s">
        <v>65</v>
      </c>
      <c r="H1254" s="48" t="str">
        <f>VLOOKUP(Table1[[#This Row],[Psoft No]],[1]Roster!$C$2:$H$1402,6,)</f>
        <v>AUH3</v>
      </c>
      <c r="I1254" s="48" t="b">
        <f>Table1[[#This Row],[Building]]=Table1[[#This Row],[Column1]]</f>
        <v>1</v>
      </c>
      <c r="J1254" s="11" t="s">
        <v>1332</v>
      </c>
      <c r="K1254" s="11">
        <v>1181</v>
      </c>
      <c r="L1254" s="49" t="s">
        <v>39</v>
      </c>
      <c r="M1254" s="49" t="s">
        <v>76</v>
      </c>
      <c r="N1254" s="49" t="s">
        <v>77</v>
      </c>
      <c r="O1254" s="49" t="s">
        <v>78</v>
      </c>
      <c r="P1254" s="49" t="s">
        <v>89</v>
      </c>
      <c r="Q1254" s="49" t="s">
        <v>68</v>
      </c>
      <c r="R1254" s="49" t="s">
        <v>80</v>
      </c>
      <c r="S1254" s="49" t="s">
        <v>96</v>
      </c>
      <c r="T1254" s="49" t="s">
        <v>2720</v>
      </c>
      <c r="U1254" s="49" t="s">
        <v>2721</v>
      </c>
      <c r="V1254" s="116" t="s">
        <v>1</v>
      </c>
      <c r="W1254" s="88"/>
      <c r="X1254" s="51">
        <v>46048</v>
      </c>
      <c r="Y1254" s="97" t="s">
        <v>68</v>
      </c>
      <c r="Z1254" s="135" t="s">
        <v>2</v>
      </c>
      <c r="AA1254" s="135">
        <v>0</v>
      </c>
    </row>
    <row r="1255" spans="1:27" ht="13" customHeight="1">
      <c r="A1255" s="11">
        <v>1249</v>
      </c>
      <c r="B1255" s="47">
        <v>206958070</v>
      </c>
      <c r="C1255" s="89" t="s">
        <v>2176</v>
      </c>
      <c r="D1255" s="11" t="s">
        <v>2177</v>
      </c>
      <c r="E1255" s="48" t="s">
        <v>31</v>
      </c>
      <c r="F1255" s="48" t="s">
        <v>74</v>
      </c>
      <c r="G1255" s="11" t="s">
        <v>65</v>
      </c>
      <c r="H1255" s="48" t="str">
        <f>VLOOKUP(Table1[[#This Row],[Psoft No]],[1]Roster!$C$2:$H$1402,6,)</f>
        <v>AUH3</v>
      </c>
      <c r="I1255" s="48" t="b">
        <f>Table1[[#This Row],[Building]]=Table1[[#This Row],[Column1]]</f>
        <v>1</v>
      </c>
      <c r="J1255" s="11" t="s">
        <v>1332</v>
      </c>
      <c r="K1255" s="11">
        <v>1181</v>
      </c>
      <c r="L1255" s="49" t="s">
        <v>39</v>
      </c>
      <c r="M1255" s="49" t="s">
        <v>76</v>
      </c>
      <c r="N1255" s="49" t="s">
        <v>84</v>
      </c>
      <c r="O1255" s="49" t="s">
        <v>85</v>
      </c>
      <c r="P1255" s="48" t="s">
        <v>89</v>
      </c>
      <c r="Q1255" s="49" t="s">
        <v>68</v>
      </c>
      <c r="R1255" s="11" t="s">
        <v>80</v>
      </c>
      <c r="S1255" s="11" t="s">
        <v>96</v>
      </c>
      <c r="T1255" s="11" t="s">
        <v>2720</v>
      </c>
      <c r="U1255" s="11" t="s">
        <v>2721</v>
      </c>
      <c r="V1255" s="116" t="s">
        <v>1</v>
      </c>
      <c r="W1255" s="88"/>
      <c r="X1255" s="51">
        <v>46048</v>
      </c>
      <c r="Y1255" s="97" t="s">
        <v>68</v>
      </c>
      <c r="Z1255" s="135" t="s">
        <v>2</v>
      </c>
      <c r="AA1255" s="135">
        <v>0</v>
      </c>
    </row>
    <row r="1256" spans="1:27" ht="13" customHeight="1">
      <c r="A1256" s="11">
        <v>1250</v>
      </c>
      <c r="B1256" s="47">
        <v>206348042</v>
      </c>
      <c r="C1256" s="89" t="s">
        <v>2444</v>
      </c>
      <c r="D1256" s="11" t="s">
        <v>2445</v>
      </c>
      <c r="E1256" s="48" t="s">
        <v>31</v>
      </c>
      <c r="F1256" s="48" t="s">
        <v>74</v>
      </c>
      <c r="G1256" s="11" t="s">
        <v>65</v>
      </c>
      <c r="H1256" s="48" t="str">
        <f>VLOOKUP(Table1[[#This Row],[Psoft No]],[1]Roster!$C$2:$H$1402,6,)</f>
        <v>AUH3</v>
      </c>
      <c r="I1256" s="48" t="b">
        <f>Table1[[#This Row],[Building]]=Table1[[#This Row],[Column1]]</f>
        <v>1</v>
      </c>
      <c r="J1256" s="11" t="s">
        <v>1332</v>
      </c>
      <c r="K1256" s="11">
        <v>1181</v>
      </c>
      <c r="L1256" s="49" t="s">
        <v>32</v>
      </c>
      <c r="M1256" s="49" t="s">
        <v>76</v>
      </c>
      <c r="N1256" s="49" t="s">
        <v>95</v>
      </c>
      <c r="O1256" s="49" t="s">
        <v>77</v>
      </c>
      <c r="P1256" s="48" t="s">
        <v>89</v>
      </c>
      <c r="Q1256" s="49" t="s">
        <v>68</v>
      </c>
      <c r="R1256" s="11" t="s">
        <v>80</v>
      </c>
      <c r="S1256" s="11" t="s">
        <v>90</v>
      </c>
      <c r="T1256" s="11" t="s">
        <v>1336</v>
      </c>
      <c r="U1256" s="11" t="s">
        <v>1337</v>
      </c>
      <c r="V1256" s="116" t="s">
        <v>1</v>
      </c>
      <c r="W1256" s="88"/>
      <c r="X1256" s="51">
        <v>45957</v>
      </c>
      <c r="Y1256" s="97" t="s">
        <v>68</v>
      </c>
      <c r="Z1256" s="135" t="s">
        <v>2</v>
      </c>
      <c r="AA1256" s="135">
        <v>0</v>
      </c>
    </row>
    <row r="1257" spans="1:27" ht="13" customHeight="1">
      <c r="A1257" s="11">
        <v>1251</v>
      </c>
      <c r="B1257" s="47">
        <v>205845547</v>
      </c>
      <c r="C1257" s="89" t="s">
        <v>1402</v>
      </c>
      <c r="D1257" s="11" t="s">
        <v>1403</v>
      </c>
      <c r="E1257" s="48" t="s">
        <v>31</v>
      </c>
      <c r="F1257" s="48" t="s">
        <v>74</v>
      </c>
      <c r="G1257" s="11" t="s">
        <v>65</v>
      </c>
      <c r="H1257" s="48" t="str">
        <f>VLOOKUP(Table1[[#This Row],[Psoft No]],[1]Roster!$C$2:$H$1402,6,)</f>
        <v>AUH3</v>
      </c>
      <c r="I1257" s="48" t="b">
        <f>Table1[[#This Row],[Building]]=Table1[[#This Row],[Column1]]</f>
        <v>1</v>
      </c>
      <c r="J1257" s="11" t="s">
        <v>1332</v>
      </c>
      <c r="K1257" s="11">
        <v>1181</v>
      </c>
      <c r="L1257" s="49" t="s">
        <v>39</v>
      </c>
      <c r="M1257" s="49" t="s">
        <v>76</v>
      </c>
      <c r="N1257" s="49" t="s">
        <v>84</v>
      </c>
      <c r="O1257" s="49" t="s">
        <v>85</v>
      </c>
      <c r="P1257" s="48" t="s">
        <v>89</v>
      </c>
      <c r="Q1257" s="49" t="s">
        <v>68</v>
      </c>
      <c r="R1257" s="11" t="s">
        <v>80</v>
      </c>
      <c r="S1257" s="11" t="s">
        <v>90</v>
      </c>
      <c r="T1257" s="11" t="s">
        <v>2720</v>
      </c>
      <c r="U1257" s="11" t="s">
        <v>2721</v>
      </c>
      <c r="V1257" s="116" t="s">
        <v>1</v>
      </c>
      <c r="W1257" s="88"/>
      <c r="X1257" s="51">
        <v>45894</v>
      </c>
      <c r="Y1257" s="97" t="s">
        <v>68</v>
      </c>
      <c r="Z1257" s="135" t="s">
        <v>2</v>
      </c>
      <c r="AA1257" s="135">
        <v>0</v>
      </c>
    </row>
    <row r="1258" spans="1:27" ht="13" customHeight="1">
      <c r="A1258" s="11">
        <v>1252</v>
      </c>
      <c r="B1258" s="47">
        <v>205845552</v>
      </c>
      <c r="C1258" s="89" t="s">
        <v>1404</v>
      </c>
      <c r="D1258" s="11" t="s">
        <v>1405</v>
      </c>
      <c r="E1258" s="103" t="s">
        <v>31</v>
      </c>
      <c r="F1258" s="48" t="s">
        <v>74</v>
      </c>
      <c r="G1258" s="11" t="s">
        <v>65</v>
      </c>
      <c r="H1258" s="48" t="str">
        <f>VLOOKUP(Table1[[#This Row],[Psoft No]],[1]Roster!$C$2:$H$1402,6,)</f>
        <v>AUH3</v>
      </c>
      <c r="I1258" s="48" t="b">
        <f>Table1[[#This Row],[Building]]=Table1[[#This Row],[Column1]]</f>
        <v>1</v>
      </c>
      <c r="J1258" s="11" t="s">
        <v>1332</v>
      </c>
      <c r="K1258" s="11">
        <v>1181</v>
      </c>
      <c r="L1258" s="49" t="s">
        <v>39</v>
      </c>
      <c r="M1258" s="49" t="s">
        <v>76</v>
      </c>
      <c r="N1258" s="49" t="s">
        <v>77</v>
      </c>
      <c r="O1258" s="49" t="s">
        <v>78</v>
      </c>
      <c r="P1258" s="49" t="s">
        <v>89</v>
      </c>
      <c r="Q1258" s="49" t="s">
        <v>68</v>
      </c>
      <c r="R1258" s="49" t="s">
        <v>80</v>
      </c>
      <c r="S1258" s="49" t="s">
        <v>90</v>
      </c>
      <c r="T1258" s="49" t="s">
        <v>2720</v>
      </c>
      <c r="U1258" s="49" t="s">
        <v>2721</v>
      </c>
      <c r="V1258" s="116" t="s">
        <v>1</v>
      </c>
      <c r="W1258" s="88"/>
      <c r="X1258" s="51">
        <v>45894</v>
      </c>
      <c r="Y1258" s="97" t="s">
        <v>68</v>
      </c>
      <c r="Z1258" s="135" t="s">
        <v>2</v>
      </c>
      <c r="AA1258" s="135">
        <v>0</v>
      </c>
    </row>
    <row r="1259" spans="1:27" ht="13" customHeight="1">
      <c r="A1259" s="11">
        <v>1253</v>
      </c>
      <c r="B1259" s="103">
        <v>206958290</v>
      </c>
      <c r="C1259" s="89" t="s">
        <v>2446</v>
      </c>
      <c r="D1259" s="11" t="s">
        <v>2447</v>
      </c>
      <c r="E1259" s="48" t="s">
        <v>31</v>
      </c>
      <c r="F1259" s="48" t="s">
        <v>74</v>
      </c>
      <c r="G1259" s="48" t="s">
        <v>65</v>
      </c>
      <c r="H1259" s="48" t="str">
        <f>VLOOKUP(Table1[[#This Row],[Psoft No]],[1]Roster!$C$2:$H$1402,6,)</f>
        <v>AUH3</v>
      </c>
      <c r="I1259" s="48" t="b">
        <f>Table1[[#This Row],[Building]]=Table1[[#This Row],[Column1]]</f>
        <v>1</v>
      </c>
      <c r="J1259" s="48" t="s">
        <v>1332</v>
      </c>
      <c r="K1259" s="11">
        <v>1181</v>
      </c>
      <c r="L1259" s="49" t="s">
        <v>39</v>
      </c>
      <c r="M1259" s="49" t="s">
        <v>76</v>
      </c>
      <c r="N1259" s="49" t="s">
        <v>84</v>
      </c>
      <c r="O1259" s="49" t="s">
        <v>85</v>
      </c>
      <c r="P1259" s="49" t="s">
        <v>89</v>
      </c>
      <c r="Q1259" s="49" t="s">
        <v>68</v>
      </c>
      <c r="R1259" s="48" t="s">
        <v>80</v>
      </c>
      <c r="S1259" s="11" t="s">
        <v>96</v>
      </c>
      <c r="T1259" s="11" t="s">
        <v>2720</v>
      </c>
      <c r="U1259" s="11" t="s">
        <v>2721</v>
      </c>
      <c r="V1259" s="116" t="s">
        <v>1</v>
      </c>
      <c r="W1259" s="88"/>
      <c r="X1259" s="51">
        <v>46048</v>
      </c>
      <c r="Y1259" s="97" t="s">
        <v>68</v>
      </c>
      <c r="Z1259" s="135" t="s">
        <v>2</v>
      </c>
      <c r="AA1259" s="135">
        <v>0</v>
      </c>
    </row>
    <row r="1260" spans="1:27" ht="13" customHeight="1">
      <c r="A1260" s="11">
        <v>1254</v>
      </c>
      <c r="B1260" s="47">
        <v>205839953</v>
      </c>
      <c r="C1260" s="89" t="s">
        <v>1406</v>
      </c>
      <c r="D1260" s="11" t="s">
        <v>1407</v>
      </c>
      <c r="E1260" s="48" t="s">
        <v>31</v>
      </c>
      <c r="F1260" s="48" t="s">
        <v>74</v>
      </c>
      <c r="G1260" s="11" t="s">
        <v>65</v>
      </c>
      <c r="H1260" s="48" t="str">
        <f>VLOOKUP(Table1[[#This Row],[Psoft No]],[1]Roster!$C$2:$H$1402,6,)</f>
        <v>AUH3</v>
      </c>
      <c r="I1260" s="48" t="b">
        <f>Table1[[#This Row],[Building]]=Table1[[#This Row],[Column1]]</f>
        <v>1</v>
      </c>
      <c r="J1260" s="11" t="s">
        <v>1332</v>
      </c>
      <c r="K1260" s="11">
        <v>1181</v>
      </c>
      <c r="L1260" s="49" t="s">
        <v>39</v>
      </c>
      <c r="M1260" s="49" t="s">
        <v>76</v>
      </c>
      <c r="N1260" s="49" t="s">
        <v>85</v>
      </c>
      <c r="O1260" s="49" t="s">
        <v>88</v>
      </c>
      <c r="P1260" s="48" t="s">
        <v>89</v>
      </c>
      <c r="Q1260" s="49" t="s">
        <v>68</v>
      </c>
      <c r="R1260" s="11" t="s">
        <v>80</v>
      </c>
      <c r="S1260" s="11" t="s">
        <v>90</v>
      </c>
      <c r="T1260" s="11" t="s">
        <v>2720</v>
      </c>
      <c r="U1260" s="11" t="s">
        <v>2721</v>
      </c>
      <c r="V1260" s="116" t="s">
        <v>1</v>
      </c>
      <c r="W1260" s="88"/>
      <c r="X1260" s="51">
        <v>45894</v>
      </c>
      <c r="Y1260" s="97" t="s">
        <v>68</v>
      </c>
      <c r="Z1260" s="135" t="s">
        <v>2</v>
      </c>
      <c r="AA1260" s="135">
        <v>0</v>
      </c>
    </row>
    <row r="1261" spans="1:27" ht="13" customHeight="1">
      <c r="A1261" s="11">
        <v>1255</v>
      </c>
      <c r="B1261" s="47">
        <v>204246613</v>
      </c>
      <c r="C1261" s="89" t="s">
        <v>603</v>
      </c>
      <c r="D1261" s="11" t="s">
        <v>604</v>
      </c>
      <c r="E1261" s="48" t="s">
        <v>31</v>
      </c>
      <c r="F1261" s="48" t="s">
        <v>74</v>
      </c>
      <c r="G1261" s="11" t="s">
        <v>64</v>
      </c>
      <c r="H1261" s="48" t="str">
        <f>VLOOKUP(Table1[[#This Row],[Psoft No]],[1]Roster!$C$2:$H$1402,6,)</f>
        <v>AUH1</v>
      </c>
      <c r="I1261" s="48" t="b">
        <f>Table1[[#This Row],[Building]]=Table1[[#This Row],[Column1]]</f>
        <v>1</v>
      </c>
      <c r="J1261" s="11" t="s">
        <v>75</v>
      </c>
      <c r="K1261" s="11">
        <v>1299</v>
      </c>
      <c r="L1261" s="49" t="s">
        <v>32</v>
      </c>
      <c r="M1261" s="49" t="s">
        <v>76</v>
      </c>
      <c r="N1261" s="49" t="s">
        <v>78</v>
      </c>
      <c r="O1261" s="49" t="s">
        <v>92</v>
      </c>
      <c r="P1261" s="49" t="s">
        <v>86</v>
      </c>
      <c r="Q1261" s="49" t="s">
        <v>35</v>
      </c>
      <c r="R1261" s="11" t="s">
        <v>80</v>
      </c>
      <c r="S1261" s="11" t="s">
        <v>87</v>
      </c>
      <c r="T1261" s="11" t="s">
        <v>231</v>
      </c>
      <c r="U1261" s="11" t="s">
        <v>1753</v>
      </c>
      <c r="V1261" s="116" t="s">
        <v>10</v>
      </c>
      <c r="W1261" s="88"/>
      <c r="X1261" s="51">
        <v>45579</v>
      </c>
      <c r="Y1261" s="97" t="s">
        <v>1573</v>
      </c>
      <c r="Z1261" s="135" t="s">
        <v>3023</v>
      </c>
      <c r="AA1261" s="135">
        <v>0</v>
      </c>
    </row>
    <row r="1262" spans="1:27" ht="13" customHeight="1">
      <c r="A1262" s="11">
        <v>1256</v>
      </c>
      <c r="B1262" s="47">
        <v>206361787</v>
      </c>
      <c r="C1262" s="89" t="s">
        <v>2448</v>
      </c>
      <c r="D1262" s="11" t="s">
        <v>2449</v>
      </c>
      <c r="E1262" s="48" t="s">
        <v>31</v>
      </c>
      <c r="F1262" s="48" t="s">
        <v>74</v>
      </c>
      <c r="G1262" s="11" t="s">
        <v>65</v>
      </c>
      <c r="H1262" s="48" t="str">
        <f>VLOOKUP(Table1[[#This Row],[Psoft No]],[1]Roster!$C$2:$H$1402,6,)</f>
        <v>AUH3</v>
      </c>
      <c r="I1262" s="48" t="b">
        <f>Table1[[#This Row],[Building]]=Table1[[#This Row],[Column1]]</f>
        <v>1</v>
      </c>
      <c r="J1262" s="11" t="s">
        <v>1332</v>
      </c>
      <c r="K1262" s="11">
        <v>1181</v>
      </c>
      <c r="L1262" s="49" t="s">
        <v>39</v>
      </c>
      <c r="M1262" s="49" t="s">
        <v>76</v>
      </c>
      <c r="N1262" s="49" t="s">
        <v>84</v>
      </c>
      <c r="O1262" s="49" t="s">
        <v>85</v>
      </c>
      <c r="P1262" s="48" t="s">
        <v>89</v>
      </c>
      <c r="Q1262" s="49" t="s">
        <v>68</v>
      </c>
      <c r="R1262" s="11" t="s">
        <v>80</v>
      </c>
      <c r="S1262" s="11" t="s">
        <v>96</v>
      </c>
      <c r="T1262" s="11" t="s">
        <v>2720</v>
      </c>
      <c r="U1262" s="11" t="s">
        <v>2721</v>
      </c>
      <c r="V1262" s="116" t="s">
        <v>1</v>
      </c>
      <c r="W1262" s="88"/>
      <c r="X1262" s="51">
        <v>45957</v>
      </c>
      <c r="Y1262" s="97" t="s">
        <v>68</v>
      </c>
      <c r="Z1262" s="135" t="s">
        <v>2</v>
      </c>
      <c r="AA1262" s="135">
        <v>0</v>
      </c>
    </row>
    <row r="1263" spans="1:27" ht="13" customHeight="1">
      <c r="A1263" s="11">
        <v>1257</v>
      </c>
      <c r="B1263" s="47">
        <v>203815279</v>
      </c>
      <c r="C1263" s="89" t="s">
        <v>2681</v>
      </c>
      <c r="D1263" s="11" t="s">
        <v>2682</v>
      </c>
      <c r="E1263" s="48" t="s">
        <v>31</v>
      </c>
      <c r="F1263" s="48" t="s">
        <v>74</v>
      </c>
      <c r="G1263" s="11" t="s">
        <v>64</v>
      </c>
      <c r="H1263" s="48" t="str">
        <f>VLOOKUP(Table1[[#This Row],[Psoft No]],[1]Roster!$C$2:$H$1402,6,)</f>
        <v>AUH1</v>
      </c>
      <c r="I1263" s="48" t="b">
        <f>Table1[[#This Row],[Building]]=Table1[[#This Row],[Column1]]</f>
        <v>1</v>
      </c>
      <c r="J1263" s="11" t="s">
        <v>75</v>
      </c>
      <c r="K1263" s="11">
        <v>1299</v>
      </c>
      <c r="L1263" s="49" t="s">
        <v>32</v>
      </c>
      <c r="M1263" s="49" t="s">
        <v>76</v>
      </c>
      <c r="N1263" s="49" t="s">
        <v>84</v>
      </c>
      <c r="O1263" s="49" t="s">
        <v>85</v>
      </c>
      <c r="P1263" s="48" t="s">
        <v>1486</v>
      </c>
      <c r="Q1263" s="49" t="s">
        <v>1475</v>
      </c>
      <c r="R1263" s="11" t="s">
        <v>1443</v>
      </c>
      <c r="S1263" s="11" t="s">
        <v>81</v>
      </c>
      <c r="T1263" s="11" t="s">
        <v>2199</v>
      </c>
      <c r="U1263" s="11" t="s">
        <v>2726</v>
      </c>
      <c r="V1263" s="116" t="s">
        <v>7</v>
      </c>
      <c r="W1263" s="88" t="s">
        <v>3015</v>
      </c>
      <c r="X1263" s="51">
        <v>45516</v>
      </c>
      <c r="Y1263" s="97" t="s">
        <v>1583</v>
      </c>
      <c r="Z1263" s="135" t="s">
        <v>3023</v>
      </c>
      <c r="AA1263" s="135" t="s">
        <v>3015</v>
      </c>
    </row>
    <row r="1264" spans="1:27" ht="13" customHeight="1">
      <c r="A1264" s="11">
        <v>1258</v>
      </c>
      <c r="B1264" s="47">
        <v>201502749</v>
      </c>
      <c r="C1264" s="89" t="s">
        <v>650</v>
      </c>
      <c r="D1264" s="11" t="s">
        <v>651</v>
      </c>
      <c r="E1264" s="48" t="s">
        <v>31</v>
      </c>
      <c r="F1264" s="48" t="s">
        <v>74</v>
      </c>
      <c r="G1264" s="11" t="s">
        <v>64</v>
      </c>
      <c r="H1264" s="48" t="str">
        <f>VLOOKUP(Table1[[#This Row],[Psoft No]],[1]Roster!$C$2:$H$1402,6,)</f>
        <v>AUH1</v>
      </c>
      <c r="I1264" s="48" t="b">
        <f>Table1[[#This Row],[Building]]=Table1[[#This Row],[Column1]]</f>
        <v>1</v>
      </c>
      <c r="J1264" s="11" t="s">
        <v>75</v>
      </c>
      <c r="K1264" s="11">
        <v>1299</v>
      </c>
      <c r="L1264" s="87" t="s">
        <v>32</v>
      </c>
      <c r="M1264" s="49" t="s">
        <v>76</v>
      </c>
      <c r="N1264" s="49" t="s">
        <v>77</v>
      </c>
      <c r="O1264" s="49" t="s">
        <v>78</v>
      </c>
      <c r="P1264" s="49" t="s">
        <v>86</v>
      </c>
      <c r="Q1264" s="49" t="s">
        <v>37</v>
      </c>
      <c r="R1264" s="11" t="s">
        <v>80</v>
      </c>
      <c r="S1264" s="11" t="s">
        <v>87</v>
      </c>
      <c r="T1264" s="49" t="s">
        <v>2719</v>
      </c>
      <c r="U1264" s="11" t="s">
        <v>642</v>
      </c>
      <c r="V1264" s="116" t="str">
        <f>VLOOKUP(Table1[[#This Row],[AMZ ID]],[2]Sheet3!$A$2:$E$50,5,0)</f>
        <v>PL</v>
      </c>
      <c r="W1264" s="88" t="s">
        <v>3015</v>
      </c>
      <c r="X1264" s="51">
        <v>45561</v>
      </c>
      <c r="Y1264" s="97" t="s">
        <v>1578</v>
      </c>
      <c r="Z1264" s="135" t="s">
        <v>3023</v>
      </c>
      <c r="AA1264" s="135">
        <v>0</v>
      </c>
    </row>
    <row r="1265" spans="1:27" ht="13" customHeight="1">
      <c r="A1265" s="11">
        <v>1259</v>
      </c>
      <c r="B1265" s="47">
        <v>203513499</v>
      </c>
      <c r="C1265" s="89" t="s">
        <v>1414</v>
      </c>
      <c r="D1265" s="11" t="s">
        <v>1415</v>
      </c>
      <c r="E1265" s="48" t="s">
        <v>31</v>
      </c>
      <c r="F1265" s="48" t="s">
        <v>74</v>
      </c>
      <c r="G1265" s="11" t="s">
        <v>65</v>
      </c>
      <c r="H1265" s="48" t="str">
        <f>VLOOKUP(Table1[[#This Row],[Psoft No]],[1]Roster!$C$2:$H$1402,6,)</f>
        <v>AUH3</v>
      </c>
      <c r="I1265" s="48" t="b">
        <f>Table1[[#This Row],[Building]]=Table1[[#This Row],[Column1]]</f>
        <v>1</v>
      </c>
      <c r="J1265" s="11" t="s">
        <v>1332</v>
      </c>
      <c r="K1265" s="11">
        <v>1181</v>
      </c>
      <c r="L1265" s="87" t="s">
        <v>39</v>
      </c>
      <c r="M1265" s="49" t="s">
        <v>76</v>
      </c>
      <c r="N1265" s="49" t="s">
        <v>78</v>
      </c>
      <c r="O1265" s="49" t="s">
        <v>92</v>
      </c>
      <c r="P1265" s="48" t="s">
        <v>79</v>
      </c>
      <c r="Q1265" s="49" t="s">
        <v>68</v>
      </c>
      <c r="R1265" s="11" t="s">
        <v>80</v>
      </c>
      <c r="S1265" s="11" t="s">
        <v>81</v>
      </c>
      <c r="T1265" s="11" t="s">
        <v>2720</v>
      </c>
      <c r="U1265" s="11" t="s">
        <v>2721</v>
      </c>
      <c r="V1265" s="116" t="s">
        <v>10</v>
      </c>
      <c r="W1265" s="88"/>
      <c r="X1265" s="51">
        <v>45463</v>
      </c>
      <c r="Y1265" s="97" t="s">
        <v>68</v>
      </c>
      <c r="Z1265" s="135" t="s">
        <v>3023</v>
      </c>
      <c r="AA1265" s="135">
        <v>0</v>
      </c>
    </row>
    <row r="1266" spans="1:27" ht="13" customHeight="1">
      <c r="A1266" s="11">
        <v>1260</v>
      </c>
      <c r="B1266" s="47">
        <v>204094495</v>
      </c>
      <c r="C1266" s="89" t="s">
        <v>1189</v>
      </c>
      <c r="D1266" s="11" t="s">
        <v>1190</v>
      </c>
      <c r="E1266" s="48" t="s">
        <v>31</v>
      </c>
      <c r="F1266" s="48" t="s">
        <v>74</v>
      </c>
      <c r="G1266" s="11" t="s">
        <v>65</v>
      </c>
      <c r="H1266" s="48" t="str">
        <f>VLOOKUP(Table1[[#This Row],[Psoft No]],[1]Roster!$C$2:$H$1402,6,)</f>
        <v>AUH3</v>
      </c>
      <c r="I1266" s="48" t="b">
        <f>Table1[[#This Row],[Building]]=Table1[[#This Row],[Column1]]</f>
        <v>1</v>
      </c>
      <c r="J1266" s="11" t="s">
        <v>1332</v>
      </c>
      <c r="K1266" s="11">
        <v>1181</v>
      </c>
      <c r="L1266" s="49" t="s">
        <v>39</v>
      </c>
      <c r="M1266" s="49" t="s">
        <v>76</v>
      </c>
      <c r="N1266" s="49" t="s">
        <v>78</v>
      </c>
      <c r="O1266" s="49" t="s">
        <v>92</v>
      </c>
      <c r="P1266" s="48" t="s">
        <v>86</v>
      </c>
      <c r="Q1266" s="49" t="s">
        <v>68</v>
      </c>
      <c r="R1266" s="11" t="s">
        <v>80</v>
      </c>
      <c r="S1266" s="11" t="s">
        <v>87</v>
      </c>
      <c r="T1266" s="49" t="s">
        <v>2720</v>
      </c>
      <c r="U1266" s="47" t="s">
        <v>2721</v>
      </c>
      <c r="V1266" s="116" t="s">
        <v>10</v>
      </c>
      <c r="W1266" s="88"/>
      <c r="X1266" s="51">
        <v>45561</v>
      </c>
      <c r="Y1266" s="97" t="s">
        <v>68</v>
      </c>
      <c r="Z1266" s="135" t="s">
        <v>3023</v>
      </c>
      <c r="AA1266" s="135" t="s">
        <v>3015</v>
      </c>
    </row>
    <row r="1267" spans="1:27" ht="13" customHeight="1">
      <c r="A1267" s="11">
        <v>1261</v>
      </c>
      <c r="B1267" s="47">
        <v>203513399</v>
      </c>
      <c r="C1267" s="89" t="s">
        <v>1428</v>
      </c>
      <c r="D1267" s="11" t="s">
        <v>1429</v>
      </c>
      <c r="E1267" s="48" t="s">
        <v>31</v>
      </c>
      <c r="F1267" s="48" t="s">
        <v>74</v>
      </c>
      <c r="G1267" s="11" t="s">
        <v>65</v>
      </c>
      <c r="H1267" s="48" t="str">
        <f>VLOOKUP(Table1[[#This Row],[Psoft No]],[1]Roster!$C$2:$H$1402,6,)</f>
        <v>AUH3</v>
      </c>
      <c r="I1267" s="48" t="b">
        <f>Table1[[#This Row],[Building]]=Table1[[#This Row],[Column1]]</f>
        <v>1</v>
      </c>
      <c r="J1267" s="11" t="s">
        <v>1332</v>
      </c>
      <c r="K1267" s="11">
        <v>1181</v>
      </c>
      <c r="L1267" s="49" t="s">
        <v>32</v>
      </c>
      <c r="M1267" s="49" t="s">
        <v>76</v>
      </c>
      <c r="N1267" s="49" t="s">
        <v>85</v>
      </c>
      <c r="O1267" s="49" t="s">
        <v>88</v>
      </c>
      <c r="P1267" s="48" t="s">
        <v>79</v>
      </c>
      <c r="Q1267" s="49" t="s">
        <v>68</v>
      </c>
      <c r="R1267" s="11" t="s">
        <v>80</v>
      </c>
      <c r="S1267" s="11" t="s">
        <v>81</v>
      </c>
      <c r="T1267" s="11" t="s">
        <v>1336</v>
      </c>
      <c r="U1267" s="11" t="s">
        <v>1337</v>
      </c>
      <c r="V1267" s="116" t="s">
        <v>1</v>
      </c>
      <c r="W1267" s="88"/>
      <c r="X1267" s="51">
        <v>45463</v>
      </c>
      <c r="Y1267" s="97" t="s">
        <v>68</v>
      </c>
      <c r="Z1267" s="135" t="s">
        <v>2</v>
      </c>
      <c r="AA1267" s="135">
        <v>0</v>
      </c>
    </row>
    <row r="1268" spans="1:27" ht="13" customHeight="1">
      <c r="A1268" s="11">
        <v>1262</v>
      </c>
      <c r="B1268" s="47">
        <v>205276101</v>
      </c>
      <c r="C1268" s="89" t="s">
        <v>1418</v>
      </c>
      <c r="D1268" s="11" t="s">
        <v>1419</v>
      </c>
      <c r="E1268" s="48" t="s">
        <v>31</v>
      </c>
      <c r="F1268" s="48" t="s">
        <v>74</v>
      </c>
      <c r="G1268" s="11" t="s">
        <v>65</v>
      </c>
      <c r="H1268" s="48" t="str">
        <f>VLOOKUP(Table1[[#This Row],[Psoft No]],[1]Roster!$C$2:$H$1402,6,)</f>
        <v>AUH3</v>
      </c>
      <c r="I1268" s="48" t="b">
        <f>Table1[[#This Row],[Building]]=Table1[[#This Row],[Column1]]</f>
        <v>1</v>
      </c>
      <c r="J1268" s="11" t="s">
        <v>1332</v>
      </c>
      <c r="K1268" s="11">
        <v>1181</v>
      </c>
      <c r="L1268" s="49" t="s">
        <v>39</v>
      </c>
      <c r="M1268" s="49" t="s">
        <v>76</v>
      </c>
      <c r="N1268" s="49" t="s">
        <v>85</v>
      </c>
      <c r="O1268" s="49" t="s">
        <v>88</v>
      </c>
      <c r="P1268" s="48" t="s">
        <v>89</v>
      </c>
      <c r="Q1268" s="49" t="s">
        <v>68</v>
      </c>
      <c r="R1268" s="11" t="s">
        <v>80</v>
      </c>
      <c r="S1268" s="11" t="s">
        <v>90</v>
      </c>
      <c r="T1268" s="11" t="s">
        <v>2720</v>
      </c>
      <c r="U1268" s="11" t="s">
        <v>2721</v>
      </c>
      <c r="V1268" s="116" t="s">
        <v>1</v>
      </c>
      <c r="W1268" s="88"/>
      <c r="X1268" s="51">
        <v>45796</v>
      </c>
      <c r="Y1268" s="97" t="s">
        <v>68</v>
      </c>
      <c r="Z1268" s="135" t="s">
        <v>2</v>
      </c>
      <c r="AA1268" s="135">
        <v>0</v>
      </c>
    </row>
    <row r="1269" spans="1:27" ht="13" customHeight="1">
      <c r="A1269" s="11">
        <v>1263</v>
      </c>
      <c r="B1269" s="47">
        <v>102205690</v>
      </c>
      <c r="C1269" s="89" t="s">
        <v>1420</v>
      </c>
      <c r="D1269" s="11" t="s">
        <v>1421</v>
      </c>
      <c r="E1269" s="48" t="s">
        <v>34</v>
      </c>
      <c r="F1269" s="48" t="s">
        <v>74</v>
      </c>
      <c r="G1269" s="11" t="s">
        <v>65</v>
      </c>
      <c r="H1269" s="48" t="str">
        <f>VLOOKUP(Table1[[#This Row],[Psoft No]],[1]Roster!$C$2:$H$1402,6,)</f>
        <v>AUH3</v>
      </c>
      <c r="I1269" s="48" t="b">
        <f>Table1[[#This Row],[Building]]=Table1[[#This Row],[Column1]]</f>
        <v>1</v>
      </c>
      <c r="J1269" s="11" t="s">
        <v>1332</v>
      </c>
      <c r="K1269" s="11">
        <v>1182</v>
      </c>
      <c r="L1269" s="49" t="s">
        <v>39</v>
      </c>
      <c r="M1269" s="49" t="s">
        <v>76</v>
      </c>
      <c r="N1269" s="49" t="s">
        <v>92</v>
      </c>
      <c r="O1269" s="49" t="s">
        <v>84</v>
      </c>
      <c r="P1269" s="48" t="s">
        <v>108</v>
      </c>
      <c r="Q1269" s="49" t="s">
        <v>68</v>
      </c>
      <c r="R1269" s="11" t="s">
        <v>80</v>
      </c>
      <c r="S1269" s="11" t="s">
        <v>98</v>
      </c>
      <c r="T1269" s="49" t="s">
        <v>2720</v>
      </c>
      <c r="U1269" s="11" t="s">
        <v>2721</v>
      </c>
      <c r="V1269" s="116" t="s">
        <v>10</v>
      </c>
      <c r="W1269" s="88"/>
      <c r="X1269" s="51">
        <v>42868</v>
      </c>
      <c r="Y1269" s="97" t="s">
        <v>68</v>
      </c>
      <c r="Z1269" s="135" t="s">
        <v>3023</v>
      </c>
      <c r="AA1269" s="135">
        <v>0</v>
      </c>
    </row>
    <row r="1270" spans="1:27" ht="13" customHeight="1">
      <c r="A1270" s="11">
        <v>1264</v>
      </c>
      <c r="B1270" s="47">
        <v>102582357</v>
      </c>
      <c r="C1270" s="89" t="s">
        <v>1422</v>
      </c>
      <c r="D1270" s="11" t="s">
        <v>1423</v>
      </c>
      <c r="E1270" s="48" t="s">
        <v>34</v>
      </c>
      <c r="F1270" s="48" t="s">
        <v>74</v>
      </c>
      <c r="G1270" s="11" t="s">
        <v>65</v>
      </c>
      <c r="H1270" s="48" t="str">
        <f>VLOOKUP(Table1[[#This Row],[Psoft No]],[1]Roster!$C$2:$H$1402,6,)</f>
        <v>AUH3</v>
      </c>
      <c r="I1270" s="48" t="b">
        <f>Table1[[#This Row],[Building]]=Table1[[#This Row],[Column1]]</f>
        <v>1</v>
      </c>
      <c r="J1270" s="11" t="s">
        <v>1332</v>
      </c>
      <c r="K1270" s="11">
        <v>1182</v>
      </c>
      <c r="L1270" s="87" t="s">
        <v>39</v>
      </c>
      <c r="M1270" s="49" t="s">
        <v>76</v>
      </c>
      <c r="N1270" s="49" t="s">
        <v>88</v>
      </c>
      <c r="O1270" s="49" t="s">
        <v>95</v>
      </c>
      <c r="P1270" s="48" t="s">
        <v>1333</v>
      </c>
      <c r="Q1270" s="49" t="s">
        <v>68</v>
      </c>
      <c r="R1270" s="11" t="s">
        <v>80</v>
      </c>
      <c r="S1270" s="11" t="s">
        <v>98</v>
      </c>
      <c r="T1270" s="11" t="s">
        <v>2720</v>
      </c>
      <c r="U1270" s="11" t="s">
        <v>2721</v>
      </c>
      <c r="V1270" s="116" t="s">
        <v>1</v>
      </c>
      <c r="W1270" s="88"/>
      <c r="X1270" s="51">
        <v>42962</v>
      </c>
      <c r="Y1270" s="97" t="s">
        <v>68</v>
      </c>
      <c r="Z1270" s="135" t="s">
        <v>2</v>
      </c>
      <c r="AA1270" s="135">
        <v>0</v>
      </c>
    </row>
    <row r="1271" spans="1:27" ht="13" customHeight="1">
      <c r="A1271" s="11">
        <v>1265</v>
      </c>
      <c r="B1271" s="47">
        <v>205845551</v>
      </c>
      <c r="C1271" s="89" t="s">
        <v>1424</v>
      </c>
      <c r="D1271" s="11" t="s">
        <v>1425</v>
      </c>
      <c r="E1271" s="48" t="s">
        <v>31</v>
      </c>
      <c r="F1271" s="48" t="s">
        <v>74</v>
      </c>
      <c r="G1271" s="11" t="s">
        <v>65</v>
      </c>
      <c r="H1271" s="48" t="str">
        <f>VLOOKUP(Table1[[#This Row],[Psoft No]],[1]Roster!$C$2:$H$1402,6,)</f>
        <v>AUH3</v>
      </c>
      <c r="I1271" s="48" t="b">
        <f>Table1[[#This Row],[Building]]=Table1[[#This Row],[Column1]]</f>
        <v>1</v>
      </c>
      <c r="J1271" s="11" t="s">
        <v>1332</v>
      </c>
      <c r="K1271" s="11">
        <v>1181</v>
      </c>
      <c r="L1271" s="49" t="s">
        <v>39</v>
      </c>
      <c r="M1271" s="49" t="s">
        <v>76</v>
      </c>
      <c r="N1271" s="49" t="s">
        <v>92</v>
      </c>
      <c r="O1271" s="49" t="s">
        <v>84</v>
      </c>
      <c r="P1271" s="48" t="s">
        <v>89</v>
      </c>
      <c r="Q1271" s="49" t="s">
        <v>68</v>
      </c>
      <c r="R1271" s="11" t="s">
        <v>80</v>
      </c>
      <c r="S1271" s="11" t="s">
        <v>90</v>
      </c>
      <c r="T1271" s="11" t="s">
        <v>2720</v>
      </c>
      <c r="U1271" s="11" t="s">
        <v>2721</v>
      </c>
      <c r="V1271" s="116" t="s">
        <v>10</v>
      </c>
      <c r="W1271" s="88"/>
      <c r="X1271" s="51">
        <v>45894</v>
      </c>
      <c r="Y1271" s="97" t="s">
        <v>68</v>
      </c>
      <c r="Z1271" s="135" t="s">
        <v>3023</v>
      </c>
      <c r="AA1271" s="135">
        <v>0</v>
      </c>
    </row>
    <row r="1272" spans="1:27" ht="13" customHeight="1">
      <c r="A1272" s="11">
        <v>1266</v>
      </c>
      <c r="B1272" s="47">
        <v>206296204</v>
      </c>
      <c r="C1272" s="89" t="s">
        <v>1658</v>
      </c>
      <c r="D1272" s="11" t="s">
        <v>1969</v>
      </c>
      <c r="E1272" s="48" t="s">
        <v>31</v>
      </c>
      <c r="F1272" s="48" t="s">
        <v>74</v>
      </c>
      <c r="G1272" s="11" t="s">
        <v>65</v>
      </c>
      <c r="H1272" s="48" t="str">
        <f>VLOOKUP(Table1[[#This Row],[Psoft No]],[1]Roster!$C$2:$H$1402,6,)</f>
        <v>AUH3</v>
      </c>
      <c r="I1272" s="48" t="b">
        <f>Table1[[#This Row],[Building]]=Table1[[#This Row],[Column1]]</f>
        <v>1</v>
      </c>
      <c r="J1272" s="11" t="s">
        <v>1332</v>
      </c>
      <c r="K1272" s="11">
        <v>1299</v>
      </c>
      <c r="L1272" s="87" t="s">
        <v>39</v>
      </c>
      <c r="M1272" s="49" t="s">
        <v>76</v>
      </c>
      <c r="N1272" s="49" t="s">
        <v>84</v>
      </c>
      <c r="O1272" s="49" t="s">
        <v>85</v>
      </c>
      <c r="P1272" s="48" t="s">
        <v>89</v>
      </c>
      <c r="Q1272" s="49" t="s">
        <v>68</v>
      </c>
      <c r="R1272" s="11" t="s">
        <v>80</v>
      </c>
      <c r="S1272" s="11" t="s">
        <v>96</v>
      </c>
      <c r="T1272" s="11" t="s">
        <v>2720</v>
      </c>
      <c r="U1272" s="11" t="s">
        <v>2721</v>
      </c>
      <c r="V1272" s="116" t="s">
        <v>1</v>
      </c>
      <c r="W1272" s="88"/>
      <c r="X1272" s="51">
        <v>45950</v>
      </c>
      <c r="Y1272" s="97" t="s">
        <v>68</v>
      </c>
      <c r="Z1272" s="135" t="s">
        <v>2</v>
      </c>
      <c r="AA1272" s="135">
        <v>0</v>
      </c>
    </row>
    <row r="1273" spans="1:27" ht="13" customHeight="1">
      <c r="A1273" s="11">
        <v>1267</v>
      </c>
      <c r="B1273" s="47">
        <v>206958074</v>
      </c>
      <c r="C1273" s="89" t="s">
        <v>2178</v>
      </c>
      <c r="D1273" s="11" t="s">
        <v>2179</v>
      </c>
      <c r="E1273" s="48" t="s">
        <v>31</v>
      </c>
      <c r="F1273" s="48" t="s">
        <v>74</v>
      </c>
      <c r="G1273" s="11" t="s">
        <v>65</v>
      </c>
      <c r="H1273" s="48" t="str">
        <f>VLOOKUP(Table1[[#This Row],[Psoft No]],[1]Roster!$C$2:$H$1402,6,)</f>
        <v>AUH3</v>
      </c>
      <c r="I1273" s="48" t="b">
        <f>Table1[[#This Row],[Building]]=Table1[[#This Row],[Column1]]</f>
        <v>1</v>
      </c>
      <c r="J1273" s="11" t="s">
        <v>1332</v>
      </c>
      <c r="K1273" s="11">
        <v>1181</v>
      </c>
      <c r="L1273" s="49" t="s">
        <v>39</v>
      </c>
      <c r="M1273" s="49" t="s">
        <v>76</v>
      </c>
      <c r="N1273" s="49" t="s">
        <v>88</v>
      </c>
      <c r="O1273" s="49" t="s">
        <v>95</v>
      </c>
      <c r="P1273" s="48" t="s">
        <v>79</v>
      </c>
      <c r="Q1273" s="49" t="s">
        <v>68</v>
      </c>
      <c r="R1273" s="11" t="s">
        <v>80</v>
      </c>
      <c r="S1273" s="11" t="s">
        <v>96</v>
      </c>
      <c r="T1273" s="11" t="s">
        <v>2720</v>
      </c>
      <c r="U1273" s="11" t="s">
        <v>2721</v>
      </c>
      <c r="V1273" s="116" t="s">
        <v>1</v>
      </c>
      <c r="W1273" s="88"/>
      <c r="X1273" s="51">
        <v>46048</v>
      </c>
      <c r="Y1273" s="97" t="s">
        <v>68</v>
      </c>
      <c r="Z1273" s="135" t="s">
        <v>2</v>
      </c>
      <c r="AA1273" s="135">
        <v>0</v>
      </c>
    </row>
    <row r="1274" spans="1:27" ht="13" customHeight="1">
      <c r="A1274" s="11">
        <v>1268</v>
      </c>
      <c r="B1274" s="47">
        <v>204116442</v>
      </c>
      <c r="C1274" s="89" t="s">
        <v>1095</v>
      </c>
      <c r="D1274" s="11" t="s">
        <v>1096</v>
      </c>
      <c r="E1274" s="48" t="s">
        <v>31</v>
      </c>
      <c r="F1274" s="48" t="s">
        <v>74</v>
      </c>
      <c r="G1274" s="11" t="s">
        <v>64</v>
      </c>
      <c r="H1274" s="48" t="str">
        <f>VLOOKUP(Table1[[#This Row],[Psoft No]],[1]Roster!$C$2:$H$1402,6,)</f>
        <v>AUH1</v>
      </c>
      <c r="I1274" s="48" t="b">
        <f>Table1[[#This Row],[Building]]=Table1[[#This Row],[Column1]]</f>
        <v>1</v>
      </c>
      <c r="J1274" s="11" t="s">
        <v>75</v>
      </c>
      <c r="K1274" s="11">
        <v>1299</v>
      </c>
      <c r="L1274" s="49" t="s">
        <v>32</v>
      </c>
      <c r="M1274" s="49" t="s">
        <v>76</v>
      </c>
      <c r="N1274" s="49" t="s">
        <v>77</v>
      </c>
      <c r="O1274" s="49" t="s">
        <v>78</v>
      </c>
      <c r="P1274" s="48" t="s">
        <v>86</v>
      </c>
      <c r="Q1274" s="49" t="s">
        <v>37</v>
      </c>
      <c r="R1274" s="11" t="s">
        <v>80</v>
      </c>
      <c r="S1274" s="11" t="s">
        <v>87</v>
      </c>
      <c r="T1274" s="11" t="s">
        <v>627</v>
      </c>
      <c r="U1274" s="11" t="s">
        <v>628</v>
      </c>
      <c r="V1274" s="116" t="str">
        <f>VLOOKUP(Table1[[#This Row],[AMZ ID]],[2]Sheet3!$A$2:$E$50,5,0)</f>
        <v>PL</v>
      </c>
      <c r="W1274" s="88" t="s">
        <v>3015</v>
      </c>
      <c r="X1274" s="51">
        <v>45561</v>
      </c>
      <c r="Y1274" s="97" t="s">
        <v>1576</v>
      </c>
      <c r="Z1274" s="135" t="s">
        <v>3023</v>
      </c>
      <c r="AA1274" s="135" t="s">
        <v>3015</v>
      </c>
    </row>
    <row r="1275" spans="1:27" ht="13" customHeight="1">
      <c r="A1275" s="11">
        <v>1269</v>
      </c>
      <c r="B1275" s="47">
        <v>203513498</v>
      </c>
      <c r="C1275" s="89" t="s">
        <v>1426</v>
      </c>
      <c r="D1275" s="11" t="s">
        <v>1427</v>
      </c>
      <c r="E1275" s="48" t="s">
        <v>31</v>
      </c>
      <c r="F1275" s="48" t="s">
        <v>74</v>
      </c>
      <c r="G1275" s="11" t="s">
        <v>65</v>
      </c>
      <c r="H1275" s="48" t="str">
        <f>VLOOKUP(Table1[[#This Row],[Psoft No]],[1]Roster!$C$2:$H$1402,6,)</f>
        <v>AUH3</v>
      </c>
      <c r="I1275" s="48" t="b">
        <f>Table1[[#This Row],[Building]]=Table1[[#This Row],[Column1]]</f>
        <v>1</v>
      </c>
      <c r="J1275" s="11" t="s">
        <v>1332</v>
      </c>
      <c r="K1275" s="11">
        <v>1181</v>
      </c>
      <c r="L1275" s="49" t="s">
        <v>39</v>
      </c>
      <c r="M1275" s="49" t="s">
        <v>76</v>
      </c>
      <c r="N1275" s="49" t="s">
        <v>84</v>
      </c>
      <c r="O1275" s="49" t="s">
        <v>85</v>
      </c>
      <c r="P1275" s="48" t="s">
        <v>79</v>
      </c>
      <c r="Q1275" s="49" t="s">
        <v>68</v>
      </c>
      <c r="R1275" s="11" t="s">
        <v>80</v>
      </c>
      <c r="S1275" s="11" t="s">
        <v>81</v>
      </c>
      <c r="T1275" s="11" t="s">
        <v>2720</v>
      </c>
      <c r="U1275" s="11" t="s">
        <v>2721</v>
      </c>
      <c r="V1275" s="116" t="s">
        <v>1</v>
      </c>
      <c r="W1275" s="88"/>
      <c r="X1275" s="51">
        <v>45463</v>
      </c>
      <c r="Y1275" s="97" t="s">
        <v>68</v>
      </c>
      <c r="Z1275" s="135" t="s">
        <v>2</v>
      </c>
      <c r="AA1275" s="135">
        <v>0</v>
      </c>
    </row>
    <row r="1276" spans="1:27" ht="13" customHeight="1">
      <c r="A1276" s="11">
        <v>1270</v>
      </c>
      <c r="B1276" s="47">
        <v>206958090</v>
      </c>
      <c r="C1276" s="89" t="s">
        <v>2180</v>
      </c>
      <c r="D1276" s="11" t="s">
        <v>2181</v>
      </c>
      <c r="E1276" s="48" t="s">
        <v>31</v>
      </c>
      <c r="F1276" s="48" t="s">
        <v>74</v>
      </c>
      <c r="G1276" s="11" t="s">
        <v>65</v>
      </c>
      <c r="H1276" s="48" t="str">
        <f>VLOOKUP(Table1[[#This Row],[Psoft No]],[1]Roster!$C$2:$H$1402,6,)</f>
        <v>AUH3</v>
      </c>
      <c r="I1276" s="48" t="b">
        <f>Table1[[#This Row],[Building]]=Table1[[#This Row],[Column1]]</f>
        <v>1</v>
      </c>
      <c r="J1276" s="11" t="s">
        <v>1332</v>
      </c>
      <c r="K1276" s="11">
        <v>1181</v>
      </c>
      <c r="L1276" s="87" t="s">
        <v>39</v>
      </c>
      <c r="M1276" s="49" t="s">
        <v>76</v>
      </c>
      <c r="N1276" s="49" t="s">
        <v>78</v>
      </c>
      <c r="O1276" s="49" t="s">
        <v>92</v>
      </c>
      <c r="P1276" s="48" t="s">
        <v>89</v>
      </c>
      <c r="Q1276" s="49" t="s">
        <v>68</v>
      </c>
      <c r="R1276" s="11" t="s">
        <v>80</v>
      </c>
      <c r="S1276" s="11" t="s">
        <v>96</v>
      </c>
      <c r="T1276" s="11" t="s">
        <v>2720</v>
      </c>
      <c r="U1276" s="11" t="s">
        <v>2721</v>
      </c>
      <c r="V1276" s="116" t="s">
        <v>10</v>
      </c>
      <c r="W1276" s="88"/>
      <c r="X1276" s="51">
        <v>46048</v>
      </c>
      <c r="Y1276" s="97" t="s">
        <v>68</v>
      </c>
      <c r="Z1276" s="135" t="s">
        <v>3023</v>
      </c>
      <c r="AA1276" s="135">
        <v>0</v>
      </c>
    </row>
    <row r="1277" spans="1:27" ht="13" customHeight="1">
      <c r="A1277" s="11">
        <v>1271</v>
      </c>
      <c r="B1277" s="47">
        <v>204246155</v>
      </c>
      <c r="C1277" s="89" t="s">
        <v>83</v>
      </c>
      <c r="D1277" s="11" t="s">
        <v>1995</v>
      </c>
      <c r="E1277" s="48" t="s">
        <v>31</v>
      </c>
      <c r="F1277" s="48" t="s">
        <v>74</v>
      </c>
      <c r="G1277" s="11" t="s">
        <v>65</v>
      </c>
      <c r="H1277" s="48" t="str">
        <f>VLOOKUP(Table1[[#This Row],[Psoft No]],[1]Roster!$C$2:$H$1402,6,)</f>
        <v>AUH3</v>
      </c>
      <c r="I1277" s="48" t="b">
        <f>Table1[[#This Row],[Building]]=Table1[[#This Row],[Column1]]</f>
        <v>1</v>
      </c>
      <c r="J1277" s="11" t="s">
        <v>1332</v>
      </c>
      <c r="K1277" s="11">
        <v>1299</v>
      </c>
      <c r="L1277" s="49" t="s">
        <v>32</v>
      </c>
      <c r="M1277" s="49" t="s">
        <v>76</v>
      </c>
      <c r="N1277" s="49" t="s">
        <v>77</v>
      </c>
      <c r="O1277" s="49" t="s">
        <v>78</v>
      </c>
      <c r="P1277" s="48" t="s">
        <v>86</v>
      </c>
      <c r="Q1277" s="49" t="s">
        <v>68</v>
      </c>
      <c r="R1277" s="11" t="s">
        <v>80</v>
      </c>
      <c r="S1277" s="11" t="s">
        <v>87</v>
      </c>
      <c r="T1277" s="11" t="s">
        <v>1336</v>
      </c>
      <c r="U1277" s="11" t="s">
        <v>1337</v>
      </c>
      <c r="V1277" s="116" t="s">
        <v>1</v>
      </c>
      <c r="W1277" s="88"/>
      <c r="X1277" s="51">
        <v>45579</v>
      </c>
      <c r="Y1277" s="97" t="s">
        <v>68</v>
      </c>
      <c r="Z1277" s="135" t="s">
        <v>2</v>
      </c>
      <c r="AA1277" s="135">
        <v>0</v>
      </c>
    </row>
    <row r="1278" spans="1:27" ht="13" customHeight="1">
      <c r="A1278" s="11">
        <v>1272</v>
      </c>
      <c r="B1278" s="47">
        <v>204869083</v>
      </c>
      <c r="C1278" s="89" t="s">
        <v>422</v>
      </c>
      <c r="D1278" s="11" t="s">
        <v>423</v>
      </c>
      <c r="E1278" s="48" t="s">
        <v>31</v>
      </c>
      <c r="F1278" s="48" t="s">
        <v>74</v>
      </c>
      <c r="G1278" s="11" t="s">
        <v>64</v>
      </c>
      <c r="H1278" s="48" t="str">
        <f>VLOOKUP(Table1[[#This Row],[Psoft No]],[1]Roster!$C$2:$H$1402,6,)</f>
        <v>AUH1</v>
      </c>
      <c r="I1278" s="48" t="b">
        <f>Table1[[#This Row],[Building]]=Table1[[#This Row],[Column1]]</f>
        <v>1</v>
      </c>
      <c r="J1278" s="11" t="s">
        <v>75</v>
      </c>
      <c r="K1278" s="11">
        <v>1299</v>
      </c>
      <c r="L1278" s="49" t="s">
        <v>32</v>
      </c>
      <c r="M1278" s="49" t="s">
        <v>76</v>
      </c>
      <c r="N1278" s="49" t="s">
        <v>78</v>
      </c>
      <c r="O1278" s="49" t="s">
        <v>92</v>
      </c>
      <c r="P1278" s="48" t="s">
        <v>86</v>
      </c>
      <c r="Q1278" s="49" t="s">
        <v>35</v>
      </c>
      <c r="R1278" s="11" t="s">
        <v>80</v>
      </c>
      <c r="S1278" s="11" t="s">
        <v>87</v>
      </c>
      <c r="T1278" s="11" t="s">
        <v>225</v>
      </c>
      <c r="U1278" s="11" t="s">
        <v>226</v>
      </c>
      <c r="V1278" s="116" t="s">
        <v>10</v>
      </c>
      <c r="W1278" s="88"/>
      <c r="X1278" s="51">
        <v>45691</v>
      </c>
      <c r="Y1278" s="97" t="s">
        <v>1572</v>
      </c>
      <c r="Z1278" s="135" t="s">
        <v>3023</v>
      </c>
      <c r="AA1278" s="135" t="s">
        <v>3024</v>
      </c>
    </row>
    <row r="1279" spans="1:27" ht="13" customHeight="1">
      <c r="A1279" s="11">
        <v>1273</v>
      </c>
      <c r="B1279" s="47">
        <v>206958297</v>
      </c>
      <c r="C1279" s="89" t="s">
        <v>2182</v>
      </c>
      <c r="D1279" s="11" t="s">
        <v>2183</v>
      </c>
      <c r="E1279" s="48" t="s">
        <v>31</v>
      </c>
      <c r="F1279" s="48" t="s">
        <v>74</v>
      </c>
      <c r="G1279" s="11" t="s">
        <v>65</v>
      </c>
      <c r="H1279" s="48" t="str">
        <f>VLOOKUP(Table1[[#This Row],[Psoft No]],[1]Roster!$C$2:$H$1402,6,)</f>
        <v>AUH3</v>
      </c>
      <c r="I1279" s="48" t="b">
        <f>Table1[[#This Row],[Building]]=Table1[[#This Row],[Column1]]</f>
        <v>1</v>
      </c>
      <c r="J1279" s="11" t="s">
        <v>1332</v>
      </c>
      <c r="K1279" s="11">
        <v>1181</v>
      </c>
      <c r="L1279" s="49" t="s">
        <v>39</v>
      </c>
      <c r="M1279" s="49" t="s">
        <v>76</v>
      </c>
      <c r="N1279" s="49" t="s">
        <v>88</v>
      </c>
      <c r="O1279" s="49" t="s">
        <v>95</v>
      </c>
      <c r="P1279" s="48" t="s">
        <v>79</v>
      </c>
      <c r="Q1279" s="49" t="s">
        <v>68</v>
      </c>
      <c r="R1279" s="11" t="s">
        <v>80</v>
      </c>
      <c r="S1279" s="11" t="s">
        <v>96</v>
      </c>
      <c r="T1279" s="11" t="s">
        <v>2720</v>
      </c>
      <c r="U1279" s="11" t="s">
        <v>2721</v>
      </c>
      <c r="V1279" s="116" t="s">
        <v>1</v>
      </c>
      <c r="W1279" s="88"/>
      <c r="X1279" s="51">
        <v>46048</v>
      </c>
      <c r="Y1279" s="97" t="s">
        <v>68</v>
      </c>
      <c r="Z1279" s="135" t="s">
        <v>2</v>
      </c>
      <c r="AA1279" s="135">
        <v>0</v>
      </c>
    </row>
    <row r="1280" spans="1:27" ht="13" customHeight="1">
      <c r="A1280" s="11">
        <v>1274</v>
      </c>
      <c r="B1280" s="47">
        <v>204319797</v>
      </c>
      <c r="C1280" s="89" t="s">
        <v>243</v>
      </c>
      <c r="D1280" s="11" t="s">
        <v>244</v>
      </c>
      <c r="E1280" s="48" t="s">
        <v>31</v>
      </c>
      <c r="F1280" s="48" t="s">
        <v>74</v>
      </c>
      <c r="G1280" s="11" t="s">
        <v>65</v>
      </c>
      <c r="H1280" s="48" t="str">
        <f>VLOOKUP(Table1[[#This Row],[Psoft No]],[1]Roster!$C$2:$H$1402,6,)</f>
        <v>AUH3</v>
      </c>
      <c r="I1280" s="48" t="b">
        <f>Table1[[#This Row],[Building]]=Table1[[#This Row],[Column1]]</f>
        <v>1</v>
      </c>
      <c r="J1280" s="11" t="s">
        <v>75</v>
      </c>
      <c r="K1280" s="11">
        <v>1299</v>
      </c>
      <c r="L1280" s="49" t="s">
        <v>32</v>
      </c>
      <c r="M1280" s="49" t="s">
        <v>76</v>
      </c>
      <c r="N1280" s="49" t="s">
        <v>84</v>
      </c>
      <c r="O1280" s="49" t="s">
        <v>85</v>
      </c>
      <c r="P1280" s="48" t="s">
        <v>86</v>
      </c>
      <c r="Q1280" s="49" t="s">
        <v>68</v>
      </c>
      <c r="R1280" s="11" t="s">
        <v>80</v>
      </c>
      <c r="S1280" s="11" t="s">
        <v>87</v>
      </c>
      <c r="T1280" s="11" t="s">
        <v>2720</v>
      </c>
      <c r="U1280" s="11" t="s">
        <v>2721</v>
      </c>
      <c r="V1280" s="116" t="s">
        <v>1</v>
      </c>
      <c r="W1280" s="88"/>
      <c r="X1280" s="51">
        <v>45589</v>
      </c>
      <c r="Y1280" s="97" t="s">
        <v>68</v>
      </c>
      <c r="Z1280" s="135" t="s">
        <v>2</v>
      </c>
      <c r="AA1280" s="135">
        <v>0</v>
      </c>
    </row>
    <row r="1281" spans="1:27" ht="13" customHeight="1">
      <c r="A1281" s="11">
        <v>1275</v>
      </c>
      <c r="B1281" s="47">
        <v>204013739</v>
      </c>
      <c r="C1281" s="89" t="s">
        <v>1432</v>
      </c>
      <c r="D1281" s="11" t="s">
        <v>1433</v>
      </c>
      <c r="E1281" s="48" t="s">
        <v>31</v>
      </c>
      <c r="F1281" s="48" t="s">
        <v>74</v>
      </c>
      <c r="G1281" s="11" t="s">
        <v>65</v>
      </c>
      <c r="H1281" s="48" t="str">
        <f>VLOOKUP(Table1[[#This Row],[Psoft No]],[1]Roster!$C$2:$H$1402,6,)</f>
        <v>AUH3</v>
      </c>
      <c r="I1281" s="48" t="b">
        <f>Table1[[#This Row],[Building]]=Table1[[#This Row],[Column1]]</f>
        <v>1</v>
      </c>
      <c r="J1281" s="11" t="s">
        <v>1332</v>
      </c>
      <c r="K1281" s="11">
        <v>1181</v>
      </c>
      <c r="L1281" s="49" t="s">
        <v>39</v>
      </c>
      <c r="M1281" s="49" t="s">
        <v>76</v>
      </c>
      <c r="N1281" s="49" t="s">
        <v>92</v>
      </c>
      <c r="O1281" s="49" t="s">
        <v>84</v>
      </c>
      <c r="P1281" s="48" t="s">
        <v>79</v>
      </c>
      <c r="Q1281" s="49" t="s">
        <v>68</v>
      </c>
      <c r="R1281" s="11" t="s">
        <v>80</v>
      </c>
      <c r="S1281" s="11" t="s">
        <v>81</v>
      </c>
      <c r="T1281" s="11" t="s">
        <v>2720</v>
      </c>
      <c r="U1281" s="11" t="s">
        <v>2721</v>
      </c>
      <c r="V1281" s="116" t="s">
        <v>10</v>
      </c>
      <c r="W1281" s="88"/>
      <c r="X1281" s="51">
        <v>45551</v>
      </c>
      <c r="Y1281" s="97" t="s">
        <v>68</v>
      </c>
      <c r="Z1281" s="135" t="s">
        <v>3023</v>
      </c>
      <c r="AA1281" s="135">
        <v>0</v>
      </c>
    </row>
    <row r="1282" spans="1:27" ht="13" customHeight="1">
      <c r="A1282" s="11">
        <v>1276</v>
      </c>
      <c r="B1282" s="47">
        <v>102205553</v>
      </c>
      <c r="C1282" s="89" t="s">
        <v>1435</v>
      </c>
      <c r="D1282" s="11" t="s">
        <v>1436</v>
      </c>
      <c r="E1282" s="48" t="s">
        <v>34</v>
      </c>
      <c r="F1282" s="48" t="s">
        <v>74</v>
      </c>
      <c r="G1282" s="11" t="s">
        <v>65</v>
      </c>
      <c r="H1282" s="48" t="str">
        <f>VLOOKUP(Table1[[#This Row],[Psoft No]],[1]Roster!$C$2:$H$1402,6,)</f>
        <v>AUH3</v>
      </c>
      <c r="I1282" s="48" t="b">
        <f>Table1[[#This Row],[Building]]=Table1[[#This Row],[Column1]]</f>
        <v>1</v>
      </c>
      <c r="J1282" s="11" t="s">
        <v>1332</v>
      </c>
      <c r="K1282" s="11">
        <v>1182</v>
      </c>
      <c r="L1282" s="49" t="s">
        <v>39</v>
      </c>
      <c r="M1282" s="49" t="s">
        <v>76</v>
      </c>
      <c r="N1282" s="49" t="s">
        <v>95</v>
      </c>
      <c r="O1282" s="49" t="s">
        <v>77</v>
      </c>
      <c r="P1282" s="48" t="s">
        <v>108</v>
      </c>
      <c r="Q1282" s="49" t="s">
        <v>68</v>
      </c>
      <c r="R1282" s="11" t="s">
        <v>80</v>
      </c>
      <c r="S1282" s="11" t="s">
        <v>98</v>
      </c>
      <c r="T1282" s="49" t="s">
        <v>2720</v>
      </c>
      <c r="U1282" s="11" t="s">
        <v>2721</v>
      </c>
      <c r="V1282" s="116" t="s">
        <v>1</v>
      </c>
      <c r="W1282" s="88"/>
      <c r="X1282" s="51">
        <v>42868</v>
      </c>
      <c r="Y1282" s="97" t="s">
        <v>68</v>
      </c>
      <c r="Z1282" s="135" t="s">
        <v>2</v>
      </c>
      <c r="AA1282" s="135">
        <v>0</v>
      </c>
    </row>
    <row r="1283" spans="1:27" ht="13" customHeight="1">
      <c r="A1283" s="11">
        <v>1277</v>
      </c>
      <c r="B1283" s="47">
        <v>206958449</v>
      </c>
      <c r="C1283" s="89" t="s">
        <v>2184</v>
      </c>
      <c r="D1283" s="11" t="s">
        <v>2185</v>
      </c>
      <c r="E1283" s="48" t="s">
        <v>31</v>
      </c>
      <c r="F1283" s="48" t="s">
        <v>74</v>
      </c>
      <c r="G1283" s="11" t="s">
        <v>65</v>
      </c>
      <c r="H1283" s="48" t="str">
        <f>VLOOKUP(Table1[[#This Row],[Psoft No]],[1]Roster!$C$2:$H$1402,6,)</f>
        <v>AUH3</v>
      </c>
      <c r="I1283" s="48" t="b">
        <f>Table1[[#This Row],[Building]]=Table1[[#This Row],[Column1]]</f>
        <v>1</v>
      </c>
      <c r="J1283" s="11" t="s">
        <v>1332</v>
      </c>
      <c r="K1283" s="11">
        <v>1181</v>
      </c>
      <c r="L1283" s="49" t="s">
        <v>39</v>
      </c>
      <c r="M1283" s="49" t="s">
        <v>76</v>
      </c>
      <c r="N1283" s="49" t="s">
        <v>88</v>
      </c>
      <c r="O1283" s="49" t="s">
        <v>95</v>
      </c>
      <c r="P1283" s="48" t="s">
        <v>79</v>
      </c>
      <c r="Q1283" s="49" t="s">
        <v>68</v>
      </c>
      <c r="R1283" s="11" t="s">
        <v>80</v>
      </c>
      <c r="S1283" s="11" t="s">
        <v>96</v>
      </c>
      <c r="T1283" s="11" t="s">
        <v>2720</v>
      </c>
      <c r="U1283" s="11" t="s">
        <v>2721</v>
      </c>
      <c r="V1283" s="116" t="s">
        <v>1</v>
      </c>
      <c r="W1283" s="88"/>
      <c r="X1283" s="51">
        <v>46048</v>
      </c>
      <c r="Y1283" s="97" t="s">
        <v>68</v>
      </c>
      <c r="Z1283" s="135" t="s">
        <v>2</v>
      </c>
      <c r="AA1283" s="135">
        <v>0</v>
      </c>
    </row>
    <row r="1284" spans="1:27" ht="13" customHeight="1">
      <c r="A1284" s="11">
        <v>1278</v>
      </c>
      <c r="B1284" s="47">
        <v>206851162</v>
      </c>
      <c r="C1284" s="89" t="s">
        <v>1737</v>
      </c>
      <c r="D1284" s="11" t="s">
        <v>1738</v>
      </c>
      <c r="E1284" s="48" t="s">
        <v>31</v>
      </c>
      <c r="F1284" s="48" t="s">
        <v>74</v>
      </c>
      <c r="G1284" s="11" t="s">
        <v>65</v>
      </c>
      <c r="H1284" s="48" t="str">
        <f>VLOOKUP(Table1[[#This Row],[Psoft No]],[1]Roster!$C$2:$H$1402,6,)</f>
        <v>AUH3</v>
      </c>
      <c r="I1284" s="48" t="b">
        <f>Table1[[#This Row],[Building]]=Table1[[#This Row],[Column1]]</f>
        <v>1</v>
      </c>
      <c r="J1284" s="11" t="s">
        <v>1332</v>
      </c>
      <c r="K1284" s="11">
        <v>1299</v>
      </c>
      <c r="L1284" s="49" t="s">
        <v>39</v>
      </c>
      <c r="M1284" s="49" t="s">
        <v>76</v>
      </c>
      <c r="N1284" s="49" t="s">
        <v>84</v>
      </c>
      <c r="O1284" s="49" t="s">
        <v>85</v>
      </c>
      <c r="P1284" s="48" t="s">
        <v>89</v>
      </c>
      <c r="Q1284" s="49" t="s">
        <v>68</v>
      </c>
      <c r="R1284" s="11" t="s">
        <v>80</v>
      </c>
      <c r="S1284" s="11" t="s">
        <v>90</v>
      </c>
      <c r="T1284" s="11" t="s">
        <v>2720</v>
      </c>
      <c r="U1284" s="11" t="s">
        <v>2721</v>
      </c>
      <c r="V1284" s="116" t="s">
        <v>1</v>
      </c>
      <c r="W1284" s="88"/>
      <c r="X1284" s="51">
        <v>46020</v>
      </c>
      <c r="Y1284" s="97" t="s">
        <v>68</v>
      </c>
      <c r="Z1284" s="135" t="s">
        <v>2</v>
      </c>
      <c r="AA1284" s="135">
        <v>0</v>
      </c>
    </row>
    <row r="1285" spans="1:27" ht="13" customHeight="1">
      <c r="A1285" s="11">
        <v>1279</v>
      </c>
      <c r="B1285" s="47">
        <v>204246603</v>
      </c>
      <c r="C1285" s="89" t="s">
        <v>393</v>
      </c>
      <c r="D1285" s="11" t="s">
        <v>394</v>
      </c>
      <c r="E1285" s="48" t="s">
        <v>31</v>
      </c>
      <c r="F1285" s="48" t="s">
        <v>74</v>
      </c>
      <c r="G1285" s="11" t="s">
        <v>65</v>
      </c>
      <c r="H1285" s="48" t="str">
        <f>VLOOKUP(Table1[[#This Row],[Psoft No]],[1]Roster!$C$2:$H$1402,6,)</f>
        <v>AUH3</v>
      </c>
      <c r="I1285" s="48" t="b">
        <f>Table1[[#This Row],[Building]]=Table1[[#This Row],[Column1]]</f>
        <v>1</v>
      </c>
      <c r="J1285" s="11" t="s">
        <v>75</v>
      </c>
      <c r="K1285" s="11">
        <v>1299</v>
      </c>
      <c r="L1285" s="49" t="s">
        <v>39</v>
      </c>
      <c r="M1285" s="49" t="s">
        <v>76</v>
      </c>
      <c r="N1285" s="49" t="s">
        <v>85</v>
      </c>
      <c r="O1285" s="49" t="s">
        <v>88</v>
      </c>
      <c r="P1285" s="48" t="s">
        <v>86</v>
      </c>
      <c r="Q1285" s="49" t="s">
        <v>68</v>
      </c>
      <c r="R1285" s="11" t="s">
        <v>80</v>
      </c>
      <c r="S1285" s="11" t="s">
        <v>87</v>
      </c>
      <c r="T1285" s="11" t="s">
        <v>2720</v>
      </c>
      <c r="U1285" s="11" t="s">
        <v>2721</v>
      </c>
      <c r="V1285" s="116" t="str">
        <f>VLOOKUP(Table1[[#This Row],[AMZ ID]],[2]Sheet3!$A$2:$E$50,5,0)</f>
        <v>PL</v>
      </c>
      <c r="W1285" s="88" t="s">
        <v>3015</v>
      </c>
      <c r="X1285" s="51">
        <v>45579</v>
      </c>
      <c r="Y1285" s="97" t="s">
        <v>68</v>
      </c>
      <c r="Z1285" s="135" t="s">
        <v>3023</v>
      </c>
      <c r="AA1285" s="135" t="s">
        <v>3015</v>
      </c>
    </row>
    <row r="1286" spans="1:27" ht="13" customHeight="1">
      <c r="A1286" s="11">
        <v>1280</v>
      </c>
      <c r="B1286" s="47">
        <v>205609755</v>
      </c>
      <c r="C1286" s="89" t="s">
        <v>2319</v>
      </c>
      <c r="D1286" s="11" t="s">
        <v>2320</v>
      </c>
      <c r="E1286" s="48" t="s">
        <v>31</v>
      </c>
      <c r="F1286" s="48" t="s">
        <v>74</v>
      </c>
      <c r="G1286" s="11" t="s">
        <v>65</v>
      </c>
      <c r="H1286" s="48" t="str">
        <f>VLOOKUP(Table1[[#This Row],[Psoft No]],[1]Roster!$C$2:$H$1402,6,)</f>
        <v>AUH3</v>
      </c>
      <c r="I1286" s="48" t="b">
        <f>Table1[[#This Row],[Building]]=Table1[[#This Row],[Column1]]</f>
        <v>1</v>
      </c>
      <c r="J1286" s="11" t="s">
        <v>1332</v>
      </c>
      <c r="K1286" s="11">
        <v>1299</v>
      </c>
      <c r="L1286" s="49" t="s">
        <v>39</v>
      </c>
      <c r="M1286" s="49" t="s">
        <v>76</v>
      </c>
      <c r="N1286" s="49" t="s">
        <v>78</v>
      </c>
      <c r="O1286" s="49" t="s">
        <v>92</v>
      </c>
      <c r="P1286" s="48" t="s">
        <v>89</v>
      </c>
      <c r="Q1286" s="49" t="s">
        <v>68</v>
      </c>
      <c r="R1286" s="11" t="s">
        <v>80</v>
      </c>
      <c r="S1286" s="11" t="s">
        <v>90</v>
      </c>
      <c r="T1286" s="11" t="s">
        <v>2720</v>
      </c>
      <c r="U1286" s="11" t="s">
        <v>2721</v>
      </c>
      <c r="V1286" s="116" t="s">
        <v>10</v>
      </c>
      <c r="W1286" s="88"/>
      <c r="X1286" s="51">
        <v>45845</v>
      </c>
      <c r="Y1286" s="97" t="s">
        <v>68</v>
      </c>
      <c r="Z1286" s="135" t="s">
        <v>3023</v>
      </c>
      <c r="AA1286" s="135">
        <v>0</v>
      </c>
    </row>
    <row r="1287" spans="1:27" ht="13" customHeight="1">
      <c r="A1287" s="11">
        <v>1281</v>
      </c>
      <c r="B1287" s="47">
        <v>205285507</v>
      </c>
      <c r="C1287" s="89" t="s">
        <v>1439</v>
      </c>
      <c r="D1287" s="11" t="s">
        <v>1993</v>
      </c>
      <c r="E1287" s="48" t="s">
        <v>31</v>
      </c>
      <c r="F1287" s="48" t="s">
        <v>74</v>
      </c>
      <c r="G1287" s="11" t="s">
        <v>65</v>
      </c>
      <c r="H1287" s="48" t="str">
        <f>VLOOKUP(Table1[[#This Row],[Psoft No]],[1]Roster!$C$2:$H$1402,6,)</f>
        <v>AUH3</v>
      </c>
      <c r="I1287" s="48" t="b">
        <f>Table1[[#This Row],[Building]]=Table1[[#This Row],[Column1]]</f>
        <v>1</v>
      </c>
      <c r="J1287" s="11" t="s">
        <v>1332</v>
      </c>
      <c r="K1287" s="11">
        <v>1299</v>
      </c>
      <c r="L1287" s="49" t="s">
        <v>39</v>
      </c>
      <c r="M1287" s="49" t="s">
        <v>76</v>
      </c>
      <c r="N1287" s="49" t="s">
        <v>95</v>
      </c>
      <c r="O1287" s="49" t="s">
        <v>77</v>
      </c>
      <c r="P1287" s="48" t="s">
        <v>89</v>
      </c>
      <c r="Q1287" s="49" t="s">
        <v>68</v>
      </c>
      <c r="R1287" s="11" t="s">
        <v>80</v>
      </c>
      <c r="S1287" s="11" t="s">
        <v>90</v>
      </c>
      <c r="T1287" s="11" t="s">
        <v>2720</v>
      </c>
      <c r="U1287" s="11" t="s">
        <v>2721</v>
      </c>
      <c r="V1287" s="116" t="s">
        <v>1</v>
      </c>
      <c r="W1287" s="88"/>
      <c r="X1287" s="51">
        <v>45796</v>
      </c>
      <c r="Y1287" s="97" t="s">
        <v>68</v>
      </c>
      <c r="Z1287" s="135" t="s">
        <v>2</v>
      </c>
      <c r="AA1287" s="135">
        <v>0</v>
      </c>
    </row>
    <row r="1288" spans="1:27" ht="13" customHeight="1">
      <c r="A1288" s="11">
        <v>1282</v>
      </c>
      <c r="B1288" s="47">
        <v>102207631</v>
      </c>
      <c r="C1288" s="89" t="s">
        <v>1440</v>
      </c>
      <c r="D1288" s="11" t="s">
        <v>1441</v>
      </c>
      <c r="E1288" s="48" t="s">
        <v>34</v>
      </c>
      <c r="F1288" s="48" t="s">
        <v>74</v>
      </c>
      <c r="G1288" s="11" t="s">
        <v>64</v>
      </c>
      <c r="H1288" s="48" t="str">
        <f>VLOOKUP(Table1[[#This Row],[Psoft No]],[1]Roster!$C$2:$H$1402,6,)</f>
        <v>AUH1</v>
      </c>
      <c r="I1288" s="48" t="b">
        <f>Table1[[#This Row],[Building]]=Table1[[#This Row],[Column1]]</f>
        <v>1</v>
      </c>
      <c r="J1288" s="11" t="s">
        <v>75</v>
      </c>
      <c r="K1288" s="11">
        <v>1299</v>
      </c>
      <c r="L1288" s="49" t="s">
        <v>32</v>
      </c>
      <c r="M1288" s="49" t="s">
        <v>76</v>
      </c>
      <c r="N1288" s="49" t="s">
        <v>77</v>
      </c>
      <c r="O1288" s="49" t="s">
        <v>78</v>
      </c>
      <c r="P1288" s="48" t="s">
        <v>1442</v>
      </c>
      <c r="Q1288" s="49" t="s">
        <v>67</v>
      </c>
      <c r="R1288" s="11" t="s">
        <v>1443</v>
      </c>
      <c r="S1288" s="11" t="s">
        <v>98</v>
      </c>
      <c r="T1288" s="11" t="s">
        <v>2722</v>
      </c>
      <c r="U1288" s="11" t="s">
        <v>2723</v>
      </c>
      <c r="V1288" s="116" t="str">
        <f>VLOOKUP(Table1[[#This Row],[Psoft No]],[2]Sheet1!$A$2:$G$386,7,0)</f>
        <v>P</v>
      </c>
      <c r="W1288" s="88"/>
      <c r="X1288" s="51">
        <v>42868</v>
      </c>
      <c r="Y1288" s="97" t="s">
        <v>1568</v>
      </c>
      <c r="Z1288" s="135" t="e">
        <v>#N/A</v>
      </c>
      <c r="AA1288" s="135" t="e">
        <v>#N/A</v>
      </c>
    </row>
    <row r="1289" spans="1:27" ht="13" customHeight="1">
      <c r="A1289" s="11">
        <v>1283</v>
      </c>
      <c r="B1289" s="47">
        <v>203073699</v>
      </c>
      <c r="C1289" s="89" t="s">
        <v>1444</v>
      </c>
      <c r="D1289" s="11" t="s">
        <v>1445</v>
      </c>
      <c r="E1289" s="48" t="s">
        <v>34</v>
      </c>
      <c r="F1289" s="48" t="s">
        <v>74</v>
      </c>
      <c r="G1289" s="11" t="s">
        <v>64</v>
      </c>
      <c r="H1289" s="48" t="str">
        <f>VLOOKUP(Table1[[#This Row],[Psoft No]],[1]Roster!$C$2:$H$1402,6,)</f>
        <v>AUH1</v>
      </c>
      <c r="I1289" s="48" t="b">
        <f>Table1[[#This Row],[Building]]=Table1[[#This Row],[Column1]]</f>
        <v>1</v>
      </c>
      <c r="J1289" s="11" t="s">
        <v>75</v>
      </c>
      <c r="K1289" s="11">
        <v>1712</v>
      </c>
      <c r="L1289" s="49" t="s">
        <v>38</v>
      </c>
      <c r="M1289" s="49" t="s">
        <v>76</v>
      </c>
      <c r="N1289" s="49" t="s">
        <v>95</v>
      </c>
      <c r="O1289" s="49" t="s">
        <v>77</v>
      </c>
      <c r="P1289" s="48" t="s">
        <v>1446</v>
      </c>
      <c r="Q1289" s="49" t="s">
        <v>1447</v>
      </c>
      <c r="R1289" s="11" t="s">
        <v>1443</v>
      </c>
      <c r="S1289" s="11" t="s">
        <v>98</v>
      </c>
      <c r="T1289" s="11" t="s">
        <v>1448</v>
      </c>
      <c r="U1289" s="11" t="s">
        <v>1449</v>
      </c>
      <c r="V1289" s="116" t="s">
        <v>1</v>
      </c>
      <c r="W1289" s="88"/>
      <c r="X1289" s="51">
        <v>45397</v>
      </c>
      <c r="Y1289" s="97" t="s">
        <v>1582</v>
      </c>
      <c r="Z1289" s="135" t="e">
        <v>#N/A</v>
      </c>
      <c r="AA1289" s="135" t="e">
        <v>#N/A</v>
      </c>
    </row>
    <row r="1290" spans="1:27" ht="13" customHeight="1">
      <c r="A1290" s="11">
        <v>1284</v>
      </c>
      <c r="B1290" s="47">
        <v>203160008</v>
      </c>
      <c r="C1290" s="89" t="s">
        <v>1450</v>
      </c>
      <c r="D1290" s="11" t="s">
        <v>1451</v>
      </c>
      <c r="E1290" s="48" t="s">
        <v>34</v>
      </c>
      <c r="F1290" s="48" t="s">
        <v>74</v>
      </c>
      <c r="G1290" s="11" t="s">
        <v>64</v>
      </c>
      <c r="H1290" s="48" t="str">
        <f>VLOOKUP(Table1[[#This Row],[Psoft No]],[1]Roster!$C$2:$H$1402,6,)</f>
        <v>AUH1</v>
      </c>
      <c r="I1290" s="48" t="b">
        <f>Table1[[#This Row],[Building]]=Table1[[#This Row],[Column1]]</f>
        <v>1</v>
      </c>
      <c r="J1290" s="11" t="s">
        <v>75</v>
      </c>
      <c r="K1290" s="11">
        <v>1712</v>
      </c>
      <c r="L1290" s="49" t="s">
        <v>39</v>
      </c>
      <c r="M1290" s="49" t="s">
        <v>76</v>
      </c>
      <c r="N1290" s="49" t="s">
        <v>85</v>
      </c>
      <c r="O1290" s="49" t="s">
        <v>88</v>
      </c>
      <c r="P1290" s="48" t="s">
        <v>1446</v>
      </c>
      <c r="Q1290" s="49" t="s">
        <v>1447</v>
      </c>
      <c r="R1290" s="11" t="s">
        <v>1443</v>
      </c>
      <c r="S1290" s="11" t="s">
        <v>98</v>
      </c>
      <c r="T1290" s="11" t="s">
        <v>1448</v>
      </c>
      <c r="U1290" s="11" t="s">
        <v>1449</v>
      </c>
      <c r="V1290" s="116" t="s">
        <v>1</v>
      </c>
      <c r="W1290" s="88"/>
      <c r="X1290" s="51">
        <v>45435</v>
      </c>
      <c r="Y1290" s="97" t="s">
        <v>1582</v>
      </c>
      <c r="Z1290" s="135" t="e">
        <v>#N/A</v>
      </c>
      <c r="AA1290" s="135" t="e">
        <v>#N/A</v>
      </c>
    </row>
    <row r="1291" spans="1:27" ht="13" customHeight="1">
      <c r="A1291" s="11">
        <v>1285</v>
      </c>
      <c r="B1291" s="47">
        <v>203118578</v>
      </c>
      <c r="C1291" s="89" t="s">
        <v>1452</v>
      </c>
      <c r="D1291" s="11" t="s">
        <v>1453</v>
      </c>
      <c r="E1291" s="48" t="s">
        <v>34</v>
      </c>
      <c r="F1291" s="48" t="s">
        <v>74</v>
      </c>
      <c r="G1291" s="11" t="s">
        <v>64</v>
      </c>
      <c r="H1291" s="48" t="str">
        <f>VLOOKUP(Table1[[#This Row],[Psoft No]],[1]Roster!$C$2:$H$1402,6,)</f>
        <v>AUH1</v>
      </c>
      <c r="I1291" s="48" t="b">
        <f>Table1[[#This Row],[Building]]=Table1[[#This Row],[Column1]]</f>
        <v>1</v>
      </c>
      <c r="J1291" s="11" t="s">
        <v>75</v>
      </c>
      <c r="K1291" s="11">
        <v>1712</v>
      </c>
      <c r="L1291" s="49" t="s">
        <v>32</v>
      </c>
      <c r="M1291" s="49" t="s">
        <v>76</v>
      </c>
      <c r="N1291" s="49" t="s">
        <v>85</v>
      </c>
      <c r="O1291" s="49" t="s">
        <v>88</v>
      </c>
      <c r="P1291" s="48" t="s">
        <v>1446</v>
      </c>
      <c r="Q1291" s="49" t="s">
        <v>1447</v>
      </c>
      <c r="R1291" s="11" t="s">
        <v>1443</v>
      </c>
      <c r="S1291" s="11" t="s">
        <v>98</v>
      </c>
      <c r="T1291" s="11" t="s">
        <v>1448</v>
      </c>
      <c r="U1291" s="11" t="s">
        <v>1449</v>
      </c>
      <c r="V1291" s="116" t="s">
        <v>1</v>
      </c>
      <c r="W1291" s="88"/>
      <c r="X1291" s="51">
        <v>45383</v>
      </c>
      <c r="Y1291" s="97" t="s">
        <v>1582</v>
      </c>
      <c r="Z1291" s="135" t="e">
        <v>#N/A</v>
      </c>
      <c r="AA1291" s="135" t="e">
        <v>#N/A</v>
      </c>
    </row>
    <row r="1292" spans="1:27" ht="13" customHeight="1">
      <c r="A1292" s="11">
        <v>1286</v>
      </c>
      <c r="B1292" s="47">
        <v>206238934</v>
      </c>
      <c r="C1292" s="89" t="s">
        <v>2886</v>
      </c>
      <c r="D1292" s="11" t="s">
        <v>2887</v>
      </c>
      <c r="E1292" s="48" t="s">
        <v>34</v>
      </c>
      <c r="F1292" s="48" t="s">
        <v>74</v>
      </c>
      <c r="G1292" s="11" t="s">
        <v>64</v>
      </c>
      <c r="H1292" s="48" t="str">
        <f>VLOOKUP(Table1[[#This Row],[Psoft No]],[1]Roster!$C$2:$H$1402,6,)</f>
        <v>AUH1</v>
      </c>
      <c r="I1292" s="48" t="b">
        <f>Table1[[#This Row],[Building]]=Table1[[#This Row],[Column1]]</f>
        <v>1</v>
      </c>
      <c r="J1292" s="11" t="s">
        <v>75</v>
      </c>
      <c r="K1292" s="11">
        <v>1299</v>
      </c>
      <c r="L1292" s="49" t="s">
        <v>32</v>
      </c>
      <c r="M1292" s="49" t="s">
        <v>76</v>
      </c>
      <c r="N1292" s="49" t="s">
        <v>77</v>
      </c>
      <c r="O1292" s="49" t="s">
        <v>78</v>
      </c>
      <c r="P1292" s="48" t="s">
        <v>1446</v>
      </c>
      <c r="Q1292" s="49" t="s">
        <v>1447</v>
      </c>
      <c r="R1292" s="11" t="s">
        <v>1443</v>
      </c>
      <c r="S1292" s="11" t="s">
        <v>98</v>
      </c>
      <c r="T1292" s="11" t="s">
        <v>1448</v>
      </c>
      <c r="U1292" s="11" t="s">
        <v>1449</v>
      </c>
      <c r="V1292" s="116" t="s">
        <v>1</v>
      </c>
      <c r="W1292" s="88"/>
      <c r="X1292" s="51">
        <v>46244</v>
      </c>
      <c r="Y1292" s="97" t="s">
        <v>1582</v>
      </c>
      <c r="Z1292" s="135" t="e">
        <v>#N/A</v>
      </c>
      <c r="AA1292" s="135" t="e">
        <v>#N/A</v>
      </c>
    </row>
    <row r="1293" spans="1:27" ht="13" customHeight="1">
      <c r="A1293" s="11">
        <v>1287</v>
      </c>
      <c r="B1293" s="47">
        <v>204043092</v>
      </c>
      <c r="C1293" s="89" t="s">
        <v>1454</v>
      </c>
      <c r="D1293" s="11" t="s">
        <v>1455</v>
      </c>
      <c r="E1293" s="48" t="s">
        <v>34</v>
      </c>
      <c r="F1293" s="48" t="s">
        <v>74</v>
      </c>
      <c r="G1293" s="11" t="s">
        <v>64</v>
      </c>
      <c r="H1293" s="48" t="str">
        <f>VLOOKUP(Table1[[#This Row],[Psoft No]],[1]Roster!$C$2:$H$1402,6,)</f>
        <v>AUH1</v>
      </c>
      <c r="I1293" s="48" t="b">
        <f>Table1[[#This Row],[Building]]=Table1[[#This Row],[Column1]]</f>
        <v>1</v>
      </c>
      <c r="J1293" s="11" t="s">
        <v>75</v>
      </c>
      <c r="K1293" s="11">
        <v>1712</v>
      </c>
      <c r="L1293" s="49" t="s">
        <v>39</v>
      </c>
      <c r="M1293" s="49" t="s">
        <v>76</v>
      </c>
      <c r="N1293" s="49" t="s">
        <v>84</v>
      </c>
      <c r="O1293" s="49" t="s">
        <v>85</v>
      </c>
      <c r="P1293" s="48" t="s">
        <v>1446</v>
      </c>
      <c r="Q1293" s="49" t="s">
        <v>1447</v>
      </c>
      <c r="R1293" s="11" t="s">
        <v>1443</v>
      </c>
      <c r="S1293" s="11" t="s">
        <v>98</v>
      </c>
      <c r="T1293" s="11" t="s">
        <v>1448</v>
      </c>
      <c r="U1293" s="11" t="s">
        <v>1449</v>
      </c>
      <c r="V1293" s="116" t="s">
        <v>1</v>
      </c>
      <c r="W1293" s="88"/>
      <c r="X1293" s="51">
        <v>45607</v>
      </c>
      <c r="Y1293" s="97" t="s">
        <v>1582</v>
      </c>
      <c r="Z1293" s="135" t="e">
        <v>#N/A</v>
      </c>
      <c r="AA1293" s="135" t="e">
        <v>#N/A</v>
      </c>
    </row>
    <row r="1294" spans="1:27" ht="13" customHeight="1">
      <c r="A1294" s="11">
        <v>1288</v>
      </c>
      <c r="B1294" s="47">
        <v>203052485</v>
      </c>
      <c r="C1294" s="89" t="s">
        <v>1456</v>
      </c>
      <c r="D1294" s="11" t="s">
        <v>1457</v>
      </c>
      <c r="E1294" s="48" t="s">
        <v>34</v>
      </c>
      <c r="F1294" s="48" t="s">
        <v>74</v>
      </c>
      <c r="G1294" s="11" t="s">
        <v>64</v>
      </c>
      <c r="H1294" s="48" t="str">
        <f>VLOOKUP(Table1[[#This Row],[Psoft No]],[1]Roster!$C$2:$H$1402,6,)</f>
        <v>AUH1</v>
      </c>
      <c r="I1294" s="48" t="b">
        <f>Table1[[#This Row],[Building]]=Table1[[#This Row],[Column1]]</f>
        <v>1</v>
      </c>
      <c r="J1294" s="11" t="s">
        <v>75</v>
      </c>
      <c r="K1294" s="11">
        <v>1712</v>
      </c>
      <c r="L1294" s="49" t="s">
        <v>32</v>
      </c>
      <c r="M1294" s="49" t="s">
        <v>76</v>
      </c>
      <c r="N1294" s="49" t="s">
        <v>77</v>
      </c>
      <c r="O1294" s="49" t="s">
        <v>78</v>
      </c>
      <c r="P1294" s="48" t="s">
        <v>1446</v>
      </c>
      <c r="Q1294" s="49" t="s">
        <v>1447</v>
      </c>
      <c r="R1294" s="11" t="s">
        <v>1443</v>
      </c>
      <c r="S1294" s="11" t="s">
        <v>98</v>
      </c>
      <c r="T1294" s="11" t="s">
        <v>1448</v>
      </c>
      <c r="U1294" s="11" t="s">
        <v>1449</v>
      </c>
      <c r="V1294" s="116" t="s">
        <v>1</v>
      </c>
      <c r="W1294" s="88"/>
      <c r="X1294" s="51">
        <v>45397</v>
      </c>
      <c r="Y1294" s="97" t="s">
        <v>1582</v>
      </c>
      <c r="Z1294" s="135" t="e">
        <v>#N/A</v>
      </c>
      <c r="AA1294" s="135" t="e">
        <v>#N/A</v>
      </c>
    </row>
    <row r="1295" spans="1:27" ht="13" customHeight="1">
      <c r="A1295" s="11">
        <v>1289</v>
      </c>
      <c r="B1295" s="47">
        <v>207574273</v>
      </c>
      <c r="C1295" s="89" t="s">
        <v>2847</v>
      </c>
      <c r="D1295" s="11" t="s">
        <v>2848</v>
      </c>
      <c r="E1295" s="48" t="s">
        <v>34</v>
      </c>
      <c r="F1295" s="48" t="s">
        <v>74</v>
      </c>
      <c r="G1295" s="11" t="s">
        <v>64</v>
      </c>
      <c r="H1295" s="48" t="str">
        <f>VLOOKUP(Table1[[#This Row],[Psoft No]],[1]Roster!$C$2:$H$1402,6,)</f>
        <v>AUH1</v>
      </c>
      <c r="I1295" s="48" t="b">
        <f>Table1[[#This Row],[Building]]=Table1[[#This Row],[Column1]]</f>
        <v>1</v>
      </c>
      <c r="J1295" s="11" t="s">
        <v>75</v>
      </c>
      <c r="K1295" s="11">
        <v>1712</v>
      </c>
      <c r="L1295" s="49" t="s">
        <v>32</v>
      </c>
      <c r="M1295" s="49" t="s">
        <v>76</v>
      </c>
      <c r="N1295" s="49" t="s">
        <v>77</v>
      </c>
      <c r="O1295" s="49" t="s">
        <v>78</v>
      </c>
      <c r="P1295" s="48" t="s">
        <v>1446</v>
      </c>
      <c r="Q1295" s="49" t="s">
        <v>1447</v>
      </c>
      <c r="R1295" s="11" t="s">
        <v>1443</v>
      </c>
      <c r="S1295" s="11" t="s">
        <v>98</v>
      </c>
      <c r="T1295" s="11" t="s">
        <v>1448</v>
      </c>
      <c r="U1295" s="11" t="s">
        <v>1449</v>
      </c>
      <c r="V1295" s="116" t="s">
        <v>1</v>
      </c>
      <c r="W1295" s="88"/>
      <c r="X1295" s="51">
        <v>46230</v>
      </c>
      <c r="Y1295" s="97" t="s">
        <v>1582</v>
      </c>
      <c r="Z1295" s="135" t="e">
        <v>#N/A</v>
      </c>
      <c r="AA1295" s="135" t="e">
        <v>#N/A</v>
      </c>
    </row>
    <row r="1296" spans="1:27" ht="13" customHeight="1">
      <c r="A1296" s="11">
        <v>1290</v>
      </c>
      <c r="B1296" s="47">
        <v>203160007</v>
      </c>
      <c r="C1296" s="89" t="s">
        <v>1458</v>
      </c>
      <c r="D1296" s="11" t="s">
        <v>1459</v>
      </c>
      <c r="E1296" s="48" t="s">
        <v>34</v>
      </c>
      <c r="F1296" s="48" t="s">
        <v>74</v>
      </c>
      <c r="G1296" s="11" t="s">
        <v>64</v>
      </c>
      <c r="H1296" s="48" t="str">
        <f>VLOOKUP(Table1[[#This Row],[Psoft No]],[1]Roster!$C$2:$H$1402,6,)</f>
        <v>AUH1</v>
      </c>
      <c r="I1296" s="48" t="b">
        <f>Table1[[#This Row],[Building]]=Table1[[#This Row],[Column1]]</f>
        <v>1</v>
      </c>
      <c r="J1296" s="11" t="s">
        <v>75</v>
      </c>
      <c r="K1296" s="11">
        <v>1712</v>
      </c>
      <c r="L1296" s="49" t="s">
        <v>39</v>
      </c>
      <c r="M1296" s="49" t="s">
        <v>76</v>
      </c>
      <c r="N1296" s="49" t="s">
        <v>88</v>
      </c>
      <c r="O1296" s="49" t="s">
        <v>95</v>
      </c>
      <c r="P1296" s="48" t="s">
        <v>1446</v>
      </c>
      <c r="Q1296" s="49" t="s">
        <v>1447</v>
      </c>
      <c r="R1296" s="11" t="s">
        <v>1443</v>
      </c>
      <c r="S1296" s="11" t="s">
        <v>98</v>
      </c>
      <c r="T1296" s="11" t="s">
        <v>1448</v>
      </c>
      <c r="U1296" s="11" t="s">
        <v>1449</v>
      </c>
      <c r="V1296" s="116" t="s">
        <v>1</v>
      </c>
      <c r="W1296" s="88"/>
      <c r="X1296" s="51">
        <v>45453</v>
      </c>
      <c r="Y1296" s="97" t="s">
        <v>1582</v>
      </c>
      <c r="Z1296" s="135" t="e">
        <v>#N/A</v>
      </c>
      <c r="AA1296" s="135" t="e">
        <v>#N/A</v>
      </c>
    </row>
    <row r="1297" spans="1:27" ht="13" customHeight="1">
      <c r="A1297" s="11">
        <v>1291</v>
      </c>
      <c r="B1297" s="47">
        <v>113015344</v>
      </c>
      <c r="C1297" s="89" t="s">
        <v>1460</v>
      </c>
      <c r="D1297" s="11" t="s">
        <v>1461</v>
      </c>
      <c r="E1297" s="48" t="s">
        <v>34</v>
      </c>
      <c r="F1297" s="48" t="s">
        <v>74</v>
      </c>
      <c r="G1297" s="11" t="s">
        <v>64</v>
      </c>
      <c r="H1297" s="48" t="str">
        <f>VLOOKUP(Table1[[#This Row],[Psoft No]],[1]Roster!$C$2:$H$1402,6,)</f>
        <v>AUH1</v>
      </c>
      <c r="I1297" s="48" t="b">
        <f>Table1[[#This Row],[Building]]=Table1[[#This Row],[Column1]]</f>
        <v>1</v>
      </c>
      <c r="J1297" s="11" t="s">
        <v>75</v>
      </c>
      <c r="K1297" s="11">
        <v>1712</v>
      </c>
      <c r="L1297" s="49" t="s">
        <v>39</v>
      </c>
      <c r="M1297" s="49" t="s">
        <v>76</v>
      </c>
      <c r="N1297" s="49" t="s">
        <v>77</v>
      </c>
      <c r="O1297" s="49" t="s">
        <v>78</v>
      </c>
      <c r="P1297" s="48" t="s">
        <v>1446</v>
      </c>
      <c r="Q1297" s="49" t="s">
        <v>1447</v>
      </c>
      <c r="R1297" s="11" t="s">
        <v>1443</v>
      </c>
      <c r="S1297" s="11" t="s">
        <v>98</v>
      </c>
      <c r="T1297" s="11" t="s">
        <v>1448</v>
      </c>
      <c r="U1297" s="11" t="s">
        <v>1449</v>
      </c>
      <c r="V1297" s="116" t="s">
        <v>1</v>
      </c>
      <c r="W1297" s="88"/>
      <c r="X1297" s="51">
        <v>44823</v>
      </c>
      <c r="Y1297" s="97" t="s">
        <v>1582</v>
      </c>
      <c r="Z1297" s="135" t="e">
        <v>#N/A</v>
      </c>
      <c r="AA1297" s="135" t="e">
        <v>#N/A</v>
      </c>
    </row>
    <row r="1298" spans="1:27" ht="13" customHeight="1">
      <c r="A1298" s="11">
        <v>1292</v>
      </c>
      <c r="B1298" s="47">
        <v>203160009</v>
      </c>
      <c r="C1298" s="89" t="s">
        <v>1462</v>
      </c>
      <c r="D1298" s="11" t="s">
        <v>1463</v>
      </c>
      <c r="E1298" s="48" t="s">
        <v>34</v>
      </c>
      <c r="F1298" s="48" t="s">
        <v>74</v>
      </c>
      <c r="G1298" s="11" t="s">
        <v>64</v>
      </c>
      <c r="H1298" s="48" t="str">
        <f>VLOOKUP(Table1[[#This Row],[Psoft No]],[1]Roster!$C$2:$H$1402,6,)</f>
        <v>AUH1</v>
      </c>
      <c r="I1298" s="48" t="b">
        <f>Table1[[#This Row],[Building]]=Table1[[#This Row],[Column1]]</f>
        <v>1</v>
      </c>
      <c r="J1298" s="11" t="s">
        <v>75</v>
      </c>
      <c r="K1298" s="11">
        <v>1712</v>
      </c>
      <c r="L1298" s="49" t="s">
        <v>38</v>
      </c>
      <c r="M1298" s="49" t="s">
        <v>76</v>
      </c>
      <c r="N1298" s="49" t="s">
        <v>78</v>
      </c>
      <c r="O1298" s="49" t="s">
        <v>92</v>
      </c>
      <c r="P1298" s="48" t="s">
        <v>1446</v>
      </c>
      <c r="Q1298" s="49" t="s">
        <v>1447</v>
      </c>
      <c r="R1298" s="11" t="s">
        <v>1443</v>
      </c>
      <c r="S1298" s="11" t="s">
        <v>98</v>
      </c>
      <c r="T1298" s="11" t="s">
        <v>1448</v>
      </c>
      <c r="U1298" s="11" t="s">
        <v>1449</v>
      </c>
      <c r="V1298" s="116" t="s">
        <v>10</v>
      </c>
      <c r="W1298" s="88"/>
      <c r="X1298" s="51">
        <v>45446</v>
      </c>
      <c r="Y1298" s="97" t="s">
        <v>1582</v>
      </c>
      <c r="Z1298" s="135" t="e">
        <v>#N/A</v>
      </c>
      <c r="AA1298" s="135" t="e">
        <v>#N/A</v>
      </c>
    </row>
    <row r="1299" spans="1:27" ht="13" customHeight="1">
      <c r="A1299" s="11">
        <v>1293</v>
      </c>
      <c r="B1299" s="47">
        <v>203118579</v>
      </c>
      <c r="C1299" s="89" t="s">
        <v>1464</v>
      </c>
      <c r="D1299" s="11" t="s">
        <v>1465</v>
      </c>
      <c r="E1299" s="48" t="s">
        <v>34</v>
      </c>
      <c r="F1299" s="48" t="s">
        <v>74</v>
      </c>
      <c r="G1299" s="11" t="s">
        <v>64</v>
      </c>
      <c r="H1299" s="48" t="str">
        <f>VLOOKUP(Table1[[#This Row],[Psoft No]],[1]Roster!$C$2:$H$1402,6,)</f>
        <v>AUH1</v>
      </c>
      <c r="I1299" s="48" t="b">
        <f>Table1[[#This Row],[Building]]=Table1[[#This Row],[Column1]]</f>
        <v>1</v>
      </c>
      <c r="J1299" s="11" t="s">
        <v>75</v>
      </c>
      <c r="K1299" s="11">
        <v>1712</v>
      </c>
      <c r="L1299" s="49" t="s">
        <v>32</v>
      </c>
      <c r="M1299" s="49" t="s">
        <v>76</v>
      </c>
      <c r="N1299" s="49" t="s">
        <v>88</v>
      </c>
      <c r="O1299" s="49" t="s">
        <v>95</v>
      </c>
      <c r="P1299" s="48" t="s">
        <v>1446</v>
      </c>
      <c r="Q1299" s="49" t="s">
        <v>1447</v>
      </c>
      <c r="R1299" s="11" t="s">
        <v>1443</v>
      </c>
      <c r="S1299" s="11" t="s">
        <v>98</v>
      </c>
      <c r="T1299" s="49" t="s">
        <v>1448</v>
      </c>
      <c r="U1299" s="11" t="s">
        <v>1449</v>
      </c>
      <c r="V1299" s="116" t="s">
        <v>1</v>
      </c>
      <c r="W1299" s="88"/>
      <c r="X1299" s="51">
        <v>45378</v>
      </c>
      <c r="Y1299" s="97" t="s">
        <v>1582</v>
      </c>
      <c r="Z1299" s="135" t="e">
        <v>#N/A</v>
      </c>
      <c r="AA1299" s="135" t="e">
        <v>#N/A</v>
      </c>
    </row>
    <row r="1300" spans="1:27" ht="13" customHeight="1">
      <c r="A1300" s="11">
        <v>1294</v>
      </c>
      <c r="B1300" s="47">
        <v>203073561</v>
      </c>
      <c r="C1300" s="89" t="s">
        <v>1466</v>
      </c>
      <c r="D1300" s="11" t="s">
        <v>1467</v>
      </c>
      <c r="E1300" s="48" t="s">
        <v>34</v>
      </c>
      <c r="F1300" s="48" t="s">
        <v>74</v>
      </c>
      <c r="G1300" s="11" t="s">
        <v>64</v>
      </c>
      <c r="H1300" s="48" t="str">
        <f>VLOOKUP(Table1[[#This Row],[Psoft No]],[1]Roster!$C$2:$H$1402,6,)</f>
        <v>AUH1</v>
      </c>
      <c r="I1300" s="48" t="b">
        <f>Table1[[#This Row],[Building]]=Table1[[#This Row],[Column1]]</f>
        <v>1</v>
      </c>
      <c r="J1300" s="11" t="s">
        <v>75</v>
      </c>
      <c r="K1300" s="11">
        <v>1712</v>
      </c>
      <c r="L1300" s="49" t="s">
        <v>38</v>
      </c>
      <c r="M1300" s="49" t="s">
        <v>76</v>
      </c>
      <c r="N1300" s="49" t="s">
        <v>85</v>
      </c>
      <c r="O1300" s="49" t="s">
        <v>88</v>
      </c>
      <c r="P1300" s="48" t="s">
        <v>1446</v>
      </c>
      <c r="Q1300" s="49" t="s">
        <v>1447</v>
      </c>
      <c r="R1300" s="11" t="s">
        <v>1443</v>
      </c>
      <c r="S1300" s="11" t="s">
        <v>98</v>
      </c>
      <c r="T1300" s="11" t="s">
        <v>1448</v>
      </c>
      <c r="U1300" s="11" t="s">
        <v>1449</v>
      </c>
      <c r="V1300" s="116" t="s">
        <v>1</v>
      </c>
      <c r="W1300" s="88"/>
      <c r="X1300" s="51">
        <v>45397</v>
      </c>
      <c r="Y1300" s="97" t="s">
        <v>1582</v>
      </c>
      <c r="Z1300" s="135" t="e">
        <v>#N/A</v>
      </c>
      <c r="AA1300" s="135" t="e">
        <v>#N/A</v>
      </c>
    </row>
    <row r="1301" spans="1:27" ht="13" customHeight="1">
      <c r="A1301" s="11">
        <v>1295</v>
      </c>
      <c r="B1301" s="47">
        <v>203052856</v>
      </c>
      <c r="C1301" s="89" t="s">
        <v>1468</v>
      </c>
      <c r="D1301" s="11" t="s">
        <v>1469</v>
      </c>
      <c r="E1301" s="48" t="s">
        <v>34</v>
      </c>
      <c r="F1301" s="48" t="s">
        <v>74</v>
      </c>
      <c r="G1301" s="11" t="s">
        <v>64</v>
      </c>
      <c r="H1301" s="48" t="str">
        <f>VLOOKUP(Table1[[#This Row],[Psoft No]],[1]Roster!$C$2:$H$1402,6,)</f>
        <v>AUH1</v>
      </c>
      <c r="I1301" s="48" t="b">
        <f>Table1[[#This Row],[Building]]=Table1[[#This Row],[Column1]]</f>
        <v>1</v>
      </c>
      <c r="J1301" s="11" t="s">
        <v>75</v>
      </c>
      <c r="K1301" s="11">
        <v>1712</v>
      </c>
      <c r="L1301" s="49" t="s">
        <v>32</v>
      </c>
      <c r="M1301" s="49" t="s">
        <v>76</v>
      </c>
      <c r="N1301" s="49" t="s">
        <v>95</v>
      </c>
      <c r="O1301" s="49" t="s">
        <v>77</v>
      </c>
      <c r="P1301" s="48" t="s">
        <v>1446</v>
      </c>
      <c r="Q1301" s="49" t="s">
        <v>1447</v>
      </c>
      <c r="R1301" s="11" t="s">
        <v>1443</v>
      </c>
      <c r="S1301" s="11" t="s">
        <v>98</v>
      </c>
      <c r="T1301" s="49" t="s">
        <v>1448</v>
      </c>
      <c r="U1301" s="11" t="s">
        <v>1449</v>
      </c>
      <c r="V1301" s="116" t="s">
        <v>7</v>
      </c>
      <c r="W1301" s="88"/>
      <c r="X1301" s="51">
        <v>45411</v>
      </c>
      <c r="Y1301" s="97" t="s">
        <v>1582</v>
      </c>
      <c r="Z1301" s="135" t="e">
        <v>#N/A</v>
      </c>
      <c r="AA1301" s="135" t="e">
        <v>#N/A</v>
      </c>
    </row>
    <row r="1302" spans="1:27" ht="13" customHeight="1">
      <c r="A1302" s="11">
        <v>1296</v>
      </c>
      <c r="B1302" s="47">
        <v>203073425</v>
      </c>
      <c r="C1302" s="89" t="s">
        <v>1470</v>
      </c>
      <c r="D1302" s="11" t="s">
        <v>1471</v>
      </c>
      <c r="E1302" s="48" t="s">
        <v>34</v>
      </c>
      <c r="F1302" s="48" t="s">
        <v>74</v>
      </c>
      <c r="G1302" s="11" t="s">
        <v>64</v>
      </c>
      <c r="H1302" s="48" t="str">
        <f>VLOOKUP(Table1[[#This Row],[Psoft No]],[1]Roster!$C$2:$H$1402,6,)</f>
        <v>AUH1</v>
      </c>
      <c r="I1302" s="48" t="b">
        <f>Table1[[#This Row],[Building]]=Table1[[#This Row],[Column1]]</f>
        <v>1</v>
      </c>
      <c r="J1302" s="11" t="s">
        <v>75</v>
      </c>
      <c r="K1302" s="11">
        <v>1712</v>
      </c>
      <c r="L1302" s="49" t="s">
        <v>38</v>
      </c>
      <c r="M1302" s="49" t="s">
        <v>76</v>
      </c>
      <c r="N1302" s="49" t="s">
        <v>36</v>
      </c>
      <c r="O1302" s="49" t="s">
        <v>78</v>
      </c>
      <c r="P1302" s="48" t="s">
        <v>1446</v>
      </c>
      <c r="Q1302" s="49" t="s">
        <v>1447</v>
      </c>
      <c r="R1302" s="11" t="s">
        <v>1443</v>
      </c>
      <c r="S1302" s="11" t="s">
        <v>98</v>
      </c>
      <c r="T1302" s="11" t="s">
        <v>1448</v>
      </c>
      <c r="U1302" s="11" t="s">
        <v>1449</v>
      </c>
      <c r="V1302" s="116" t="s">
        <v>10</v>
      </c>
      <c r="W1302" s="88"/>
      <c r="X1302" s="51">
        <v>45411</v>
      </c>
      <c r="Y1302" s="97" t="s">
        <v>1582</v>
      </c>
      <c r="Z1302" s="135" t="e">
        <v>#N/A</v>
      </c>
      <c r="AA1302" s="135" t="e">
        <v>#N/A</v>
      </c>
    </row>
    <row r="1303" spans="1:27" ht="13" customHeight="1">
      <c r="A1303" s="11">
        <v>1297</v>
      </c>
      <c r="B1303" s="47">
        <v>204241393</v>
      </c>
      <c r="C1303" s="89" t="s">
        <v>424</v>
      </c>
      <c r="D1303" s="11" t="s">
        <v>425</v>
      </c>
      <c r="E1303" s="48" t="s">
        <v>31</v>
      </c>
      <c r="F1303" s="48" t="s">
        <v>74</v>
      </c>
      <c r="G1303" s="11" t="s">
        <v>64</v>
      </c>
      <c r="H1303" s="48" t="str">
        <f>VLOOKUP(Table1[[#This Row],[Psoft No]],[1]Roster!$C$2:$H$1402,6,)</f>
        <v>AUH1</v>
      </c>
      <c r="I1303" s="48" t="b">
        <f>Table1[[#This Row],[Building]]=Table1[[#This Row],[Column1]]</f>
        <v>1</v>
      </c>
      <c r="J1303" s="11" t="s">
        <v>75</v>
      </c>
      <c r="K1303" s="11">
        <v>1299</v>
      </c>
      <c r="L1303" s="49" t="s">
        <v>32</v>
      </c>
      <c r="M1303" s="49" t="s">
        <v>76</v>
      </c>
      <c r="N1303" s="49" t="s">
        <v>78</v>
      </c>
      <c r="O1303" s="49" t="s">
        <v>92</v>
      </c>
      <c r="P1303" s="48" t="s">
        <v>86</v>
      </c>
      <c r="Q1303" s="49" t="s">
        <v>35</v>
      </c>
      <c r="R1303" s="11" t="s">
        <v>80</v>
      </c>
      <c r="S1303" s="11" t="s">
        <v>87</v>
      </c>
      <c r="T1303" s="11" t="s">
        <v>224</v>
      </c>
      <c r="U1303" s="11" t="s">
        <v>2715</v>
      </c>
      <c r="V1303" s="116" t="s">
        <v>10</v>
      </c>
      <c r="W1303" s="88"/>
      <c r="X1303" s="51">
        <v>45579</v>
      </c>
      <c r="Y1303" s="97" t="s">
        <v>1572</v>
      </c>
      <c r="Z1303" s="135" t="s">
        <v>3023</v>
      </c>
      <c r="AA1303" s="135">
        <v>0</v>
      </c>
    </row>
    <row r="1304" spans="1:27" ht="13" customHeight="1">
      <c r="A1304" s="11">
        <v>1298</v>
      </c>
      <c r="B1304" s="47">
        <v>207383780</v>
      </c>
      <c r="C1304" s="89" t="s">
        <v>2323</v>
      </c>
      <c r="D1304" s="11" t="s">
        <v>2324</v>
      </c>
      <c r="E1304" s="48" t="s">
        <v>31</v>
      </c>
      <c r="F1304" s="48" t="s">
        <v>74</v>
      </c>
      <c r="G1304" s="11" t="s">
        <v>64</v>
      </c>
      <c r="H1304" s="48" t="str">
        <f>VLOOKUP(Table1[[#This Row],[Psoft No]],[1]Roster!$C$2:$H$1402,6,)</f>
        <v>AUH1</v>
      </c>
      <c r="I1304" s="48" t="b">
        <f>Table1[[#This Row],[Building]]=Table1[[#This Row],[Column1]]</f>
        <v>1</v>
      </c>
      <c r="J1304" s="11" t="s">
        <v>75</v>
      </c>
      <c r="K1304" s="11">
        <v>1299</v>
      </c>
      <c r="L1304" s="49" t="s">
        <v>39</v>
      </c>
      <c r="M1304" s="49" t="s">
        <v>76</v>
      </c>
      <c r="N1304" s="49" t="s">
        <v>85</v>
      </c>
      <c r="O1304" s="49" t="s">
        <v>88</v>
      </c>
      <c r="P1304" s="48" t="s">
        <v>2205</v>
      </c>
      <c r="Q1304" s="49" t="s">
        <v>1475</v>
      </c>
      <c r="R1304" s="11" t="s">
        <v>1443</v>
      </c>
      <c r="S1304" s="11" t="s">
        <v>96</v>
      </c>
      <c r="T1304" s="11" t="s">
        <v>2199</v>
      </c>
      <c r="U1304" s="11" t="s">
        <v>2726</v>
      </c>
      <c r="V1304" s="116" t="s">
        <v>7</v>
      </c>
      <c r="W1304" s="88" t="s">
        <v>3015</v>
      </c>
      <c r="X1304" s="51">
        <v>46141</v>
      </c>
      <c r="Y1304" s="97" t="s">
        <v>1583</v>
      </c>
      <c r="Z1304" s="135" t="s">
        <v>3023</v>
      </c>
      <c r="AA1304" s="135">
        <v>0</v>
      </c>
    </row>
    <row r="1305" spans="1:27" ht="13" customHeight="1">
      <c r="A1305" s="11">
        <v>1299</v>
      </c>
      <c r="B1305" s="47">
        <v>112875012</v>
      </c>
      <c r="C1305" s="89" t="s">
        <v>2343</v>
      </c>
      <c r="D1305" s="11" t="s">
        <v>2344</v>
      </c>
      <c r="E1305" s="48" t="s">
        <v>34</v>
      </c>
      <c r="F1305" s="48" t="s">
        <v>74</v>
      </c>
      <c r="G1305" s="11" t="s">
        <v>64</v>
      </c>
      <c r="H1305" s="48" t="str">
        <f>VLOOKUP(Table1[[#This Row],[Psoft No]],[1]Roster!$C$2:$H$1402,6,)</f>
        <v>AUH1</v>
      </c>
      <c r="I1305" s="48" t="b">
        <f>Table1[[#This Row],[Building]]=Table1[[#This Row],[Column1]]</f>
        <v>1</v>
      </c>
      <c r="J1305" s="11" t="s">
        <v>75</v>
      </c>
      <c r="K1305" s="11">
        <v>1299</v>
      </c>
      <c r="L1305" s="49" t="s">
        <v>32</v>
      </c>
      <c r="M1305" s="49" t="s">
        <v>76</v>
      </c>
      <c r="N1305" s="49" t="s">
        <v>78</v>
      </c>
      <c r="O1305" s="49" t="s">
        <v>92</v>
      </c>
      <c r="P1305" s="48" t="s">
        <v>1476</v>
      </c>
      <c r="Q1305" s="49" t="s">
        <v>1475</v>
      </c>
      <c r="R1305" s="11" t="s">
        <v>1443</v>
      </c>
      <c r="S1305" s="11" t="s">
        <v>98</v>
      </c>
      <c r="T1305" s="49" t="s">
        <v>2199</v>
      </c>
      <c r="U1305" s="11" t="s">
        <v>2726</v>
      </c>
      <c r="V1305" s="116" t="s">
        <v>10</v>
      </c>
      <c r="W1305" s="88"/>
      <c r="X1305" s="51">
        <v>45250</v>
      </c>
      <c r="Y1305" s="97" t="s">
        <v>1583</v>
      </c>
      <c r="Z1305" s="135" t="e">
        <v>#N/A</v>
      </c>
      <c r="AA1305" s="135" t="e">
        <v>#N/A</v>
      </c>
    </row>
    <row r="1306" spans="1:27" ht="13" customHeight="1">
      <c r="A1306" s="11">
        <v>1300</v>
      </c>
      <c r="B1306" s="47">
        <v>204341339</v>
      </c>
      <c r="C1306" s="89" t="s">
        <v>1477</v>
      </c>
      <c r="D1306" s="11" t="s">
        <v>1478</v>
      </c>
      <c r="E1306" s="48" t="s">
        <v>31</v>
      </c>
      <c r="F1306" s="48" t="s">
        <v>74</v>
      </c>
      <c r="G1306" s="11" t="s">
        <v>64</v>
      </c>
      <c r="H1306" s="48" t="str">
        <f>VLOOKUP(Table1[[#This Row],[Psoft No]],[1]Roster!$C$2:$H$1402,6,)</f>
        <v>AUH1</v>
      </c>
      <c r="I1306" s="48" t="b">
        <f>Table1[[#This Row],[Building]]=Table1[[#This Row],[Column1]]</f>
        <v>1</v>
      </c>
      <c r="J1306" s="11" t="s">
        <v>75</v>
      </c>
      <c r="K1306" s="11">
        <v>1299</v>
      </c>
      <c r="L1306" s="49" t="s">
        <v>32</v>
      </c>
      <c r="M1306" s="49" t="s">
        <v>76</v>
      </c>
      <c r="N1306" s="49" t="s">
        <v>85</v>
      </c>
      <c r="O1306" s="49" t="s">
        <v>88</v>
      </c>
      <c r="P1306" s="48" t="s">
        <v>1479</v>
      </c>
      <c r="Q1306" s="49" t="s">
        <v>1475</v>
      </c>
      <c r="R1306" s="11" t="s">
        <v>1443</v>
      </c>
      <c r="S1306" s="11" t="s">
        <v>90</v>
      </c>
      <c r="T1306" s="11" t="s">
        <v>2199</v>
      </c>
      <c r="U1306" s="11" t="s">
        <v>2726</v>
      </c>
      <c r="V1306" s="137" t="str">
        <f>VLOOKUP(Table1[[#This Row],[Psoft No]],[2]Sheet1!$A$2:$G$386,7,0)</f>
        <v>P</v>
      </c>
      <c r="W1306" s="88"/>
      <c r="X1306" s="51">
        <v>45589</v>
      </c>
      <c r="Y1306" s="97" t="s">
        <v>1583</v>
      </c>
      <c r="Z1306" s="135" t="s">
        <v>2</v>
      </c>
      <c r="AA1306" s="135">
        <v>0</v>
      </c>
    </row>
    <row r="1307" spans="1:27" ht="13" customHeight="1">
      <c r="A1307" s="11">
        <v>1301</v>
      </c>
      <c r="B1307" s="47">
        <v>204246611</v>
      </c>
      <c r="C1307" s="89" t="s">
        <v>428</v>
      </c>
      <c r="D1307" s="11" t="s">
        <v>429</v>
      </c>
      <c r="E1307" s="48" t="s">
        <v>31</v>
      </c>
      <c r="F1307" s="48" t="s">
        <v>74</v>
      </c>
      <c r="G1307" s="11" t="s">
        <v>64</v>
      </c>
      <c r="H1307" s="48" t="str">
        <f>VLOOKUP(Table1[[#This Row],[Psoft No]],[1]Roster!$C$2:$H$1402,6,)</f>
        <v>AUH1</v>
      </c>
      <c r="I1307" s="48" t="b">
        <f>Table1[[#This Row],[Building]]=Table1[[#This Row],[Column1]]</f>
        <v>1</v>
      </c>
      <c r="J1307" s="11" t="s">
        <v>75</v>
      </c>
      <c r="K1307" s="11">
        <v>1299</v>
      </c>
      <c r="L1307" s="49" t="s">
        <v>32</v>
      </c>
      <c r="M1307" s="49" t="s">
        <v>76</v>
      </c>
      <c r="N1307" s="49" t="s">
        <v>78</v>
      </c>
      <c r="O1307" s="49" t="s">
        <v>92</v>
      </c>
      <c r="P1307" s="48" t="s">
        <v>86</v>
      </c>
      <c r="Q1307" s="49" t="s">
        <v>35</v>
      </c>
      <c r="R1307" s="11" t="s">
        <v>80</v>
      </c>
      <c r="S1307" s="11" t="s">
        <v>87</v>
      </c>
      <c r="T1307" s="11" t="s">
        <v>225</v>
      </c>
      <c r="U1307" s="11" t="s">
        <v>226</v>
      </c>
      <c r="V1307" s="116" t="s">
        <v>10</v>
      </c>
      <c r="W1307" s="88"/>
      <c r="X1307" s="51">
        <v>45579</v>
      </c>
      <c r="Y1307" s="97" t="s">
        <v>1572</v>
      </c>
      <c r="Z1307" s="135" t="s">
        <v>3023</v>
      </c>
      <c r="AA1307" s="135" t="s">
        <v>3015</v>
      </c>
    </row>
    <row r="1308" spans="1:27" ht="13" customHeight="1">
      <c r="A1308" s="11">
        <v>1302</v>
      </c>
      <c r="B1308" s="47">
        <v>204155451</v>
      </c>
      <c r="C1308" s="89" t="s">
        <v>1482</v>
      </c>
      <c r="D1308" s="11" t="s">
        <v>1483</v>
      </c>
      <c r="E1308" s="48" t="s">
        <v>31</v>
      </c>
      <c r="F1308" s="48" t="s">
        <v>74</v>
      </c>
      <c r="G1308" s="11" t="s">
        <v>64</v>
      </c>
      <c r="H1308" s="48" t="str">
        <f>VLOOKUP(Table1[[#This Row],[Psoft No]],[1]Roster!$C$2:$H$1402,6,)</f>
        <v>AUH1</v>
      </c>
      <c r="I1308" s="48" t="b">
        <f>Table1[[#This Row],[Building]]=Table1[[#This Row],[Column1]]</f>
        <v>1</v>
      </c>
      <c r="J1308" s="11" t="s">
        <v>75</v>
      </c>
      <c r="K1308" s="11">
        <v>1299</v>
      </c>
      <c r="L1308" s="49" t="s">
        <v>32</v>
      </c>
      <c r="M1308" s="49" t="s">
        <v>76</v>
      </c>
      <c r="N1308" s="49" t="s">
        <v>92</v>
      </c>
      <c r="O1308" s="49" t="s">
        <v>84</v>
      </c>
      <c r="P1308" s="48" t="s">
        <v>1479</v>
      </c>
      <c r="Q1308" s="49" t="s">
        <v>1475</v>
      </c>
      <c r="R1308" s="11" t="s">
        <v>1443</v>
      </c>
      <c r="S1308" s="11" t="s">
        <v>90</v>
      </c>
      <c r="T1308" s="49" t="s">
        <v>2199</v>
      </c>
      <c r="U1308" s="11" t="s">
        <v>2726</v>
      </c>
      <c r="V1308" s="116" t="s">
        <v>10</v>
      </c>
      <c r="W1308" s="88"/>
      <c r="X1308" s="51">
        <v>45567</v>
      </c>
      <c r="Y1308" s="97" t="s">
        <v>1583</v>
      </c>
      <c r="Z1308" s="135" t="s">
        <v>3023</v>
      </c>
      <c r="AA1308" s="135">
        <v>0</v>
      </c>
    </row>
    <row r="1309" spans="1:27" ht="13" customHeight="1">
      <c r="A1309" s="11">
        <v>1303</v>
      </c>
      <c r="B1309" s="47">
        <v>204469338</v>
      </c>
      <c r="C1309" s="89" t="s">
        <v>1484</v>
      </c>
      <c r="D1309" s="11" t="s">
        <v>1485</v>
      </c>
      <c r="E1309" s="48" t="s">
        <v>31</v>
      </c>
      <c r="F1309" s="48" t="s">
        <v>74</v>
      </c>
      <c r="G1309" s="11" t="s">
        <v>64</v>
      </c>
      <c r="H1309" s="48" t="str">
        <f>VLOOKUP(Table1[[#This Row],[Psoft No]],[1]Roster!$C$2:$H$1402,6,)</f>
        <v>AUH1</v>
      </c>
      <c r="I1309" s="48" t="b">
        <f>Table1[[#This Row],[Building]]=Table1[[#This Row],[Column1]]</f>
        <v>1</v>
      </c>
      <c r="J1309" s="11" t="s">
        <v>75</v>
      </c>
      <c r="K1309" s="11">
        <v>1299</v>
      </c>
      <c r="L1309" s="49" t="s">
        <v>32</v>
      </c>
      <c r="M1309" s="49" t="s">
        <v>76</v>
      </c>
      <c r="N1309" s="49" t="s">
        <v>95</v>
      </c>
      <c r="O1309" s="49" t="s">
        <v>77</v>
      </c>
      <c r="P1309" s="48" t="s">
        <v>1486</v>
      </c>
      <c r="Q1309" s="49" t="s">
        <v>1475</v>
      </c>
      <c r="R1309" s="11" t="s">
        <v>1443</v>
      </c>
      <c r="S1309" s="11" t="s">
        <v>81</v>
      </c>
      <c r="T1309" s="11" t="s">
        <v>2199</v>
      </c>
      <c r="U1309" s="11" t="s">
        <v>2726</v>
      </c>
      <c r="V1309" s="116" t="s">
        <v>1</v>
      </c>
      <c r="W1309" s="88"/>
      <c r="X1309" s="51">
        <v>45603</v>
      </c>
      <c r="Y1309" s="97" t="s">
        <v>1583</v>
      </c>
      <c r="Z1309" s="135" t="s">
        <v>3023</v>
      </c>
      <c r="AA1309" s="135">
        <v>0</v>
      </c>
    </row>
    <row r="1310" spans="1:27" ht="13" customHeight="1">
      <c r="A1310" s="11">
        <v>1304</v>
      </c>
      <c r="B1310" s="47">
        <v>205837449</v>
      </c>
      <c r="C1310" s="89" t="s">
        <v>2203</v>
      </c>
      <c r="D1310" s="11" t="s">
        <v>2204</v>
      </c>
      <c r="E1310" s="48" t="s">
        <v>31</v>
      </c>
      <c r="F1310" s="48" t="s">
        <v>74</v>
      </c>
      <c r="G1310" s="11" t="s">
        <v>64</v>
      </c>
      <c r="H1310" s="48" t="str">
        <f>VLOOKUP(Table1[[#This Row],[Psoft No]],[1]Roster!$C$2:$H$1402,6,)</f>
        <v>AUH1</v>
      </c>
      <c r="I1310" s="48" t="b">
        <f>Table1[[#This Row],[Building]]=Table1[[#This Row],[Column1]]</f>
        <v>1</v>
      </c>
      <c r="J1310" s="11" t="s">
        <v>75</v>
      </c>
      <c r="K1310" s="11">
        <v>1299</v>
      </c>
      <c r="L1310" s="49" t="s">
        <v>32</v>
      </c>
      <c r="M1310" s="49" t="s">
        <v>76</v>
      </c>
      <c r="N1310" s="49" t="s">
        <v>95</v>
      </c>
      <c r="O1310" s="49" t="s">
        <v>77</v>
      </c>
      <c r="P1310" s="48" t="s">
        <v>2205</v>
      </c>
      <c r="Q1310" s="49" t="s">
        <v>1475</v>
      </c>
      <c r="R1310" s="11" t="s">
        <v>1443</v>
      </c>
      <c r="S1310" s="11" t="s">
        <v>96</v>
      </c>
      <c r="T1310" s="11" t="s">
        <v>2199</v>
      </c>
      <c r="U1310" s="11" t="s">
        <v>2726</v>
      </c>
      <c r="V1310" s="116" t="s">
        <v>1</v>
      </c>
      <c r="W1310" s="88"/>
      <c r="X1310" s="51">
        <v>45890</v>
      </c>
      <c r="Y1310" s="97" t="s">
        <v>1583</v>
      </c>
      <c r="Z1310" s="135" t="s">
        <v>3023</v>
      </c>
      <c r="AA1310" s="135">
        <v>0</v>
      </c>
    </row>
    <row r="1311" spans="1:27" ht="13" customHeight="1">
      <c r="A1311" s="11">
        <v>1305</v>
      </c>
      <c r="B1311" s="47">
        <v>203174504</v>
      </c>
      <c r="C1311" s="89" t="s">
        <v>2463</v>
      </c>
      <c r="D1311" s="11" t="s">
        <v>2464</v>
      </c>
      <c r="E1311" s="48" t="s">
        <v>34</v>
      </c>
      <c r="F1311" s="48" t="s">
        <v>74</v>
      </c>
      <c r="G1311" s="11" t="s">
        <v>64</v>
      </c>
      <c r="H1311" s="48" t="str">
        <f>VLOOKUP(Table1[[#This Row],[Psoft No]],[1]Roster!$C$2:$H$1402,6,)</f>
        <v>AUH1</v>
      </c>
      <c r="I1311" s="48" t="b">
        <f>Table1[[#This Row],[Building]]=Table1[[#This Row],[Column1]]</f>
        <v>1</v>
      </c>
      <c r="J1311" s="11" t="s">
        <v>75</v>
      </c>
      <c r="K1311" s="11">
        <v>1299</v>
      </c>
      <c r="L1311" s="49" t="s">
        <v>32</v>
      </c>
      <c r="M1311" s="49" t="s">
        <v>76</v>
      </c>
      <c r="N1311" s="49" t="s">
        <v>88</v>
      </c>
      <c r="O1311" s="49" t="s">
        <v>95</v>
      </c>
      <c r="P1311" s="48" t="s">
        <v>1476</v>
      </c>
      <c r="Q1311" s="49" t="s">
        <v>1475</v>
      </c>
      <c r="R1311" s="11" t="s">
        <v>1443</v>
      </c>
      <c r="S1311" s="11" t="s">
        <v>98</v>
      </c>
      <c r="T1311" s="11" t="s">
        <v>2199</v>
      </c>
      <c r="U1311" s="11" t="s">
        <v>2726</v>
      </c>
      <c r="V1311" s="116" t="str">
        <f>VLOOKUP(Table1[[#This Row],[Psoft No]],[2]Sheet1!$A$2:$G$386,7,0)</f>
        <v>P</v>
      </c>
      <c r="W1311" s="88"/>
      <c r="X1311" s="51">
        <v>46076</v>
      </c>
      <c r="Y1311" s="97" t="s">
        <v>1583</v>
      </c>
      <c r="Z1311" s="135" t="e">
        <v>#N/A</v>
      </c>
      <c r="AA1311" s="135" t="e">
        <v>#N/A</v>
      </c>
    </row>
    <row r="1312" spans="1:27" ht="13" customHeight="1">
      <c r="A1312" s="11">
        <v>1306</v>
      </c>
      <c r="B1312" s="47">
        <v>204033425</v>
      </c>
      <c r="C1312" s="89" t="s">
        <v>1487</v>
      </c>
      <c r="D1312" s="11" t="s">
        <v>1488</v>
      </c>
      <c r="E1312" s="48" t="s">
        <v>31</v>
      </c>
      <c r="F1312" s="48" t="s">
        <v>74</v>
      </c>
      <c r="G1312" s="11" t="s">
        <v>64</v>
      </c>
      <c r="H1312" s="48" t="str">
        <f>VLOOKUP(Table1[[#This Row],[Psoft No]],[1]Roster!$C$2:$H$1402,6,)</f>
        <v>AUH1</v>
      </c>
      <c r="I1312" s="48" t="b">
        <f>Table1[[#This Row],[Building]]=Table1[[#This Row],[Column1]]</f>
        <v>1</v>
      </c>
      <c r="J1312" s="11" t="s">
        <v>75</v>
      </c>
      <c r="K1312" s="11">
        <v>1299</v>
      </c>
      <c r="L1312" s="49" t="s">
        <v>39</v>
      </c>
      <c r="M1312" s="49" t="s">
        <v>76</v>
      </c>
      <c r="N1312" s="49" t="s">
        <v>92</v>
      </c>
      <c r="O1312" s="49" t="s">
        <v>84</v>
      </c>
      <c r="P1312" s="48" t="s">
        <v>1486</v>
      </c>
      <c r="Q1312" s="49" t="s">
        <v>1475</v>
      </c>
      <c r="R1312" s="11" t="s">
        <v>1443</v>
      </c>
      <c r="S1312" s="11" t="s">
        <v>81</v>
      </c>
      <c r="T1312" s="11" t="s">
        <v>2199</v>
      </c>
      <c r="U1312" s="11" t="s">
        <v>2726</v>
      </c>
      <c r="V1312" s="116" t="s">
        <v>10</v>
      </c>
      <c r="W1312" s="88"/>
      <c r="X1312" s="51">
        <v>45553</v>
      </c>
      <c r="Y1312" s="97" t="s">
        <v>1583</v>
      </c>
      <c r="Z1312" s="135" t="s">
        <v>3023</v>
      </c>
      <c r="AA1312" s="135">
        <v>0</v>
      </c>
    </row>
    <row r="1313" spans="1:27" ht="13" customHeight="1">
      <c r="A1313" s="11">
        <v>1307</v>
      </c>
      <c r="B1313" s="47">
        <v>207282341</v>
      </c>
      <c r="C1313" s="89" t="s">
        <v>2325</v>
      </c>
      <c r="D1313" s="11" t="s">
        <v>2326</v>
      </c>
      <c r="E1313" s="48" t="s">
        <v>31</v>
      </c>
      <c r="F1313" s="48" t="s">
        <v>74</v>
      </c>
      <c r="G1313" s="11" t="s">
        <v>64</v>
      </c>
      <c r="H1313" s="48" t="str">
        <f>VLOOKUP(Table1[[#This Row],[Psoft No]],[1]Roster!$C$2:$H$1402,6,)</f>
        <v>AUH1</v>
      </c>
      <c r="I1313" s="48" t="b">
        <f>Table1[[#This Row],[Building]]=Table1[[#This Row],[Column1]]</f>
        <v>1</v>
      </c>
      <c r="J1313" s="11" t="s">
        <v>75</v>
      </c>
      <c r="K1313" s="11">
        <v>1299</v>
      </c>
      <c r="L1313" s="49" t="s">
        <v>39</v>
      </c>
      <c r="M1313" s="49" t="s">
        <v>76</v>
      </c>
      <c r="N1313" s="49" t="s">
        <v>85</v>
      </c>
      <c r="O1313" s="49" t="s">
        <v>88</v>
      </c>
      <c r="P1313" s="48" t="s">
        <v>2205</v>
      </c>
      <c r="Q1313" s="49" t="s">
        <v>1475</v>
      </c>
      <c r="R1313" s="11" t="s">
        <v>1443</v>
      </c>
      <c r="S1313" s="11" t="s">
        <v>96</v>
      </c>
      <c r="T1313" s="11" t="s">
        <v>2199</v>
      </c>
      <c r="U1313" s="11" t="s">
        <v>2726</v>
      </c>
      <c r="V1313" s="116" t="s">
        <v>1</v>
      </c>
      <c r="W1313" s="88"/>
      <c r="X1313" s="51">
        <v>46123</v>
      </c>
      <c r="Y1313" s="97" t="s">
        <v>1583</v>
      </c>
      <c r="Z1313" s="135" t="s">
        <v>2</v>
      </c>
      <c r="AA1313" s="135">
        <v>0</v>
      </c>
    </row>
    <row r="1314" spans="1:27" ht="13" customHeight="1">
      <c r="A1314" s="11">
        <v>1308</v>
      </c>
      <c r="B1314" s="47">
        <v>203555938</v>
      </c>
      <c r="C1314" s="89" t="s">
        <v>2459</v>
      </c>
      <c r="D1314" s="11" t="s">
        <v>2460</v>
      </c>
      <c r="E1314" s="48" t="s">
        <v>31</v>
      </c>
      <c r="F1314" s="48" t="s">
        <v>74</v>
      </c>
      <c r="G1314" s="11" t="s">
        <v>64</v>
      </c>
      <c r="H1314" s="48" t="str">
        <f>VLOOKUP(Table1[[#This Row],[Psoft No]],[1]Roster!$C$2:$H$1402,6,)</f>
        <v>AUH1</v>
      </c>
      <c r="I1314" s="48" t="b">
        <f>Table1[[#This Row],[Building]]=Table1[[#This Row],[Column1]]</f>
        <v>1</v>
      </c>
      <c r="J1314" s="11" t="s">
        <v>75</v>
      </c>
      <c r="K1314" s="11">
        <v>1299</v>
      </c>
      <c r="L1314" s="49" t="s">
        <v>32</v>
      </c>
      <c r="M1314" s="49" t="s">
        <v>76</v>
      </c>
      <c r="N1314" s="49" t="s">
        <v>84</v>
      </c>
      <c r="O1314" s="49" t="s">
        <v>85</v>
      </c>
      <c r="P1314" s="48" t="s">
        <v>1474</v>
      </c>
      <c r="Q1314" s="49" t="s">
        <v>1475</v>
      </c>
      <c r="R1314" s="11" t="s">
        <v>1443</v>
      </c>
      <c r="S1314" s="11" t="s">
        <v>99</v>
      </c>
      <c r="T1314" s="11" t="s">
        <v>2199</v>
      </c>
      <c r="U1314" s="11" t="s">
        <v>2726</v>
      </c>
      <c r="V1314" s="116" t="s">
        <v>1</v>
      </c>
      <c r="W1314" s="88"/>
      <c r="X1314" s="51">
        <v>45469</v>
      </c>
      <c r="Y1314" s="134" t="s">
        <v>1583</v>
      </c>
      <c r="Z1314" s="135" t="s">
        <v>2</v>
      </c>
      <c r="AA1314" s="135">
        <v>0</v>
      </c>
    </row>
    <row r="1315" spans="1:27" ht="13" customHeight="1">
      <c r="A1315" s="11">
        <v>1309</v>
      </c>
      <c r="B1315" s="47">
        <v>202460493</v>
      </c>
      <c r="C1315" s="89" t="s">
        <v>850</v>
      </c>
      <c r="D1315" s="11" t="s">
        <v>851</v>
      </c>
      <c r="E1315" s="48" t="s">
        <v>31</v>
      </c>
      <c r="F1315" s="48" t="s">
        <v>74</v>
      </c>
      <c r="G1315" s="11" t="s">
        <v>64</v>
      </c>
      <c r="H1315" s="48" t="str">
        <f>VLOOKUP(Table1[[#This Row],[Psoft No]],[1]Roster!$C$2:$H$1402,6,)</f>
        <v>AUH1</v>
      </c>
      <c r="I1315" s="48" t="b">
        <f>Table1[[#This Row],[Building]]=Table1[[#This Row],[Column1]]</f>
        <v>1</v>
      </c>
      <c r="J1315" s="11" t="s">
        <v>75</v>
      </c>
      <c r="K1315" s="11">
        <v>1299</v>
      </c>
      <c r="L1315" s="49" t="s">
        <v>32</v>
      </c>
      <c r="M1315" s="49" t="s">
        <v>76</v>
      </c>
      <c r="N1315" s="49" t="s">
        <v>84</v>
      </c>
      <c r="O1315" s="49" t="s">
        <v>85</v>
      </c>
      <c r="P1315" s="48" t="s">
        <v>86</v>
      </c>
      <c r="Q1315" s="49" t="s">
        <v>37</v>
      </c>
      <c r="R1315" s="11" t="s">
        <v>80</v>
      </c>
      <c r="S1315" s="11" t="s">
        <v>87</v>
      </c>
      <c r="T1315" s="49" t="s">
        <v>627</v>
      </c>
      <c r="U1315" s="11" t="s">
        <v>628</v>
      </c>
      <c r="V1315" s="116" t="s">
        <v>7</v>
      </c>
      <c r="W1315" s="88" t="s">
        <v>3018</v>
      </c>
      <c r="X1315" s="51">
        <v>45586</v>
      </c>
      <c r="Y1315" s="97" t="s">
        <v>1578</v>
      </c>
      <c r="Z1315" s="135" t="s">
        <v>3023</v>
      </c>
      <c r="AA1315" s="135" t="s">
        <v>3018</v>
      </c>
    </row>
    <row r="1316" spans="1:27" ht="13" customHeight="1">
      <c r="A1316" s="11">
        <v>1310</v>
      </c>
      <c r="B1316" s="47">
        <v>203750137</v>
      </c>
      <c r="C1316" s="89" t="s">
        <v>1489</v>
      </c>
      <c r="D1316" s="11" t="s">
        <v>1490</v>
      </c>
      <c r="E1316" s="48" t="s">
        <v>31</v>
      </c>
      <c r="F1316" s="48" t="s">
        <v>74</v>
      </c>
      <c r="G1316" s="11" t="s">
        <v>64</v>
      </c>
      <c r="H1316" s="48" t="str">
        <f>VLOOKUP(Table1[[#This Row],[Psoft No]],[1]Roster!$C$2:$H$1402,6,)</f>
        <v>AUH1</v>
      </c>
      <c r="I1316" s="48" t="b">
        <f>Table1[[#This Row],[Building]]=Table1[[#This Row],[Column1]]</f>
        <v>1</v>
      </c>
      <c r="J1316" s="11" t="s">
        <v>75</v>
      </c>
      <c r="K1316" s="11">
        <v>1299</v>
      </c>
      <c r="L1316" s="49" t="s">
        <v>39</v>
      </c>
      <c r="M1316" s="49" t="s">
        <v>76</v>
      </c>
      <c r="N1316" s="49" t="s">
        <v>85</v>
      </c>
      <c r="O1316" s="49" t="s">
        <v>88</v>
      </c>
      <c r="P1316" s="48" t="s">
        <v>1486</v>
      </c>
      <c r="Q1316" s="49" t="s">
        <v>1475</v>
      </c>
      <c r="R1316" s="11" t="s">
        <v>1443</v>
      </c>
      <c r="S1316" s="11" t="s">
        <v>81</v>
      </c>
      <c r="T1316" s="11" t="s">
        <v>2199</v>
      </c>
      <c r="U1316" s="11" t="s">
        <v>2726</v>
      </c>
      <c r="V1316" s="116" t="s">
        <v>1</v>
      </c>
      <c r="W1316" s="88"/>
      <c r="X1316" s="51">
        <v>45503</v>
      </c>
      <c r="Y1316" s="134" t="s">
        <v>1583</v>
      </c>
      <c r="Z1316" s="135" t="s">
        <v>2</v>
      </c>
      <c r="AA1316" s="135">
        <v>0</v>
      </c>
    </row>
    <row r="1317" spans="1:27" ht="13" customHeight="1">
      <c r="A1317" s="11">
        <v>1311</v>
      </c>
      <c r="B1317" s="77">
        <v>203974084</v>
      </c>
      <c r="C1317" s="91" t="s">
        <v>1491</v>
      </c>
      <c r="D1317" s="75" t="s">
        <v>1492</v>
      </c>
      <c r="E1317" s="76" t="s">
        <v>31</v>
      </c>
      <c r="F1317" s="76" t="s">
        <v>74</v>
      </c>
      <c r="G1317" s="75" t="s">
        <v>64</v>
      </c>
      <c r="H1317" s="76" t="str">
        <f>VLOOKUP(Table1[[#This Row],[Psoft No]],[1]Roster!$C$2:$H$1402,6,)</f>
        <v>AUH1</v>
      </c>
      <c r="I1317" s="76" t="b">
        <f>Table1[[#This Row],[Building]]=Table1[[#This Row],[Column1]]</f>
        <v>1</v>
      </c>
      <c r="J1317" s="75" t="s">
        <v>75</v>
      </c>
      <c r="K1317" s="75">
        <v>1299</v>
      </c>
      <c r="L1317" s="73" t="s">
        <v>39</v>
      </c>
      <c r="M1317" s="73" t="s">
        <v>76</v>
      </c>
      <c r="N1317" s="49" t="s">
        <v>84</v>
      </c>
      <c r="O1317" s="49" t="s">
        <v>85</v>
      </c>
      <c r="P1317" s="76" t="s">
        <v>1479</v>
      </c>
      <c r="Q1317" s="73" t="s">
        <v>1475</v>
      </c>
      <c r="R1317" s="75" t="s">
        <v>1443</v>
      </c>
      <c r="S1317" s="75" t="s">
        <v>90</v>
      </c>
      <c r="T1317" s="75" t="s">
        <v>2199</v>
      </c>
      <c r="U1317" s="75" t="s">
        <v>2726</v>
      </c>
      <c r="V1317" s="116" t="s">
        <v>7</v>
      </c>
      <c r="W1317" s="88"/>
      <c r="X1317" s="98">
        <v>45545</v>
      </c>
      <c r="Y1317" s="133" t="s">
        <v>1583</v>
      </c>
      <c r="Z1317" s="135" t="s">
        <v>3023</v>
      </c>
      <c r="AA1317" s="135" t="s">
        <v>3024</v>
      </c>
    </row>
    <row r="1318" spans="1:27" ht="13" customHeight="1">
      <c r="A1318" s="11">
        <v>1312</v>
      </c>
      <c r="B1318" s="47">
        <v>206332542</v>
      </c>
      <c r="C1318" s="89" t="s">
        <v>1698</v>
      </c>
      <c r="D1318" s="11" t="s">
        <v>1699</v>
      </c>
      <c r="E1318" s="48" t="s">
        <v>31</v>
      </c>
      <c r="F1318" s="48" t="s">
        <v>74</v>
      </c>
      <c r="G1318" s="11" t="s">
        <v>64</v>
      </c>
      <c r="H1318" s="48" t="str">
        <f>VLOOKUP(Table1[[#This Row],[Psoft No]],[1]Roster!$C$2:$H$1402,6,)</f>
        <v>AUH1</v>
      </c>
      <c r="I1318" s="48" t="b">
        <f>Table1[[#This Row],[Building]]=Table1[[#This Row],[Column1]]</f>
        <v>1</v>
      </c>
      <c r="J1318" s="11" t="s">
        <v>75</v>
      </c>
      <c r="K1318" s="11">
        <v>1299</v>
      </c>
      <c r="L1318" s="49" t="s">
        <v>39</v>
      </c>
      <c r="M1318" s="49" t="s">
        <v>76</v>
      </c>
      <c r="N1318" s="49" t="s">
        <v>78</v>
      </c>
      <c r="O1318" s="49" t="s">
        <v>92</v>
      </c>
      <c r="P1318" s="48" t="s">
        <v>1479</v>
      </c>
      <c r="Q1318" s="49" t="s">
        <v>1475</v>
      </c>
      <c r="R1318" s="11" t="s">
        <v>1443</v>
      </c>
      <c r="S1318" s="11" t="s">
        <v>90</v>
      </c>
      <c r="T1318" s="11" t="s">
        <v>2199</v>
      </c>
      <c r="U1318" s="11" t="s">
        <v>2726</v>
      </c>
      <c r="V1318" s="116" t="s">
        <v>10</v>
      </c>
      <c r="W1318" s="88"/>
      <c r="X1318" s="51">
        <v>45957</v>
      </c>
      <c r="Y1318" s="97" t="s">
        <v>1583</v>
      </c>
      <c r="Z1318" s="135" t="s">
        <v>3023</v>
      </c>
      <c r="AA1318" s="135">
        <v>0</v>
      </c>
    </row>
    <row r="1319" spans="1:27" ht="13" customHeight="1">
      <c r="A1319" s="11">
        <v>1313</v>
      </c>
      <c r="B1319" s="47">
        <v>205247340</v>
      </c>
      <c r="C1319" s="89" t="s">
        <v>2683</v>
      </c>
      <c r="D1319" s="11" t="s">
        <v>2684</v>
      </c>
      <c r="E1319" s="48" t="s">
        <v>31</v>
      </c>
      <c r="F1319" s="48" t="s">
        <v>74</v>
      </c>
      <c r="G1319" s="11" t="s">
        <v>64</v>
      </c>
      <c r="H1319" s="48" t="str">
        <f>VLOOKUP(Table1[[#This Row],[Psoft No]],[1]Roster!$C$2:$H$1402,6,)</f>
        <v>AUH1</v>
      </c>
      <c r="I1319" s="48" t="b">
        <f>Table1[[#This Row],[Building]]=Table1[[#This Row],[Column1]]</f>
        <v>1</v>
      </c>
      <c r="J1319" s="11" t="s">
        <v>75</v>
      </c>
      <c r="K1319" s="11">
        <v>1299</v>
      </c>
      <c r="L1319" s="49" t="s">
        <v>32</v>
      </c>
      <c r="M1319" s="49" t="s">
        <v>76</v>
      </c>
      <c r="N1319" s="49" t="s">
        <v>36</v>
      </c>
      <c r="O1319" s="49" t="s">
        <v>92</v>
      </c>
      <c r="P1319" s="48" t="s">
        <v>1493</v>
      </c>
      <c r="Q1319" s="49" t="s">
        <v>1475</v>
      </c>
      <c r="R1319" s="11" t="s">
        <v>1443</v>
      </c>
      <c r="S1319" s="11" t="s">
        <v>87</v>
      </c>
      <c r="T1319" s="11" t="s">
        <v>2199</v>
      </c>
      <c r="U1319" s="11" t="s">
        <v>2726</v>
      </c>
      <c r="V1319" s="116" t="s">
        <v>10</v>
      </c>
      <c r="W1319" s="88"/>
      <c r="X1319" s="51">
        <v>45784</v>
      </c>
      <c r="Y1319" s="97" t="s">
        <v>1583</v>
      </c>
      <c r="Z1319" s="135" t="s">
        <v>3023</v>
      </c>
      <c r="AA1319" s="135">
        <v>0</v>
      </c>
    </row>
    <row r="1320" spans="1:27" ht="13" customHeight="1">
      <c r="A1320" s="11">
        <v>1314</v>
      </c>
      <c r="B1320" s="47">
        <v>204886250</v>
      </c>
      <c r="C1320" s="89" t="s">
        <v>1494</v>
      </c>
      <c r="D1320" s="11" t="s">
        <v>1495</v>
      </c>
      <c r="E1320" s="48" t="s">
        <v>31</v>
      </c>
      <c r="F1320" s="48" t="s">
        <v>74</v>
      </c>
      <c r="G1320" s="11" t="s">
        <v>64</v>
      </c>
      <c r="H1320" s="48" t="str">
        <f>VLOOKUP(Table1[[#This Row],[Psoft No]],[1]Roster!$C$2:$H$1402,6,)</f>
        <v>AUH1</v>
      </c>
      <c r="I1320" s="48" t="b">
        <f>Table1[[#This Row],[Building]]=Table1[[#This Row],[Column1]]</f>
        <v>1</v>
      </c>
      <c r="J1320" s="11" t="s">
        <v>75</v>
      </c>
      <c r="K1320" s="11">
        <v>1299</v>
      </c>
      <c r="L1320" s="49" t="s">
        <v>39</v>
      </c>
      <c r="M1320" s="49" t="s">
        <v>76</v>
      </c>
      <c r="N1320" s="49" t="s">
        <v>95</v>
      </c>
      <c r="O1320" s="49" t="s">
        <v>77</v>
      </c>
      <c r="P1320" s="48" t="s">
        <v>1493</v>
      </c>
      <c r="Q1320" s="49" t="s">
        <v>1475</v>
      </c>
      <c r="R1320" s="11" t="s">
        <v>1443</v>
      </c>
      <c r="S1320" s="11" t="s">
        <v>87</v>
      </c>
      <c r="T1320" s="11" t="s">
        <v>2199</v>
      </c>
      <c r="U1320" s="11" t="s">
        <v>2726</v>
      </c>
      <c r="V1320" s="116" t="s">
        <v>7</v>
      </c>
      <c r="W1320" s="88"/>
      <c r="X1320" s="51">
        <v>45691</v>
      </c>
      <c r="Y1320" s="97" t="s">
        <v>1583</v>
      </c>
      <c r="Z1320" s="135" t="s">
        <v>3023</v>
      </c>
      <c r="AA1320" s="135" t="s">
        <v>3024</v>
      </c>
    </row>
    <row r="1321" spans="1:27" ht="13" customHeight="1">
      <c r="A1321" s="11">
        <v>1315</v>
      </c>
      <c r="B1321" s="47">
        <v>207283258</v>
      </c>
      <c r="C1321" s="89" t="s">
        <v>2327</v>
      </c>
      <c r="D1321" s="11" t="s">
        <v>2328</v>
      </c>
      <c r="E1321" s="48" t="s">
        <v>31</v>
      </c>
      <c r="F1321" s="48" t="s">
        <v>74</v>
      </c>
      <c r="G1321" s="11" t="s">
        <v>64</v>
      </c>
      <c r="H1321" s="48" t="str">
        <f>VLOOKUP(Table1[[#This Row],[Psoft No]],[1]Roster!$C$2:$H$1402,6,)</f>
        <v>AUH1</v>
      </c>
      <c r="I1321" s="48" t="b">
        <f>Table1[[#This Row],[Building]]=Table1[[#This Row],[Column1]]</f>
        <v>1</v>
      </c>
      <c r="J1321" s="11" t="s">
        <v>75</v>
      </c>
      <c r="K1321" s="11">
        <v>1299</v>
      </c>
      <c r="L1321" s="49" t="s">
        <v>39</v>
      </c>
      <c r="M1321" s="49" t="s">
        <v>76</v>
      </c>
      <c r="N1321" s="49" t="s">
        <v>88</v>
      </c>
      <c r="O1321" s="49" t="s">
        <v>95</v>
      </c>
      <c r="P1321" s="48" t="s">
        <v>1479</v>
      </c>
      <c r="Q1321" s="49" t="s">
        <v>1475</v>
      </c>
      <c r="R1321" s="11" t="s">
        <v>1443</v>
      </c>
      <c r="S1321" s="11" t="s">
        <v>90</v>
      </c>
      <c r="T1321" s="11" t="s">
        <v>2199</v>
      </c>
      <c r="U1321" s="11" t="s">
        <v>2726</v>
      </c>
      <c r="V1321" s="116" t="s">
        <v>1</v>
      </c>
      <c r="W1321" s="88"/>
      <c r="X1321" s="51">
        <v>46123</v>
      </c>
      <c r="Y1321" s="97" t="s">
        <v>1583</v>
      </c>
      <c r="Z1321" s="135" t="s">
        <v>2</v>
      </c>
      <c r="AA1321" s="135">
        <v>0</v>
      </c>
    </row>
    <row r="1322" spans="1:27" ht="13" customHeight="1">
      <c r="A1322" s="11">
        <v>1316</v>
      </c>
      <c r="B1322" s="47">
        <v>202383469</v>
      </c>
      <c r="C1322" s="89" t="s">
        <v>1496</v>
      </c>
      <c r="D1322" s="11" t="s">
        <v>1497</v>
      </c>
      <c r="E1322" s="48" t="s">
        <v>31</v>
      </c>
      <c r="F1322" s="48" t="s">
        <v>74</v>
      </c>
      <c r="G1322" s="11" t="s">
        <v>64</v>
      </c>
      <c r="H1322" s="48" t="str">
        <f>VLOOKUP(Table1[[#This Row],[Psoft No]],[1]Roster!$C$2:$H$1402,6,)</f>
        <v>AUH1</v>
      </c>
      <c r="I1322" s="48" t="b">
        <f>Table1[[#This Row],[Building]]=Table1[[#This Row],[Column1]]</f>
        <v>1</v>
      </c>
      <c r="J1322" s="11" t="s">
        <v>75</v>
      </c>
      <c r="K1322" s="11">
        <v>1299</v>
      </c>
      <c r="L1322" s="49" t="s">
        <v>39</v>
      </c>
      <c r="M1322" s="49" t="s">
        <v>76</v>
      </c>
      <c r="N1322" s="49" t="s">
        <v>84</v>
      </c>
      <c r="O1322" s="49" t="s">
        <v>85</v>
      </c>
      <c r="P1322" s="48" t="s">
        <v>1493</v>
      </c>
      <c r="Q1322" s="49" t="s">
        <v>1475</v>
      </c>
      <c r="R1322" s="11" t="s">
        <v>1443</v>
      </c>
      <c r="S1322" s="11" t="s">
        <v>87</v>
      </c>
      <c r="T1322" s="11" t="s">
        <v>2199</v>
      </c>
      <c r="U1322" s="11" t="s">
        <v>2726</v>
      </c>
      <c r="V1322" s="137" t="s">
        <v>1</v>
      </c>
      <c r="W1322" s="88"/>
      <c r="X1322" s="51">
        <v>45596</v>
      </c>
      <c r="Y1322" s="97" t="s">
        <v>1583</v>
      </c>
      <c r="Z1322" s="135" t="s">
        <v>3023</v>
      </c>
      <c r="AA1322" s="135">
        <v>0</v>
      </c>
    </row>
    <row r="1323" spans="1:27" ht="13" customHeight="1">
      <c r="A1323" s="11">
        <v>1317</v>
      </c>
      <c r="B1323" s="47">
        <v>106495539</v>
      </c>
      <c r="C1323" s="89" t="s">
        <v>1498</v>
      </c>
      <c r="D1323" s="11" t="s">
        <v>1499</v>
      </c>
      <c r="E1323" s="48" t="s">
        <v>34</v>
      </c>
      <c r="F1323" s="48" t="s">
        <v>74</v>
      </c>
      <c r="G1323" s="11" t="s">
        <v>64</v>
      </c>
      <c r="H1323" s="48" t="str">
        <f>VLOOKUP(Table1[[#This Row],[Psoft No]],[1]Roster!$C$2:$H$1402,6,)</f>
        <v>AUH1</v>
      </c>
      <c r="I1323" s="48" t="b">
        <f>Table1[[#This Row],[Building]]=Table1[[#This Row],[Column1]]</f>
        <v>1</v>
      </c>
      <c r="J1323" s="11" t="s">
        <v>75</v>
      </c>
      <c r="K1323" s="11">
        <v>1728</v>
      </c>
      <c r="L1323" s="49" t="s">
        <v>39</v>
      </c>
      <c r="M1323" s="49" t="s">
        <v>76</v>
      </c>
      <c r="N1323" s="49" t="s">
        <v>95</v>
      </c>
      <c r="O1323" s="49" t="s">
        <v>77</v>
      </c>
      <c r="P1323" s="48" t="s">
        <v>1476</v>
      </c>
      <c r="Q1323" s="49" t="s">
        <v>1475</v>
      </c>
      <c r="R1323" s="11" t="s">
        <v>1443</v>
      </c>
      <c r="S1323" s="11" t="s">
        <v>98</v>
      </c>
      <c r="T1323" s="11" t="s">
        <v>2199</v>
      </c>
      <c r="U1323" s="11" t="s">
        <v>2726</v>
      </c>
      <c r="V1323" s="116" t="s">
        <v>1</v>
      </c>
      <c r="W1323" s="88"/>
      <c r="X1323" s="51">
        <v>45502</v>
      </c>
      <c r="Y1323" s="97" t="s">
        <v>1583</v>
      </c>
      <c r="Z1323" s="135" t="e">
        <v>#N/A</v>
      </c>
      <c r="AA1323" s="135" t="e">
        <v>#N/A</v>
      </c>
    </row>
    <row r="1324" spans="1:27" ht="13" customHeight="1">
      <c r="A1324" s="11">
        <v>1318</v>
      </c>
      <c r="B1324" s="47">
        <v>203737146</v>
      </c>
      <c r="C1324" s="89" t="s">
        <v>1500</v>
      </c>
      <c r="D1324" s="11" t="s">
        <v>1501</v>
      </c>
      <c r="E1324" s="48" t="s">
        <v>31</v>
      </c>
      <c r="F1324" s="48" t="s">
        <v>74</v>
      </c>
      <c r="G1324" s="11" t="s">
        <v>64</v>
      </c>
      <c r="H1324" s="48" t="str">
        <f>VLOOKUP(Table1[[#This Row],[Psoft No]],[1]Roster!$C$2:$H$1402,6,)</f>
        <v>AUH1</v>
      </c>
      <c r="I1324" s="48" t="b">
        <f>Table1[[#This Row],[Building]]=Table1[[#This Row],[Column1]]</f>
        <v>1</v>
      </c>
      <c r="J1324" s="11" t="s">
        <v>75</v>
      </c>
      <c r="K1324" s="11">
        <v>1299</v>
      </c>
      <c r="L1324" s="49" t="s">
        <v>32</v>
      </c>
      <c r="M1324" s="49" t="s">
        <v>76</v>
      </c>
      <c r="N1324" s="49" t="s">
        <v>78</v>
      </c>
      <c r="O1324" s="49" t="s">
        <v>92</v>
      </c>
      <c r="P1324" s="48" t="s">
        <v>79</v>
      </c>
      <c r="Q1324" s="49" t="s">
        <v>35</v>
      </c>
      <c r="R1324" s="11" t="s">
        <v>1443</v>
      </c>
      <c r="S1324" s="11" t="s">
        <v>81</v>
      </c>
      <c r="T1324" s="11" t="s">
        <v>647</v>
      </c>
      <c r="U1324" s="11" t="s">
        <v>1798</v>
      </c>
      <c r="V1324" s="116" t="s">
        <v>10</v>
      </c>
      <c r="W1324" s="88"/>
      <c r="X1324" s="51">
        <v>45502</v>
      </c>
      <c r="Y1324" s="97" t="s">
        <v>1583</v>
      </c>
      <c r="Z1324" s="135" t="s">
        <v>3023</v>
      </c>
      <c r="AA1324" s="135">
        <v>0</v>
      </c>
    </row>
    <row r="1325" spans="1:27" ht="13" customHeight="1">
      <c r="A1325" s="11">
        <v>1319</v>
      </c>
      <c r="B1325" s="47">
        <v>102865829</v>
      </c>
      <c r="C1325" s="89" t="s">
        <v>1502</v>
      </c>
      <c r="D1325" s="11" t="s">
        <v>1503</v>
      </c>
      <c r="E1325" s="48" t="s">
        <v>34</v>
      </c>
      <c r="F1325" s="48" t="s">
        <v>74</v>
      </c>
      <c r="G1325" s="11" t="s">
        <v>64</v>
      </c>
      <c r="H1325" s="48" t="str">
        <f>VLOOKUP(Table1[[#This Row],[Psoft No]],[1]Roster!$C$2:$H$1402,6,)</f>
        <v>AUH1</v>
      </c>
      <c r="I1325" s="48" t="b">
        <f>Table1[[#This Row],[Building]]=Table1[[#This Row],[Column1]]</f>
        <v>1</v>
      </c>
      <c r="J1325" s="11" t="s">
        <v>75</v>
      </c>
      <c r="K1325" s="11">
        <v>1299</v>
      </c>
      <c r="L1325" s="49" t="s">
        <v>32</v>
      </c>
      <c r="M1325" s="49" t="s">
        <v>76</v>
      </c>
      <c r="N1325" s="49" t="s">
        <v>84</v>
      </c>
      <c r="O1325" s="49" t="s">
        <v>85</v>
      </c>
      <c r="P1325" s="48" t="s">
        <v>108</v>
      </c>
      <c r="Q1325" s="49" t="s">
        <v>35</v>
      </c>
      <c r="R1325" s="11" t="s">
        <v>1443</v>
      </c>
      <c r="S1325" s="11" t="s">
        <v>98</v>
      </c>
      <c r="T1325" s="11" t="s">
        <v>2845</v>
      </c>
      <c r="U1325" s="11" t="s">
        <v>2846</v>
      </c>
      <c r="V1325" s="116" t="str">
        <f>VLOOKUP(Table1[[#This Row],[Psoft No]],[2]Sheet1!$A$2:$G$386,7,0)</f>
        <v>P</v>
      </c>
      <c r="W1325" s="88"/>
      <c r="X1325" s="51">
        <v>43012</v>
      </c>
      <c r="Y1325" s="97" t="s">
        <v>1583</v>
      </c>
      <c r="Z1325" s="135" t="s">
        <v>2</v>
      </c>
      <c r="AA1325" s="135">
        <v>0</v>
      </c>
    </row>
    <row r="1326" spans="1:27" ht="13" customHeight="1">
      <c r="A1326" s="11">
        <v>1320</v>
      </c>
      <c r="B1326" s="47">
        <v>203183500</v>
      </c>
      <c r="C1326" s="89" t="s">
        <v>1504</v>
      </c>
      <c r="D1326" s="11" t="s">
        <v>1505</v>
      </c>
      <c r="E1326" s="48" t="s">
        <v>34</v>
      </c>
      <c r="F1326" s="48" t="s">
        <v>74</v>
      </c>
      <c r="G1326" s="11" t="s">
        <v>64</v>
      </c>
      <c r="H1326" s="48" t="str">
        <f>VLOOKUP(Table1[[#This Row],[Psoft No]],[1]Roster!$C$2:$H$1402,6,)</f>
        <v>AUH1</v>
      </c>
      <c r="I1326" s="48" t="b">
        <f>Table1[[#This Row],[Building]]=Table1[[#This Row],[Column1]]</f>
        <v>1</v>
      </c>
      <c r="J1326" s="11" t="s">
        <v>75</v>
      </c>
      <c r="K1326" s="11">
        <v>1230</v>
      </c>
      <c r="L1326" s="49" t="s">
        <v>32</v>
      </c>
      <c r="M1326" s="49" t="s">
        <v>76</v>
      </c>
      <c r="N1326" s="49" t="s">
        <v>78</v>
      </c>
      <c r="O1326" s="49" t="s">
        <v>92</v>
      </c>
      <c r="P1326" s="48" t="s">
        <v>1506</v>
      </c>
      <c r="Q1326" s="49" t="s">
        <v>1507</v>
      </c>
      <c r="R1326" s="11" t="s">
        <v>1443</v>
      </c>
      <c r="S1326" s="11" t="s">
        <v>98</v>
      </c>
      <c r="T1326" s="11" t="s">
        <v>1508</v>
      </c>
      <c r="U1326" s="11" t="s">
        <v>1509</v>
      </c>
      <c r="V1326" s="116" t="s">
        <v>10</v>
      </c>
      <c r="W1326" s="88"/>
      <c r="X1326" s="51">
        <v>45439</v>
      </c>
      <c r="Y1326" s="97" t="s">
        <v>1583</v>
      </c>
      <c r="Z1326" s="135" t="e">
        <v>#N/A</v>
      </c>
      <c r="AA1326" s="135" t="e">
        <v>#N/A</v>
      </c>
    </row>
    <row r="1327" spans="1:27" ht="13" customHeight="1">
      <c r="A1327" s="11">
        <v>1321</v>
      </c>
      <c r="B1327" s="47">
        <v>203183769</v>
      </c>
      <c r="C1327" s="89" t="s">
        <v>1510</v>
      </c>
      <c r="D1327" s="11" t="s">
        <v>1511</v>
      </c>
      <c r="E1327" s="48" t="s">
        <v>34</v>
      </c>
      <c r="F1327" s="48" t="s">
        <v>74</v>
      </c>
      <c r="G1327" s="11" t="s">
        <v>64</v>
      </c>
      <c r="H1327" s="48" t="str">
        <f>VLOOKUP(Table1[[#This Row],[Psoft No]],[1]Roster!$C$2:$H$1402,6,)</f>
        <v>AUH1</v>
      </c>
      <c r="I1327" s="48" t="b">
        <f>Table1[[#This Row],[Building]]=Table1[[#This Row],[Column1]]</f>
        <v>1</v>
      </c>
      <c r="J1327" s="11" t="s">
        <v>75</v>
      </c>
      <c r="K1327" s="11">
        <v>1230</v>
      </c>
      <c r="L1327" s="49" t="s">
        <v>39</v>
      </c>
      <c r="M1327" s="49" t="s">
        <v>76</v>
      </c>
      <c r="N1327" s="49" t="s">
        <v>78</v>
      </c>
      <c r="O1327" s="49" t="s">
        <v>92</v>
      </c>
      <c r="P1327" s="48" t="s">
        <v>1506</v>
      </c>
      <c r="Q1327" s="49" t="s">
        <v>1507</v>
      </c>
      <c r="R1327" s="11" t="s">
        <v>1443</v>
      </c>
      <c r="S1327" s="11" t="s">
        <v>98</v>
      </c>
      <c r="T1327" s="11" t="s">
        <v>1508</v>
      </c>
      <c r="U1327" s="11" t="s">
        <v>1509</v>
      </c>
      <c r="V1327" s="116" t="s">
        <v>10</v>
      </c>
      <c r="W1327" s="88"/>
      <c r="X1327" s="51">
        <v>45439</v>
      </c>
      <c r="Y1327" s="97" t="s">
        <v>1583</v>
      </c>
      <c r="Z1327" s="135" t="e">
        <v>#N/A</v>
      </c>
      <c r="AA1327" s="135" t="e">
        <v>#N/A</v>
      </c>
    </row>
    <row r="1328" spans="1:27" ht="13" customHeight="1">
      <c r="A1328" s="11">
        <v>1322</v>
      </c>
      <c r="B1328" s="47">
        <v>205280740</v>
      </c>
      <c r="C1328" s="89" t="s">
        <v>1512</v>
      </c>
      <c r="D1328" s="11" t="s">
        <v>1513</v>
      </c>
      <c r="E1328" s="48" t="s">
        <v>34</v>
      </c>
      <c r="F1328" s="48" t="s">
        <v>74</v>
      </c>
      <c r="G1328" s="11" t="s">
        <v>64</v>
      </c>
      <c r="H1328" s="48" t="str">
        <f>VLOOKUP(Table1[[#This Row],[Psoft No]],[1]Roster!$C$2:$H$1402,6,)</f>
        <v>AUH1</v>
      </c>
      <c r="I1328" s="48" t="b">
        <f>Table1[[#This Row],[Building]]=Table1[[#This Row],[Column1]]</f>
        <v>1</v>
      </c>
      <c r="J1328" s="11" t="s">
        <v>75</v>
      </c>
      <c r="K1328" s="11">
        <v>1230</v>
      </c>
      <c r="L1328" s="49" t="s">
        <v>32</v>
      </c>
      <c r="M1328" s="49" t="s">
        <v>76</v>
      </c>
      <c r="N1328" s="49" t="s">
        <v>95</v>
      </c>
      <c r="O1328" s="49" t="s">
        <v>77</v>
      </c>
      <c r="P1328" s="48" t="s">
        <v>1506</v>
      </c>
      <c r="Q1328" s="49" t="s">
        <v>1507</v>
      </c>
      <c r="R1328" s="11" t="s">
        <v>1443</v>
      </c>
      <c r="S1328" s="11" t="s">
        <v>98</v>
      </c>
      <c r="T1328" s="11" t="s">
        <v>1508</v>
      </c>
      <c r="U1328" s="11" t="s">
        <v>1509</v>
      </c>
      <c r="V1328" s="116" t="str">
        <f>VLOOKUP(Table1[[#This Row],[Psoft No]],[2]Sheet1!$A$2:$G$386,7,0)</f>
        <v>P</v>
      </c>
      <c r="W1328" s="88"/>
      <c r="X1328" s="51">
        <v>45859</v>
      </c>
      <c r="Y1328" s="97" t="s">
        <v>1583</v>
      </c>
      <c r="Z1328" s="135" t="e">
        <v>#N/A</v>
      </c>
      <c r="AA1328" s="135" t="e">
        <v>#N/A</v>
      </c>
    </row>
    <row r="1329" spans="1:27" ht="13" customHeight="1">
      <c r="A1329" s="11">
        <v>1323</v>
      </c>
      <c r="B1329" s="47">
        <v>205665079</v>
      </c>
      <c r="C1329" s="89" t="s">
        <v>1514</v>
      </c>
      <c r="D1329" s="11" t="s">
        <v>1515</v>
      </c>
      <c r="E1329" s="48" t="s">
        <v>34</v>
      </c>
      <c r="F1329" s="48" t="s">
        <v>74</v>
      </c>
      <c r="G1329" s="11" t="s">
        <v>64</v>
      </c>
      <c r="H1329" s="48" t="str">
        <f>VLOOKUP(Table1[[#This Row],[Psoft No]],[1]Roster!$C$2:$H$1402,6,)</f>
        <v>AUH1</v>
      </c>
      <c r="I1329" s="48" t="b">
        <f>Table1[[#This Row],[Building]]=Table1[[#This Row],[Column1]]</f>
        <v>1</v>
      </c>
      <c r="J1329" s="11" t="s">
        <v>75</v>
      </c>
      <c r="K1329" s="11">
        <v>1299</v>
      </c>
      <c r="L1329" s="49" t="s">
        <v>39</v>
      </c>
      <c r="M1329" s="49" t="s">
        <v>76</v>
      </c>
      <c r="N1329" s="49" t="s">
        <v>95</v>
      </c>
      <c r="O1329" s="49" t="s">
        <v>77</v>
      </c>
      <c r="P1329" s="48" t="s">
        <v>1516</v>
      </c>
      <c r="Q1329" s="49" t="s">
        <v>1517</v>
      </c>
      <c r="R1329" s="11" t="s">
        <v>1443</v>
      </c>
      <c r="S1329" s="11" t="s">
        <v>98</v>
      </c>
      <c r="T1329" s="11" t="s">
        <v>1518</v>
      </c>
      <c r="U1329" s="11" t="s">
        <v>2728</v>
      </c>
      <c r="V1329" s="116" t="s">
        <v>1</v>
      </c>
      <c r="W1329" s="88"/>
      <c r="X1329" s="51">
        <v>45908</v>
      </c>
      <c r="Y1329" s="97" t="s">
        <v>1584</v>
      </c>
      <c r="Z1329" s="135" t="e">
        <v>#N/A</v>
      </c>
      <c r="AA1329" s="135" t="e">
        <v>#N/A</v>
      </c>
    </row>
    <row r="1330" spans="1:27" ht="13" customHeight="1">
      <c r="A1330" s="11">
        <v>1324</v>
      </c>
      <c r="B1330" s="47">
        <v>205537427</v>
      </c>
      <c r="C1330" s="89" t="s">
        <v>1632</v>
      </c>
      <c r="D1330" s="11" t="s">
        <v>1633</v>
      </c>
      <c r="E1330" s="48" t="s">
        <v>34</v>
      </c>
      <c r="F1330" s="48" t="s">
        <v>74</v>
      </c>
      <c r="G1330" s="11" t="s">
        <v>64</v>
      </c>
      <c r="H1330" s="48" t="str">
        <f>VLOOKUP(Table1[[#This Row],[Psoft No]],[1]Roster!$C$2:$H$1402,6,)</f>
        <v>AUH1</v>
      </c>
      <c r="I1330" s="48" t="b">
        <f>Table1[[#This Row],[Building]]=Table1[[#This Row],[Column1]]</f>
        <v>1</v>
      </c>
      <c r="J1330" s="11" t="s">
        <v>75</v>
      </c>
      <c r="K1330" s="11">
        <v>1299</v>
      </c>
      <c r="L1330" s="129" t="s">
        <v>32</v>
      </c>
      <c r="M1330" s="11" t="s">
        <v>76</v>
      </c>
      <c r="N1330" s="129" t="s">
        <v>95</v>
      </c>
      <c r="O1330" s="129" t="s">
        <v>77</v>
      </c>
      <c r="P1330" s="11" t="s">
        <v>1516</v>
      </c>
      <c r="Q1330" s="11" t="s">
        <v>1517</v>
      </c>
      <c r="R1330" s="11" t="s">
        <v>1443</v>
      </c>
      <c r="S1330" s="11" t="s">
        <v>98</v>
      </c>
      <c r="T1330" s="11" t="s">
        <v>1518</v>
      </c>
      <c r="U1330" s="11" t="s">
        <v>2728</v>
      </c>
      <c r="V1330" s="116" t="str">
        <f>VLOOKUP(Table1[[#This Row],[Psoft No]],[2]Sheet1!$A$2:$G$386,7,0)</f>
        <v>P</v>
      </c>
      <c r="W1330" s="88"/>
      <c r="X1330" s="51">
        <v>45943</v>
      </c>
      <c r="Y1330" s="102" t="s">
        <v>1584</v>
      </c>
      <c r="Z1330" s="135" t="e">
        <v>#N/A</v>
      </c>
      <c r="AA1330" s="135" t="e">
        <v>#N/A</v>
      </c>
    </row>
    <row r="1331" spans="1:27" ht="13" customHeight="1">
      <c r="A1331" s="11">
        <v>1325</v>
      </c>
      <c r="B1331" s="47">
        <v>205079247</v>
      </c>
      <c r="C1331" s="89" t="s">
        <v>1519</v>
      </c>
      <c r="D1331" s="11" t="s">
        <v>1520</v>
      </c>
      <c r="E1331" s="48" t="s">
        <v>34</v>
      </c>
      <c r="F1331" s="48" t="s">
        <v>74</v>
      </c>
      <c r="G1331" s="11" t="s">
        <v>64</v>
      </c>
      <c r="H1331" s="48" t="str">
        <f>VLOOKUP(Table1[[#This Row],[Psoft No]],[1]Roster!$C$2:$H$1402,6,)</f>
        <v>AUH1</v>
      </c>
      <c r="I1331" s="48" t="b">
        <f>Table1[[#This Row],[Building]]=Table1[[#This Row],[Column1]]</f>
        <v>1</v>
      </c>
      <c r="J1331" s="11" t="s">
        <v>75</v>
      </c>
      <c r="K1331" s="11">
        <v>1299</v>
      </c>
      <c r="L1331" s="129" t="s">
        <v>32</v>
      </c>
      <c r="M1331" s="11" t="s">
        <v>76</v>
      </c>
      <c r="N1331" s="129" t="s">
        <v>95</v>
      </c>
      <c r="O1331" s="129" t="s">
        <v>77</v>
      </c>
      <c r="P1331" s="11" t="s">
        <v>1516</v>
      </c>
      <c r="Q1331" s="11" t="s">
        <v>1517</v>
      </c>
      <c r="R1331" s="11" t="s">
        <v>1443</v>
      </c>
      <c r="S1331" s="11" t="s">
        <v>98</v>
      </c>
      <c r="T1331" s="11" t="s">
        <v>1518</v>
      </c>
      <c r="U1331" s="11" t="s">
        <v>2728</v>
      </c>
      <c r="V1331" s="116" t="str">
        <f>VLOOKUP(Table1[[#This Row],[Psoft No]],[2]Sheet1!$A$2:$G$386,7,0)</f>
        <v>P</v>
      </c>
      <c r="W1331" s="88"/>
      <c r="X1331" s="51">
        <v>45789</v>
      </c>
      <c r="Y1331" s="102" t="s">
        <v>1584</v>
      </c>
      <c r="Z1331" s="135" t="e">
        <v>#N/A</v>
      </c>
      <c r="AA1331" s="135" t="e">
        <v>#N/A</v>
      </c>
    </row>
    <row r="1332" spans="1:27" ht="13" customHeight="1">
      <c r="A1332" s="11">
        <v>1326</v>
      </c>
      <c r="B1332" s="47">
        <v>205001264</v>
      </c>
      <c r="C1332" s="89" t="s">
        <v>1521</v>
      </c>
      <c r="D1332" s="11" t="s">
        <v>1522</v>
      </c>
      <c r="E1332" s="48" t="s">
        <v>34</v>
      </c>
      <c r="F1332" s="48" t="s">
        <v>74</v>
      </c>
      <c r="G1332" s="11" t="s">
        <v>64</v>
      </c>
      <c r="H1332" s="48" t="str">
        <f>VLOOKUP(Table1[[#This Row],[Psoft No]],[1]Roster!$C$2:$H$1402,6,)</f>
        <v>AUH1</v>
      </c>
      <c r="I1332" s="48" t="b">
        <f>Table1[[#This Row],[Building]]=Table1[[#This Row],[Column1]]</f>
        <v>1</v>
      </c>
      <c r="J1332" s="11" t="s">
        <v>75</v>
      </c>
      <c r="K1332" s="11">
        <v>1299</v>
      </c>
      <c r="L1332" s="129" t="s">
        <v>39</v>
      </c>
      <c r="M1332" s="11" t="s">
        <v>76</v>
      </c>
      <c r="N1332" s="129" t="s">
        <v>78</v>
      </c>
      <c r="O1332" s="129" t="s">
        <v>92</v>
      </c>
      <c r="P1332" s="11" t="s">
        <v>1516</v>
      </c>
      <c r="Q1332" s="11" t="s">
        <v>1517</v>
      </c>
      <c r="R1332" s="11" t="s">
        <v>1443</v>
      </c>
      <c r="S1332" s="11" t="s">
        <v>98</v>
      </c>
      <c r="T1332" s="11" t="s">
        <v>1518</v>
      </c>
      <c r="U1332" s="11" t="s">
        <v>2728</v>
      </c>
      <c r="V1332" s="116" t="s">
        <v>10</v>
      </c>
      <c r="W1332" s="88"/>
      <c r="X1332" s="51">
        <v>45754</v>
      </c>
      <c r="Y1332" s="102" t="s">
        <v>1584</v>
      </c>
      <c r="Z1332" s="135" t="e">
        <v>#N/A</v>
      </c>
      <c r="AA1332" s="135" t="e">
        <v>#N/A</v>
      </c>
    </row>
    <row r="1333" spans="1:27" ht="13" customHeight="1">
      <c r="A1333" s="11">
        <v>1327</v>
      </c>
      <c r="B1333" s="47">
        <v>204341639</v>
      </c>
      <c r="C1333" s="89" t="s">
        <v>130</v>
      </c>
      <c r="D1333" s="11" t="s">
        <v>2709</v>
      </c>
      <c r="E1333" s="48" t="s">
        <v>31</v>
      </c>
      <c r="F1333" s="48" t="s">
        <v>74</v>
      </c>
      <c r="G1333" s="11" t="s">
        <v>65</v>
      </c>
      <c r="H1333" s="48" t="str">
        <f>VLOOKUP(Table1[[#This Row],[Psoft No]],[1]Roster!$C$2:$H$1402,6,)</f>
        <v>AUH3</v>
      </c>
      <c r="I1333" s="48" t="b">
        <f>Table1[[#This Row],[Building]]=Table1[[#This Row],[Column1]]</f>
        <v>1</v>
      </c>
      <c r="J1333" s="11" t="s">
        <v>1332</v>
      </c>
      <c r="K1333" s="11">
        <v>1299</v>
      </c>
      <c r="L1333" s="49" t="s">
        <v>32</v>
      </c>
      <c r="M1333" s="49" t="s">
        <v>76</v>
      </c>
      <c r="N1333" s="49" t="s">
        <v>92</v>
      </c>
      <c r="O1333" s="49" t="s">
        <v>84</v>
      </c>
      <c r="P1333" s="48" t="s">
        <v>86</v>
      </c>
      <c r="Q1333" s="49" t="s">
        <v>68</v>
      </c>
      <c r="R1333" s="11" t="s">
        <v>80</v>
      </c>
      <c r="S1333" s="11" t="s">
        <v>87</v>
      </c>
      <c r="T1333" s="11" t="s">
        <v>1336</v>
      </c>
      <c r="U1333" s="11" t="s">
        <v>1337</v>
      </c>
      <c r="V1333" s="116" t="s">
        <v>10</v>
      </c>
      <c r="W1333" s="88"/>
      <c r="X1333" s="51">
        <v>45589</v>
      </c>
      <c r="Y1333" s="97" t="s">
        <v>68</v>
      </c>
      <c r="Z1333" s="135" t="s">
        <v>3023</v>
      </c>
      <c r="AA1333" s="135">
        <v>0</v>
      </c>
    </row>
    <row r="1334" spans="1:27" ht="13" customHeight="1">
      <c r="A1334" s="11">
        <v>1328</v>
      </c>
      <c r="B1334" s="47">
        <v>203794558</v>
      </c>
      <c r="C1334" s="89" t="s">
        <v>1525</v>
      </c>
      <c r="D1334" s="11" t="s">
        <v>1526</v>
      </c>
      <c r="E1334" s="48" t="s">
        <v>34</v>
      </c>
      <c r="F1334" s="48" t="s">
        <v>74</v>
      </c>
      <c r="G1334" s="11" t="s">
        <v>64</v>
      </c>
      <c r="H1334" s="48" t="str">
        <f>VLOOKUP(Table1[[#This Row],[Psoft No]],[1]Roster!$C$2:$H$1402,6,)</f>
        <v>AUH1</v>
      </c>
      <c r="I1334" s="48" t="b">
        <f>Table1[[#This Row],[Building]]=Table1[[#This Row],[Column1]]</f>
        <v>1</v>
      </c>
      <c r="J1334" s="11" t="s">
        <v>75</v>
      </c>
      <c r="K1334" s="11">
        <v>1299</v>
      </c>
      <c r="L1334" s="129" t="s">
        <v>32</v>
      </c>
      <c r="M1334" s="11" t="s">
        <v>76</v>
      </c>
      <c r="N1334" s="129" t="s">
        <v>95</v>
      </c>
      <c r="O1334" s="129" t="s">
        <v>77</v>
      </c>
      <c r="P1334" s="11" t="s">
        <v>1516</v>
      </c>
      <c r="Q1334" s="11" t="s">
        <v>1517</v>
      </c>
      <c r="R1334" s="11" t="s">
        <v>1443</v>
      </c>
      <c r="S1334" s="11" t="s">
        <v>98</v>
      </c>
      <c r="T1334" s="11" t="s">
        <v>1518</v>
      </c>
      <c r="U1334" s="11" t="s">
        <v>2728</v>
      </c>
      <c r="V1334" s="116" t="s">
        <v>7</v>
      </c>
      <c r="W1334" s="88" t="s">
        <v>3015</v>
      </c>
      <c r="X1334" s="51">
        <v>45593</v>
      </c>
      <c r="Y1334" s="102" t="s">
        <v>1584</v>
      </c>
      <c r="Z1334" s="135" t="e">
        <v>#N/A</v>
      </c>
      <c r="AA1334" s="135" t="e">
        <v>#N/A</v>
      </c>
    </row>
    <row r="1335" spans="1:27" ht="13" customHeight="1">
      <c r="A1335" s="11">
        <v>1329</v>
      </c>
      <c r="B1335" s="47">
        <v>203927111</v>
      </c>
      <c r="C1335" s="89" t="s">
        <v>1527</v>
      </c>
      <c r="D1335" s="11" t="s">
        <v>1528</v>
      </c>
      <c r="E1335" s="48" t="s">
        <v>34</v>
      </c>
      <c r="F1335" s="48" t="s">
        <v>74</v>
      </c>
      <c r="G1335" s="11" t="s">
        <v>64</v>
      </c>
      <c r="H1335" s="48" t="str">
        <f>VLOOKUP(Table1[[#This Row],[Psoft No]],[1]Roster!$C$2:$H$1402,6,)</f>
        <v>AUH1</v>
      </c>
      <c r="I1335" s="48" t="b">
        <f>Table1[[#This Row],[Building]]=Table1[[#This Row],[Column1]]</f>
        <v>1</v>
      </c>
      <c r="J1335" s="11" t="s">
        <v>75</v>
      </c>
      <c r="K1335" s="11">
        <v>1299</v>
      </c>
      <c r="L1335" s="129" t="s">
        <v>32</v>
      </c>
      <c r="M1335" s="11" t="s">
        <v>76</v>
      </c>
      <c r="N1335" s="129" t="s">
        <v>78</v>
      </c>
      <c r="O1335" s="129" t="s">
        <v>92</v>
      </c>
      <c r="P1335" s="11" t="s">
        <v>1516</v>
      </c>
      <c r="Q1335" s="11" t="s">
        <v>1517</v>
      </c>
      <c r="R1335" s="11" t="s">
        <v>1443</v>
      </c>
      <c r="S1335" s="11" t="s">
        <v>98</v>
      </c>
      <c r="T1335" s="11" t="s">
        <v>1518</v>
      </c>
      <c r="U1335" s="11" t="s">
        <v>2728</v>
      </c>
      <c r="V1335" s="116" t="s">
        <v>10</v>
      </c>
      <c r="W1335" s="88"/>
      <c r="X1335" s="51">
        <v>45908</v>
      </c>
      <c r="Y1335" s="102" t="s">
        <v>1584</v>
      </c>
      <c r="Z1335" s="135" t="e">
        <v>#N/A</v>
      </c>
      <c r="AA1335" s="135" t="e">
        <v>#N/A</v>
      </c>
    </row>
    <row r="1336" spans="1:27" ht="13" customHeight="1">
      <c r="A1336" s="11">
        <v>1330</v>
      </c>
      <c r="B1336" s="47">
        <v>205207923</v>
      </c>
      <c r="C1336" s="89" t="s">
        <v>1529</v>
      </c>
      <c r="D1336" s="11" t="s">
        <v>1530</v>
      </c>
      <c r="E1336" s="48" t="s">
        <v>34</v>
      </c>
      <c r="F1336" s="48" t="s">
        <v>74</v>
      </c>
      <c r="G1336" s="11" t="s">
        <v>64</v>
      </c>
      <c r="H1336" s="48" t="str">
        <f>VLOOKUP(Table1[[#This Row],[Psoft No]],[1]Roster!$C$2:$H$1402,6,)</f>
        <v>AUH1</v>
      </c>
      <c r="I1336" s="48" t="b">
        <f>Table1[[#This Row],[Building]]=Table1[[#This Row],[Column1]]</f>
        <v>1</v>
      </c>
      <c r="J1336" s="11" t="s">
        <v>75</v>
      </c>
      <c r="K1336" s="11">
        <v>1299</v>
      </c>
      <c r="L1336" s="129" t="s">
        <v>32</v>
      </c>
      <c r="M1336" s="11" t="s">
        <v>76</v>
      </c>
      <c r="N1336" s="129" t="s">
        <v>95</v>
      </c>
      <c r="O1336" s="129" t="s">
        <v>77</v>
      </c>
      <c r="P1336" s="11" t="s">
        <v>1516</v>
      </c>
      <c r="Q1336" s="11" t="s">
        <v>1517</v>
      </c>
      <c r="R1336" s="11" t="s">
        <v>1443</v>
      </c>
      <c r="S1336" s="11" t="s">
        <v>98</v>
      </c>
      <c r="T1336" s="11" t="s">
        <v>1518</v>
      </c>
      <c r="U1336" s="11" t="s">
        <v>2728</v>
      </c>
      <c r="V1336" s="116" t="s">
        <v>7</v>
      </c>
      <c r="W1336" s="88" t="s">
        <v>3015</v>
      </c>
      <c r="X1336" s="51">
        <v>45831</v>
      </c>
      <c r="Y1336" s="102" t="s">
        <v>1584</v>
      </c>
      <c r="Z1336" s="135" t="e">
        <v>#N/A</v>
      </c>
      <c r="AA1336" s="135" t="e">
        <v>#N/A</v>
      </c>
    </row>
    <row r="1337" spans="1:27" ht="13" customHeight="1">
      <c r="A1337" s="11">
        <v>1331</v>
      </c>
      <c r="B1337" s="47">
        <v>204137712</v>
      </c>
      <c r="C1337" s="89" t="s">
        <v>1412</v>
      </c>
      <c r="D1337" s="11" t="s">
        <v>1413</v>
      </c>
      <c r="E1337" s="48" t="s">
        <v>31</v>
      </c>
      <c r="F1337" s="48" t="s">
        <v>74</v>
      </c>
      <c r="G1337" s="11" t="s">
        <v>65</v>
      </c>
      <c r="H1337" s="48" t="str">
        <f>VLOOKUP(Table1[[#This Row],[Psoft No]],[1]Roster!$C$2:$H$1402,6,)</f>
        <v>AUH3</v>
      </c>
      <c r="I1337" s="48" t="b">
        <f>Table1[[#This Row],[Building]]=Table1[[#This Row],[Column1]]</f>
        <v>1</v>
      </c>
      <c r="J1337" s="11" t="s">
        <v>1332</v>
      </c>
      <c r="K1337" s="11">
        <v>1181</v>
      </c>
      <c r="L1337" s="87" t="s">
        <v>32</v>
      </c>
      <c r="M1337" s="49" t="s">
        <v>76</v>
      </c>
      <c r="N1337" s="49" t="s">
        <v>85</v>
      </c>
      <c r="O1337" s="49" t="s">
        <v>88</v>
      </c>
      <c r="P1337" s="48" t="s">
        <v>86</v>
      </c>
      <c r="Q1337" s="49" t="s">
        <v>68</v>
      </c>
      <c r="R1337" s="11" t="s">
        <v>80</v>
      </c>
      <c r="S1337" s="11" t="s">
        <v>87</v>
      </c>
      <c r="T1337" s="11" t="s">
        <v>1336</v>
      </c>
      <c r="U1337" s="11" t="s">
        <v>1337</v>
      </c>
      <c r="V1337" s="116" t="s">
        <v>1</v>
      </c>
      <c r="W1337" s="88"/>
      <c r="X1337" s="51">
        <v>45565</v>
      </c>
      <c r="Y1337" s="97" t="s">
        <v>68</v>
      </c>
      <c r="Z1337" s="135" t="s">
        <v>2</v>
      </c>
      <c r="AA1337" s="135">
        <v>0</v>
      </c>
    </row>
    <row r="1338" spans="1:27" ht="13" customHeight="1">
      <c r="A1338" s="11">
        <v>1332</v>
      </c>
      <c r="B1338" s="47">
        <v>204115629</v>
      </c>
      <c r="C1338" s="89" t="s">
        <v>1430</v>
      </c>
      <c r="D1338" s="11" t="s">
        <v>1431</v>
      </c>
      <c r="E1338" s="48" t="s">
        <v>31</v>
      </c>
      <c r="F1338" s="48" t="s">
        <v>74</v>
      </c>
      <c r="G1338" s="11" t="s">
        <v>65</v>
      </c>
      <c r="H1338" s="48" t="str">
        <f>VLOOKUP(Table1[[#This Row],[Psoft No]],[1]Roster!$C$2:$H$1402,6,)</f>
        <v>AUH3</v>
      </c>
      <c r="I1338" s="48" t="b">
        <f>Table1[[#This Row],[Building]]=Table1[[#This Row],[Column1]]</f>
        <v>1</v>
      </c>
      <c r="J1338" s="11" t="s">
        <v>1332</v>
      </c>
      <c r="K1338" s="11">
        <v>1181</v>
      </c>
      <c r="L1338" s="49" t="s">
        <v>32</v>
      </c>
      <c r="M1338" s="49" t="s">
        <v>76</v>
      </c>
      <c r="N1338" s="49" t="s">
        <v>77</v>
      </c>
      <c r="O1338" s="49" t="s">
        <v>78</v>
      </c>
      <c r="P1338" s="48" t="s">
        <v>86</v>
      </c>
      <c r="Q1338" s="49" t="s">
        <v>68</v>
      </c>
      <c r="R1338" s="11" t="s">
        <v>80</v>
      </c>
      <c r="S1338" s="11" t="s">
        <v>87</v>
      </c>
      <c r="T1338" s="11" t="s">
        <v>1336</v>
      </c>
      <c r="U1338" s="11" t="s">
        <v>1337</v>
      </c>
      <c r="V1338" s="116" t="s">
        <v>1</v>
      </c>
      <c r="W1338" s="88"/>
      <c r="X1338" s="51">
        <v>45561</v>
      </c>
      <c r="Y1338" s="97" t="s">
        <v>68</v>
      </c>
      <c r="Z1338" s="135" t="s">
        <v>2</v>
      </c>
      <c r="AA1338" s="135">
        <v>0</v>
      </c>
    </row>
    <row r="1339" spans="1:27" ht="13" customHeight="1">
      <c r="A1339" s="11">
        <v>1333</v>
      </c>
      <c r="B1339" s="47">
        <v>206884114</v>
      </c>
      <c r="C1339" s="89" t="s">
        <v>2207</v>
      </c>
      <c r="D1339" s="11" t="s">
        <v>2208</v>
      </c>
      <c r="E1339" s="48" t="s">
        <v>34</v>
      </c>
      <c r="F1339" s="48" t="s">
        <v>74</v>
      </c>
      <c r="G1339" s="11" t="s">
        <v>64</v>
      </c>
      <c r="H1339" s="48" t="str">
        <f>VLOOKUP(Table1[[#This Row],[Psoft No]],[1]Roster!$C$2:$H$1402,6,)</f>
        <v>AUH1</v>
      </c>
      <c r="I1339" s="48" t="b">
        <f>Table1[[#This Row],[Building]]=Table1[[#This Row],[Column1]]</f>
        <v>1</v>
      </c>
      <c r="J1339" s="11" t="s">
        <v>75</v>
      </c>
      <c r="K1339" s="11">
        <v>1299</v>
      </c>
      <c r="L1339" s="129" t="s">
        <v>39</v>
      </c>
      <c r="M1339" s="11" t="s">
        <v>76</v>
      </c>
      <c r="N1339" s="129" t="s">
        <v>78</v>
      </c>
      <c r="O1339" s="129" t="s">
        <v>92</v>
      </c>
      <c r="P1339" s="11" t="s">
        <v>2731</v>
      </c>
      <c r="Q1339" s="11" t="s">
        <v>1540</v>
      </c>
      <c r="R1339" s="11" t="s">
        <v>1443</v>
      </c>
      <c r="S1339" s="11" t="s">
        <v>98</v>
      </c>
      <c r="T1339" s="11" t="s">
        <v>1541</v>
      </c>
      <c r="U1339" s="11" t="s">
        <v>1542</v>
      </c>
      <c r="V1339" s="116" t="s">
        <v>10</v>
      </c>
      <c r="W1339" s="88"/>
      <c r="X1339" s="51">
        <v>46069</v>
      </c>
      <c r="Y1339" s="102" t="s">
        <v>1583</v>
      </c>
      <c r="Z1339" s="135" t="e">
        <v>#N/A</v>
      </c>
      <c r="AA1339" s="135" t="e">
        <v>#N/A</v>
      </c>
    </row>
    <row r="1340" spans="1:27" ht="13" customHeight="1">
      <c r="A1340" s="11">
        <v>1334</v>
      </c>
      <c r="B1340" s="47">
        <v>206980506</v>
      </c>
      <c r="C1340" s="89" t="s">
        <v>2888</v>
      </c>
      <c r="D1340" s="11" t="s">
        <v>2200</v>
      </c>
      <c r="E1340" s="48" t="s">
        <v>34</v>
      </c>
      <c r="F1340" s="48" t="s">
        <v>74</v>
      </c>
      <c r="G1340" s="11" t="s">
        <v>64</v>
      </c>
      <c r="H1340" s="48" t="str">
        <f>VLOOKUP(Table1[[#This Row],[Psoft No]],[1]Roster!$C$2:$H$1402,6,)</f>
        <v>AUH1</v>
      </c>
      <c r="I1340" s="48" t="b">
        <f>Table1[[#This Row],[Building]]=Table1[[#This Row],[Column1]]</f>
        <v>1</v>
      </c>
      <c r="J1340" s="11" t="s">
        <v>75</v>
      </c>
      <c r="K1340" s="11">
        <v>1299</v>
      </c>
      <c r="L1340" s="129" t="s">
        <v>32</v>
      </c>
      <c r="M1340" s="11" t="s">
        <v>76</v>
      </c>
      <c r="N1340" s="129" t="s">
        <v>95</v>
      </c>
      <c r="O1340" s="129" t="s">
        <v>77</v>
      </c>
      <c r="P1340" s="11" t="s">
        <v>2731</v>
      </c>
      <c r="Q1340" s="11" t="s">
        <v>1540</v>
      </c>
      <c r="R1340" s="11" t="s">
        <v>1443</v>
      </c>
      <c r="S1340" s="11" t="s">
        <v>98</v>
      </c>
      <c r="T1340" s="11" t="s">
        <v>1541</v>
      </c>
      <c r="U1340" s="11" t="s">
        <v>1542</v>
      </c>
      <c r="V1340" s="116" t="s">
        <v>1</v>
      </c>
      <c r="W1340" s="88"/>
      <c r="X1340" s="51">
        <v>46125</v>
      </c>
      <c r="Y1340" s="102" t="s">
        <v>1583</v>
      </c>
      <c r="Z1340" s="135" t="e">
        <v>#N/A</v>
      </c>
      <c r="AA1340" s="135" t="e">
        <v>#N/A</v>
      </c>
    </row>
    <row r="1341" spans="1:27" ht="13" customHeight="1">
      <c r="A1341" s="11">
        <v>1335</v>
      </c>
      <c r="B1341" s="47">
        <v>206930467</v>
      </c>
      <c r="C1341" s="89" t="s">
        <v>2209</v>
      </c>
      <c r="D1341" s="11" t="s">
        <v>2210</v>
      </c>
      <c r="E1341" s="48" t="s">
        <v>34</v>
      </c>
      <c r="F1341" s="48" t="s">
        <v>74</v>
      </c>
      <c r="G1341" s="11" t="s">
        <v>64</v>
      </c>
      <c r="H1341" s="48" t="str">
        <f>VLOOKUP(Table1[[#This Row],[Psoft No]],[1]Roster!$C$2:$H$1402,6,)</f>
        <v>AUH1</v>
      </c>
      <c r="I1341" s="48" t="b">
        <f>Table1[[#This Row],[Building]]=Table1[[#This Row],[Column1]]</f>
        <v>1</v>
      </c>
      <c r="J1341" s="11" t="s">
        <v>75</v>
      </c>
      <c r="K1341" s="11">
        <v>1299</v>
      </c>
      <c r="L1341" s="129" t="s">
        <v>39</v>
      </c>
      <c r="M1341" s="11" t="s">
        <v>76</v>
      </c>
      <c r="N1341" s="129" t="s">
        <v>95</v>
      </c>
      <c r="O1341" s="129" t="s">
        <v>77</v>
      </c>
      <c r="P1341" s="11" t="s">
        <v>2731</v>
      </c>
      <c r="Q1341" s="11" t="s">
        <v>1540</v>
      </c>
      <c r="R1341" s="11" t="s">
        <v>1443</v>
      </c>
      <c r="S1341" s="11" t="s">
        <v>98</v>
      </c>
      <c r="T1341" s="11" t="s">
        <v>1541</v>
      </c>
      <c r="U1341" s="11" t="s">
        <v>1542</v>
      </c>
      <c r="V1341" s="116" t="s">
        <v>1</v>
      </c>
      <c r="W1341" s="88"/>
      <c r="X1341" s="51">
        <v>46069</v>
      </c>
      <c r="Y1341" s="102" t="s">
        <v>1583</v>
      </c>
      <c r="Z1341" s="135" t="e">
        <v>#N/A</v>
      </c>
      <c r="AA1341" s="135" t="e">
        <v>#N/A</v>
      </c>
    </row>
    <row r="1342" spans="1:27" ht="13" customHeight="1">
      <c r="A1342" s="11">
        <v>1336</v>
      </c>
      <c r="B1342" s="47">
        <v>113239078</v>
      </c>
      <c r="C1342" s="89" t="s">
        <v>1702</v>
      </c>
      <c r="D1342" s="11" t="s">
        <v>1543</v>
      </c>
      <c r="E1342" s="48" t="s">
        <v>34</v>
      </c>
      <c r="F1342" s="48" t="s">
        <v>74</v>
      </c>
      <c r="G1342" s="11" t="s">
        <v>64</v>
      </c>
      <c r="H1342" s="48" t="str">
        <f>VLOOKUP(Table1[[#This Row],[Psoft No]],[1]Roster!$C$2:$H$1402,6,)</f>
        <v>AUH1</v>
      </c>
      <c r="I1342" s="48" t="b">
        <f>Table1[[#This Row],[Building]]=Table1[[#This Row],[Column1]]</f>
        <v>1</v>
      </c>
      <c r="J1342" s="11" t="s">
        <v>75</v>
      </c>
      <c r="K1342" s="11">
        <v>1299</v>
      </c>
      <c r="L1342" s="129" t="s">
        <v>39</v>
      </c>
      <c r="M1342" s="11" t="s">
        <v>76</v>
      </c>
      <c r="N1342" s="129" t="s">
        <v>85</v>
      </c>
      <c r="O1342" s="129" t="s">
        <v>88</v>
      </c>
      <c r="P1342" s="11" t="s">
        <v>2731</v>
      </c>
      <c r="Q1342" s="11" t="s">
        <v>1540</v>
      </c>
      <c r="R1342" s="11" t="s">
        <v>1443</v>
      </c>
      <c r="S1342" s="11" t="s">
        <v>98</v>
      </c>
      <c r="T1342" s="11" t="s">
        <v>1541</v>
      </c>
      <c r="U1342" s="11" t="s">
        <v>1542</v>
      </c>
      <c r="V1342" s="116" t="s">
        <v>7</v>
      </c>
      <c r="W1342" s="88" t="s">
        <v>3022</v>
      </c>
      <c r="X1342" s="51">
        <v>44935</v>
      </c>
      <c r="Y1342" s="102" t="s">
        <v>1583</v>
      </c>
      <c r="Z1342" s="135" t="e">
        <v>#N/A</v>
      </c>
      <c r="AA1342" s="135" t="e">
        <v>#N/A</v>
      </c>
    </row>
    <row r="1343" spans="1:27" ht="13" customHeight="1">
      <c r="A1343" s="11">
        <v>1337</v>
      </c>
      <c r="B1343" s="47">
        <v>203875181</v>
      </c>
      <c r="C1343" s="89" t="s">
        <v>1544</v>
      </c>
      <c r="D1343" s="11" t="s">
        <v>1545</v>
      </c>
      <c r="E1343" s="48" t="s">
        <v>31</v>
      </c>
      <c r="F1343" s="48" t="s">
        <v>74</v>
      </c>
      <c r="G1343" s="11" t="s">
        <v>66</v>
      </c>
      <c r="H1343" s="48" t="str">
        <f>VLOOKUP(Table1[[#This Row],[Psoft No]],[1]Roster!$C$2:$H$1402,6,)</f>
        <v>DAD1</v>
      </c>
      <c r="I1343" s="48" t="b">
        <f>Table1[[#This Row],[Building]]=Table1[[#This Row],[Column1]]</f>
        <v>1</v>
      </c>
      <c r="J1343" s="11" t="s">
        <v>1332</v>
      </c>
      <c r="K1343" s="11">
        <v>1181</v>
      </c>
      <c r="L1343" s="129" t="s">
        <v>39</v>
      </c>
      <c r="M1343" s="11" t="s">
        <v>76</v>
      </c>
      <c r="N1343" s="129" t="s">
        <v>85</v>
      </c>
      <c r="O1343" s="129" t="s">
        <v>88</v>
      </c>
      <c r="P1343" s="11" t="s">
        <v>79</v>
      </c>
      <c r="Q1343" s="11" t="s">
        <v>68</v>
      </c>
      <c r="R1343" s="11" t="s">
        <v>1443</v>
      </c>
      <c r="S1343" s="11" t="s">
        <v>81</v>
      </c>
      <c r="T1343" s="11" t="s">
        <v>2720</v>
      </c>
      <c r="U1343" s="11" t="s">
        <v>2721</v>
      </c>
      <c r="V1343" s="116" t="s">
        <v>1</v>
      </c>
      <c r="W1343" s="88"/>
      <c r="X1343" s="51">
        <v>45530</v>
      </c>
      <c r="Y1343" s="102" t="s">
        <v>68</v>
      </c>
      <c r="Z1343" s="135" t="s">
        <v>2</v>
      </c>
      <c r="AA1343" s="135">
        <v>0</v>
      </c>
    </row>
    <row r="1344" spans="1:27" ht="13" customHeight="1">
      <c r="A1344" s="11">
        <v>1338</v>
      </c>
      <c r="B1344" s="47">
        <v>203875184</v>
      </c>
      <c r="C1344" s="89" t="s">
        <v>1546</v>
      </c>
      <c r="D1344" s="11" t="s">
        <v>1547</v>
      </c>
      <c r="E1344" s="48" t="s">
        <v>31</v>
      </c>
      <c r="F1344" s="48" t="s">
        <v>74</v>
      </c>
      <c r="G1344" s="11" t="s">
        <v>66</v>
      </c>
      <c r="H1344" s="48" t="str">
        <f>VLOOKUP(Table1[[#This Row],[Psoft No]],[1]Roster!$C$2:$H$1402,6,)</f>
        <v>DAD1</v>
      </c>
      <c r="I1344" s="48" t="b">
        <f>Table1[[#This Row],[Building]]=Table1[[#This Row],[Column1]]</f>
        <v>1</v>
      </c>
      <c r="J1344" s="11" t="s">
        <v>1332</v>
      </c>
      <c r="K1344" s="11">
        <v>1181</v>
      </c>
      <c r="L1344" s="129" t="s">
        <v>39</v>
      </c>
      <c r="M1344" s="11" t="s">
        <v>76</v>
      </c>
      <c r="N1344" s="129" t="s">
        <v>88</v>
      </c>
      <c r="O1344" s="129" t="s">
        <v>95</v>
      </c>
      <c r="P1344" s="11" t="s">
        <v>79</v>
      </c>
      <c r="Q1344" s="11" t="s">
        <v>68</v>
      </c>
      <c r="R1344" s="11" t="s">
        <v>1443</v>
      </c>
      <c r="S1344" s="11" t="s">
        <v>81</v>
      </c>
      <c r="T1344" s="11" t="s">
        <v>2720</v>
      </c>
      <c r="U1344" s="11" t="s">
        <v>2721</v>
      </c>
      <c r="V1344" s="116" t="s">
        <v>1</v>
      </c>
      <c r="W1344" s="88"/>
      <c r="X1344" s="51">
        <v>45530</v>
      </c>
      <c r="Y1344" s="102" t="s">
        <v>68</v>
      </c>
      <c r="Z1344" s="135" t="s">
        <v>2</v>
      </c>
      <c r="AA1344" s="135">
        <v>0</v>
      </c>
    </row>
    <row r="1345" spans="1:27" ht="13" customHeight="1">
      <c r="A1345" s="11">
        <v>1339</v>
      </c>
      <c r="B1345" s="47">
        <v>203875092</v>
      </c>
      <c r="C1345" s="89" t="s">
        <v>1548</v>
      </c>
      <c r="D1345" s="11" t="s">
        <v>1549</v>
      </c>
      <c r="E1345" s="48" t="s">
        <v>31</v>
      </c>
      <c r="F1345" s="48" t="s">
        <v>74</v>
      </c>
      <c r="G1345" s="11" t="s">
        <v>66</v>
      </c>
      <c r="H1345" s="48" t="str">
        <f>VLOOKUP(Table1[[#This Row],[Psoft No]],[1]Roster!$C$2:$H$1402,6,)</f>
        <v>DAD1</v>
      </c>
      <c r="I1345" s="48" t="b">
        <f>Table1[[#This Row],[Building]]=Table1[[#This Row],[Column1]]</f>
        <v>1</v>
      </c>
      <c r="J1345" s="11" t="s">
        <v>1332</v>
      </c>
      <c r="K1345" s="11">
        <v>1181</v>
      </c>
      <c r="L1345" s="129" t="s">
        <v>39</v>
      </c>
      <c r="M1345" s="11" t="s">
        <v>76</v>
      </c>
      <c r="N1345" s="129" t="s">
        <v>84</v>
      </c>
      <c r="O1345" s="129" t="s">
        <v>85</v>
      </c>
      <c r="P1345" s="11" t="s">
        <v>79</v>
      </c>
      <c r="Q1345" s="11" t="s">
        <v>68</v>
      </c>
      <c r="R1345" s="11" t="s">
        <v>1443</v>
      </c>
      <c r="S1345" s="11" t="s">
        <v>81</v>
      </c>
      <c r="T1345" s="11" t="s">
        <v>2720</v>
      </c>
      <c r="U1345" s="11" t="s">
        <v>2721</v>
      </c>
      <c r="V1345" s="116" t="s">
        <v>1</v>
      </c>
      <c r="W1345" s="88"/>
      <c r="X1345" s="51">
        <v>45530</v>
      </c>
      <c r="Y1345" s="102" t="s">
        <v>68</v>
      </c>
      <c r="Z1345" s="135" t="s">
        <v>2</v>
      </c>
      <c r="AA1345" s="135">
        <v>0</v>
      </c>
    </row>
    <row r="1346" spans="1:27" ht="13" customHeight="1">
      <c r="A1346" s="11">
        <v>1340</v>
      </c>
      <c r="B1346" s="47">
        <v>203875089</v>
      </c>
      <c r="C1346" s="89" t="s">
        <v>1550</v>
      </c>
      <c r="D1346" s="11" t="s">
        <v>1551</v>
      </c>
      <c r="E1346" s="48" t="s">
        <v>31</v>
      </c>
      <c r="F1346" s="48" t="s">
        <v>74</v>
      </c>
      <c r="G1346" s="11" t="s">
        <v>66</v>
      </c>
      <c r="H1346" s="48" t="str">
        <f>VLOOKUP(Table1[[#This Row],[Psoft No]],[1]Roster!$C$2:$H$1402,6,)</f>
        <v>DAD1</v>
      </c>
      <c r="I1346" s="48" t="b">
        <f>Table1[[#This Row],[Building]]=Table1[[#This Row],[Column1]]</f>
        <v>1</v>
      </c>
      <c r="J1346" s="11" t="s">
        <v>1332</v>
      </c>
      <c r="K1346" s="11">
        <v>1181</v>
      </c>
      <c r="L1346" s="129" t="s">
        <v>39</v>
      </c>
      <c r="M1346" s="11" t="s">
        <v>76</v>
      </c>
      <c r="N1346" s="129" t="s">
        <v>88</v>
      </c>
      <c r="O1346" s="129" t="s">
        <v>95</v>
      </c>
      <c r="P1346" s="11" t="s">
        <v>79</v>
      </c>
      <c r="Q1346" s="11" t="s">
        <v>68</v>
      </c>
      <c r="R1346" s="11" t="s">
        <v>1443</v>
      </c>
      <c r="S1346" s="11" t="s">
        <v>81</v>
      </c>
      <c r="T1346" s="11" t="s">
        <v>2720</v>
      </c>
      <c r="U1346" s="11" t="s">
        <v>2721</v>
      </c>
      <c r="V1346" s="116" t="s">
        <v>1</v>
      </c>
      <c r="W1346" s="88"/>
      <c r="X1346" s="51">
        <v>45530</v>
      </c>
      <c r="Y1346" s="102" t="s">
        <v>68</v>
      </c>
      <c r="Z1346" s="135" t="s">
        <v>2</v>
      </c>
      <c r="AA1346" s="135">
        <v>0</v>
      </c>
    </row>
    <row r="1347" spans="1:27" ht="13" customHeight="1">
      <c r="A1347" s="11">
        <v>1341</v>
      </c>
      <c r="B1347" s="112">
        <v>203875090</v>
      </c>
      <c r="C1347" s="113" t="s">
        <v>1552</v>
      </c>
      <c r="D1347" s="11" t="s">
        <v>1553</v>
      </c>
      <c r="E1347" s="104" t="s">
        <v>31</v>
      </c>
      <c r="F1347" s="104" t="s">
        <v>74</v>
      </c>
      <c r="G1347" s="105" t="s">
        <v>66</v>
      </c>
      <c r="H1347" s="104" t="str">
        <f>VLOOKUP(Table1[[#This Row],[Psoft No]],[1]Roster!$C$2:$H$1402,6,)</f>
        <v>DAD1</v>
      </c>
      <c r="I1347" s="104" t="b">
        <f>Table1[[#This Row],[Building]]=Table1[[#This Row],[Column1]]</f>
        <v>1</v>
      </c>
      <c r="J1347" s="105" t="s">
        <v>1332</v>
      </c>
      <c r="K1347" s="11">
        <v>1181</v>
      </c>
      <c r="L1347" s="129" t="s">
        <v>39</v>
      </c>
      <c r="M1347" s="106" t="s">
        <v>76</v>
      </c>
      <c r="N1347" s="106" t="s">
        <v>95</v>
      </c>
      <c r="O1347" s="106" t="s">
        <v>77</v>
      </c>
      <c r="P1347" s="104" t="s">
        <v>79</v>
      </c>
      <c r="Q1347" s="106" t="s">
        <v>68</v>
      </c>
      <c r="R1347" s="105" t="s">
        <v>1443</v>
      </c>
      <c r="S1347" s="105" t="s">
        <v>81</v>
      </c>
      <c r="T1347" s="105" t="s">
        <v>2720</v>
      </c>
      <c r="U1347" s="105" t="s">
        <v>2721</v>
      </c>
      <c r="V1347" s="116" t="s">
        <v>1</v>
      </c>
      <c r="W1347" s="88"/>
      <c r="X1347" s="107">
        <v>45530</v>
      </c>
      <c r="Y1347" s="108" t="s">
        <v>68</v>
      </c>
      <c r="Z1347" s="135" t="s">
        <v>2</v>
      </c>
      <c r="AA1347" s="135">
        <v>0</v>
      </c>
    </row>
    <row r="1348" spans="1:27" ht="13" customHeight="1">
      <c r="A1348" s="11">
        <v>1342</v>
      </c>
      <c r="B1348" s="47">
        <v>203875180</v>
      </c>
      <c r="C1348" s="89" t="s">
        <v>1554</v>
      </c>
      <c r="D1348" s="11" t="s">
        <v>1555</v>
      </c>
      <c r="E1348" s="48" t="s">
        <v>31</v>
      </c>
      <c r="F1348" s="48" t="s">
        <v>74</v>
      </c>
      <c r="G1348" s="75" t="s">
        <v>66</v>
      </c>
      <c r="H1348" s="76" t="str">
        <f>VLOOKUP(Table1[[#This Row],[Psoft No]],[1]Roster!$C$2:$H$1402,6,)</f>
        <v>DAD1</v>
      </c>
      <c r="I1348" s="76" t="b">
        <f>Table1[[#This Row],[Building]]=Table1[[#This Row],[Column1]]</f>
        <v>1</v>
      </c>
      <c r="J1348" s="75" t="s">
        <v>1332</v>
      </c>
      <c r="K1348" s="11">
        <v>1181</v>
      </c>
      <c r="L1348" s="49" t="s">
        <v>39</v>
      </c>
      <c r="M1348" s="49" t="s">
        <v>76</v>
      </c>
      <c r="N1348" s="49" t="s">
        <v>78</v>
      </c>
      <c r="O1348" s="49" t="s">
        <v>92</v>
      </c>
      <c r="P1348" s="48" t="s">
        <v>79</v>
      </c>
      <c r="Q1348" s="49" t="s">
        <v>68</v>
      </c>
      <c r="R1348" s="11" t="s">
        <v>1443</v>
      </c>
      <c r="S1348" s="11" t="s">
        <v>81</v>
      </c>
      <c r="T1348" s="11" t="s">
        <v>2720</v>
      </c>
      <c r="U1348" s="11" t="s">
        <v>2721</v>
      </c>
      <c r="V1348" s="116" t="s">
        <v>10</v>
      </c>
      <c r="W1348" s="88"/>
      <c r="X1348" s="51">
        <v>45530</v>
      </c>
      <c r="Y1348" s="97" t="s">
        <v>68</v>
      </c>
      <c r="Z1348" s="135" t="s">
        <v>3023</v>
      </c>
      <c r="AA1348" s="135">
        <v>0</v>
      </c>
    </row>
    <row r="1349" spans="1:27" ht="13" customHeight="1">
      <c r="A1349" s="11">
        <v>1343</v>
      </c>
      <c r="B1349" s="118">
        <v>203875183</v>
      </c>
      <c r="C1349" s="117" t="s">
        <v>1556</v>
      </c>
      <c r="D1349" s="119" t="s">
        <v>1557</v>
      </c>
      <c r="E1349" s="109" t="s">
        <v>31</v>
      </c>
      <c r="F1349" s="109" t="s">
        <v>74</v>
      </c>
      <c r="G1349" s="99" t="s">
        <v>66</v>
      </c>
      <c r="H1349" s="109" t="str">
        <f>VLOOKUP(Table1[[#This Row],[Psoft No]],[1]Roster!$C$2:$H$1402,6,)</f>
        <v>DAD1</v>
      </c>
      <c r="I1349" s="109" t="b">
        <f>Table1[[#This Row],[Building]]=Table1[[#This Row],[Column1]]</f>
        <v>1</v>
      </c>
      <c r="J1349" s="99" t="s">
        <v>1332</v>
      </c>
      <c r="K1349" s="11">
        <v>1181</v>
      </c>
      <c r="L1349" s="129" t="s">
        <v>39</v>
      </c>
      <c r="M1349" s="110" t="s">
        <v>76</v>
      </c>
      <c r="N1349" s="110" t="s">
        <v>85</v>
      </c>
      <c r="O1349" s="110" t="s">
        <v>88</v>
      </c>
      <c r="P1349" s="109" t="s">
        <v>79</v>
      </c>
      <c r="Q1349" s="110" t="s">
        <v>68</v>
      </c>
      <c r="R1349" s="99" t="s">
        <v>1443</v>
      </c>
      <c r="S1349" s="99" t="s">
        <v>81</v>
      </c>
      <c r="T1349" s="99" t="s">
        <v>2720</v>
      </c>
      <c r="U1349" s="99" t="s">
        <v>2721</v>
      </c>
      <c r="V1349" s="116" t="s">
        <v>1</v>
      </c>
      <c r="W1349" s="88"/>
      <c r="X1349" s="111">
        <v>45530</v>
      </c>
      <c r="Y1349" s="120" t="s">
        <v>68</v>
      </c>
      <c r="Z1349" s="135" t="s">
        <v>2</v>
      </c>
      <c r="AA1349" s="135">
        <v>0</v>
      </c>
    </row>
    <row r="1350" spans="1:27" ht="13" customHeight="1">
      <c r="A1350" s="11">
        <v>1344</v>
      </c>
      <c r="B1350" s="118">
        <v>112463068</v>
      </c>
      <c r="C1350" s="117" t="s">
        <v>1558</v>
      </c>
      <c r="D1350" s="119" t="s">
        <v>1559</v>
      </c>
      <c r="E1350" s="109" t="s">
        <v>31</v>
      </c>
      <c r="F1350" s="109" t="s">
        <v>74</v>
      </c>
      <c r="G1350" s="99" t="s">
        <v>66</v>
      </c>
      <c r="H1350" s="109" t="str">
        <f>VLOOKUP(Table1[[#This Row],[Psoft No]],[1]Roster!$C$2:$H$1402,6,)</f>
        <v>DAD1</v>
      </c>
      <c r="I1350" s="109" t="b">
        <f>Table1[[#This Row],[Building]]=Table1[[#This Row],[Column1]]</f>
        <v>1</v>
      </c>
      <c r="J1350" s="99" t="s">
        <v>1332</v>
      </c>
      <c r="K1350" s="11">
        <v>1181</v>
      </c>
      <c r="L1350" s="129" t="s">
        <v>39</v>
      </c>
      <c r="M1350" s="110" t="s">
        <v>76</v>
      </c>
      <c r="N1350" s="110" t="s">
        <v>88</v>
      </c>
      <c r="O1350" s="110" t="s">
        <v>95</v>
      </c>
      <c r="P1350" s="109" t="s">
        <v>79</v>
      </c>
      <c r="Q1350" s="110" t="s">
        <v>68</v>
      </c>
      <c r="R1350" s="99" t="s">
        <v>1443</v>
      </c>
      <c r="S1350" s="99" t="s">
        <v>81</v>
      </c>
      <c r="T1350" s="99" t="s">
        <v>2720</v>
      </c>
      <c r="U1350" s="99" t="s">
        <v>2721</v>
      </c>
      <c r="V1350" s="116" t="s">
        <v>1</v>
      </c>
      <c r="W1350" s="88"/>
      <c r="X1350" s="111">
        <v>45530</v>
      </c>
      <c r="Y1350" s="120" t="s">
        <v>68</v>
      </c>
      <c r="Z1350" s="135" t="s">
        <v>2</v>
      </c>
      <c r="AA1350" s="135">
        <v>0</v>
      </c>
    </row>
    <row r="1351" spans="1:27" ht="13" customHeight="1">
      <c r="A1351" s="11">
        <v>1345</v>
      </c>
      <c r="B1351" s="118">
        <v>203875088</v>
      </c>
      <c r="C1351" s="117" t="s">
        <v>1560</v>
      </c>
      <c r="D1351" s="119" t="s">
        <v>1561</v>
      </c>
      <c r="E1351" s="109" t="s">
        <v>31</v>
      </c>
      <c r="F1351" s="109" t="s">
        <v>74</v>
      </c>
      <c r="G1351" s="99" t="s">
        <v>66</v>
      </c>
      <c r="H1351" s="109" t="str">
        <f>VLOOKUP(Table1[[#This Row],[Psoft No]],[1]Roster!$C$2:$H$1402,6,)</f>
        <v>DAD1</v>
      </c>
      <c r="I1351" s="109" t="b">
        <f>Table1[[#This Row],[Building]]=Table1[[#This Row],[Column1]]</f>
        <v>1</v>
      </c>
      <c r="J1351" s="99" t="s">
        <v>1332</v>
      </c>
      <c r="K1351" s="11">
        <v>1181</v>
      </c>
      <c r="L1351" s="129" t="s">
        <v>39</v>
      </c>
      <c r="M1351" s="110" t="s">
        <v>76</v>
      </c>
      <c r="N1351" s="110" t="s">
        <v>92</v>
      </c>
      <c r="O1351" s="110" t="s">
        <v>84</v>
      </c>
      <c r="P1351" s="109" t="s">
        <v>79</v>
      </c>
      <c r="Q1351" s="110" t="s">
        <v>68</v>
      </c>
      <c r="R1351" s="99" t="s">
        <v>1443</v>
      </c>
      <c r="S1351" s="99" t="s">
        <v>81</v>
      </c>
      <c r="T1351" s="99" t="s">
        <v>2720</v>
      </c>
      <c r="U1351" s="99" t="s">
        <v>2721</v>
      </c>
      <c r="V1351" s="116" t="s">
        <v>10</v>
      </c>
      <c r="W1351" s="88"/>
      <c r="X1351" s="111">
        <v>45530</v>
      </c>
      <c r="Y1351" s="120" t="s">
        <v>68</v>
      </c>
      <c r="Z1351" s="135" t="s">
        <v>3023</v>
      </c>
      <c r="AA1351" s="135" t="s">
        <v>3025</v>
      </c>
    </row>
    <row r="1352" spans="1:27" ht="13" customHeight="1">
      <c r="A1352" s="11">
        <v>1346</v>
      </c>
      <c r="B1352" s="118">
        <v>203875091</v>
      </c>
      <c r="C1352" s="117" t="s">
        <v>1562</v>
      </c>
      <c r="D1352" s="119" t="s">
        <v>1563</v>
      </c>
      <c r="E1352" s="109" t="s">
        <v>31</v>
      </c>
      <c r="F1352" s="109" t="s">
        <v>74</v>
      </c>
      <c r="G1352" s="99" t="s">
        <v>66</v>
      </c>
      <c r="H1352" s="109" t="str">
        <f>VLOOKUP(Table1[[#This Row],[Psoft No]],[1]Roster!$C$2:$H$1402,6,)</f>
        <v>DAD1</v>
      </c>
      <c r="I1352" s="109" t="b">
        <f>Table1[[#This Row],[Building]]=Table1[[#This Row],[Column1]]</f>
        <v>1</v>
      </c>
      <c r="J1352" s="99" t="s">
        <v>1332</v>
      </c>
      <c r="K1352" s="11">
        <v>1181</v>
      </c>
      <c r="L1352" s="129" t="s">
        <v>39</v>
      </c>
      <c r="M1352" s="110" t="s">
        <v>76</v>
      </c>
      <c r="N1352" s="110" t="s">
        <v>84</v>
      </c>
      <c r="O1352" s="110" t="s">
        <v>85</v>
      </c>
      <c r="P1352" s="109" t="s">
        <v>79</v>
      </c>
      <c r="Q1352" s="110" t="s">
        <v>68</v>
      </c>
      <c r="R1352" s="99" t="s">
        <v>1443</v>
      </c>
      <c r="S1352" s="99" t="s">
        <v>81</v>
      </c>
      <c r="T1352" s="99" t="s">
        <v>2720</v>
      </c>
      <c r="U1352" s="99" t="s">
        <v>2721</v>
      </c>
      <c r="V1352" s="116" t="s">
        <v>1</v>
      </c>
      <c r="W1352" s="88"/>
      <c r="X1352" s="111">
        <v>45530</v>
      </c>
      <c r="Y1352" s="120" t="s">
        <v>68</v>
      </c>
      <c r="Z1352" s="135" t="s">
        <v>2</v>
      </c>
      <c r="AA1352" s="135">
        <v>0</v>
      </c>
    </row>
    <row r="1353" spans="1:27" ht="13" customHeight="1">
      <c r="A1353" s="11">
        <v>1347</v>
      </c>
      <c r="B1353" s="121">
        <v>203875185</v>
      </c>
      <c r="C1353" s="122" t="s">
        <v>1564</v>
      </c>
      <c r="D1353" s="123" t="s">
        <v>1565</v>
      </c>
      <c r="E1353" s="104" t="s">
        <v>31</v>
      </c>
      <c r="F1353" s="104" t="s">
        <v>74</v>
      </c>
      <c r="G1353" s="105" t="s">
        <v>66</v>
      </c>
      <c r="H1353" s="104" t="str">
        <f>VLOOKUP(Table1[[#This Row],[Psoft No]],[1]Roster!$C$2:$H$1402,6,)</f>
        <v>DAD1</v>
      </c>
      <c r="I1353" s="104" t="b">
        <f>Table1[[#This Row],[Building]]=Table1[[#This Row],[Column1]]</f>
        <v>1</v>
      </c>
      <c r="J1353" s="105" t="s">
        <v>1332</v>
      </c>
      <c r="K1353" s="11">
        <v>1181</v>
      </c>
      <c r="L1353" s="129" t="s">
        <v>39</v>
      </c>
      <c r="M1353" s="106" t="s">
        <v>76</v>
      </c>
      <c r="N1353" s="106" t="s">
        <v>95</v>
      </c>
      <c r="O1353" s="106" t="s">
        <v>77</v>
      </c>
      <c r="P1353" s="104" t="s">
        <v>79</v>
      </c>
      <c r="Q1353" s="106" t="s">
        <v>68</v>
      </c>
      <c r="R1353" s="105" t="s">
        <v>1443</v>
      </c>
      <c r="S1353" s="105" t="s">
        <v>81</v>
      </c>
      <c r="T1353" s="105" t="s">
        <v>2720</v>
      </c>
      <c r="U1353" s="105" t="s">
        <v>2721</v>
      </c>
      <c r="V1353" s="116" t="s">
        <v>1</v>
      </c>
      <c r="W1353" s="88"/>
      <c r="X1353" s="107">
        <v>45530</v>
      </c>
      <c r="Y1353" s="108" t="s">
        <v>68</v>
      </c>
      <c r="Z1353" s="135" t="s">
        <v>2</v>
      </c>
      <c r="AA1353" s="135">
        <v>0</v>
      </c>
    </row>
    <row r="1354" spans="1:27" ht="13" customHeight="1">
      <c r="A1354" s="11">
        <v>1348</v>
      </c>
      <c r="B1354" s="118">
        <v>203875186</v>
      </c>
      <c r="C1354" s="117" t="s">
        <v>1566</v>
      </c>
      <c r="D1354" s="119" t="s">
        <v>1567</v>
      </c>
      <c r="E1354" s="109" t="s">
        <v>31</v>
      </c>
      <c r="F1354" s="109" t="s">
        <v>74</v>
      </c>
      <c r="G1354" s="99" t="s">
        <v>66</v>
      </c>
      <c r="H1354" s="109" t="str">
        <f>VLOOKUP(Table1[[#This Row],[Psoft No]],[1]Roster!$C$2:$H$1402,6,)</f>
        <v>DAD1</v>
      </c>
      <c r="I1354" s="109" t="b">
        <f>Table1[[#This Row],[Building]]=Table1[[#This Row],[Column1]]</f>
        <v>1</v>
      </c>
      <c r="J1354" s="99" t="s">
        <v>1332</v>
      </c>
      <c r="K1354" s="11">
        <v>1181</v>
      </c>
      <c r="L1354" s="129" t="s">
        <v>39</v>
      </c>
      <c r="M1354" s="110" t="s">
        <v>76</v>
      </c>
      <c r="N1354" s="110" t="s">
        <v>77</v>
      </c>
      <c r="O1354" s="110" t="s">
        <v>78</v>
      </c>
      <c r="P1354" s="109" t="s">
        <v>79</v>
      </c>
      <c r="Q1354" s="110" t="s">
        <v>68</v>
      </c>
      <c r="R1354" s="99" t="s">
        <v>1443</v>
      </c>
      <c r="S1354" s="99" t="s">
        <v>81</v>
      </c>
      <c r="T1354" s="11" t="s">
        <v>2720</v>
      </c>
      <c r="U1354" s="11" t="s">
        <v>2721</v>
      </c>
      <c r="V1354" s="116" t="s">
        <v>1</v>
      </c>
      <c r="W1354" s="88"/>
      <c r="X1354" s="111">
        <v>45528</v>
      </c>
      <c r="Y1354" s="120" t="s">
        <v>68</v>
      </c>
      <c r="Z1354" s="135" t="s">
        <v>2</v>
      </c>
      <c r="AA1354" s="135">
        <v>0</v>
      </c>
    </row>
    <row r="1355" spans="1:27" ht="13" customHeight="1">
      <c r="A1355" s="11">
        <v>1349</v>
      </c>
      <c r="B1355" s="118">
        <v>206926977</v>
      </c>
      <c r="C1355" s="117" t="s">
        <v>2889</v>
      </c>
      <c r="D1355" s="119" t="s">
        <v>2914</v>
      </c>
      <c r="E1355" s="109" t="s">
        <v>31</v>
      </c>
      <c r="F1355" s="109" t="s">
        <v>74</v>
      </c>
      <c r="G1355" s="99" t="s">
        <v>64</v>
      </c>
      <c r="H1355" s="109" t="str">
        <f>VLOOKUP(Table1[[#This Row],[Psoft No]],[1]Roster!$C$2:$H$1402,6,)</f>
        <v>AUH1</v>
      </c>
      <c r="I1355" s="109" t="b">
        <f>Table1[[#This Row],[Building]]=Table1[[#This Row],[Column1]]</f>
        <v>1</v>
      </c>
      <c r="J1355" s="99" t="s">
        <v>75</v>
      </c>
      <c r="K1355" s="11">
        <v>1299</v>
      </c>
      <c r="L1355" s="129" t="s">
        <v>39</v>
      </c>
      <c r="M1355" s="110" t="s">
        <v>76</v>
      </c>
      <c r="N1355" s="110" t="s">
        <v>92</v>
      </c>
      <c r="O1355" s="110" t="s">
        <v>84</v>
      </c>
      <c r="P1355" s="109" t="s">
        <v>89</v>
      </c>
      <c r="Q1355" s="110" t="s">
        <v>37</v>
      </c>
      <c r="R1355" s="99" t="s">
        <v>80</v>
      </c>
      <c r="S1355" s="99" t="s">
        <v>81</v>
      </c>
      <c r="T1355" s="99" t="s">
        <v>2845</v>
      </c>
      <c r="U1355" s="99" t="s">
        <v>2846</v>
      </c>
      <c r="V1355" s="116" t="s">
        <v>10</v>
      </c>
      <c r="W1355" s="88"/>
      <c r="X1355" s="111">
        <v>46247</v>
      </c>
      <c r="Y1355" s="120" t="s">
        <v>1576</v>
      </c>
      <c r="Z1355" s="135" t="s">
        <v>3023</v>
      </c>
      <c r="AA1355" s="135">
        <v>0</v>
      </c>
    </row>
    <row r="1356" spans="1:27" ht="13" customHeight="1">
      <c r="A1356" s="11">
        <v>1350</v>
      </c>
      <c r="B1356" s="118">
        <v>206897639</v>
      </c>
      <c r="C1356" s="117" t="s">
        <v>2890</v>
      </c>
      <c r="D1356" s="119" t="s">
        <v>2915</v>
      </c>
      <c r="E1356" s="109" t="s">
        <v>31</v>
      </c>
      <c r="F1356" s="109" t="s">
        <v>74</v>
      </c>
      <c r="G1356" s="99" t="s">
        <v>64</v>
      </c>
      <c r="H1356" s="109" t="str">
        <f>VLOOKUP(Table1[[#This Row],[Psoft No]],[1]Roster!$C$2:$H$1402,6,)</f>
        <v>AUH1</v>
      </c>
      <c r="I1356" s="109" t="b">
        <f>Table1[[#This Row],[Building]]=Table1[[#This Row],[Column1]]</f>
        <v>1</v>
      </c>
      <c r="J1356" s="99" t="s">
        <v>75</v>
      </c>
      <c r="K1356" s="11">
        <v>1299</v>
      </c>
      <c r="L1356" s="129" t="s">
        <v>39</v>
      </c>
      <c r="M1356" s="110" t="s">
        <v>76</v>
      </c>
      <c r="N1356" s="110" t="s">
        <v>92</v>
      </c>
      <c r="O1356" s="110" t="s">
        <v>84</v>
      </c>
      <c r="P1356" s="109" t="s">
        <v>89</v>
      </c>
      <c r="Q1356" s="110" t="s">
        <v>37</v>
      </c>
      <c r="R1356" s="99" t="s">
        <v>80</v>
      </c>
      <c r="S1356" s="99" t="s">
        <v>81</v>
      </c>
      <c r="T1356" s="11" t="s">
        <v>1066</v>
      </c>
      <c r="U1356" s="11" t="s">
        <v>2717</v>
      </c>
      <c r="V1356" s="116" t="s">
        <v>10</v>
      </c>
      <c r="W1356" s="88"/>
      <c r="X1356" s="111">
        <v>46247</v>
      </c>
      <c r="Y1356" s="120" t="s">
        <v>1576</v>
      </c>
      <c r="Z1356" s="135" t="s">
        <v>3023</v>
      </c>
      <c r="AA1356" s="135">
        <v>0</v>
      </c>
    </row>
    <row r="1357" spans="1:27" ht="13" customHeight="1">
      <c r="A1357" s="11">
        <v>1351</v>
      </c>
      <c r="B1357" s="118">
        <v>206239217</v>
      </c>
      <c r="C1357" s="117" t="s">
        <v>2891</v>
      </c>
      <c r="D1357" s="119" t="s">
        <v>2916</v>
      </c>
      <c r="E1357" s="109" t="s">
        <v>31</v>
      </c>
      <c r="F1357" s="109" t="s">
        <v>74</v>
      </c>
      <c r="G1357" s="99" t="s">
        <v>64</v>
      </c>
      <c r="H1357" s="109" t="str">
        <f>VLOOKUP(Table1[[#This Row],[Psoft No]],[1]Roster!$C$2:$H$1402,6,)</f>
        <v>AUH1</v>
      </c>
      <c r="I1357" s="109" t="b">
        <f>Table1[[#This Row],[Building]]=Table1[[#This Row],[Column1]]</f>
        <v>1</v>
      </c>
      <c r="J1357" s="99" t="s">
        <v>75</v>
      </c>
      <c r="K1357" s="11">
        <v>1299</v>
      </c>
      <c r="L1357" s="129" t="s">
        <v>39</v>
      </c>
      <c r="M1357" s="110" t="s">
        <v>76</v>
      </c>
      <c r="N1357" s="110" t="s">
        <v>88</v>
      </c>
      <c r="O1357" s="110" t="s">
        <v>95</v>
      </c>
      <c r="P1357" s="109" t="s">
        <v>89</v>
      </c>
      <c r="Q1357" s="110" t="s">
        <v>37</v>
      </c>
      <c r="R1357" s="99" t="s">
        <v>80</v>
      </c>
      <c r="S1357" s="99" t="s">
        <v>81</v>
      </c>
      <c r="T1357" s="99" t="s">
        <v>2845</v>
      </c>
      <c r="U1357" s="99" t="s">
        <v>2846</v>
      </c>
      <c r="V1357" s="116" t="s">
        <v>1</v>
      </c>
      <c r="W1357" s="88"/>
      <c r="X1357" s="111">
        <v>46247</v>
      </c>
      <c r="Y1357" s="120" t="s">
        <v>1576</v>
      </c>
      <c r="Z1357" s="135" t="s">
        <v>2</v>
      </c>
      <c r="AA1357" s="135">
        <v>0</v>
      </c>
    </row>
    <row r="1358" spans="1:27" ht="13" customHeight="1">
      <c r="A1358" s="11">
        <v>1352</v>
      </c>
      <c r="B1358" s="118">
        <v>206926985</v>
      </c>
      <c r="C1358" s="117" t="s">
        <v>2892</v>
      </c>
      <c r="D1358" s="119" t="s">
        <v>2917</v>
      </c>
      <c r="E1358" s="109" t="s">
        <v>31</v>
      </c>
      <c r="F1358" s="109" t="s">
        <v>74</v>
      </c>
      <c r="G1358" s="99" t="s">
        <v>64</v>
      </c>
      <c r="H1358" s="109" t="str">
        <f>VLOOKUP(Table1[[#This Row],[Psoft No]],[1]Roster!$C$2:$H$1402,6,)</f>
        <v>AUH1</v>
      </c>
      <c r="I1358" s="109" t="b">
        <f>Table1[[#This Row],[Building]]=Table1[[#This Row],[Column1]]</f>
        <v>1</v>
      </c>
      <c r="J1358" s="99" t="s">
        <v>75</v>
      </c>
      <c r="K1358" s="11">
        <v>1299</v>
      </c>
      <c r="L1358" s="129" t="s">
        <v>39</v>
      </c>
      <c r="M1358" s="110" t="s">
        <v>76</v>
      </c>
      <c r="N1358" s="110" t="s">
        <v>95</v>
      </c>
      <c r="O1358" s="110" t="s">
        <v>77</v>
      </c>
      <c r="P1358" s="109" t="s">
        <v>89</v>
      </c>
      <c r="Q1358" s="110" t="s">
        <v>37</v>
      </c>
      <c r="R1358" s="99" t="s">
        <v>80</v>
      </c>
      <c r="S1358" s="99" t="s">
        <v>81</v>
      </c>
      <c r="T1358" s="99" t="s">
        <v>631</v>
      </c>
      <c r="U1358" s="99" t="s">
        <v>632</v>
      </c>
      <c r="V1358" s="116" t="s">
        <v>1</v>
      </c>
      <c r="W1358" s="88"/>
      <c r="X1358" s="111">
        <v>46247</v>
      </c>
      <c r="Y1358" s="120" t="s">
        <v>1576</v>
      </c>
      <c r="Z1358" s="135" t="s">
        <v>2</v>
      </c>
      <c r="AA1358" s="135">
        <v>0</v>
      </c>
    </row>
    <row r="1359" spans="1:27" ht="13" customHeight="1">
      <c r="A1359" s="11">
        <v>1353</v>
      </c>
      <c r="B1359" s="118">
        <v>206868290</v>
      </c>
      <c r="C1359" s="117" t="s">
        <v>2893</v>
      </c>
      <c r="D1359" s="119" t="s">
        <v>2918</v>
      </c>
      <c r="E1359" s="109" t="s">
        <v>31</v>
      </c>
      <c r="F1359" s="109" t="s">
        <v>74</v>
      </c>
      <c r="G1359" s="99" t="s">
        <v>64</v>
      </c>
      <c r="H1359" s="109" t="str">
        <f>VLOOKUP(Table1[[#This Row],[Psoft No]],[1]Roster!$C$2:$H$1402,6,)</f>
        <v>AUH1</v>
      </c>
      <c r="I1359" s="109" t="b">
        <f>Table1[[#This Row],[Building]]=Table1[[#This Row],[Column1]]</f>
        <v>1</v>
      </c>
      <c r="J1359" s="99" t="s">
        <v>75</v>
      </c>
      <c r="K1359" s="11">
        <v>1299</v>
      </c>
      <c r="L1359" s="129" t="s">
        <v>39</v>
      </c>
      <c r="M1359" s="110" t="s">
        <v>76</v>
      </c>
      <c r="N1359" s="110" t="s">
        <v>77</v>
      </c>
      <c r="O1359" s="110" t="s">
        <v>78</v>
      </c>
      <c r="P1359" s="109" t="s">
        <v>89</v>
      </c>
      <c r="Q1359" s="110" t="s">
        <v>37</v>
      </c>
      <c r="R1359" s="99" t="s">
        <v>80</v>
      </c>
      <c r="S1359" s="99" t="s">
        <v>81</v>
      </c>
      <c r="T1359" s="11" t="s">
        <v>627</v>
      </c>
      <c r="U1359" s="11" t="s">
        <v>628</v>
      </c>
      <c r="V1359" s="116" t="s">
        <v>1</v>
      </c>
      <c r="W1359" s="88"/>
      <c r="X1359" s="111">
        <v>46247</v>
      </c>
      <c r="Y1359" s="120" t="s">
        <v>1576</v>
      </c>
      <c r="Z1359" s="135" t="s">
        <v>2</v>
      </c>
      <c r="AA1359" s="135">
        <v>0</v>
      </c>
    </row>
    <row r="1360" spans="1:27" ht="13" customHeight="1">
      <c r="A1360" s="11">
        <v>1354</v>
      </c>
      <c r="B1360" s="118">
        <v>206191963</v>
      </c>
      <c r="C1360" s="117" t="s">
        <v>2894</v>
      </c>
      <c r="D1360" s="119" t="s">
        <v>2919</v>
      </c>
      <c r="E1360" s="109" t="s">
        <v>31</v>
      </c>
      <c r="F1360" s="109" t="s">
        <v>74</v>
      </c>
      <c r="G1360" s="99" t="s">
        <v>64</v>
      </c>
      <c r="H1360" s="109" t="str">
        <f>VLOOKUP(Table1[[#This Row],[Psoft No]],[1]Roster!$C$2:$H$1402,6,)</f>
        <v>AUH1</v>
      </c>
      <c r="I1360" s="109" t="b">
        <f>Table1[[#This Row],[Building]]=Table1[[#This Row],[Column1]]</f>
        <v>1</v>
      </c>
      <c r="J1360" s="99" t="s">
        <v>75</v>
      </c>
      <c r="K1360" s="11">
        <v>1299</v>
      </c>
      <c r="L1360" s="129" t="s">
        <v>39</v>
      </c>
      <c r="M1360" s="110" t="s">
        <v>76</v>
      </c>
      <c r="N1360" s="110" t="s">
        <v>3008</v>
      </c>
      <c r="O1360" s="110" t="s">
        <v>92</v>
      </c>
      <c r="P1360" s="109" t="s">
        <v>89</v>
      </c>
      <c r="Q1360" s="110" t="s">
        <v>37</v>
      </c>
      <c r="R1360" s="99" t="s">
        <v>80</v>
      </c>
      <c r="S1360" s="99" t="s">
        <v>96</v>
      </c>
      <c r="T1360" s="99" t="s">
        <v>2845</v>
      </c>
      <c r="U1360" s="99" t="s">
        <v>2846</v>
      </c>
      <c r="V1360" s="116" t="s">
        <v>10</v>
      </c>
      <c r="W1360" s="88"/>
      <c r="X1360" s="111">
        <v>46247</v>
      </c>
      <c r="Y1360" s="120" t="s">
        <v>1578</v>
      </c>
      <c r="Z1360" s="135" t="s">
        <v>3023</v>
      </c>
      <c r="AA1360" s="135">
        <v>0</v>
      </c>
    </row>
    <row r="1361" spans="1:27" ht="13" customHeight="1">
      <c r="A1361" s="11">
        <v>1355</v>
      </c>
      <c r="B1361" s="118">
        <v>205275633</v>
      </c>
      <c r="C1361" s="117" t="s">
        <v>2895</v>
      </c>
      <c r="D1361" s="119" t="s">
        <v>2920</v>
      </c>
      <c r="E1361" s="109" t="s">
        <v>31</v>
      </c>
      <c r="F1361" s="109" t="s">
        <v>74</v>
      </c>
      <c r="G1361" s="99" t="s">
        <v>64</v>
      </c>
      <c r="H1361" s="109" t="str">
        <f>VLOOKUP(Table1[[#This Row],[Psoft No]],[1]Roster!$C$2:$H$1402,6,)</f>
        <v>AUH1</v>
      </c>
      <c r="I1361" s="109" t="b">
        <f>Table1[[#This Row],[Building]]=Table1[[#This Row],[Column1]]</f>
        <v>1</v>
      </c>
      <c r="J1361" s="99" t="s">
        <v>75</v>
      </c>
      <c r="K1361" s="11">
        <v>1299</v>
      </c>
      <c r="L1361" s="129" t="s">
        <v>39</v>
      </c>
      <c r="M1361" s="110" t="s">
        <v>76</v>
      </c>
      <c r="N1361" s="49" t="s">
        <v>78</v>
      </c>
      <c r="O1361" s="110" t="s">
        <v>92</v>
      </c>
      <c r="P1361" s="109" t="s">
        <v>89</v>
      </c>
      <c r="Q1361" s="110" t="s">
        <v>37</v>
      </c>
      <c r="R1361" s="99" t="s">
        <v>80</v>
      </c>
      <c r="S1361" s="99" t="s">
        <v>96</v>
      </c>
      <c r="T1361" s="99" t="s">
        <v>631</v>
      </c>
      <c r="U1361" s="99" t="s">
        <v>632</v>
      </c>
      <c r="V1361" s="116" t="s">
        <v>10</v>
      </c>
      <c r="W1361" s="88"/>
      <c r="X1361" s="111">
        <v>46247</v>
      </c>
      <c r="Y1361" s="120" t="s">
        <v>1578</v>
      </c>
      <c r="Z1361" s="135" t="s">
        <v>3023</v>
      </c>
      <c r="AA1361" s="135">
        <v>0</v>
      </c>
    </row>
    <row r="1362" spans="1:27" ht="13" customHeight="1">
      <c r="A1362" s="11">
        <v>1356</v>
      </c>
      <c r="B1362" s="118">
        <v>206606700</v>
      </c>
      <c r="C1362" s="117" t="s">
        <v>2896</v>
      </c>
      <c r="D1362" s="119" t="s">
        <v>2921</v>
      </c>
      <c r="E1362" s="109" t="s">
        <v>31</v>
      </c>
      <c r="F1362" s="109" t="s">
        <v>74</v>
      </c>
      <c r="G1362" s="99" t="s">
        <v>64</v>
      </c>
      <c r="H1362" s="109" t="str">
        <f>VLOOKUP(Table1[[#This Row],[Psoft No]],[1]Roster!$C$2:$H$1402,6,)</f>
        <v>AUH1</v>
      </c>
      <c r="I1362" s="109" t="b">
        <f>Table1[[#This Row],[Building]]=Table1[[#This Row],[Column1]]</f>
        <v>1</v>
      </c>
      <c r="J1362" s="99" t="s">
        <v>75</v>
      </c>
      <c r="K1362" s="11">
        <v>1299</v>
      </c>
      <c r="L1362" s="129" t="s">
        <v>39</v>
      </c>
      <c r="M1362" s="110" t="s">
        <v>76</v>
      </c>
      <c r="N1362" s="49" t="s">
        <v>36</v>
      </c>
      <c r="O1362" s="110" t="s">
        <v>84</v>
      </c>
      <c r="P1362" s="109" t="s">
        <v>89</v>
      </c>
      <c r="Q1362" s="110" t="s">
        <v>37</v>
      </c>
      <c r="R1362" s="99" t="s">
        <v>80</v>
      </c>
      <c r="S1362" s="99" t="s">
        <v>96</v>
      </c>
      <c r="T1362" s="99" t="s">
        <v>627</v>
      </c>
      <c r="U1362" s="99" t="s">
        <v>628</v>
      </c>
      <c r="V1362" s="116" t="s">
        <v>1</v>
      </c>
      <c r="W1362" s="88"/>
      <c r="X1362" s="111">
        <v>46247</v>
      </c>
      <c r="Y1362" s="120" t="s">
        <v>1577</v>
      </c>
      <c r="Z1362" s="135" t="s">
        <v>2</v>
      </c>
      <c r="AA1362" s="135" t="s">
        <v>3015</v>
      </c>
    </row>
    <row r="1363" spans="1:27" ht="13" customHeight="1">
      <c r="A1363" s="11">
        <v>1357</v>
      </c>
      <c r="B1363" s="118">
        <v>206128850</v>
      </c>
      <c r="C1363" s="117" t="s">
        <v>2897</v>
      </c>
      <c r="D1363" s="119" t="s">
        <v>2922</v>
      </c>
      <c r="E1363" s="109" t="s">
        <v>31</v>
      </c>
      <c r="F1363" s="109" t="s">
        <v>74</v>
      </c>
      <c r="G1363" s="99" t="s">
        <v>64</v>
      </c>
      <c r="H1363" s="109" t="str">
        <f>VLOOKUP(Table1[[#This Row],[Psoft No]],[1]Roster!$C$2:$H$1402,6,)</f>
        <v>AUH1</v>
      </c>
      <c r="I1363" s="109" t="b">
        <f>Table1[[#This Row],[Building]]=Table1[[#This Row],[Column1]]</f>
        <v>1</v>
      </c>
      <c r="J1363" s="99" t="s">
        <v>75</v>
      </c>
      <c r="K1363" s="11">
        <v>1299</v>
      </c>
      <c r="L1363" s="129" t="s">
        <v>39</v>
      </c>
      <c r="M1363" s="110" t="s">
        <v>76</v>
      </c>
      <c r="N1363" s="110" t="s">
        <v>84</v>
      </c>
      <c r="O1363" s="110" t="s">
        <v>85</v>
      </c>
      <c r="P1363" s="109" t="s">
        <v>89</v>
      </c>
      <c r="Q1363" s="110" t="s">
        <v>37</v>
      </c>
      <c r="R1363" s="99" t="s">
        <v>80</v>
      </c>
      <c r="S1363" s="99" t="s">
        <v>96</v>
      </c>
      <c r="T1363" s="99" t="s">
        <v>647</v>
      </c>
      <c r="U1363" s="99" t="s">
        <v>1798</v>
      </c>
      <c r="V1363" s="116" t="s">
        <v>1</v>
      </c>
      <c r="W1363" s="88"/>
      <c r="X1363" s="111">
        <v>46247</v>
      </c>
      <c r="Y1363" s="120" t="s">
        <v>1576</v>
      </c>
      <c r="Z1363" s="135" t="s">
        <v>2</v>
      </c>
      <c r="AA1363" s="135">
        <v>0</v>
      </c>
    </row>
    <row r="1364" spans="1:27" ht="13" customHeight="1">
      <c r="A1364" s="11">
        <v>1358</v>
      </c>
      <c r="B1364" s="118">
        <v>205853572</v>
      </c>
      <c r="C1364" s="117" t="s">
        <v>2898</v>
      </c>
      <c r="D1364" s="119" t="s">
        <v>2923</v>
      </c>
      <c r="E1364" s="109" t="s">
        <v>31</v>
      </c>
      <c r="F1364" s="109" t="s">
        <v>74</v>
      </c>
      <c r="G1364" s="99" t="s">
        <v>64</v>
      </c>
      <c r="H1364" s="109" t="str">
        <f>VLOOKUP(Table1[[#This Row],[Psoft No]],[1]Roster!$C$2:$H$1402,6,)</f>
        <v>AUH1</v>
      </c>
      <c r="I1364" s="109" t="b">
        <f>Table1[[#This Row],[Building]]=Table1[[#This Row],[Column1]]</f>
        <v>1</v>
      </c>
      <c r="J1364" s="99" t="s">
        <v>75</v>
      </c>
      <c r="K1364" s="11">
        <v>1299</v>
      </c>
      <c r="L1364" s="129" t="s">
        <v>39</v>
      </c>
      <c r="M1364" s="110" t="s">
        <v>76</v>
      </c>
      <c r="N1364" s="110" t="s">
        <v>88</v>
      </c>
      <c r="O1364" s="110" t="s">
        <v>95</v>
      </c>
      <c r="P1364" s="109" t="s">
        <v>89</v>
      </c>
      <c r="Q1364" s="110" t="s">
        <v>37</v>
      </c>
      <c r="R1364" s="99" t="s">
        <v>80</v>
      </c>
      <c r="S1364" s="99" t="s">
        <v>96</v>
      </c>
      <c r="T1364" s="99" t="s">
        <v>1066</v>
      </c>
      <c r="U1364" s="99" t="s">
        <v>2717</v>
      </c>
      <c r="V1364" s="116" t="s">
        <v>1</v>
      </c>
      <c r="W1364" s="88"/>
      <c r="X1364" s="111">
        <v>46247</v>
      </c>
      <c r="Y1364" s="120" t="s">
        <v>1577</v>
      </c>
      <c r="Z1364" s="135" t="s">
        <v>2</v>
      </c>
      <c r="AA1364" s="135">
        <v>0</v>
      </c>
    </row>
    <row r="1365" spans="1:27" ht="13" customHeight="1">
      <c r="A1365" s="11">
        <v>1359</v>
      </c>
      <c r="B1365" s="118">
        <v>205271087</v>
      </c>
      <c r="C1365" s="117" t="s">
        <v>2899</v>
      </c>
      <c r="D1365" s="119" t="s">
        <v>2924</v>
      </c>
      <c r="E1365" s="109" t="s">
        <v>31</v>
      </c>
      <c r="F1365" s="109" t="s">
        <v>74</v>
      </c>
      <c r="G1365" s="99" t="s">
        <v>64</v>
      </c>
      <c r="H1365" s="109" t="str">
        <f>VLOOKUP(Table1[[#This Row],[Psoft No]],[1]Roster!$C$2:$H$1402,6,)</f>
        <v>AUH1</v>
      </c>
      <c r="I1365" s="109" t="b">
        <f>Table1[[#This Row],[Building]]=Table1[[#This Row],[Column1]]</f>
        <v>1</v>
      </c>
      <c r="J1365" s="99" t="s">
        <v>75</v>
      </c>
      <c r="K1365" s="11">
        <v>1299</v>
      </c>
      <c r="L1365" s="129" t="s">
        <v>39</v>
      </c>
      <c r="M1365" s="110" t="s">
        <v>76</v>
      </c>
      <c r="N1365" s="110" t="s">
        <v>95</v>
      </c>
      <c r="O1365" s="110" t="s">
        <v>77</v>
      </c>
      <c r="P1365" s="109" t="s">
        <v>89</v>
      </c>
      <c r="Q1365" s="110" t="s">
        <v>37</v>
      </c>
      <c r="R1365" s="99" t="s">
        <v>80</v>
      </c>
      <c r="S1365" s="99" t="s">
        <v>96</v>
      </c>
      <c r="T1365" s="99" t="s">
        <v>631</v>
      </c>
      <c r="U1365" s="99" t="s">
        <v>632</v>
      </c>
      <c r="V1365" s="116" t="s">
        <v>1</v>
      </c>
      <c r="W1365" s="88"/>
      <c r="X1365" s="111">
        <v>46247</v>
      </c>
      <c r="Y1365" s="120" t="s">
        <v>1577</v>
      </c>
      <c r="Z1365" s="135" t="s">
        <v>2</v>
      </c>
      <c r="AA1365" s="135">
        <v>0</v>
      </c>
    </row>
    <row r="1366" spans="1:27" ht="13" customHeight="1">
      <c r="A1366" s="11">
        <v>1360</v>
      </c>
      <c r="B1366" s="118">
        <v>206890214</v>
      </c>
      <c r="C1366" s="117" t="s">
        <v>2900</v>
      </c>
      <c r="D1366" s="119" t="s">
        <v>2925</v>
      </c>
      <c r="E1366" s="109" t="s">
        <v>31</v>
      </c>
      <c r="F1366" s="109" t="s">
        <v>74</v>
      </c>
      <c r="G1366" s="99" t="s">
        <v>64</v>
      </c>
      <c r="H1366" s="109" t="str">
        <f>VLOOKUP(Table1[[#This Row],[Psoft No]],[1]Roster!$C$2:$H$1402,6,)</f>
        <v>AUH1</v>
      </c>
      <c r="I1366" s="109" t="b">
        <f>Table1[[#This Row],[Building]]=Table1[[#This Row],[Column1]]</f>
        <v>1</v>
      </c>
      <c r="J1366" s="99" t="s">
        <v>75</v>
      </c>
      <c r="K1366" s="11">
        <v>1299</v>
      </c>
      <c r="L1366" s="129" t="s">
        <v>39</v>
      </c>
      <c r="M1366" s="110" t="s">
        <v>76</v>
      </c>
      <c r="N1366" s="110" t="s">
        <v>77</v>
      </c>
      <c r="O1366" s="110" t="s">
        <v>78</v>
      </c>
      <c r="P1366" s="109" t="s">
        <v>89</v>
      </c>
      <c r="Q1366" s="110" t="s">
        <v>37</v>
      </c>
      <c r="R1366" s="99" t="s">
        <v>80</v>
      </c>
      <c r="S1366" s="99" t="s">
        <v>96</v>
      </c>
      <c r="T1366" s="11" t="s">
        <v>647</v>
      </c>
      <c r="U1366" s="11" t="s">
        <v>1798</v>
      </c>
      <c r="V1366" s="116" t="s">
        <v>1</v>
      </c>
      <c r="W1366" s="88"/>
      <c r="X1366" s="111">
        <v>46247</v>
      </c>
      <c r="Y1366" s="120" t="s">
        <v>1577</v>
      </c>
      <c r="Z1366" s="135" t="s">
        <v>2</v>
      </c>
      <c r="AA1366" s="135">
        <v>0</v>
      </c>
    </row>
    <row r="1367" spans="1:27" ht="13" customHeight="1">
      <c r="A1367" s="11">
        <v>1361</v>
      </c>
      <c r="B1367" s="114">
        <v>206192238</v>
      </c>
      <c r="C1367" s="115" t="s">
        <v>2901</v>
      </c>
      <c r="D1367" s="125" t="s">
        <v>2926</v>
      </c>
      <c r="E1367" s="109" t="s">
        <v>31</v>
      </c>
      <c r="F1367" s="109" t="s">
        <v>74</v>
      </c>
      <c r="G1367" s="99" t="s">
        <v>64</v>
      </c>
      <c r="H1367" s="109" t="str">
        <f>VLOOKUP(Table1[[#This Row],[Psoft No]],[1]Roster!$C$2:$H$1402,6,)</f>
        <v>AUH1</v>
      </c>
      <c r="I1367" s="109" t="b">
        <f>Table1[[#This Row],[Building]]=Table1[[#This Row],[Column1]]</f>
        <v>1</v>
      </c>
      <c r="J1367" s="99" t="s">
        <v>75</v>
      </c>
      <c r="K1367" s="11">
        <v>1299</v>
      </c>
      <c r="L1367" s="129" t="s">
        <v>39</v>
      </c>
      <c r="M1367" s="110" t="s">
        <v>76</v>
      </c>
      <c r="N1367" s="110" t="s">
        <v>3008</v>
      </c>
      <c r="O1367" s="110" t="s">
        <v>92</v>
      </c>
      <c r="P1367" s="109" t="s">
        <v>89</v>
      </c>
      <c r="Q1367" s="110" t="s">
        <v>37</v>
      </c>
      <c r="R1367" s="99" t="s">
        <v>80</v>
      </c>
      <c r="S1367" s="99" t="s">
        <v>96</v>
      </c>
      <c r="T1367" s="99" t="s">
        <v>2845</v>
      </c>
      <c r="U1367" s="99" t="s">
        <v>2846</v>
      </c>
      <c r="V1367" s="116" t="s">
        <v>10</v>
      </c>
      <c r="W1367" s="88"/>
      <c r="X1367" s="111">
        <v>46247</v>
      </c>
      <c r="Y1367" s="120" t="s">
        <v>1578</v>
      </c>
      <c r="Z1367" s="135" t="s">
        <v>3023</v>
      </c>
      <c r="AA1367" s="135">
        <v>0</v>
      </c>
    </row>
    <row r="1368" spans="1:27" ht="13" customHeight="1">
      <c r="A1368" s="11">
        <v>1362</v>
      </c>
      <c r="B1368" s="82">
        <v>205853574</v>
      </c>
      <c r="C1368" s="11" t="s">
        <v>2902</v>
      </c>
      <c r="D1368" s="82" t="s">
        <v>2913</v>
      </c>
      <c r="E1368" s="109" t="s">
        <v>31</v>
      </c>
      <c r="F1368" s="109" t="s">
        <v>74</v>
      </c>
      <c r="G1368" s="99" t="s">
        <v>64</v>
      </c>
      <c r="H1368" s="109" t="str">
        <f>VLOOKUP(Table1[[#This Row],[Psoft No]],[1]Roster!$C$2:$H$1402,6,)</f>
        <v>AUH1</v>
      </c>
      <c r="I1368" s="109" t="b">
        <f>Table1[[#This Row],[Building]]=Table1[[#This Row],[Column1]]</f>
        <v>1</v>
      </c>
      <c r="J1368" s="99" t="s">
        <v>75</v>
      </c>
      <c r="K1368" s="11">
        <v>1299</v>
      </c>
      <c r="L1368" s="129" t="s">
        <v>39</v>
      </c>
      <c r="M1368" s="110" t="s">
        <v>76</v>
      </c>
      <c r="N1368" s="124" t="s">
        <v>95</v>
      </c>
      <c r="O1368" s="124" t="s">
        <v>77</v>
      </c>
      <c r="P1368" s="109" t="s">
        <v>89</v>
      </c>
      <c r="Q1368" s="110" t="s">
        <v>37</v>
      </c>
      <c r="R1368" s="99" t="s">
        <v>80</v>
      </c>
      <c r="S1368" s="82" t="s">
        <v>96</v>
      </c>
      <c r="T1368" s="99" t="s">
        <v>1066</v>
      </c>
      <c r="U1368" s="99" t="s">
        <v>2717</v>
      </c>
      <c r="V1368" s="116" t="s">
        <v>1</v>
      </c>
      <c r="W1368" s="88"/>
      <c r="X1368" s="111">
        <v>46247</v>
      </c>
      <c r="Y1368" s="120" t="s">
        <v>1577</v>
      </c>
      <c r="Z1368" s="135" t="s">
        <v>2</v>
      </c>
      <c r="AA1368" s="135">
        <v>0</v>
      </c>
    </row>
    <row r="1369" spans="1:27" ht="13" customHeight="1">
      <c r="A1369" s="11">
        <v>1363</v>
      </c>
      <c r="B1369" s="82">
        <v>205281151</v>
      </c>
      <c r="C1369" s="11" t="s">
        <v>2927</v>
      </c>
      <c r="D1369" s="82" t="s">
        <v>2966</v>
      </c>
      <c r="E1369" s="109" t="s">
        <v>31</v>
      </c>
      <c r="F1369" s="109" t="s">
        <v>74</v>
      </c>
      <c r="G1369" s="99" t="s">
        <v>64</v>
      </c>
      <c r="H1369" s="109" t="str">
        <f>VLOOKUP(Table1[[#This Row],[Psoft No]],[1]Roster!$C$2:$H$1402,6,)</f>
        <v>AUH1</v>
      </c>
      <c r="I1369" s="109" t="b">
        <f>Table1[[#This Row],[Building]]=Table1[[#This Row],[Column1]]</f>
        <v>1</v>
      </c>
      <c r="J1369" s="99" t="s">
        <v>75</v>
      </c>
      <c r="K1369" s="11">
        <v>1299</v>
      </c>
      <c r="L1369" s="129" t="s">
        <v>39</v>
      </c>
      <c r="M1369" s="110" t="s">
        <v>76</v>
      </c>
      <c r="N1369" s="124" t="s">
        <v>3005</v>
      </c>
      <c r="O1369" s="124" t="s">
        <v>3006</v>
      </c>
      <c r="P1369" s="109" t="s">
        <v>89</v>
      </c>
      <c r="Q1369" s="110" t="s">
        <v>37</v>
      </c>
      <c r="R1369" s="99" t="s">
        <v>80</v>
      </c>
      <c r="S1369" s="82" t="s">
        <v>96</v>
      </c>
      <c r="T1369" s="99" t="s">
        <v>631</v>
      </c>
      <c r="U1369" s="99" t="s">
        <v>632</v>
      </c>
      <c r="V1369" s="116" t="s">
        <v>10</v>
      </c>
      <c r="W1369" s="88"/>
      <c r="X1369" s="111">
        <v>46252</v>
      </c>
      <c r="Y1369" s="120" t="s">
        <v>1577</v>
      </c>
      <c r="Z1369" s="135" t="s">
        <v>3023</v>
      </c>
      <c r="AA1369" s="135" t="s">
        <v>3015</v>
      </c>
    </row>
    <row r="1370" spans="1:27" ht="13" customHeight="1">
      <c r="A1370" s="11">
        <v>1364</v>
      </c>
      <c r="B1370" s="82">
        <v>206897551</v>
      </c>
      <c r="C1370" s="11" t="s">
        <v>2928</v>
      </c>
      <c r="D1370" s="82" t="s">
        <v>2967</v>
      </c>
      <c r="E1370" s="109" t="s">
        <v>31</v>
      </c>
      <c r="F1370" s="109" t="s">
        <v>74</v>
      </c>
      <c r="G1370" s="99" t="s">
        <v>64</v>
      </c>
      <c r="H1370" s="109" t="str">
        <f>VLOOKUP(Table1[[#This Row],[Psoft No]],[1]Roster!$C$2:$H$1402,6,)</f>
        <v>AUH1</v>
      </c>
      <c r="I1370" s="109" t="b">
        <f>Table1[[#This Row],[Building]]=Table1[[#This Row],[Column1]]</f>
        <v>1</v>
      </c>
      <c r="J1370" s="99" t="s">
        <v>75</v>
      </c>
      <c r="K1370" s="11">
        <v>1299</v>
      </c>
      <c r="L1370" s="129" t="s">
        <v>39</v>
      </c>
      <c r="M1370" s="110" t="s">
        <v>76</v>
      </c>
      <c r="N1370" s="130" t="s">
        <v>3006</v>
      </c>
      <c r="O1370" s="130" t="s">
        <v>3007</v>
      </c>
      <c r="P1370" s="109" t="s">
        <v>89</v>
      </c>
      <c r="Q1370" s="110" t="s">
        <v>37</v>
      </c>
      <c r="R1370" s="99" t="s">
        <v>80</v>
      </c>
      <c r="S1370" s="82" t="s">
        <v>81</v>
      </c>
      <c r="T1370" s="99" t="s">
        <v>627</v>
      </c>
      <c r="U1370" s="99" t="s">
        <v>628</v>
      </c>
      <c r="V1370" s="116" t="s">
        <v>1</v>
      </c>
      <c r="W1370" s="88"/>
      <c r="X1370" s="111">
        <v>46252</v>
      </c>
      <c r="Y1370" s="120" t="s">
        <v>1578</v>
      </c>
      <c r="Z1370" s="135" t="s">
        <v>2</v>
      </c>
      <c r="AA1370" s="135">
        <v>0</v>
      </c>
    </row>
    <row r="1371" spans="1:27" ht="13" customHeight="1">
      <c r="A1371" s="11">
        <v>1365</v>
      </c>
      <c r="B1371" s="82">
        <v>205276302</v>
      </c>
      <c r="C1371" s="11" t="s">
        <v>2929</v>
      </c>
      <c r="D1371" s="82" t="s">
        <v>2968</v>
      </c>
      <c r="E1371" s="109" t="s">
        <v>31</v>
      </c>
      <c r="F1371" s="109" t="s">
        <v>74</v>
      </c>
      <c r="G1371" s="99" t="s">
        <v>64</v>
      </c>
      <c r="H1371" s="109" t="str">
        <f>VLOOKUP(Table1[[#This Row],[Psoft No]],[1]Roster!$C$2:$H$1402,6,)</f>
        <v>AUH1</v>
      </c>
      <c r="I1371" s="109" t="b">
        <f>Table1[[#This Row],[Building]]=Table1[[#This Row],[Column1]]</f>
        <v>1</v>
      </c>
      <c r="J1371" s="99" t="s">
        <v>75</v>
      </c>
      <c r="K1371" s="11">
        <v>1299</v>
      </c>
      <c r="L1371" s="129" t="s">
        <v>39</v>
      </c>
      <c r="M1371" s="110" t="s">
        <v>76</v>
      </c>
      <c r="N1371" s="124" t="s">
        <v>85</v>
      </c>
      <c r="O1371" s="124" t="s">
        <v>88</v>
      </c>
      <c r="P1371" s="109" t="s">
        <v>89</v>
      </c>
      <c r="Q1371" s="110" t="s">
        <v>37</v>
      </c>
      <c r="R1371" s="99" t="s">
        <v>80</v>
      </c>
      <c r="S1371" s="82" t="s">
        <v>96</v>
      </c>
      <c r="T1371" s="99" t="s">
        <v>631</v>
      </c>
      <c r="U1371" s="99" t="s">
        <v>632</v>
      </c>
      <c r="V1371" s="116" t="s">
        <v>1</v>
      </c>
      <c r="W1371" s="88"/>
      <c r="X1371" s="111">
        <v>46252</v>
      </c>
      <c r="Y1371" s="120" t="s">
        <v>1577</v>
      </c>
      <c r="Z1371" s="135" t="s">
        <v>2</v>
      </c>
      <c r="AA1371" s="135">
        <v>0</v>
      </c>
    </row>
    <row r="1372" spans="1:27" ht="13" customHeight="1">
      <c r="A1372" s="11">
        <v>1366</v>
      </c>
      <c r="B1372" s="82">
        <v>206897556</v>
      </c>
      <c r="C1372" s="11" t="s">
        <v>2930</v>
      </c>
      <c r="D1372" s="82" t="s">
        <v>2969</v>
      </c>
      <c r="E1372" s="109" t="s">
        <v>31</v>
      </c>
      <c r="F1372" s="109" t="s">
        <v>74</v>
      </c>
      <c r="G1372" s="99" t="s">
        <v>64</v>
      </c>
      <c r="H1372" s="109" t="str">
        <f>VLOOKUP(Table1[[#This Row],[Psoft No]],[1]Roster!$C$2:$H$1402,6,)</f>
        <v>AUH1</v>
      </c>
      <c r="I1372" s="109" t="b">
        <f>Table1[[#This Row],[Building]]=Table1[[#This Row],[Column1]]</f>
        <v>1</v>
      </c>
      <c r="J1372" s="99" t="s">
        <v>75</v>
      </c>
      <c r="K1372" s="11">
        <v>1299</v>
      </c>
      <c r="L1372" s="129" t="s">
        <v>39</v>
      </c>
      <c r="M1372" s="110" t="s">
        <v>76</v>
      </c>
      <c r="N1372" s="124" t="s">
        <v>3008</v>
      </c>
      <c r="O1372" s="124" t="s">
        <v>3005</v>
      </c>
      <c r="P1372" s="109" t="s">
        <v>89</v>
      </c>
      <c r="Q1372" s="110" t="s">
        <v>37</v>
      </c>
      <c r="R1372" s="99" t="s">
        <v>80</v>
      </c>
      <c r="S1372" s="82" t="s">
        <v>81</v>
      </c>
      <c r="T1372" s="99" t="s">
        <v>627</v>
      </c>
      <c r="U1372" s="99" t="s">
        <v>628</v>
      </c>
      <c r="V1372" s="116" t="s">
        <v>10</v>
      </c>
      <c r="W1372" s="88"/>
      <c r="X1372" s="111">
        <v>46252</v>
      </c>
      <c r="Y1372" s="120" t="s">
        <v>1577</v>
      </c>
      <c r="Z1372" s="135" t="s">
        <v>3023</v>
      </c>
      <c r="AA1372" s="135">
        <v>0</v>
      </c>
    </row>
    <row r="1373" spans="1:27" ht="13" customHeight="1">
      <c r="A1373" s="11">
        <v>1367</v>
      </c>
      <c r="B1373" s="82">
        <v>206128580</v>
      </c>
      <c r="C1373" s="11" t="s">
        <v>2931</v>
      </c>
      <c r="D1373" s="82" t="s">
        <v>2970</v>
      </c>
      <c r="E1373" s="109" t="s">
        <v>31</v>
      </c>
      <c r="F1373" s="109" t="s">
        <v>74</v>
      </c>
      <c r="G1373" s="99" t="s">
        <v>64</v>
      </c>
      <c r="H1373" s="109" t="str">
        <f>VLOOKUP(Table1[[#This Row],[Psoft No]],[1]Roster!$C$2:$H$1402,6,)</f>
        <v>AUH1</v>
      </c>
      <c r="I1373" s="109" t="b">
        <f>Table1[[#This Row],[Building]]=Table1[[#This Row],[Column1]]</f>
        <v>1</v>
      </c>
      <c r="J1373" s="99" t="s">
        <v>75</v>
      </c>
      <c r="K1373" s="11">
        <v>1299</v>
      </c>
      <c r="L1373" s="129" t="s">
        <v>39</v>
      </c>
      <c r="M1373" s="110" t="s">
        <v>76</v>
      </c>
      <c r="N1373" s="124" t="s">
        <v>3005</v>
      </c>
      <c r="O1373" s="124" t="s">
        <v>3006</v>
      </c>
      <c r="P1373" s="109" t="s">
        <v>89</v>
      </c>
      <c r="Q1373" s="110" t="s">
        <v>37</v>
      </c>
      <c r="R1373" s="99" t="s">
        <v>80</v>
      </c>
      <c r="S1373" s="82" t="s">
        <v>96</v>
      </c>
      <c r="T1373" s="99" t="s">
        <v>631</v>
      </c>
      <c r="U1373" s="99" t="s">
        <v>632</v>
      </c>
      <c r="V1373" s="116" t="s">
        <v>10</v>
      </c>
      <c r="W1373" s="88"/>
      <c r="X1373" s="111">
        <v>46252</v>
      </c>
      <c r="Y1373" s="120" t="s">
        <v>1576</v>
      </c>
      <c r="Z1373" s="135" t="s">
        <v>3023</v>
      </c>
      <c r="AA1373" s="135">
        <v>0</v>
      </c>
    </row>
    <row r="1374" spans="1:27" ht="13" customHeight="1">
      <c r="A1374" s="11">
        <v>1368</v>
      </c>
      <c r="B1374" s="82">
        <v>205854276</v>
      </c>
      <c r="C1374" s="11" t="s">
        <v>2932</v>
      </c>
      <c r="D1374" s="82" t="s">
        <v>2971</v>
      </c>
      <c r="E1374" s="109" t="s">
        <v>31</v>
      </c>
      <c r="F1374" s="109" t="s">
        <v>74</v>
      </c>
      <c r="G1374" s="99" t="s">
        <v>64</v>
      </c>
      <c r="H1374" s="109" t="str">
        <f>VLOOKUP(Table1[[#This Row],[Psoft No]],[1]Roster!$C$2:$H$1402,6,)</f>
        <v>AUH1</v>
      </c>
      <c r="I1374" s="109" t="b">
        <f>Table1[[#This Row],[Building]]=Table1[[#This Row],[Column1]]</f>
        <v>1</v>
      </c>
      <c r="J1374" s="99" t="s">
        <v>75</v>
      </c>
      <c r="K1374" s="11">
        <v>1299</v>
      </c>
      <c r="L1374" s="129" t="s">
        <v>39</v>
      </c>
      <c r="M1374" s="110" t="s">
        <v>76</v>
      </c>
      <c r="N1374" s="124" t="s">
        <v>3006</v>
      </c>
      <c r="O1374" s="124" t="s">
        <v>3007</v>
      </c>
      <c r="P1374" s="109" t="s">
        <v>89</v>
      </c>
      <c r="Q1374" s="110" t="s">
        <v>37</v>
      </c>
      <c r="R1374" s="99" t="s">
        <v>80</v>
      </c>
      <c r="S1374" s="82" t="s">
        <v>96</v>
      </c>
      <c r="T1374" s="99" t="s">
        <v>631</v>
      </c>
      <c r="U1374" s="99" t="s">
        <v>632</v>
      </c>
      <c r="V1374" s="116" t="s">
        <v>1</v>
      </c>
      <c r="W1374" s="88"/>
      <c r="X1374" s="111">
        <v>46252</v>
      </c>
      <c r="Y1374" s="120" t="s">
        <v>1577</v>
      </c>
      <c r="Z1374" s="135" t="s">
        <v>2</v>
      </c>
      <c r="AA1374" s="135">
        <v>0</v>
      </c>
    </row>
    <row r="1375" spans="1:27" ht="13" customHeight="1">
      <c r="A1375" s="11">
        <v>1369</v>
      </c>
      <c r="B1375" s="82">
        <v>206886517</v>
      </c>
      <c r="C1375" s="11" t="s">
        <v>2933</v>
      </c>
      <c r="D1375" s="82" t="s">
        <v>2972</v>
      </c>
      <c r="E1375" s="109" t="s">
        <v>31</v>
      </c>
      <c r="F1375" s="109" t="s">
        <v>74</v>
      </c>
      <c r="G1375" s="99" t="s">
        <v>64</v>
      </c>
      <c r="H1375" s="109" t="str">
        <f>VLOOKUP(Table1[[#This Row],[Psoft No]],[1]Roster!$C$2:$H$1402,6,)</f>
        <v>AUH1</v>
      </c>
      <c r="I1375" s="109" t="b">
        <f>Table1[[#This Row],[Building]]=Table1[[#This Row],[Column1]]</f>
        <v>1</v>
      </c>
      <c r="J1375" s="99" t="s">
        <v>75</v>
      </c>
      <c r="K1375" s="11">
        <v>1299</v>
      </c>
      <c r="L1375" s="129" t="s">
        <v>39</v>
      </c>
      <c r="M1375" s="110" t="s">
        <v>76</v>
      </c>
      <c r="N1375" s="124" t="s">
        <v>3007</v>
      </c>
      <c r="O1375" s="124" t="s">
        <v>3009</v>
      </c>
      <c r="P1375" s="109" t="s">
        <v>89</v>
      </c>
      <c r="Q1375" s="110" t="s">
        <v>37</v>
      </c>
      <c r="R1375" s="99" t="s">
        <v>80</v>
      </c>
      <c r="S1375" s="82" t="s">
        <v>96</v>
      </c>
      <c r="T1375" s="99" t="s">
        <v>631</v>
      </c>
      <c r="U1375" s="99" t="s">
        <v>632</v>
      </c>
      <c r="V1375" s="116" t="s">
        <v>1</v>
      </c>
      <c r="W1375" s="88"/>
      <c r="X1375" s="111">
        <v>46252</v>
      </c>
      <c r="Y1375" s="120" t="s">
        <v>1577</v>
      </c>
      <c r="Z1375" s="135" t="s">
        <v>2</v>
      </c>
      <c r="AA1375" s="135">
        <v>0</v>
      </c>
    </row>
    <row r="1376" spans="1:27" ht="13" customHeight="1">
      <c r="A1376" s="11">
        <v>1370</v>
      </c>
      <c r="B1376" s="82">
        <v>205271074</v>
      </c>
      <c r="C1376" s="11" t="s">
        <v>2934</v>
      </c>
      <c r="D1376" s="82" t="s">
        <v>2973</v>
      </c>
      <c r="E1376" s="109" t="s">
        <v>31</v>
      </c>
      <c r="F1376" s="109" t="s">
        <v>74</v>
      </c>
      <c r="G1376" s="99" t="s">
        <v>64</v>
      </c>
      <c r="H1376" s="109" t="str">
        <f>VLOOKUP(Table1[[#This Row],[Psoft No]],[1]Roster!$C$2:$H$1402,6,)</f>
        <v>AUH1</v>
      </c>
      <c r="I1376" s="109" t="b">
        <f>Table1[[#This Row],[Building]]=Table1[[#This Row],[Column1]]</f>
        <v>1</v>
      </c>
      <c r="J1376" s="99" t="s">
        <v>75</v>
      </c>
      <c r="K1376" s="11">
        <v>1299</v>
      </c>
      <c r="L1376" s="129" t="s">
        <v>39</v>
      </c>
      <c r="M1376" s="110" t="s">
        <v>76</v>
      </c>
      <c r="N1376" s="124" t="s">
        <v>3009</v>
      </c>
      <c r="O1376" s="124" t="s">
        <v>3010</v>
      </c>
      <c r="P1376" s="109" t="s">
        <v>89</v>
      </c>
      <c r="Q1376" s="110" t="s">
        <v>37</v>
      </c>
      <c r="R1376" s="99" t="s">
        <v>80</v>
      </c>
      <c r="S1376" s="82" t="s">
        <v>96</v>
      </c>
      <c r="T1376" s="99" t="s">
        <v>631</v>
      </c>
      <c r="U1376" s="99" t="s">
        <v>632</v>
      </c>
      <c r="V1376" s="116" t="s">
        <v>1</v>
      </c>
      <c r="W1376" s="88"/>
      <c r="X1376" s="111">
        <v>46252</v>
      </c>
      <c r="Y1376" s="120" t="s">
        <v>1577</v>
      </c>
      <c r="Z1376" s="135" t="s">
        <v>2</v>
      </c>
      <c r="AA1376" s="135">
        <v>0</v>
      </c>
    </row>
    <row r="1377" spans="1:27" ht="13" customHeight="1">
      <c r="A1377" s="11">
        <v>1371</v>
      </c>
      <c r="B1377" s="82">
        <v>205852634</v>
      </c>
      <c r="C1377" s="11" t="s">
        <v>2935</v>
      </c>
      <c r="D1377" s="82" t="s">
        <v>2974</v>
      </c>
      <c r="E1377" s="109" t="s">
        <v>31</v>
      </c>
      <c r="F1377" s="109" t="s">
        <v>74</v>
      </c>
      <c r="G1377" s="99" t="s">
        <v>64</v>
      </c>
      <c r="H1377" s="109" t="str">
        <f>VLOOKUP(Table1[[#This Row],[Psoft No]],[1]Roster!$C$2:$H$1402,6,)</f>
        <v>AUH1</v>
      </c>
      <c r="I1377" s="109" t="b">
        <f>Table1[[#This Row],[Building]]=Table1[[#This Row],[Column1]]</f>
        <v>1</v>
      </c>
      <c r="J1377" s="99" t="s">
        <v>75</v>
      </c>
      <c r="K1377" s="11">
        <v>1299</v>
      </c>
      <c r="L1377" s="129" t="s">
        <v>39</v>
      </c>
      <c r="M1377" s="110" t="s">
        <v>76</v>
      </c>
      <c r="N1377" s="124" t="s">
        <v>3010</v>
      </c>
      <c r="O1377" s="124" t="s">
        <v>3011</v>
      </c>
      <c r="P1377" s="109" t="s">
        <v>89</v>
      </c>
      <c r="Q1377" s="110" t="s">
        <v>37</v>
      </c>
      <c r="R1377" s="99" t="s">
        <v>80</v>
      </c>
      <c r="S1377" s="82" t="s">
        <v>96</v>
      </c>
      <c r="T1377" s="11" t="s">
        <v>631</v>
      </c>
      <c r="U1377" s="11" t="s">
        <v>632</v>
      </c>
      <c r="V1377" s="116" t="s">
        <v>1</v>
      </c>
      <c r="W1377" s="88"/>
      <c r="X1377" s="111">
        <v>46252</v>
      </c>
      <c r="Y1377" s="120" t="s">
        <v>1577</v>
      </c>
      <c r="Z1377" s="135" t="s">
        <v>2</v>
      </c>
      <c r="AA1377" s="135">
        <v>0</v>
      </c>
    </row>
    <row r="1378" spans="1:27" ht="13" customHeight="1">
      <c r="A1378" s="11">
        <v>1372</v>
      </c>
      <c r="B1378" s="82">
        <v>205127248</v>
      </c>
      <c r="C1378" s="11" t="s">
        <v>2936</v>
      </c>
      <c r="D1378" s="82" t="s">
        <v>2975</v>
      </c>
      <c r="E1378" s="109" t="s">
        <v>31</v>
      </c>
      <c r="F1378" s="109" t="s">
        <v>74</v>
      </c>
      <c r="G1378" s="99" t="s">
        <v>64</v>
      </c>
      <c r="H1378" s="109" t="str">
        <f>VLOOKUP(Table1[[#This Row],[Psoft No]],[1]Roster!$C$2:$H$1402,6,)</f>
        <v>AUH1</v>
      </c>
      <c r="I1378" s="109" t="b">
        <f>Table1[[#This Row],[Building]]=Table1[[#This Row],[Column1]]</f>
        <v>1</v>
      </c>
      <c r="J1378" s="99" t="s">
        <v>75</v>
      </c>
      <c r="K1378" s="11">
        <v>1299</v>
      </c>
      <c r="L1378" s="129" t="s">
        <v>39</v>
      </c>
      <c r="M1378" s="110" t="s">
        <v>76</v>
      </c>
      <c r="N1378" s="124" t="s">
        <v>3011</v>
      </c>
      <c r="O1378" s="124" t="s">
        <v>78</v>
      </c>
      <c r="P1378" s="109" t="s">
        <v>89</v>
      </c>
      <c r="Q1378" s="110" t="s">
        <v>37</v>
      </c>
      <c r="R1378" s="99" t="s">
        <v>80</v>
      </c>
      <c r="S1378" s="82" t="s">
        <v>96</v>
      </c>
      <c r="T1378" s="99" t="s">
        <v>631</v>
      </c>
      <c r="U1378" s="99" t="s">
        <v>632</v>
      </c>
      <c r="V1378" s="116" t="s">
        <v>1</v>
      </c>
      <c r="W1378" s="88"/>
      <c r="X1378" s="111">
        <v>46252</v>
      </c>
      <c r="Y1378" s="120" t="s">
        <v>1577</v>
      </c>
      <c r="Z1378" s="135" t="s">
        <v>2</v>
      </c>
      <c r="AA1378" s="135">
        <v>0</v>
      </c>
    </row>
    <row r="1379" spans="1:27" ht="13" customHeight="1">
      <c r="A1379" s="11">
        <v>1373</v>
      </c>
      <c r="B1379" s="82">
        <v>206138681</v>
      </c>
      <c r="C1379" s="11" t="s">
        <v>2937</v>
      </c>
      <c r="D1379" s="82" t="s">
        <v>2976</v>
      </c>
      <c r="E1379" s="109" t="s">
        <v>31</v>
      </c>
      <c r="F1379" s="109" t="s">
        <v>74</v>
      </c>
      <c r="G1379" s="99" t="s">
        <v>64</v>
      </c>
      <c r="H1379" s="109" t="str">
        <f>VLOOKUP(Table1[[#This Row],[Psoft No]],[1]Roster!$C$2:$H$1402,6,)</f>
        <v>AUH1</v>
      </c>
      <c r="I1379" s="109" t="b">
        <f>Table1[[#This Row],[Building]]=Table1[[#This Row],[Column1]]</f>
        <v>1</v>
      </c>
      <c r="J1379" s="99" t="s">
        <v>75</v>
      </c>
      <c r="K1379" s="11">
        <v>1299</v>
      </c>
      <c r="L1379" s="129" t="s">
        <v>39</v>
      </c>
      <c r="M1379" s="110" t="s">
        <v>76</v>
      </c>
      <c r="N1379" s="124" t="s">
        <v>3008</v>
      </c>
      <c r="O1379" s="124" t="s">
        <v>3005</v>
      </c>
      <c r="P1379" s="109" t="s">
        <v>89</v>
      </c>
      <c r="Q1379" s="110" t="s">
        <v>37</v>
      </c>
      <c r="R1379" s="99" t="s">
        <v>80</v>
      </c>
      <c r="S1379" s="82" t="s">
        <v>81</v>
      </c>
      <c r="T1379" s="99" t="s">
        <v>627</v>
      </c>
      <c r="U1379" s="99" t="s">
        <v>628</v>
      </c>
      <c r="V1379" s="116" t="s">
        <v>10</v>
      </c>
      <c r="W1379" s="88"/>
      <c r="X1379" s="111">
        <v>46252</v>
      </c>
      <c r="Y1379" s="120" t="s">
        <v>1577</v>
      </c>
      <c r="Z1379" s="135" t="s">
        <v>3023</v>
      </c>
      <c r="AA1379" s="135">
        <v>0</v>
      </c>
    </row>
    <row r="1380" spans="1:27" ht="13" customHeight="1">
      <c r="A1380" s="11">
        <v>1374</v>
      </c>
      <c r="B1380" s="82">
        <v>205252530</v>
      </c>
      <c r="C1380" s="11" t="s">
        <v>2938</v>
      </c>
      <c r="D1380" s="82" t="s">
        <v>2977</v>
      </c>
      <c r="E1380" s="109" t="s">
        <v>31</v>
      </c>
      <c r="F1380" s="109" t="s">
        <v>74</v>
      </c>
      <c r="G1380" s="99" t="s">
        <v>64</v>
      </c>
      <c r="H1380" s="109" t="str">
        <f>VLOOKUP(Table1[[#This Row],[Psoft No]],[1]Roster!$C$2:$H$1402,6,)</f>
        <v>AUH1</v>
      </c>
      <c r="I1380" s="109" t="b">
        <f>Table1[[#This Row],[Building]]=Table1[[#This Row],[Column1]]</f>
        <v>1</v>
      </c>
      <c r="J1380" s="99" t="s">
        <v>75</v>
      </c>
      <c r="K1380" s="11">
        <v>1299</v>
      </c>
      <c r="L1380" s="129" t="s">
        <v>39</v>
      </c>
      <c r="M1380" s="110" t="s">
        <v>76</v>
      </c>
      <c r="N1380" s="124" t="s">
        <v>3006</v>
      </c>
      <c r="O1380" s="124" t="s">
        <v>3007</v>
      </c>
      <c r="P1380" s="109" t="s">
        <v>89</v>
      </c>
      <c r="Q1380" s="110" t="s">
        <v>37</v>
      </c>
      <c r="R1380" s="99" t="s">
        <v>80</v>
      </c>
      <c r="S1380" s="82" t="s">
        <v>96</v>
      </c>
      <c r="T1380" s="99" t="s">
        <v>631</v>
      </c>
      <c r="U1380" s="99" t="s">
        <v>632</v>
      </c>
      <c r="V1380" s="116" t="s">
        <v>1</v>
      </c>
      <c r="W1380" s="88"/>
      <c r="X1380" s="111">
        <v>46252</v>
      </c>
      <c r="Y1380" s="120" t="s">
        <v>1577</v>
      </c>
      <c r="Z1380" s="135" t="s">
        <v>2</v>
      </c>
      <c r="AA1380" s="135">
        <v>0</v>
      </c>
    </row>
    <row r="1381" spans="1:27" ht="13" customHeight="1">
      <c r="A1381" s="11">
        <v>1375</v>
      </c>
      <c r="B1381" s="82">
        <v>205852637</v>
      </c>
      <c r="C1381" s="11" t="s">
        <v>2939</v>
      </c>
      <c r="D1381" s="82" t="s">
        <v>2978</v>
      </c>
      <c r="E1381" s="109" t="s">
        <v>31</v>
      </c>
      <c r="F1381" s="109" t="s">
        <v>74</v>
      </c>
      <c r="G1381" s="99" t="s">
        <v>64</v>
      </c>
      <c r="H1381" s="109" t="str">
        <f>VLOOKUP(Table1[[#This Row],[Psoft No]],[1]Roster!$C$2:$H$1402,6,)</f>
        <v>AUH1</v>
      </c>
      <c r="I1381" s="109" t="b">
        <f>Table1[[#This Row],[Building]]=Table1[[#This Row],[Column1]]</f>
        <v>1</v>
      </c>
      <c r="J1381" s="99" t="s">
        <v>75</v>
      </c>
      <c r="K1381" s="11">
        <v>1299</v>
      </c>
      <c r="L1381" s="129" t="s">
        <v>39</v>
      </c>
      <c r="M1381" s="110" t="s">
        <v>76</v>
      </c>
      <c r="N1381" s="124" t="s">
        <v>3007</v>
      </c>
      <c r="O1381" s="124" t="s">
        <v>3009</v>
      </c>
      <c r="P1381" s="109" t="s">
        <v>89</v>
      </c>
      <c r="Q1381" s="110" t="s">
        <v>37</v>
      </c>
      <c r="R1381" s="99" t="s">
        <v>80</v>
      </c>
      <c r="S1381" s="82" t="s">
        <v>96</v>
      </c>
      <c r="T1381" s="11" t="s">
        <v>631</v>
      </c>
      <c r="U1381" s="11" t="s">
        <v>632</v>
      </c>
      <c r="V1381" s="116" t="s">
        <v>1</v>
      </c>
      <c r="W1381" s="88"/>
      <c r="X1381" s="111">
        <v>46252</v>
      </c>
      <c r="Y1381" s="120" t="s">
        <v>1577</v>
      </c>
      <c r="Z1381" s="135" t="s">
        <v>2</v>
      </c>
      <c r="AA1381" s="135">
        <v>0</v>
      </c>
    </row>
    <row r="1382" spans="1:27" ht="13" customHeight="1">
      <c r="A1382" s="11">
        <v>1376</v>
      </c>
      <c r="B1382" s="82">
        <v>206868289</v>
      </c>
      <c r="C1382" s="11" t="s">
        <v>2940</v>
      </c>
      <c r="D1382" s="82" t="s">
        <v>2979</v>
      </c>
      <c r="E1382" s="109" t="s">
        <v>31</v>
      </c>
      <c r="F1382" s="109" t="s">
        <v>74</v>
      </c>
      <c r="G1382" s="99" t="s">
        <v>64</v>
      </c>
      <c r="H1382" s="109" t="str">
        <f>VLOOKUP(Table1[[#This Row],[Psoft No]],[1]Roster!$C$2:$H$1402,6,)</f>
        <v>AUH1</v>
      </c>
      <c r="I1382" s="109" t="b">
        <f>Table1[[#This Row],[Building]]=Table1[[#This Row],[Column1]]</f>
        <v>1</v>
      </c>
      <c r="J1382" s="99" t="s">
        <v>75</v>
      </c>
      <c r="K1382" s="11">
        <v>1299</v>
      </c>
      <c r="L1382" s="129" t="s">
        <v>39</v>
      </c>
      <c r="M1382" s="110" t="s">
        <v>76</v>
      </c>
      <c r="N1382" s="124" t="s">
        <v>3009</v>
      </c>
      <c r="O1382" s="124" t="s">
        <v>3010</v>
      </c>
      <c r="P1382" s="109" t="s">
        <v>89</v>
      </c>
      <c r="Q1382" s="110" t="s">
        <v>37</v>
      </c>
      <c r="R1382" s="99" t="s">
        <v>80</v>
      </c>
      <c r="S1382" s="82" t="s">
        <v>81</v>
      </c>
      <c r="T1382" s="99" t="s">
        <v>627</v>
      </c>
      <c r="U1382" s="99" t="s">
        <v>628</v>
      </c>
      <c r="V1382" s="116" t="s">
        <v>1</v>
      </c>
      <c r="W1382" s="88"/>
      <c r="X1382" s="111">
        <v>46252</v>
      </c>
      <c r="Y1382" s="120" t="s">
        <v>1576</v>
      </c>
      <c r="Z1382" s="135" t="s">
        <v>2</v>
      </c>
      <c r="AA1382" s="135">
        <v>0</v>
      </c>
    </row>
    <row r="1383" spans="1:27" ht="13" customHeight="1">
      <c r="A1383" s="11">
        <v>1377</v>
      </c>
      <c r="B1383" s="82">
        <v>206605136</v>
      </c>
      <c r="C1383" s="11" t="s">
        <v>2941</v>
      </c>
      <c r="D1383" s="82" t="s">
        <v>2980</v>
      </c>
      <c r="E1383" s="109" t="s">
        <v>31</v>
      </c>
      <c r="F1383" s="109" t="s">
        <v>74</v>
      </c>
      <c r="G1383" s="99" t="s">
        <v>64</v>
      </c>
      <c r="H1383" s="109" t="str">
        <f>VLOOKUP(Table1[[#This Row],[Psoft No]],[1]Roster!$C$2:$H$1402,6,)</f>
        <v>AUH1</v>
      </c>
      <c r="I1383" s="109" t="b">
        <f>Table1[[#This Row],[Building]]=Table1[[#This Row],[Column1]]</f>
        <v>1</v>
      </c>
      <c r="J1383" s="99" t="s">
        <v>75</v>
      </c>
      <c r="K1383" s="11">
        <v>1299</v>
      </c>
      <c r="L1383" s="129" t="s">
        <v>39</v>
      </c>
      <c r="M1383" s="110" t="s">
        <v>76</v>
      </c>
      <c r="N1383" s="124" t="s">
        <v>3010</v>
      </c>
      <c r="O1383" s="124" t="s">
        <v>3011</v>
      </c>
      <c r="P1383" s="109" t="s">
        <v>89</v>
      </c>
      <c r="Q1383" s="110" t="s">
        <v>37</v>
      </c>
      <c r="R1383" s="99" t="s">
        <v>80</v>
      </c>
      <c r="S1383" s="82" t="s">
        <v>96</v>
      </c>
      <c r="T1383" s="99" t="s">
        <v>1066</v>
      </c>
      <c r="U1383" s="99" t="s">
        <v>2717</v>
      </c>
      <c r="V1383" s="116" t="s">
        <v>1</v>
      </c>
      <c r="W1383" s="88"/>
      <c r="X1383" s="111">
        <v>46252</v>
      </c>
      <c r="Y1383" s="120" t="s">
        <v>1577</v>
      </c>
      <c r="Z1383" s="135" t="s">
        <v>2</v>
      </c>
      <c r="AA1383" s="135">
        <v>0</v>
      </c>
    </row>
    <row r="1384" spans="1:27" ht="13" customHeight="1">
      <c r="A1384" s="11">
        <v>1378</v>
      </c>
      <c r="B1384" s="82">
        <v>206886736</v>
      </c>
      <c r="C1384" s="11" t="s">
        <v>2942</v>
      </c>
      <c r="D1384" s="82" t="s">
        <v>2981</v>
      </c>
      <c r="E1384" s="109" t="s">
        <v>31</v>
      </c>
      <c r="F1384" s="109" t="s">
        <v>74</v>
      </c>
      <c r="G1384" s="99" t="s">
        <v>64</v>
      </c>
      <c r="H1384" s="109" t="str">
        <f>VLOOKUP(Table1[[#This Row],[Psoft No]],[1]Roster!$C$2:$H$1402,6,)</f>
        <v>AUH1</v>
      </c>
      <c r="I1384" s="109" t="b">
        <f>Table1[[#This Row],[Building]]=Table1[[#This Row],[Column1]]</f>
        <v>1</v>
      </c>
      <c r="J1384" s="99" t="s">
        <v>75</v>
      </c>
      <c r="K1384" s="11">
        <v>1299</v>
      </c>
      <c r="L1384" s="129" t="s">
        <v>39</v>
      </c>
      <c r="M1384" s="110" t="s">
        <v>76</v>
      </c>
      <c r="N1384" s="124" t="s">
        <v>3011</v>
      </c>
      <c r="O1384" s="124" t="s">
        <v>78</v>
      </c>
      <c r="P1384" s="109" t="s">
        <v>89</v>
      </c>
      <c r="Q1384" s="110" t="s">
        <v>37</v>
      </c>
      <c r="R1384" s="99" t="s">
        <v>80</v>
      </c>
      <c r="S1384" s="82" t="s">
        <v>96</v>
      </c>
      <c r="T1384" s="99" t="s">
        <v>1066</v>
      </c>
      <c r="U1384" s="99" t="s">
        <v>2717</v>
      </c>
      <c r="V1384" s="116" t="s">
        <v>1</v>
      </c>
      <c r="W1384" s="88"/>
      <c r="X1384" s="111">
        <v>46252</v>
      </c>
      <c r="Y1384" s="120" t="s">
        <v>1578</v>
      </c>
      <c r="Z1384" s="135" t="s">
        <v>2</v>
      </c>
      <c r="AA1384" s="135">
        <v>0</v>
      </c>
    </row>
    <row r="1385" spans="1:27" ht="13" customHeight="1">
      <c r="A1385" s="11">
        <v>1379</v>
      </c>
      <c r="B1385" s="82">
        <v>206868002</v>
      </c>
      <c r="C1385" s="11" t="s">
        <v>2943</v>
      </c>
      <c r="D1385" s="82" t="s">
        <v>2982</v>
      </c>
      <c r="E1385" s="109" t="s">
        <v>31</v>
      </c>
      <c r="F1385" s="109" t="s">
        <v>74</v>
      </c>
      <c r="G1385" s="99" t="s">
        <v>64</v>
      </c>
      <c r="H1385" s="109" t="str">
        <f>VLOOKUP(Table1[[#This Row],[Psoft No]],[1]Roster!$C$2:$H$1402,6,)</f>
        <v>AUH1</v>
      </c>
      <c r="I1385" s="109" t="b">
        <f>Table1[[#This Row],[Building]]=Table1[[#This Row],[Column1]]</f>
        <v>1</v>
      </c>
      <c r="J1385" s="99" t="s">
        <v>75</v>
      </c>
      <c r="K1385" s="11">
        <v>1299</v>
      </c>
      <c r="L1385" s="129" t="s">
        <v>39</v>
      </c>
      <c r="M1385" s="110" t="s">
        <v>76</v>
      </c>
      <c r="N1385" s="124" t="s">
        <v>3008</v>
      </c>
      <c r="O1385" s="124" t="s">
        <v>3005</v>
      </c>
      <c r="P1385" s="109" t="s">
        <v>89</v>
      </c>
      <c r="Q1385" s="110" t="s">
        <v>37</v>
      </c>
      <c r="R1385" s="99" t="s">
        <v>80</v>
      </c>
      <c r="S1385" s="82" t="s">
        <v>81</v>
      </c>
      <c r="T1385" s="11" t="s">
        <v>627</v>
      </c>
      <c r="U1385" s="11" t="s">
        <v>628</v>
      </c>
      <c r="V1385" s="116" t="s">
        <v>10</v>
      </c>
      <c r="W1385" s="88"/>
      <c r="X1385" s="111">
        <v>46252</v>
      </c>
      <c r="Y1385" s="120" t="s">
        <v>1576</v>
      </c>
      <c r="Z1385" s="135" t="s">
        <v>3023</v>
      </c>
      <c r="AA1385" s="135">
        <v>0</v>
      </c>
    </row>
    <row r="1386" spans="1:27" ht="13" customHeight="1">
      <c r="A1386" s="11">
        <v>1380</v>
      </c>
      <c r="B1386" s="82">
        <v>206884029</v>
      </c>
      <c r="C1386" s="11" t="s">
        <v>2944</v>
      </c>
      <c r="D1386" s="82" t="s">
        <v>2983</v>
      </c>
      <c r="E1386" s="109" t="s">
        <v>31</v>
      </c>
      <c r="F1386" s="109" t="s">
        <v>74</v>
      </c>
      <c r="G1386" s="99" t="s">
        <v>64</v>
      </c>
      <c r="H1386" s="109" t="str">
        <f>VLOOKUP(Table1[[#This Row],[Psoft No]],[1]Roster!$C$2:$H$1402,6,)</f>
        <v>AUH1</v>
      </c>
      <c r="I1386" s="109" t="b">
        <f>Table1[[#This Row],[Building]]=Table1[[#This Row],[Column1]]</f>
        <v>1</v>
      </c>
      <c r="J1386" s="99" t="s">
        <v>75</v>
      </c>
      <c r="K1386" s="11">
        <v>1299</v>
      </c>
      <c r="L1386" s="129" t="s">
        <v>39</v>
      </c>
      <c r="M1386" s="110" t="s">
        <v>76</v>
      </c>
      <c r="N1386" s="124" t="s">
        <v>3005</v>
      </c>
      <c r="O1386" s="124" t="s">
        <v>3006</v>
      </c>
      <c r="P1386" s="109" t="s">
        <v>89</v>
      </c>
      <c r="Q1386" s="110" t="s">
        <v>37</v>
      </c>
      <c r="R1386" s="99" t="s">
        <v>80</v>
      </c>
      <c r="S1386" s="82" t="s">
        <v>96</v>
      </c>
      <c r="T1386" s="99" t="s">
        <v>1066</v>
      </c>
      <c r="U1386" s="99" t="s">
        <v>2717</v>
      </c>
      <c r="V1386" s="116" t="s">
        <v>10</v>
      </c>
      <c r="W1386" s="88"/>
      <c r="X1386" s="111">
        <v>46252</v>
      </c>
      <c r="Y1386" s="120" t="s">
        <v>1578</v>
      </c>
      <c r="Z1386" s="135" t="s">
        <v>3023</v>
      </c>
      <c r="AA1386" s="135">
        <v>0</v>
      </c>
    </row>
    <row r="1387" spans="1:27" ht="13" customHeight="1">
      <c r="A1387" s="11">
        <v>1381</v>
      </c>
      <c r="B1387" s="82">
        <v>206890216</v>
      </c>
      <c r="C1387" s="11" t="s">
        <v>2945</v>
      </c>
      <c r="D1387" s="82" t="s">
        <v>2984</v>
      </c>
      <c r="E1387" s="109" t="s">
        <v>31</v>
      </c>
      <c r="F1387" s="109" t="s">
        <v>74</v>
      </c>
      <c r="G1387" s="99" t="s">
        <v>64</v>
      </c>
      <c r="H1387" s="109" t="str">
        <f>VLOOKUP(Table1[[#This Row],[Psoft No]],[1]Roster!$C$2:$H$1402,6,)</f>
        <v>AUH1</v>
      </c>
      <c r="I1387" s="109" t="b">
        <f>Table1[[#This Row],[Building]]=Table1[[#This Row],[Column1]]</f>
        <v>1</v>
      </c>
      <c r="J1387" s="99" t="s">
        <v>75</v>
      </c>
      <c r="K1387" s="11">
        <v>1299</v>
      </c>
      <c r="L1387" s="129" t="s">
        <v>39</v>
      </c>
      <c r="M1387" s="110" t="s">
        <v>76</v>
      </c>
      <c r="N1387" s="124" t="s">
        <v>3006</v>
      </c>
      <c r="O1387" s="124" t="s">
        <v>3007</v>
      </c>
      <c r="P1387" s="109" t="s">
        <v>89</v>
      </c>
      <c r="Q1387" s="110" t="s">
        <v>37</v>
      </c>
      <c r="R1387" s="99" t="s">
        <v>80</v>
      </c>
      <c r="S1387" s="82" t="s">
        <v>96</v>
      </c>
      <c r="T1387" s="11" t="s">
        <v>1066</v>
      </c>
      <c r="U1387" s="11" t="s">
        <v>2717</v>
      </c>
      <c r="V1387" s="116" t="s">
        <v>1</v>
      </c>
      <c r="W1387" s="88"/>
      <c r="X1387" s="111">
        <v>46252</v>
      </c>
      <c r="Y1387" s="120" t="s">
        <v>1577</v>
      </c>
      <c r="Z1387" s="135" t="s">
        <v>2</v>
      </c>
      <c r="AA1387" s="135">
        <v>0</v>
      </c>
    </row>
    <row r="1388" spans="1:27" ht="13" customHeight="1">
      <c r="A1388" s="11">
        <v>1382</v>
      </c>
      <c r="B1388" s="82">
        <v>205252539</v>
      </c>
      <c r="C1388" s="11" t="s">
        <v>2946</v>
      </c>
      <c r="D1388" s="82" t="s">
        <v>2985</v>
      </c>
      <c r="E1388" s="109" t="s">
        <v>31</v>
      </c>
      <c r="F1388" s="109" t="s">
        <v>74</v>
      </c>
      <c r="G1388" s="99" t="s">
        <v>64</v>
      </c>
      <c r="H1388" s="109" t="str">
        <f>VLOOKUP(Table1[[#This Row],[Psoft No]],[1]Roster!$C$2:$H$1402,6,)</f>
        <v>AUH1</v>
      </c>
      <c r="I1388" s="109" t="b">
        <f>Table1[[#This Row],[Building]]=Table1[[#This Row],[Column1]]</f>
        <v>1</v>
      </c>
      <c r="J1388" s="99" t="s">
        <v>75</v>
      </c>
      <c r="K1388" s="11">
        <v>1299</v>
      </c>
      <c r="L1388" s="129" t="s">
        <v>39</v>
      </c>
      <c r="M1388" s="110" t="s">
        <v>76</v>
      </c>
      <c r="N1388" s="124" t="s">
        <v>3007</v>
      </c>
      <c r="O1388" s="124" t="s">
        <v>3009</v>
      </c>
      <c r="P1388" s="109" t="s">
        <v>89</v>
      </c>
      <c r="Q1388" s="110" t="s">
        <v>37</v>
      </c>
      <c r="R1388" s="99" t="s">
        <v>80</v>
      </c>
      <c r="S1388" s="82" t="s">
        <v>96</v>
      </c>
      <c r="T1388" s="11" t="s">
        <v>1066</v>
      </c>
      <c r="U1388" s="11" t="s">
        <v>2717</v>
      </c>
      <c r="V1388" s="116" t="s">
        <v>1</v>
      </c>
      <c r="W1388" s="88"/>
      <c r="X1388" s="111">
        <v>46252</v>
      </c>
      <c r="Y1388" s="120" t="s">
        <v>1577</v>
      </c>
      <c r="Z1388" s="135" t="s">
        <v>2</v>
      </c>
      <c r="AA1388" s="135" t="s">
        <v>3015</v>
      </c>
    </row>
    <row r="1389" spans="1:27" ht="13" customHeight="1">
      <c r="A1389" s="11">
        <v>1383</v>
      </c>
      <c r="B1389" s="82">
        <v>205627233</v>
      </c>
      <c r="C1389" s="11" t="s">
        <v>2947</v>
      </c>
      <c r="D1389" s="82" t="s">
        <v>2986</v>
      </c>
      <c r="E1389" s="109" t="s">
        <v>31</v>
      </c>
      <c r="F1389" s="109" t="s">
        <v>74</v>
      </c>
      <c r="G1389" s="99" t="s">
        <v>64</v>
      </c>
      <c r="H1389" s="109" t="str">
        <f>VLOOKUP(Table1[[#This Row],[Psoft No]],[1]Roster!$C$2:$H$1402,6,)</f>
        <v>AUH1</v>
      </c>
      <c r="I1389" s="109" t="b">
        <f>Table1[[#This Row],[Building]]=Table1[[#This Row],[Column1]]</f>
        <v>1</v>
      </c>
      <c r="J1389" s="99" t="s">
        <v>75</v>
      </c>
      <c r="K1389" s="11">
        <v>1299</v>
      </c>
      <c r="L1389" s="129" t="s">
        <v>39</v>
      </c>
      <c r="M1389" s="110" t="s">
        <v>76</v>
      </c>
      <c r="N1389" s="124" t="s">
        <v>3009</v>
      </c>
      <c r="O1389" s="124" t="s">
        <v>3010</v>
      </c>
      <c r="P1389" s="109" t="s">
        <v>89</v>
      </c>
      <c r="Q1389" s="110" t="s">
        <v>37</v>
      </c>
      <c r="R1389" s="99" t="s">
        <v>80</v>
      </c>
      <c r="S1389" s="82" t="s">
        <v>96</v>
      </c>
      <c r="T1389" s="99" t="s">
        <v>1066</v>
      </c>
      <c r="U1389" s="99" t="s">
        <v>2717</v>
      </c>
      <c r="V1389" s="116" t="s">
        <v>1</v>
      </c>
      <c r="W1389" s="88"/>
      <c r="X1389" s="111">
        <v>46252</v>
      </c>
      <c r="Y1389" s="120" t="s">
        <v>1577</v>
      </c>
      <c r="Z1389" s="135" t="s">
        <v>2</v>
      </c>
      <c r="AA1389" s="135">
        <v>0</v>
      </c>
    </row>
    <row r="1390" spans="1:27" ht="13" customHeight="1">
      <c r="A1390" s="11">
        <v>1384</v>
      </c>
      <c r="B1390" s="82">
        <v>205996133</v>
      </c>
      <c r="C1390" s="11" t="s">
        <v>2948</v>
      </c>
      <c r="D1390" s="82" t="s">
        <v>2987</v>
      </c>
      <c r="E1390" s="109" t="s">
        <v>31</v>
      </c>
      <c r="F1390" s="109" t="s">
        <v>74</v>
      </c>
      <c r="G1390" s="99" t="s">
        <v>64</v>
      </c>
      <c r="H1390" s="109" t="str">
        <f>VLOOKUP(Table1[[#This Row],[Psoft No]],[1]Roster!$C$2:$H$1402,6,)</f>
        <v>AUH1</v>
      </c>
      <c r="I1390" s="109" t="b">
        <f>Table1[[#This Row],[Building]]=Table1[[#This Row],[Column1]]</f>
        <v>1</v>
      </c>
      <c r="J1390" s="99" t="s">
        <v>75</v>
      </c>
      <c r="K1390" s="11">
        <v>1299</v>
      </c>
      <c r="L1390" s="129" t="s">
        <v>39</v>
      </c>
      <c r="M1390" s="110" t="s">
        <v>76</v>
      </c>
      <c r="N1390" s="124" t="s">
        <v>3010</v>
      </c>
      <c r="O1390" s="124" t="s">
        <v>3011</v>
      </c>
      <c r="P1390" s="109" t="s">
        <v>89</v>
      </c>
      <c r="Q1390" s="110" t="s">
        <v>37</v>
      </c>
      <c r="R1390" s="99" t="s">
        <v>80</v>
      </c>
      <c r="S1390" s="82" t="s">
        <v>81</v>
      </c>
      <c r="T1390" s="99" t="s">
        <v>627</v>
      </c>
      <c r="U1390" s="99" t="s">
        <v>628</v>
      </c>
      <c r="V1390" s="116" t="s">
        <v>1</v>
      </c>
      <c r="W1390" s="88"/>
      <c r="X1390" s="111">
        <v>46252</v>
      </c>
      <c r="Y1390" s="120" t="s">
        <v>1577</v>
      </c>
      <c r="Z1390" s="135" t="s">
        <v>2</v>
      </c>
      <c r="AA1390" s="135">
        <v>0</v>
      </c>
    </row>
    <row r="1391" spans="1:27" ht="13" customHeight="1">
      <c r="A1391" s="11">
        <v>1385</v>
      </c>
      <c r="B1391" s="82">
        <v>206491340</v>
      </c>
      <c r="C1391" s="11" t="s">
        <v>2949</v>
      </c>
      <c r="D1391" s="82" t="s">
        <v>2988</v>
      </c>
      <c r="E1391" s="109" t="s">
        <v>31</v>
      </c>
      <c r="F1391" s="109" t="s">
        <v>74</v>
      </c>
      <c r="G1391" s="99" t="s">
        <v>64</v>
      </c>
      <c r="H1391" s="109" t="str">
        <f>VLOOKUP(Table1[[#This Row],[Psoft No]],[1]Roster!$C$2:$H$1402,6,)</f>
        <v>AUH1</v>
      </c>
      <c r="I1391" s="109" t="b">
        <f>Table1[[#This Row],[Building]]=Table1[[#This Row],[Column1]]</f>
        <v>1</v>
      </c>
      <c r="J1391" s="99" t="s">
        <v>75</v>
      </c>
      <c r="K1391" s="11">
        <v>1299</v>
      </c>
      <c r="L1391" s="129" t="s">
        <v>39</v>
      </c>
      <c r="M1391" s="110" t="s">
        <v>76</v>
      </c>
      <c r="N1391" s="124" t="s">
        <v>3011</v>
      </c>
      <c r="O1391" s="124" t="s">
        <v>78</v>
      </c>
      <c r="P1391" s="109" t="s">
        <v>89</v>
      </c>
      <c r="Q1391" s="110" t="s">
        <v>37</v>
      </c>
      <c r="R1391" s="99" t="s">
        <v>80</v>
      </c>
      <c r="S1391" s="82" t="s">
        <v>96</v>
      </c>
      <c r="T1391" s="99" t="s">
        <v>1066</v>
      </c>
      <c r="U1391" s="99" t="s">
        <v>2717</v>
      </c>
      <c r="V1391" s="116" t="s">
        <v>1</v>
      </c>
      <c r="W1391" s="88"/>
      <c r="X1391" s="111">
        <v>46252</v>
      </c>
      <c r="Y1391" s="120" t="s">
        <v>1577</v>
      </c>
      <c r="Z1391" s="135" t="s">
        <v>2</v>
      </c>
      <c r="AA1391" s="135" t="s">
        <v>3015</v>
      </c>
    </row>
    <row r="1392" spans="1:27" ht="13" customHeight="1">
      <c r="A1392" s="11">
        <v>1386</v>
      </c>
      <c r="B1392" s="82">
        <v>206607035</v>
      </c>
      <c r="C1392" s="11" t="s">
        <v>2950</v>
      </c>
      <c r="D1392" s="82" t="s">
        <v>2989</v>
      </c>
      <c r="E1392" s="109" t="s">
        <v>31</v>
      </c>
      <c r="F1392" s="109" t="s">
        <v>74</v>
      </c>
      <c r="G1392" s="99" t="s">
        <v>64</v>
      </c>
      <c r="H1392" s="109" t="str">
        <f>VLOOKUP(Table1[[#This Row],[Psoft No]],[1]Roster!$C$2:$H$1402,6,)</f>
        <v>AUH1</v>
      </c>
      <c r="I1392" s="109" t="b">
        <f>Table1[[#This Row],[Building]]=Table1[[#This Row],[Column1]]</f>
        <v>1</v>
      </c>
      <c r="J1392" s="99" t="s">
        <v>75</v>
      </c>
      <c r="K1392" s="11">
        <v>1299</v>
      </c>
      <c r="L1392" s="129" t="s">
        <v>39</v>
      </c>
      <c r="M1392" s="110" t="s">
        <v>76</v>
      </c>
      <c r="N1392" s="124" t="s">
        <v>3008</v>
      </c>
      <c r="O1392" s="124" t="s">
        <v>3005</v>
      </c>
      <c r="P1392" s="109" t="s">
        <v>89</v>
      </c>
      <c r="Q1392" s="110" t="s">
        <v>37</v>
      </c>
      <c r="R1392" s="99" t="s">
        <v>80</v>
      </c>
      <c r="S1392" s="82" t="s">
        <v>96</v>
      </c>
      <c r="T1392" s="11" t="s">
        <v>1066</v>
      </c>
      <c r="U1392" s="11" t="s">
        <v>2717</v>
      </c>
      <c r="V1392" s="116" t="s">
        <v>10</v>
      </c>
      <c r="W1392" s="88"/>
      <c r="X1392" s="111">
        <v>46252</v>
      </c>
      <c r="Y1392" s="120" t="s">
        <v>1577</v>
      </c>
      <c r="Z1392" s="135" t="s">
        <v>3023</v>
      </c>
      <c r="AA1392" s="135">
        <v>0</v>
      </c>
    </row>
    <row r="1393" spans="1:27" ht="13" customHeight="1">
      <c r="A1393" s="11">
        <v>1387</v>
      </c>
      <c r="B1393" s="82">
        <v>206868006</v>
      </c>
      <c r="C1393" s="11" t="s">
        <v>2951</v>
      </c>
      <c r="D1393" s="82" t="s">
        <v>2990</v>
      </c>
      <c r="E1393" s="109" t="s">
        <v>31</v>
      </c>
      <c r="F1393" s="109" t="s">
        <v>74</v>
      </c>
      <c r="G1393" s="99" t="s">
        <v>64</v>
      </c>
      <c r="H1393" s="109" t="str">
        <f>VLOOKUP(Table1[[#This Row],[Psoft No]],[1]Roster!$C$2:$H$1402,6,)</f>
        <v>AUH1</v>
      </c>
      <c r="I1393" s="109" t="b">
        <f>Table1[[#This Row],[Building]]=Table1[[#This Row],[Column1]]</f>
        <v>1</v>
      </c>
      <c r="J1393" s="99" t="s">
        <v>75</v>
      </c>
      <c r="K1393" s="11">
        <v>1299</v>
      </c>
      <c r="L1393" s="129" t="s">
        <v>39</v>
      </c>
      <c r="M1393" s="110" t="s">
        <v>76</v>
      </c>
      <c r="N1393" s="124" t="s">
        <v>3005</v>
      </c>
      <c r="O1393" s="124" t="s">
        <v>3006</v>
      </c>
      <c r="P1393" s="109" t="s">
        <v>89</v>
      </c>
      <c r="Q1393" s="110" t="s">
        <v>37</v>
      </c>
      <c r="R1393" s="99" t="s">
        <v>80</v>
      </c>
      <c r="S1393" s="82" t="s">
        <v>81</v>
      </c>
      <c r="T1393" s="11" t="s">
        <v>627</v>
      </c>
      <c r="U1393" s="11" t="s">
        <v>628</v>
      </c>
      <c r="V1393" s="116" t="s">
        <v>10</v>
      </c>
      <c r="W1393" s="88"/>
      <c r="X1393" s="111">
        <v>46252</v>
      </c>
      <c r="Y1393" s="120" t="s">
        <v>1576</v>
      </c>
      <c r="Z1393" s="135" t="s">
        <v>3023</v>
      </c>
      <c r="AA1393" s="135">
        <v>0</v>
      </c>
    </row>
    <row r="1394" spans="1:27" ht="13" customHeight="1">
      <c r="A1394" s="11">
        <v>1388</v>
      </c>
      <c r="B1394" s="82">
        <v>206886731</v>
      </c>
      <c r="C1394" s="11" t="s">
        <v>2952</v>
      </c>
      <c r="D1394" s="82" t="s">
        <v>2991</v>
      </c>
      <c r="E1394" s="109" t="s">
        <v>31</v>
      </c>
      <c r="F1394" s="109" t="s">
        <v>74</v>
      </c>
      <c r="G1394" s="99" t="s">
        <v>64</v>
      </c>
      <c r="H1394" s="109" t="str">
        <f>VLOOKUP(Table1[[#This Row],[Psoft No]],[1]Roster!$C$2:$H$1402,6,)</f>
        <v>AUH1</v>
      </c>
      <c r="I1394" s="109" t="b">
        <f>Table1[[#This Row],[Building]]=Table1[[#This Row],[Column1]]</f>
        <v>1</v>
      </c>
      <c r="J1394" s="99" t="s">
        <v>75</v>
      </c>
      <c r="K1394" s="11">
        <v>1299</v>
      </c>
      <c r="L1394" s="129" t="s">
        <v>39</v>
      </c>
      <c r="M1394" s="110" t="s">
        <v>76</v>
      </c>
      <c r="N1394" s="124" t="s">
        <v>3006</v>
      </c>
      <c r="O1394" s="124" t="s">
        <v>3007</v>
      </c>
      <c r="P1394" s="109" t="s">
        <v>89</v>
      </c>
      <c r="Q1394" s="110" t="s">
        <v>37</v>
      </c>
      <c r="R1394" s="99" t="s">
        <v>80</v>
      </c>
      <c r="S1394" s="82" t="s">
        <v>96</v>
      </c>
      <c r="T1394" s="11" t="s">
        <v>1066</v>
      </c>
      <c r="U1394" s="11" t="s">
        <v>2717</v>
      </c>
      <c r="V1394" s="116" t="s">
        <v>1</v>
      </c>
      <c r="W1394" s="88"/>
      <c r="X1394" s="111">
        <v>46252</v>
      </c>
      <c r="Y1394" s="120" t="s">
        <v>1577</v>
      </c>
      <c r="Z1394" s="135" t="s">
        <v>2</v>
      </c>
      <c r="AA1394" s="135">
        <v>0</v>
      </c>
    </row>
    <row r="1395" spans="1:27" ht="13" customHeight="1">
      <c r="A1395" s="11">
        <v>1389</v>
      </c>
      <c r="B1395" s="82">
        <v>206136719</v>
      </c>
      <c r="C1395" s="11" t="s">
        <v>2953</v>
      </c>
      <c r="D1395" s="82" t="s">
        <v>2992</v>
      </c>
      <c r="E1395" s="109" t="s">
        <v>31</v>
      </c>
      <c r="F1395" s="109" t="s">
        <v>74</v>
      </c>
      <c r="G1395" s="99" t="s">
        <v>64</v>
      </c>
      <c r="H1395" s="109" t="str">
        <f>VLOOKUP(Table1[[#This Row],[Psoft No]],[1]Roster!$C$2:$H$1402,6,)</f>
        <v>AUH1</v>
      </c>
      <c r="I1395" s="109" t="b">
        <f>Table1[[#This Row],[Building]]=Table1[[#This Row],[Column1]]</f>
        <v>1</v>
      </c>
      <c r="J1395" s="99" t="s">
        <v>75</v>
      </c>
      <c r="K1395" s="11">
        <v>1299</v>
      </c>
      <c r="L1395" s="129" t="s">
        <v>39</v>
      </c>
      <c r="M1395" s="110" t="s">
        <v>76</v>
      </c>
      <c r="N1395" s="124" t="s">
        <v>3008</v>
      </c>
      <c r="O1395" s="124" t="s">
        <v>3005</v>
      </c>
      <c r="P1395" s="109" t="s">
        <v>89</v>
      </c>
      <c r="Q1395" s="110" t="s">
        <v>37</v>
      </c>
      <c r="R1395" s="99" t="s">
        <v>80</v>
      </c>
      <c r="S1395" s="82" t="s">
        <v>96</v>
      </c>
      <c r="T1395" s="99" t="s">
        <v>1066</v>
      </c>
      <c r="U1395" s="99" t="s">
        <v>2717</v>
      </c>
      <c r="V1395" s="116" t="s">
        <v>10</v>
      </c>
      <c r="W1395" s="88"/>
      <c r="X1395" s="111">
        <v>46252</v>
      </c>
      <c r="Y1395" s="120" t="s">
        <v>1576</v>
      </c>
      <c r="Z1395" s="135" t="s">
        <v>3023</v>
      </c>
      <c r="AA1395" s="135">
        <v>0</v>
      </c>
    </row>
    <row r="1396" spans="1:27" ht="13" customHeight="1">
      <c r="A1396" s="11">
        <v>1390</v>
      </c>
      <c r="B1396" s="82">
        <v>206191926</v>
      </c>
      <c r="C1396" s="11" t="s">
        <v>2954</v>
      </c>
      <c r="D1396" s="82" t="s">
        <v>2993</v>
      </c>
      <c r="E1396" s="109" t="s">
        <v>31</v>
      </c>
      <c r="F1396" s="109" t="s">
        <v>74</v>
      </c>
      <c r="G1396" s="99" t="s">
        <v>64</v>
      </c>
      <c r="H1396" s="109" t="str">
        <f>VLOOKUP(Table1[[#This Row],[Psoft No]],[1]Roster!$C$2:$H$1402,6,)</f>
        <v>AUH1</v>
      </c>
      <c r="I1396" s="109" t="b">
        <f>Table1[[#This Row],[Building]]=Table1[[#This Row],[Column1]]</f>
        <v>1</v>
      </c>
      <c r="J1396" s="99" t="s">
        <v>75</v>
      </c>
      <c r="K1396" s="11">
        <v>1299</v>
      </c>
      <c r="L1396" s="129" t="s">
        <v>39</v>
      </c>
      <c r="M1396" s="110" t="s">
        <v>76</v>
      </c>
      <c r="N1396" s="124" t="s">
        <v>3005</v>
      </c>
      <c r="O1396" s="124" t="s">
        <v>3006</v>
      </c>
      <c r="P1396" s="109" t="s">
        <v>89</v>
      </c>
      <c r="Q1396" s="110" t="s">
        <v>37</v>
      </c>
      <c r="R1396" s="99" t="s">
        <v>80</v>
      </c>
      <c r="S1396" s="82" t="s">
        <v>96</v>
      </c>
      <c r="T1396" s="99" t="s">
        <v>627</v>
      </c>
      <c r="U1396" s="99" t="s">
        <v>628</v>
      </c>
      <c r="V1396" s="116" t="s">
        <v>10</v>
      </c>
      <c r="W1396" s="88"/>
      <c r="X1396" s="111">
        <v>46252</v>
      </c>
      <c r="Y1396" s="120" t="s">
        <v>1578</v>
      </c>
      <c r="Z1396" s="135" t="s">
        <v>3023</v>
      </c>
      <c r="AA1396" s="135">
        <v>0</v>
      </c>
    </row>
    <row r="1397" spans="1:27" ht="13" customHeight="1">
      <c r="A1397" s="11">
        <v>1391</v>
      </c>
      <c r="B1397" s="82">
        <v>206250638</v>
      </c>
      <c r="C1397" s="11" t="s">
        <v>2955</v>
      </c>
      <c r="D1397" s="82" t="s">
        <v>2994</v>
      </c>
      <c r="E1397" s="109" t="s">
        <v>31</v>
      </c>
      <c r="F1397" s="109" t="s">
        <v>74</v>
      </c>
      <c r="G1397" s="99" t="s">
        <v>64</v>
      </c>
      <c r="H1397" s="109" t="str">
        <f>VLOOKUP(Table1[[#This Row],[Psoft No]],[1]Roster!$C$2:$H$1402,6,)</f>
        <v>AUH1</v>
      </c>
      <c r="I1397" s="109" t="b">
        <f>Table1[[#This Row],[Building]]=Table1[[#This Row],[Column1]]</f>
        <v>1</v>
      </c>
      <c r="J1397" s="99" t="s">
        <v>75</v>
      </c>
      <c r="K1397" s="11">
        <v>1299</v>
      </c>
      <c r="L1397" s="129" t="s">
        <v>39</v>
      </c>
      <c r="M1397" s="110" t="s">
        <v>76</v>
      </c>
      <c r="N1397" s="124" t="s">
        <v>3006</v>
      </c>
      <c r="O1397" s="124" t="s">
        <v>3007</v>
      </c>
      <c r="P1397" s="109" t="s">
        <v>89</v>
      </c>
      <c r="Q1397" s="110" t="s">
        <v>37</v>
      </c>
      <c r="R1397" s="99" t="s">
        <v>80</v>
      </c>
      <c r="S1397" s="82" t="s">
        <v>81</v>
      </c>
      <c r="T1397" s="99" t="s">
        <v>627</v>
      </c>
      <c r="U1397" s="99" t="s">
        <v>628</v>
      </c>
      <c r="V1397" s="116" t="s">
        <v>1</v>
      </c>
      <c r="W1397" s="88"/>
      <c r="X1397" s="111">
        <v>46252</v>
      </c>
      <c r="Y1397" s="120" t="s">
        <v>1576</v>
      </c>
      <c r="Z1397" s="135" t="s">
        <v>2</v>
      </c>
      <c r="AA1397" s="135">
        <v>0</v>
      </c>
    </row>
    <row r="1398" spans="1:27" ht="13" customHeight="1">
      <c r="A1398" s="11">
        <v>1392</v>
      </c>
      <c r="B1398" s="82">
        <v>205853893</v>
      </c>
      <c r="C1398" s="11" t="s">
        <v>2956</v>
      </c>
      <c r="D1398" s="82" t="s">
        <v>2995</v>
      </c>
      <c r="E1398" s="109" t="s">
        <v>31</v>
      </c>
      <c r="F1398" s="109" t="s">
        <v>74</v>
      </c>
      <c r="G1398" s="99" t="s">
        <v>64</v>
      </c>
      <c r="H1398" s="109" t="str">
        <f>VLOOKUP(Table1[[#This Row],[Psoft No]],[1]Roster!$C$2:$H$1402,6,)</f>
        <v>AUH1</v>
      </c>
      <c r="I1398" s="109" t="b">
        <f>Table1[[#This Row],[Building]]=Table1[[#This Row],[Column1]]</f>
        <v>1</v>
      </c>
      <c r="J1398" s="99" t="s">
        <v>75</v>
      </c>
      <c r="K1398" s="11">
        <v>1299</v>
      </c>
      <c r="L1398" s="129" t="s">
        <v>39</v>
      </c>
      <c r="M1398" s="110" t="s">
        <v>76</v>
      </c>
      <c r="N1398" s="124" t="s">
        <v>3007</v>
      </c>
      <c r="O1398" s="124" t="s">
        <v>3009</v>
      </c>
      <c r="P1398" s="109" t="s">
        <v>89</v>
      </c>
      <c r="Q1398" s="110" t="s">
        <v>37</v>
      </c>
      <c r="R1398" s="99" t="s">
        <v>80</v>
      </c>
      <c r="S1398" s="82" t="s">
        <v>96</v>
      </c>
      <c r="T1398" s="11" t="s">
        <v>627</v>
      </c>
      <c r="U1398" s="11" t="s">
        <v>628</v>
      </c>
      <c r="V1398" s="116" t="s">
        <v>1</v>
      </c>
      <c r="W1398" s="88"/>
      <c r="X1398" s="111">
        <v>46252</v>
      </c>
      <c r="Y1398" s="120" t="s">
        <v>1577</v>
      </c>
      <c r="Z1398" s="135" t="s">
        <v>2</v>
      </c>
      <c r="AA1398" s="135">
        <v>0</v>
      </c>
    </row>
    <row r="1399" spans="1:27" ht="13" customHeight="1">
      <c r="A1399" s="11">
        <v>1393</v>
      </c>
      <c r="B1399" s="82">
        <v>206926976</v>
      </c>
      <c r="C1399" s="11" t="s">
        <v>2957</v>
      </c>
      <c r="D1399" s="82" t="s">
        <v>2996</v>
      </c>
      <c r="E1399" s="109" t="s">
        <v>31</v>
      </c>
      <c r="F1399" s="109" t="s">
        <v>74</v>
      </c>
      <c r="G1399" s="99" t="s">
        <v>64</v>
      </c>
      <c r="H1399" s="109" t="str">
        <f>VLOOKUP(Table1[[#This Row],[Psoft No]],[1]Roster!$C$2:$H$1402,6,)</f>
        <v>AUH1</v>
      </c>
      <c r="I1399" s="109" t="b">
        <f>Table1[[#This Row],[Building]]=Table1[[#This Row],[Column1]]</f>
        <v>1</v>
      </c>
      <c r="J1399" s="99" t="s">
        <v>75</v>
      </c>
      <c r="K1399" s="11">
        <v>1299</v>
      </c>
      <c r="L1399" s="129" t="s">
        <v>39</v>
      </c>
      <c r="M1399" s="110" t="s">
        <v>76</v>
      </c>
      <c r="N1399" s="124" t="s">
        <v>3009</v>
      </c>
      <c r="O1399" s="124" t="s">
        <v>3010</v>
      </c>
      <c r="P1399" s="109" t="s">
        <v>89</v>
      </c>
      <c r="Q1399" s="110" t="s">
        <v>37</v>
      </c>
      <c r="R1399" s="99" t="s">
        <v>80</v>
      </c>
      <c r="S1399" s="82" t="s">
        <v>81</v>
      </c>
      <c r="T1399" s="99" t="s">
        <v>627</v>
      </c>
      <c r="U1399" s="99" t="s">
        <v>628</v>
      </c>
      <c r="V1399" s="116" t="s">
        <v>1</v>
      </c>
      <c r="W1399" s="88"/>
      <c r="X1399" s="111">
        <v>46252</v>
      </c>
      <c r="Y1399" s="120" t="s">
        <v>1576</v>
      </c>
      <c r="Z1399" s="135" t="s">
        <v>2</v>
      </c>
      <c r="AA1399" s="135">
        <v>0</v>
      </c>
    </row>
    <row r="1400" spans="1:27" ht="13" customHeight="1">
      <c r="A1400" s="11">
        <v>1394</v>
      </c>
      <c r="B1400" s="82">
        <v>206250613</v>
      </c>
      <c r="C1400" s="11" t="s">
        <v>2958</v>
      </c>
      <c r="D1400" s="82" t="s">
        <v>2997</v>
      </c>
      <c r="E1400" s="109" t="s">
        <v>31</v>
      </c>
      <c r="F1400" s="109" t="s">
        <v>74</v>
      </c>
      <c r="G1400" s="99" t="s">
        <v>64</v>
      </c>
      <c r="H1400" s="109" t="str">
        <f>VLOOKUP(Table1[[#This Row],[Psoft No]],[1]Roster!$C$2:$H$1402,6,)</f>
        <v>AUH1</v>
      </c>
      <c r="I1400" s="109" t="b">
        <f>Table1[[#This Row],[Building]]=Table1[[#This Row],[Column1]]</f>
        <v>1</v>
      </c>
      <c r="J1400" s="99" t="s">
        <v>75</v>
      </c>
      <c r="K1400" s="11">
        <v>1299</v>
      </c>
      <c r="L1400" s="129" t="s">
        <v>39</v>
      </c>
      <c r="M1400" s="110" t="s">
        <v>76</v>
      </c>
      <c r="N1400" s="124" t="s">
        <v>3010</v>
      </c>
      <c r="O1400" s="124" t="s">
        <v>3011</v>
      </c>
      <c r="P1400" s="109" t="s">
        <v>89</v>
      </c>
      <c r="Q1400" s="110" t="s">
        <v>37</v>
      </c>
      <c r="R1400" s="99" t="s">
        <v>80</v>
      </c>
      <c r="S1400" s="82" t="s">
        <v>81</v>
      </c>
      <c r="T1400" s="99" t="s">
        <v>627</v>
      </c>
      <c r="U1400" s="11" t="s">
        <v>628</v>
      </c>
      <c r="V1400" s="116" t="s">
        <v>1</v>
      </c>
      <c r="W1400" s="88"/>
      <c r="X1400" s="111">
        <v>46252</v>
      </c>
      <c r="Y1400" s="120" t="s">
        <v>1576</v>
      </c>
      <c r="Z1400" s="135" t="s">
        <v>2</v>
      </c>
      <c r="AA1400" s="135">
        <v>0</v>
      </c>
    </row>
    <row r="1401" spans="1:27" ht="13" customHeight="1">
      <c r="A1401" s="11">
        <v>1395</v>
      </c>
      <c r="B1401" s="82">
        <v>206890218</v>
      </c>
      <c r="C1401" s="11" t="s">
        <v>2959</v>
      </c>
      <c r="D1401" s="82" t="s">
        <v>2998</v>
      </c>
      <c r="E1401" s="109" t="s">
        <v>31</v>
      </c>
      <c r="F1401" s="109" t="s">
        <v>74</v>
      </c>
      <c r="G1401" s="99" t="s">
        <v>64</v>
      </c>
      <c r="H1401" s="109" t="str">
        <f>VLOOKUP(Table1[[#This Row],[Psoft No]],[1]Roster!$C$2:$H$1402,6,)</f>
        <v>AUH1</v>
      </c>
      <c r="I1401" s="109" t="b">
        <f>Table1[[#This Row],[Building]]=Table1[[#This Row],[Column1]]</f>
        <v>1</v>
      </c>
      <c r="J1401" s="99" t="s">
        <v>75</v>
      </c>
      <c r="K1401" s="11">
        <v>1299</v>
      </c>
      <c r="L1401" s="129" t="s">
        <v>39</v>
      </c>
      <c r="M1401" s="110" t="s">
        <v>76</v>
      </c>
      <c r="N1401" s="124" t="s">
        <v>3011</v>
      </c>
      <c r="O1401" s="124" t="s">
        <v>78</v>
      </c>
      <c r="P1401" s="109" t="s">
        <v>89</v>
      </c>
      <c r="Q1401" s="110" t="s">
        <v>37</v>
      </c>
      <c r="R1401" s="99" t="s">
        <v>80</v>
      </c>
      <c r="S1401" s="82" t="s">
        <v>96</v>
      </c>
      <c r="T1401" s="99" t="s">
        <v>627</v>
      </c>
      <c r="U1401" s="99" t="s">
        <v>628</v>
      </c>
      <c r="V1401" s="116" t="s">
        <v>1</v>
      </c>
      <c r="W1401" s="88"/>
      <c r="X1401" s="111">
        <v>46252</v>
      </c>
      <c r="Y1401" s="120" t="s">
        <v>1576</v>
      </c>
      <c r="Z1401" s="135" t="s">
        <v>2</v>
      </c>
      <c r="AA1401" s="135">
        <v>0</v>
      </c>
    </row>
    <row r="1402" spans="1:27" ht="13" customHeight="1">
      <c r="A1402" s="11">
        <v>1396</v>
      </c>
      <c r="B1402" s="82">
        <v>205853884</v>
      </c>
      <c r="C1402" s="11" t="s">
        <v>2960</v>
      </c>
      <c r="D1402" s="82" t="s">
        <v>2999</v>
      </c>
      <c r="E1402" s="109" t="s">
        <v>31</v>
      </c>
      <c r="F1402" s="109" t="s">
        <v>74</v>
      </c>
      <c r="G1402" s="99" t="s">
        <v>64</v>
      </c>
      <c r="H1402" s="109" t="str">
        <f>VLOOKUP(Table1[[#This Row],[Psoft No]],[1]Roster!$C$2:$H$1402,6,)</f>
        <v>AUH1</v>
      </c>
      <c r="I1402" s="109" t="b">
        <f>Table1[[#This Row],[Building]]=Table1[[#This Row],[Column1]]</f>
        <v>1</v>
      </c>
      <c r="J1402" s="99" t="s">
        <v>75</v>
      </c>
      <c r="K1402" s="11">
        <v>1299</v>
      </c>
      <c r="L1402" s="129" t="s">
        <v>39</v>
      </c>
      <c r="M1402" s="110" t="s">
        <v>76</v>
      </c>
      <c r="N1402" s="124" t="s">
        <v>3008</v>
      </c>
      <c r="O1402" s="124" t="s">
        <v>3005</v>
      </c>
      <c r="P1402" s="109" t="s">
        <v>89</v>
      </c>
      <c r="Q1402" s="110" t="s">
        <v>37</v>
      </c>
      <c r="R1402" s="99" t="s">
        <v>80</v>
      </c>
      <c r="S1402" s="82" t="s">
        <v>96</v>
      </c>
      <c r="T1402" s="11" t="s">
        <v>627</v>
      </c>
      <c r="U1402" s="11" t="s">
        <v>628</v>
      </c>
      <c r="V1402" s="116" t="s">
        <v>10</v>
      </c>
      <c r="W1402" s="88"/>
      <c r="X1402" s="111">
        <v>46252</v>
      </c>
      <c r="Y1402" s="120" t="s">
        <v>1577</v>
      </c>
      <c r="Z1402" s="135" t="s">
        <v>3023</v>
      </c>
      <c r="AA1402" s="135">
        <v>0</v>
      </c>
    </row>
    <row r="1403" spans="1:27" ht="13" customHeight="1">
      <c r="A1403" s="11">
        <v>1397</v>
      </c>
      <c r="B1403" s="82">
        <v>206886516</v>
      </c>
      <c r="C1403" s="11" t="s">
        <v>2961</v>
      </c>
      <c r="D1403" s="82" t="s">
        <v>3000</v>
      </c>
      <c r="E1403" s="109" t="s">
        <v>31</v>
      </c>
      <c r="F1403" s="109" t="s">
        <v>74</v>
      </c>
      <c r="G1403" s="99" t="s">
        <v>64</v>
      </c>
      <c r="H1403" s="109" t="str">
        <f>VLOOKUP(Table1[[#This Row],[Psoft No]],[1]Roster!$C$2:$H$1402,6,)</f>
        <v>AUH1</v>
      </c>
      <c r="I1403" s="109" t="b">
        <f>Table1[[#This Row],[Building]]=Table1[[#This Row],[Column1]]</f>
        <v>1</v>
      </c>
      <c r="J1403" s="99" t="s">
        <v>75</v>
      </c>
      <c r="K1403" s="11">
        <v>1299</v>
      </c>
      <c r="L1403" s="129" t="s">
        <v>39</v>
      </c>
      <c r="M1403" s="110" t="s">
        <v>76</v>
      </c>
      <c r="N1403" s="124" t="s">
        <v>3005</v>
      </c>
      <c r="O1403" s="124" t="s">
        <v>3006</v>
      </c>
      <c r="P1403" s="109" t="s">
        <v>89</v>
      </c>
      <c r="Q1403" s="110" t="s">
        <v>37</v>
      </c>
      <c r="R1403" s="99" t="s">
        <v>80</v>
      </c>
      <c r="S1403" s="82" t="s">
        <v>96</v>
      </c>
      <c r="T1403" s="99" t="s">
        <v>627</v>
      </c>
      <c r="U1403" s="99" t="s">
        <v>628</v>
      </c>
      <c r="V1403" s="116" t="s">
        <v>10</v>
      </c>
      <c r="W1403" s="88"/>
      <c r="X1403" s="111">
        <v>46252</v>
      </c>
      <c r="Y1403" s="120" t="s">
        <v>1576</v>
      </c>
      <c r="Z1403" s="135" t="s">
        <v>3023</v>
      </c>
      <c r="AA1403" s="135">
        <v>0</v>
      </c>
    </row>
    <row r="1404" spans="1:27" ht="13" customHeight="1">
      <c r="A1404" s="11">
        <v>1398</v>
      </c>
      <c r="B1404" s="82">
        <v>206239531</v>
      </c>
      <c r="C1404" s="11" t="s">
        <v>2962</v>
      </c>
      <c r="D1404" s="82" t="s">
        <v>3001</v>
      </c>
      <c r="E1404" s="109" t="s">
        <v>31</v>
      </c>
      <c r="F1404" s="109" t="s">
        <v>74</v>
      </c>
      <c r="G1404" s="99" t="s">
        <v>64</v>
      </c>
      <c r="H1404" s="109" t="str">
        <f>VLOOKUP(Table1[[#This Row],[Psoft No]],[1]Roster!$C$2:$H$1402,6,)</f>
        <v>AUH1</v>
      </c>
      <c r="I1404" s="109" t="b">
        <f>Table1[[#This Row],[Building]]=Table1[[#This Row],[Column1]]</f>
        <v>1</v>
      </c>
      <c r="J1404" s="99" t="s">
        <v>75</v>
      </c>
      <c r="K1404" s="11">
        <v>1299</v>
      </c>
      <c r="L1404" s="129" t="s">
        <v>39</v>
      </c>
      <c r="M1404" s="110" t="s">
        <v>76</v>
      </c>
      <c r="N1404" s="124" t="s">
        <v>3006</v>
      </c>
      <c r="O1404" s="124" t="s">
        <v>3007</v>
      </c>
      <c r="P1404" s="109" t="s">
        <v>89</v>
      </c>
      <c r="Q1404" s="110" t="s">
        <v>37</v>
      </c>
      <c r="R1404" s="99" t="s">
        <v>80</v>
      </c>
      <c r="S1404" s="82" t="s">
        <v>81</v>
      </c>
      <c r="T1404" s="99" t="s">
        <v>627</v>
      </c>
      <c r="U1404" s="99" t="s">
        <v>628</v>
      </c>
      <c r="V1404" s="116" t="s">
        <v>1</v>
      </c>
      <c r="W1404" s="88"/>
      <c r="X1404" s="111">
        <v>46252</v>
      </c>
      <c r="Y1404" s="120" t="s">
        <v>1576</v>
      </c>
      <c r="Z1404" s="135" t="s">
        <v>2</v>
      </c>
      <c r="AA1404" s="135">
        <v>0</v>
      </c>
    </row>
    <row r="1405" spans="1:27" ht="13" customHeight="1">
      <c r="A1405" s="11">
        <v>1399</v>
      </c>
      <c r="B1405" s="82">
        <v>205280267</v>
      </c>
      <c r="C1405" s="11" t="s">
        <v>2963</v>
      </c>
      <c r="D1405" s="82" t="s">
        <v>3002</v>
      </c>
      <c r="E1405" s="109" t="s">
        <v>31</v>
      </c>
      <c r="F1405" s="109" t="s">
        <v>74</v>
      </c>
      <c r="G1405" s="99" t="s">
        <v>64</v>
      </c>
      <c r="H1405" s="109" t="str">
        <f>VLOOKUP(Table1[[#This Row],[Psoft No]],[1]Roster!$C$2:$H$1402,6,)</f>
        <v>AUH1</v>
      </c>
      <c r="I1405" s="109" t="b">
        <f>Table1[[#This Row],[Building]]=Table1[[#This Row],[Column1]]</f>
        <v>1</v>
      </c>
      <c r="J1405" s="99" t="s">
        <v>75</v>
      </c>
      <c r="K1405" s="11">
        <v>1299</v>
      </c>
      <c r="L1405" s="129" t="s">
        <v>39</v>
      </c>
      <c r="M1405" s="110" t="s">
        <v>76</v>
      </c>
      <c r="N1405" s="124" t="s">
        <v>3007</v>
      </c>
      <c r="O1405" s="124" t="s">
        <v>3009</v>
      </c>
      <c r="P1405" s="109" t="s">
        <v>89</v>
      </c>
      <c r="Q1405" s="110" t="s">
        <v>37</v>
      </c>
      <c r="R1405" s="99" t="s">
        <v>80</v>
      </c>
      <c r="S1405" s="82" t="s">
        <v>96</v>
      </c>
      <c r="T1405" s="99" t="s">
        <v>627</v>
      </c>
      <c r="U1405" s="99" t="s">
        <v>628</v>
      </c>
      <c r="V1405" s="116" t="s">
        <v>1</v>
      </c>
      <c r="W1405" s="88"/>
      <c r="X1405" s="111">
        <v>46252</v>
      </c>
      <c r="Y1405" s="120" t="s">
        <v>1576</v>
      </c>
      <c r="Z1405" s="135" t="s">
        <v>2</v>
      </c>
      <c r="AA1405" s="135">
        <v>0</v>
      </c>
    </row>
    <row r="1406" spans="1:27" ht="13" customHeight="1">
      <c r="A1406" s="11">
        <v>1400</v>
      </c>
      <c r="B1406" s="126">
        <v>206192282</v>
      </c>
      <c r="C1406" s="117" t="s">
        <v>2964</v>
      </c>
      <c r="D1406" s="127" t="s">
        <v>3003</v>
      </c>
      <c r="E1406" s="109" t="s">
        <v>31</v>
      </c>
      <c r="F1406" s="109" t="s">
        <v>74</v>
      </c>
      <c r="G1406" s="99" t="s">
        <v>64</v>
      </c>
      <c r="H1406" s="109" t="str">
        <f>VLOOKUP(Table1[[#This Row],[Psoft No]],[1]Roster!$C$2:$H$1402,6,)</f>
        <v>AUH1</v>
      </c>
      <c r="I1406" s="109" t="b">
        <f>Table1[[#This Row],[Building]]=Table1[[#This Row],[Column1]]</f>
        <v>1</v>
      </c>
      <c r="J1406" s="99" t="s">
        <v>75</v>
      </c>
      <c r="K1406" s="99">
        <v>1299</v>
      </c>
      <c r="L1406" s="129" t="s">
        <v>39</v>
      </c>
      <c r="M1406" s="110" t="s">
        <v>76</v>
      </c>
      <c r="N1406" s="110" t="s">
        <v>3009</v>
      </c>
      <c r="O1406" s="110" t="s">
        <v>3010</v>
      </c>
      <c r="P1406" s="109" t="s">
        <v>89</v>
      </c>
      <c r="Q1406" s="110" t="s">
        <v>37</v>
      </c>
      <c r="R1406" s="99" t="s">
        <v>80</v>
      </c>
      <c r="S1406" s="128" t="s">
        <v>96</v>
      </c>
      <c r="T1406" s="99" t="s">
        <v>627</v>
      </c>
      <c r="U1406" s="99" t="s">
        <v>628</v>
      </c>
      <c r="V1406" s="116" t="s">
        <v>4</v>
      </c>
      <c r="W1406" s="88"/>
      <c r="X1406" s="111">
        <v>46252</v>
      </c>
      <c r="Y1406" s="120" t="s">
        <v>1577</v>
      </c>
      <c r="Z1406" s="135" t="s">
        <v>3023</v>
      </c>
      <c r="AA1406" s="135">
        <v>0</v>
      </c>
    </row>
    <row r="1407" spans="1:27" ht="13" customHeight="1">
      <c r="A1407" s="11">
        <v>1401</v>
      </c>
      <c r="B1407" s="126">
        <v>204869099</v>
      </c>
      <c r="C1407" s="117" t="s">
        <v>2965</v>
      </c>
      <c r="D1407" s="127" t="s">
        <v>3004</v>
      </c>
      <c r="E1407" s="109" t="s">
        <v>31</v>
      </c>
      <c r="F1407" s="109" t="s">
        <v>74</v>
      </c>
      <c r="G1407" s="99" t="s">
        <v>64</v>
      </c>
      <c r="H1407" s="109" t="str">
        <f>VLOOKUP(Table1[[#This Row],[Psoft No]],[1]Roster!$C$2:$H$1402,6,)</f>
        <v>AUH1</v>
      </c>
      <c r="I1407" s="109" t="b">
        <f>Table1[[#This Row],[Building]]=Table1[[#This Row],[Column1]]</f>
        <v>1</v>
      </c>
      <c r="J1407" s="99" t="s">
        <v>75</v>
      </c>
      <c r="K1407" s="99">
        <v>1299</v>
      </c>
      <c r="L1407" s="129" t="s">
        <v>39</v>
      </c>
      <c r="M1407" s="110" t="s">
        <v>76</v>
      </c>
      <c r="N1407" s="110" t="s">
        <v>3010</v>
      </c>
      <c r="O1407" s="110" t="s">
        <v>3011</v>
      </c>
      <c r="P1407" s="109" t="s">
        <v>89</v>
      </c>
      <c r="Q1407" s="110" t="s">
        <v>37</v>
      </c>
      <c r="R1407" s="99" t="s">
        <v>80</v>
      </c>
      <c r="S1407" s="128" t="s">
        <v>87</v>
      </c>
      <c r="T1407" s="99" t="s">
        <v>627</v>
      </c>
      <c r="U1407" s="99" t="s">
        <v>628</v>
      </c>
      <c r="V1407" s="116" t="s">
        <v>1</v>
      </c>
      <c r="W1407" s="88"/>
      <c r="X1407" s="111">
        <v>46252</v>
      </c>
      <c r="Y1407" s="120" t="s">
        <v>1577</v>
      </c>
      <c r="Z1407" s="135" t="s">
        <v>2</v>
      </c>
      <c r="AA1407" s="135">
        <v>0</v>
      </c>
    </row>
  </sheetData>
  <phoneticPr fontId="11" type="noConversion"/>
  <conditionalFormatting sqref="A6">
    <cfRule type="duplicateValues" dxfId="1224" priority="45818"/>
  </conditionalFormatting>
  <conditionalFormatting sqref="B1:B1367">
    <cfRule type="duplicateValues" dxfId="1223" priority="68539"/>
    <cfRule type="duplicateValues" dxfId="1222" priority="68540"/>
    <cfRule type="duplicateValues" dxfId="1221" priority="68541"/>
  </conditionalFormatting>
  <conditionalFormatting sqref="B6">
    <cfRule type="duplicateValues" dxfId="1220" priority="68212"/>
    <cfRule type="duplicateValues" dxfId="1219" priority="68213"/>
    <cfRule type="duplicateValues" dxfId="1218" priority="68214"/>
  </conditionalFormatting>
  <conditionalFormatting sqref="B7:B1367">
    <cfRule type="duplicateValues" dxfId="1217" priority="68545"/>
    <cfRule type="duplicateValues" dxfId="1216" priority="68546"/>
  </conditionalFormatting>
  <conditionalFormatting sqref="B7:B1407">
    <cfRule type="duplicateValues" dxfId="1215" priority="68591"/>
  </conditionalFormatting>
  <conditionalFormatting sqref="B591">
    <cfRule type="duplicateValues" dxfId="1214" priority="68215"/>
  </conditionalFormatting>
  <conditionalFormatting sqref="B971">
    <cfRule type="duplicateValues" dxfId="1213" priority="68216"/>
  </conditionalFormatting>
  <conditionalFormatting sqref="B972 B933:B970">
    <cfRule type="duplicateValues" dxfId="1212" priority="68217"/>
  </conditionalFormatting>
  <conditionalFormatting sqref="B973:B991">
    <cfRule type="duplicateValues" dxfId="1211" priority="68219"/>
  </conditionalFormatting>
  <conditionalFormatting sqref="B992">
    <cfRule type="duplicateValues" dxfId="1210" priority="68220"/>
    <cfRule type="duplicateValues" dxfId="1209" priority="68221"/>
    <cfRule type="duplicateValues" dxfId="1208" priority="68222"/>
  </conditionalFormatting>
  <conditionalFormatting sqref="B1005">
    <cfRule type="duplicateValues" dxfId="1207" priority="68223"/>
  </conditionalFormatting>
  <conditionalFormatting sqref="B1006:B1048 B993:B1004">
    <cfRule type="duplicateValues" dxfId="1206" priority="68224"/>
  </conditionalFormatting>
  <conditionalFormatting sqref="B1049:B1092">
    <cfRule type="duplicateValues" dxfId="1205" priority="68226"/>
  </conditionalFormatting>
  <conditionalFormatting sqref="B1093:B1114">
    <cfRule type="duplicateValues" dxfId="1204" priority="68227"/>
  </conditionalFormatting>
  <conditionalFormatting sqref="B1115:B1128">
    <cfRule type="duplicateValues" dxfId="1203" priority="68228"/>
  </conditionalFormatting>
  <conditionalFormatting sqref="B1129:B1135">
    <cfRule type="duplicateValues" dxfId="1202" priority="68229"/>
  </conditionalFormatting>
  <conditionalFormatting sqref="B1136:B1159">
    <cfRule type="duplicateValues" dxfId="1201" priority="68387"/>
  </conditionalFormatting>
  <conditionalFormatting sqref="B1160:B1169">
    <cfRule type="duplicateValues" dxfId="1200" priority="68231"/>
  </conditionalFormatting>
  <conditionalFormatting sqref="B1170:B1171">
    <cfRule type="duplicateValues" dxfId="1199" priority="68232"/>
  </conditionalFormatting>
  <conditionalFormatting sqref="B1172:B1199">
    <cfRule type="duplicateValues" dxfId="1198" priority="68233"/>
  </conditionalFormatting>
  <conditionalFormatting sqref="B1200">
    <cfRule type="duplicateValues" dxfId="1197" priority="68234"/>
  </conditionalFormatting>
  <conditionalFormatting sqref="B1201:B1219">
    <cfRule type="duplicateValues" dxfId="1196" priority="68235"/>
  </conditionalFormatting>
  <conditionalFormatting sqref="B1220:B1245">
    <cfRule type="duplicateValues" dxfId="1195" priority="68236"/>
  </conditionalFormatting>
  <conditionalFormatting sqref="B1246:B1247">
    <cfRule type="duplicateValues" dxfId="1194" priority="68237"/>
  </conditionalFormatting>
  <conditionalFormatting sqref="B1248:B1261">
    <cfRule type="duplicateValues" dxfId="1193" priority="68238"/>
    <cfRule type="duplicateValues" dxfId="1192" priority="68239"/>
    <cfRule type="duplicateValues" dxfId="1191" priority="68240"/>
    <cfRule type="duplicateValues" dxfId="1190" priority="68241"/>
    <cfRule type="duplicateValues" dxfId="1189" priority="68242"/>
    <cfRule type="duplicateValues" dxfId="1188" priority="68243"/>
    <cfRule type="duplicateValues" dxfId="1187" priority="68244"/>
    <cfRule type="duplicateValues" dxfId="1186" priority="68245"/>
  </conditionalFormatting>
  <conditionalFormatting sqref="B1262:B1263">
    <cfRule type="duplicateValues" dxfId="1185" priority="68246"/>
  </conditionalFormatting>
  <conditionalFormatting sqref="B1264">
    <cfRule type="duplicateValues" dxfId="1184" priority="68247"/>
  </conditionalFormatting>
  <conditionalFormatting sqref="B1265">
    <cfRule type="duplicateValues" dxfId="1183" priority="68248"/>
  </conditionalFormatting>
  <conditionalFormatting sqref="B1266:B1268">
    <cfRule type="duplicateValues" dxfId="1182" priority="68249"/>
  </conditionalFormatting>
  <conditionalFormatting sqref="B1273:B1318">
    <cfRule type="duplicateValues" dxfId="1181" priority="68250"/>
    <cfRule type="duplicateValues" dxfId="1180" priority="68251"/>
  </conditionalFormatting>
  <conditionalFormatting sqref="B1347:B1367 B1:B6">
    <cfRule type="duplicateValues" dxfId="1179" priority="68314"/>
  </conditionalFormatting>
  <conditionalFormatting sqref="B1349:B1367">
    <cfRule type="duplicateValues" dxfId="1178" priority="68316"/>
  </conditionalFormatting>
  <conditionalFormatting sqref="B1368:B1407">
    <cfRule type="duplicateValues" dxfId="1177" priority="68359"/>
    <cfRule type="duplicateValues" dxfId="1176" priority="68360"/>
    <cfRule type="duplicateValues" dxfId="1175" priority="68361"/>
    <cfRule type="duplicateValues" dxfId="1174" priority="68362"/>
    <cfRule type="duplicateValues" dxfId="1173" priority="68363"/>
  </conditionalFormatting>
  <conditionalFormatting sqref="B879:C889">
    <cfRule type="duplicateValues" dxfId="1172" priority="68262"/>
  </conditionalFormatting>
  <conditionalFormatting sqref="B890:C908">
    <cfRule type="duplicateValues" dxfId="1171" priority="68264"/>
    <cfRule type="duplicateValues" dxfId="1170" priority="68265"/>
  </conditionalFormatting>
  <conditionalFormatting sqref="B909:C925">
    <cfRule type="duplicateValues" dxfId="1169" priority="68268"/>
    <cfRule type="duplicateValues" dxfId="1168" priority="68269"/>
  </conditionalFormatting>
  <conditionalFormatting sqref="B926:C929">
    <cfRule type="duplicateValues" dxfId="1167" priority="68272"/>
    <cfRule type="duplicateValues" dxfId="1166" priority="68273"/>
  </conditionalFormatting>
  <conditionalFormatting sqref="B930:C932">
    <cfRule type="duplicateValues" dxfId="1165" priority="68276"/>
    <cfRule type="duplicateValues" dxfId="1164" priority="68277"/>
  </conditionalFormatting>
  <conditionalFormatting sqref="B1269:C1269">
    <cfRule type="duplicateValues" dxfId="1163" priority="68280"/>
    <cfRule type="duplicateValues" dxfId="1162" priority="68281"/>
  </conditionalFormatting>
  <conditionalFormatting sqref="B1270:C1270">
    <cfRule type="duplicateValues" dxfId="1161" priority="68284"/>
    <cfRule type="duplicateValues" dxfId="1160" priority="68285"/>
  </conditionalFormatting>
  <conditionalFormatting sqref="B1271:C1271">
    <cfRule type="duplicateValues" dxfId="1159" priority="68288"/>
    <cfRule type="duplicateValues" dxfId="1158" priority="68289"/>
  </conditionalFormatting>
  <conditionalFormatting sqref="B1272:C1272">
    <cfRule type="duplicateValues" dxfId="1157" priority="68292"/>
    <cfRule type="duplicateValues" dxfId="1156" priority="68293"/>
  </conditionalFormatting>
  <conditionalFormatting sqref="B1273:D1318">
    <cfRule type="duplicateValues" dxfId="1155" priority="68409"/>
    <cfRule type="duplicateValues" dxfId="1154" priority="68410"/>
  </conditionalFormatting>
  <conditionalFormatting sqref="C1">
    <cfRule type="duplicateValues" dxfId="1153" priority="13765"/>
    <cfRule type="duplicateValues" dxfId="1152" priority="13766"/>
    <cfRule type="duplicateValues" dxfId="1151" priority="13767"/>
    <cfRule type="duplicateValues" dxfId="1150" priority="13768"/>
    <cfRule type="duplicateValues" dxfId="1149" priority="13769"/>
    <cfRule type="duplicateValues" dxfId="1148" priority="13770"/>
    <cfRule type="duplicateValues" dxfId="1147" priority="13771"/>
    <cfRule type="duplicateValues" dxfId="1146" priority="13772"/>
    <cfRule type="duplicateValues" dxfId="1145" priority="13773"/>
    <cfRule type="duplicateValues" dxfId="1144" priority="13774"/>
    <cfRule type="duplicateValues" dxfId="1143" priority="13775"/>
    <cfRule type="duplicateValues" dxfId="1142" priority="13776"/>
    <cfRule type="duplicateValues" dxfId="1141" priority="13777"/>
    <cfRule type="duplicateValues" dxfId="1140" priority="13778"/>
    <cfRule type="duplicateValues" dxfId="1139" priority="13779"/>
    <cfRule type="duplicateValues" dxfId="1138" priority="13780"/>
    <cfRule type="duplicateValues" dxfId="1137" priority="13781"/>
  </conditionalFormatting>
  <conditionalFormatting sqref="C1:C1367">
    <cfRule type="duplicateValues" dxfId="1136" priority="68549"/>
    <cfRule type="duplicateValues" dxfId="1135" priority="68550"/>
  </conditionalFormatting>
  <conditionalFormatting sqref="C2:C6">
    <cfRule type="duplicateValues" dxfId="1134" priority="47824"/>
    <cfRule type="duplicateValues" dxfId="1133" priority="47825"/>
    <cfRule type="duplicateValues" dxfId="1132" priority="47826"/>
    <cfRule type="duplicateValues" dxfId="1131" priority="47827"/>
    <cfRule type="duplicateValues" dxfId="1130" priority="47918"/>
    <cfRule type="duplicateValues" dxfId="1129" priority="47919"/>
    <cfRule type="duplicateValues" dxfId="1128" priority="47920"/>
    <cfRule type="duplicateValues" dxfId="1127" priority="47921"/>
    <cfRule type="duplicateValues" dxfId="1126" priority="47922"/>
    <cfRule type="duplicateValues" dxfId="1125" priority="47923"/>
    <cfRule type="duplicateValues" dxfId="1124" priority="47924"/>
    <cfRule type="duplicateValues" dxfId="1123" priority="47925"/>
    <cfRule type="duplicateValues" dxfId="1122" priority="47935"/>
    <cfRule type="duplicateValues" dxfId="1121" priority="48930"/>
    <cfRule type="duplicateValues" dxfId="1120" priority="66261"/>
  </conditionalFormatting>
  <conditionalFormatting sqref="C6">
    <cfRule type="duplicateValues" dxfId="1119" priority="47828"/>
    <cfRule type="duplicateValues" dxfId="1118" priority="47829"/>
    <cfRule type="duplicateValues" dxfId="1117" priority="47830"/>
  </conditionalFormatting>
  <conditionalFormatting sqref="C7:C1367">
    <cfRule type="duplicateValues" dxfId="1116" priority="68553"/>
    <cfRule type="duplicateValues" dxfId="1115" priority="68554"/>
  </conditionalFormatting>
  <conditionalFormatting sqref="C7:C1407">
    <cfRule type="duplicateValues" dxfId="1114" priority="68592"/>
  </conditionalFormatting>
  <conditionalFormatting sqref="C933:C972">
    <cfRule type="duplicateValues" dxfId="1113" priority="1378"/>
    <cfRule type="duplicateValues" dxfId="1112" priority="1379"/>
  </conditionalFormatting>
  <conditionalFormatting sqref="C973:C991">
    <cfRule type="duplicateValues" dxfId="1111" priority="1374"/>
    <cfRule type="duplicateValues" dxfId="1110" priority="1375"/>
    <cfRule type="duplicateValues" dxfId="1109" priority="1376"/>
    <cfRule type="duplicateValues" dxfId="1108" priority="1377"/>
  </conditionalFormatting>
  <conditionalFormatting sqref="C992">
    <cfRule type="duplicateValues" dxfId="1107" priority="1372"/>
    <cfRule type="duplicateValues" dxfId="1106" priority="1373"/>
  </conditionalFormatting>
  <conditionalFormatting sqref="C995">
    <cfRule type="duplicateValues" dxfId="1105" priority="1368"/>
    <cfRule type="duplicateValues" dxfId="1104" priority="1369"/>
    <cfRule type="duplicateValues" dxfId="1103" priority="1370"/>
    <cfRule type="duplicateValues" dxfId="1102" priority="1371"/>
  </conditionalFormatting>
  <conditionalFormatting sqref="C1005">
    <cfRule type="duplicateValues" dxfId="1101" priority="1364"/>
    <cfRule type="duplicateValues" dxfId="1100" priority="1365"/>
    <cfRule type="duplicateValues" dxfId="1099" priority="1366"/>
    <cfRule type="duplicateValues" dxfId="1098" priority="1367"/>
  </conditionalFormatting>
  <conditionalFormatting sqref="C1008">
    <cfRule type="duplicateValues" dxfId="1097" priority="1360"/>
    <cfRule type="duplicateValues" dxfId="1096" priority="1361"/>
    <cfRule type="duplicateValues" dxfId="1095" priority="1362"/>
    <cfRule type="duplicateValues" dxfId="1094" priority="1363"/>
  </conditionalFormatting>
  <conditionalFormatting sqref="C1011">
    <cfRule type="duplicateValues" dxfId="1093" priority="1356"/>
    <cfRule type="duplicateValues" dxfId="1092" priority="1357"/>
    <cfRule type="duplicateValues" dxfId="1091" priority="1358"/>
    <cfRule type="duplicateValues" dxfId="1090" priority="1359"/>
  </conditionalFormatting>
  <conditionalFormatting sqref="C1017">
    <cfRule type="duplicateValues" dxfId="1089" priority="1352"/>
    <cfRule type="duplicateValues" dxfId="1088" priority="1353"/>
    <cfRule type="duplicateValues" dxfId="1087" priority="1354"/>
    <cfRule type="duplicateValues" dxfId="1086" priority="1355"/>
  </conditionalFormatting>
  <conditionalFormatting sqref="C1018:C1022 C1006:C1007 C993:C994 C1012:C1016 C1009:C1010 C996:C1004">
    <cfRule type="duplicateValues" dxfId="1085" priority="1348"/>
    <cfRule type="duplicateValues" dxfId="1084" priority="1349"/>
    <cfRule type="duplicateValues" dxfId="1083" priority="1350"/>
    <cfRule type="duplicateValues" dxfId="1082" priority="1351"/>
  </conditionalFormatting>
  <conditionalFormatting sqref="C1252">
    <cfRule type="duplicateValues" dxfId="1081" priority="1341"/>
    <cfRule type="duplicateValues" dxfId="1080" priority="1342"/>
    <cfRule type="duplicateValues" dxfId="1079" priority="1343"/>
    <cfRule type="duplicateValues" dxfId="1078" priority="1344"/>
    <cfRule type="duplicateValues" dxfId="1077" priority="1345"/>
    <cfRule type="duplicateValues" dxfId="1076" priority="1346"/>
    <cfRule type="duplicateValues" dxfId="1075" priority="1347"/>
  </conditionalFormatting>
  <conditionalFormatting sqref="C1253:C1261 C7:C1251">
    <cfRule type="duplicateValues" dxfId="1074" priority="1338"/>
    <cfRule type="duplicateValues" dxfId="1073" priority="1339"/>
    <cfRule type="duplicateValues" dxfId="1072" priority="1340"/>
  </conditionalFormatting>
  <conditionalFormatting sqref="C1254:C1261 C7:C932">
    <cfRule type="duplicateValues" dxfId="1071" priority="1337"/>
  </conditionalFormatting>
  <conditionalFormatting sqref="C1254:C1261 C7:C972">
    <cfRule type="duplicateValues" dxfId="1070" priority="1335"/>
    <cfRule type="duplicateValues" dxfId="1069" priority="1336"/>
  </conditionalFormatting>
  <conditionalFormatting sqref="C1254:C1261">
    <cfRule type="duplicateValues" dxfId="1068" priority="1333"/>
    <cfRule type="duplicateValues" dxfId="1067" priority="1334"/>
  </conditionalFormatting>
  <conditionalFormatting sqref="C1262:C1263">
    <cfRule type="duplicateValues" dxfId="1066" priority="1325"/>
    <cfRule type="duplicateValues" dxfId="1065" priority="1326"/>
    <cfRule type="duplicateValues" dxfId="1064" priority="1327"/>
    <cfRule type="duplicateValues" dxfId="1063" priority="1328"/>
    <cfRule type="duplicateValues" dxfId="1062" priority="1329"/>
    <cfRule type="duplicateValues" dxfId="1061" priority="1330"/>
    <cfRule type="duplicateValues" dxfId="1060" priority="1331"/>
    <cfRule type="duplicateValues" dxfId="1059" priority="1332"/>
  </conditionalFormatting>
  <conditionalFormatting sqref="C1264">
    <cfRule type="duplicateValues" dxfId="1058" priority="1317"/>
    <cfRule type="duplicateValues" dxfId="1057" priority="1318"/>
    <cfRule type="duplicateValues" dxfId="1056" priority="1319"/>
    <cfRule type="duplicateValues" dxfId="1055" priority="1320"/>
    <cfRule type="duplicateValues" dxfId="1054" priority="1321"/>
    <cfRule type="duplicateValues" dxfId="1053" priority="1322"/>
    <cfRule type="duplicateValues" dxfId="1052" priority="1323"/>
    <cfRule type="duplicateValues" dxfId="1051" priority="1324"/>
  </conditionalFormatting>
  <conditionalFormatting sqref="C1265">
    <cfRule type="duplicateValues" dxfId="1050" priority="1309"/>
    <cfRule type="duplicateValues" dxfId="1049" priority="1310"/>
    <cfRule type="duplicateValues" dxfId="1048" priority="1311"/>
    <cfRule type="duplicateValues" dxfId="1047" priority="1312"/>
    <cfRule type="duplicateValues" dxfId="1046" priority="1313"/>
    <cfRule type="duplicateValues" dxfId="1045" priority="1314"/>
    <cfRule type="duplicateValues" dxfId="1044" priority="1315"/>
    <cfRule type="duplicateValues" dxfId="1043" priority="1316"/>
  </conditionalFormatting>
  <conditionalFormatting sqref="C1266:C1268">
    <cfRule type="duplicateValues" dxfId="1042" priority="1301"/>
    <cfRule type="duplicateValues" dxfId="1041" priority="1302"/>
    <cfRule type="duplicateValues" dxfId="1040" priority="1303"/>
    <cfRule type="duplicateValues" dxfId="1039" priority="1304"/>
    <cfRule type="duplicateValues" dxfId="1038" priority="1305"/>
    <cfRule type="duplicateValues" dxfId="1037" priority="1306"/>
    <cfRule type="duplicateValues" dxfId="1036" priority="1307"/>
    <cfRule type="duplicateValues" dxfId="1035" priority="1308"/>
  </conditionalFormatting>
  <conditionalFormatting sqref="C1269">
    <cfRule type="duplicateValues" dxfId="1034" priority="1295"/>
    <cfRule type="duplicateValues" dxfId="1033" priority="1296"/>
    <cfRule type="duplicateValues" dxfId="1032" priority="1297"/>
    <cfRule type="duplicateValues" dxfId="1031" priority="1298"/>
    <cfRule type="duplicateValues" dxfId="1030" priority="1299"/>
    <cfRule type="duplicateValues" dxfId="1029" priority="1300"/>
  </conditionalFormatting>
  <conditionalFormatting sqref="C1270:C1318">
    <cfRule type="duplicateValues" dxfId="1028" priority="1289"/>
    <cfRule type="duplicateValues" dxfId="1027" priority="1290"/>
    <cfRule type="duplicateValues" dxfId="1026" priority="1291"/>
    <cfRule type="duplicateValues" dxfId="1025" priority="1292"/>
    <cfRule type="duplicateValues" dxfId="1024" priority="1293"/>
    <cfRule type="duplicateValues" dxfId="1023" priority="1294"/>
  </conditionalFormatting>
  <conditionalFormatting sqref="C1273:C1318">
    <cfRule type="duplicateValues" dxfId="1022" priority="1288"/>
  </conditionalFormatting>
  <conditionalFormatting sqref="C1347:C1367 C1:C6">
    <cfRule type="duplicateValues" dxfId="1021" priority="68304"/>
  </conditionalFormatting>
  <conditionalFormatting sqref="C1347:C1367">
    <cfRule type="duplicateValues" dxfId="1020" priority="68306"/>
    <cfRule type="duplicateValues" dxfId="1019" priority="68307"/>
    <cfRule type="duplicateValues" dxfId="1018" priority="68308"/>
    <cfRule type="duplicateValues" dxfId="1017" priority="68309"/>
  </conditionalFormatting>
  <conditionalFormatting sqref="C1349:C1367">
    <cfRule type="duplicateValues" dxfId="1016" priority="68310"/>
  </conditionalFormatting>
  <conditionalFormatting sqref="C1368:C1407">
    <cfRule type="duplicateValues" dxfId="1015" priority="68369"/>
    <cfRule type="duplicateValues" dxfId="1014" priority="68370"/>
    <cfRule type="duplicateValues" dxfId="1013" priority="68371"/>
    <cfRule type="duplicateValues" dxfId="1012" priority="68372"/>
    <cfRule type="duplicateValues" dxfId="1011" priority="68373"/>
    <cfRule type="duplicateValues" dxfId="1010" priority="68374"/>
    <cfRule type="duplicateValues" dxfId="1009" priority="68375"/>
    <cfRule type="duplicateValues" dxfId="1008" priority="68376"/>
  </conditionalFormatting>
  <conditionalFormatting sqref="C6:D6">
    <cfRule type="duplicateValues" dxfId="1007" priority="68411"/>
  </conditionalFormatting>
  <conditionalFormatting sqref="D1 C2:D6 B1:B6">
    <cfRule type="duplicateValues" dxfId="1006" priority="68412"/>
  </conditionalFormatting>
  <conditionalFormatting sqref="D6">
    <cfRule type="duplicateValues" dxfId="1005" priority="68415"/>
  </conditionalFormatting>
  <conditionalFormatting sqref="D7:D1250">
    <cfRule type="duplicateValues" dxfId="1004" priority="68563"/>
  </conditionalFormatting>
  <conditionalFormatting sqref="D622:D826 C622:C889 B592:B889 B512:B590 C512:D621 B7:D511">
    <cfRule type="duplicateValues" dxfId="1003" priority="68416"/>
  </conditionalFormatting>
  <conditionalFormatting sqref="D827:D972">
    <cfRule type="duplicateValues" dxfId="1002" priority="68422"/>
  </conditionalFormatting>
  <conditionalFormatting sqref="D973:D991">
    <cfRule type="duplicateValues" dxfId="1001" priority="68423"/>
  </conditionalFormatting>
  <conditionalFormatting sqref="D1262:D1263">
    <cfRule type="duplicateValues" dxfId="1000" priority="68424"/>
    <cfRule type="duplicateValues" dxfId="999" priority="68425"/>
    <cfRule type="duplicateValues" dxfId="998" priority="68426"/>
    <cfRule type="duplicateValues" dxfId="997" priority="68427"/>
    <cfRule type="duplicateValues" dxfId="996" priority="68428"/>
    <cfRule type="duplicateValues" dxfId="995" priority="68429"/>
    <cfRule type="duplicateValues" dxfId="994" priority="68430"/>
    <cfRule type="duplicateValues" dxfId="993" priority="68431"/>
  </conditionalFormatting>
  <conditionalFormatting sqref="D1264">
    <cfRule type="duplicateValues" dxfId="992" priority="68432"/>
    <cfRule type="duplicateValues" dxfId="991" priority="68433"/>
    <cfRule type="duplicateValues" dxfId="990" priority="68434"/>
    <cfRule type="duplicateValues" dxfId="989" priority="68435"/>
    <cfRule type="duplicateValues" dxfId="988" priority="68436"/>
    <cfRule type="duplicateValues" dxfId="987" priority="68437"/>
    <cfRule type="duplicateValues" dxfId="986" priority="68438"/>
    <cfRule type="duplicateValues" dxfId="985" priority="68439"/>
  </conditionalFormatting>
  <conditionalFormatting sqref="D1265">
    <cfRule type="duplicateValues" dxfId="984" priority="68440"/>
    <cfRule type="duplicateValues" dxfId="983" priority="68441"/>
    <cfRule type="duplicateValues" dxfId="982" priority="68442"/>
    <cfRule type="duplicateValues" dxfId="981" priority="68443"/>
    <cfRule type="duplicateValues" dxfId="980" priority="68444"/>
    <cfRule type="duplicateValues" dxfId="979" priority="68445"/>
    <cfRule type="duplicateValues" dxfId="978" priority="68446"/>
    <cfRule type="duplicateValues" dxfId="977" priority="68447"/>
  </conditionalFormatting>
  <conditionalFormatting sqref="D1266:D1268">
    <cfRule type="duplicateValues" dxfId="976" priority="68448"/>
    <cfRule type="duplicateValues" dxfId="975" priority="68449"/>
    <cfRule type="duplicateValues" dxfId="974" priority="68450"/>
    <cfRule type="duplicateValues" dxfId="973" priority="68451"/>
    <cfRule type="duplicateValues" dxfId="972" priority="68452"/>
    <cfRule type="duplicateValues" dxfId="971" priority="68453"/>
    <cfRule type="duplicateValues" dxfId="970" priority="68454"/>
    <cfRule type="duplicateValues" dxfId="969" priority="68455"/>
  </conditionalFormatting>
  <conditionalFormatting sqref="D1269">
    <cfRule type="duplicateValues" dxfId="968" priority="68456"/>
    <cfRule type="duplicateValues" dxfId="967" priority="68457"/>
  </conditionalFormatting>
  <conditionalFormatting sqref="D1270:D1318">
    <cfRule type="duplicateValues" dxfId="966" priority="68458"/>
    <cfRule type="duplicateValues" dxfId="965" priority="68459"/>
  </conditionalFormatting>
  <conditionalFormatting sqref="D1273:D1318">
    <cfRule type="duplicateValues" dxfId="964" priority="68460"/>
    <cfRule type="duplicateValues" dxfId="963" priority="68461"/>
    <cfRule type="duplicateValues" dxfId="962" priority="68462"/>
    <cfRule type="duplicateValues" dxfId="961" priority="68463"/>
    <cfRule type="duplicateValues" dxfId="960" priority="68464"/>
    <cfRule type="duplicateValues" dxfId="959" priority="68465"/>
    <cfRule type="duplicateValues" dxfId="958" priority="68466"/>
    <cfRule type="duplicateValues" dxfId="957" priority="68467"/>
  </conditionalFormatting>
  <conditionalFormatting sqref="U1:U3 W13:W41 V190:W190 W291:W293 V515:W515 W548 V667:W667 W749:W750 V769:W770 V772:W773 W783:W784 W786 V803:V934 W813:W814 W825:W826 W884 V885:W885 V937:V945 V947:V955 V957:V998 W960:W961 W965 W996:W998 V1000:V1042 W1024:W1025 V1044:V1131 W1072:W1073 W1091:W1092 W1111:W1112 V1133:V1150 W1150:W1151 V1152:W1152 V1152:V1168 W1162 V1170:V1202 W1182:W1183 V1204:V1220 V1222:V1223 V1225:V1227 V1229:V1230 V1232:V1235 V1237 V1242 V1245:V1255 V1257:V1262 V1264:V1266 W1265:W1266 V1268:V1279 V1281:V1313 V1316:V1048576 W1319 V1320:W1320 W1343:W1344 V48:W48 V61:W61 V324:W324 V517:W517 V600:W600 V775:W775 V1043:W1043 V1086:W1086 V90:W90 V92:W92 V105:W105 V202:W202 V337:W337 V586:W586 V936:W936 W1221 W1227:W1228 V1285:W1285 W1315 V7:V47 V49:V60 V62:V89 V91:V323 V325:V337 V341:V343 V345 V349 V354:V355 V358 V360:V361 V364 V366 V375:V376 V381 V388 V396 V398 V402 V404 V408:V413 V422:V423 V425 V428 V431:V432 V435:V436 V438 V440 V442 V444:V446 V448:V516 V518:V564 V566:V573 V575:V610 V613:V617 V620 V622:V627 V629:V630 V632 V635:V637 V640:V641 V645:V647 V649 V654:V655 V660 V662:V664 V667:V670 V672 V675 V678:V681 V684 V688 V695:V697 V702:V703 V705 V707:V710 V712:V716 V718:V719 V721:V725 V727 V731:V734 V737:V738 V740 V743:V748 V750:V751 V753:V756 V758 V760 V763:V765 V767:V770 V773:V798 V800:V801 V1239 V1317:W1317 V1333:W1333 V1362:W1362 V1369:W1369 V1388:W1388">
    <cfRule type="containsText" dxfId="956" priority="45796" operator="containsText" text="P">
      <formula>NOT(ISERROR(SEARCH("P",U1)))</formula>
    </cfRule>
  </conditionalFormatting>
  <conditionalFormatting sqref="U1:U3 W13:W41 W190 W291:W293 W515 W548 W667 W749:W750 W769:W770 W772:W773 W783:W784 W786 W813:W814 V815:V825 W825:W826 V827:V844 V846:V864 V876:V884 W884:W885 V886:V887 V891:V896 V898:V901 V903:V904 V906:V928 V930:V931 V933:V934 V937:V945 V947:V955 V957:V960 W960:W961 V962:V966 W965 V968:V973 V975:V984 V986:V995 W996:W998 V1002:V1010 V1013:V1014 V1016:V1020 V1022:V1023 W1024:W1025 V1026:V1033 V1037 V1041:V1042 V1045:V1050 V1052:V1058 V1060:V1065 V1068:V1072 W1072:W1073 V1074:V1076 V1078:V1085 V1087:V1091 W1091:W1092 V1098:V1111 W1111:W1112 V1113:V1116 V1118:V1120 V1122:V1131 V1133:V1143 V1145:V1147 V1149:V1150 W1150:W1152 V1153:V1157 V1159:V1164 W1162 V1166:V1168 V1170:V1174 V1176:V1181 W1182:W1183 V1184:V1185 V1187:V1202 V1204:V1205 V1207 V1209 V1213:V1215 V1217:V1220 V1222:V1223 V1225:V1226 V1229:V1230 V1232 V1234:V1235 V1237 V1242 V1246:V1255 V1257 V1259:V1262 V1264 W1265:W1266 V1268:V1277 V1279 V1281:V1284 V1287:V1302 V1304:V1306 V1308:V1313 V1316 V1318:V1319 W1319:W1320 V1321:V1332 V1334:V1343 W1343:W1344 V1345:V1361 V1363:V1368 V1370:V1376 V1378:V1382 V1384:V1387 V1389:V1399 V1401:V1048576">
    <cfRule type="containsText" dxfId="955" priority="45793" operator="containsText" text="SL">
      <formula>NOT(ISERROR(SEARCH("SL",U1)))</formula>
    </cfRule>
    <cfRule type="containsText" dxfId="954" priority="45794" operator="containsText" text="EL">
      <formula>NOT(ISERROR(SEARCH("EL",U1)))</formula>
    </cfRule>
    <cfRule type="containsText" dxfId="953" priority="45795" operator="containsText" text="PL">
      <formula>NOT(ISERROR(SEARCH("PL",U1)))</formula>
    </cfRule>
  </conditionalFormatting>
  <conditionalFormatting sqref="U1:U3 W13:W41 W291:W293 W783:W784 W786 W996:W998 V1345:V1361 V1363:V1368 V1370:V1376 V1378:V1382 V1384:V1387 V1389:V1399 V1401:V1048576 W548 W667 W749:W750 W769:W770 W772:W773 W825:W826 W884:W885 W960:W961 W1072:W1073 W1091:W1092 W1111:W1112 W1150:W1152 W1162 W1182:W1183 W1265:W1266 W1319:W1320 W1343:W1344 W190 W515 W813:W814 W965 W1024:W1025 V815:V825 V827:V844 V846:V864 V876:V884 V886:V887 V891:V896 V898:V901 V903:V904 V906:V928 V930:V931 V933:V934 V937:V945 V947:V955 V957:V960 V962:V966 V968:V973 V975:V984 V986:V995 V1002:V1010 V1013:V1014 V1016:V1020 V1022:V1023 V1026:V1033 V1037 V1041:V1042 V1045:V1050 V1052:V1058 V1060:V1065 V1068:V1072 V1074:V1076 V1078:V1085 V1087:V1091 V1098:V1111 V1113:V1116 V1118:V1120 V1122:V1131 V1133:V1143 V1145:V1147 V1149:V1150 V1153:V1157 V1159:V1168 V1170:V1181 V1184:V1185 V1187:V1202 V1204:V1205 V1207 V1209 V1213:V1215 V1217:V1220 V1222:V1223 V1225:V1226 V1229:V1230 V1232 V1234:V1235 V1237 V1242 V1246:V1255 V1257 V1259:V1262 V1264 V1268:V1277 V1279 V1281:V1284 V1287:V1302 V1304:V1306 V1308:V1313 V1316 V1318:V1319 V1321:V1332 V1334:V1343">
    <cfRule type="containsText" dxfId="952" priority="45792" operator="containsText" text="AB">
      <formula>NOT(ISERROR(SEARCH("AB",U1)))</formula>
    </cfRule>
  </conditionalFormatting>
  <conditionalFormatting sqref="V7:V337 V341:V343 V345 V349 V354:V355 V358 V360:V361 V364 V366 V375:V376 V381 V388 V396 V398 V402 V404 V408:V413 V422:V423 V425 V428 V431:V432 V435:V436 V438 V440 V442 V444:V446 V448:V564 V566:V573 V575:V610 V613:V617 V620 V622:V627 V629:V630 V632 V635:V637 V640:V641 V645:V647 V649 V654:V655 V660 V662:V664 V668:V670 V672 V675 V678:V681 V684 V688 V695:V697 V702:V703 V705 V707:V710 V712:V716 V718:V719 V721:V725 V727 V731:V734 V737:V738 V740 V743:V748 V750:V751 V753:V756 V758 V760 V763:V765 V767:V770 V772:V798 V800:V801 V803:V934 V936:V945 V947:V955 V957:V998 V1000:V1131 V1133:V1150 V1152:V1168 V1170:V1202 V1204:V1220 V1222:V1223 V1225:V1227 V1229:V1230 V1232:V1235 V1237 V1239 V1242 V1245:V1255 V1257:V1262 V1264:V1266 V1268:V1279 V1281:V1313 V1316:V1407">
    <cfRule type="containsText" dxfId="951" priority="696" operator="containsText" text="SL">
      <formula>NOT(ISERROR(SEARCH("SL",V7)))</formula>
    </cfRule>
    <cfRule type="containsText" dxfId="950" priority="697" operator="containsText" text="EL">
      <formula>NOT(ISERROR(SEARCH("EL",V7)))</formula>
    </cfRule>
    <cfRule type="containsText" dxfId="949" priority="698" operator="containsText" text="PL">
      <formula>NOT(ISERROR(SEARCH("PL",V7)))</formula>
    </cfRule>
  </conditionalFormatting>
  <conditionalFormatting sqref="V7:V447 V565:V667 V676:V766">
    <cfRule type="containsText" dxfId="948" priority="1" operator="containsText" text="OFF">
      <formula>NOT(ISERROR(SEARCH("OFF",V7)))</formula>
    </cfRule>
    <cfRule type="containsText" dxfId="947" priority="2" operator="containsText" text="ABWI">
      <formula>NOT(ISERROR(SEARCH("ABWI",V7)))</formula>
    </cfRule>
    <cfRule type="containsText" dxfId="946" priority="3" operator="containsText" text="AB">
      <formula>NOT(ISERROR(SEARCH("AB",V7)))</formula>
    </cfRule>
  </conditionalFormatting>
  <conditionalFormatting sqref="V338 V353 V357 V359 V363 V372:V374 V382:V384 V390 V394 V403 V416:V420 V433:V434 V437 V441 V618:V619 V621 V634 V638 V648 V650 V652 V658:V659 V661 V667 V673:V674 V682:V683 V686:V687 V690 V700 V704 V706 V717 V720 V726 V730 V741:V742 V749 V752 V757 V761:V762 V771 V802 V999">
    <cfRule type="containsText" dxfId="945" priority="145" operator="containsText" text="SL">
      <formula>NOT(ISERROR(SEARCH("SL",V338)))</formula>
    </cfRule>
    <cfRule type="containsText" dxfId="944" priority="146" operator="containsText" text="EL">
      <formula>NOT(ISERROR(SEARCH("EL",V338)))</formula>
    </cfRule>
    <cfRule type="containsText" dxfId="943" priority="147" operator="containsText" text="PL">
      <formula>NOT(ISERROR(SEARCH("PL",V338)))</formula>
    </cfRule>
  </conditionalFormatting>
  <conditionalFormatting sqref="V338 V353 V357 V359 V363 V372:V374 V382:V384 V390 V394 V403 V416:V420 V433:V434 V437 V441 V618:V619 V621 V634 V638 V648 V650 V652 V658:V659 V661 V673:V674 V682:V683 V686:V687 V690 V700 V704 V706 V717 V720 V726 V730 V741:V742 V749 V752 V757 V761:V762 V771 V802 V999">
    <cfRule type="containsText" dxfId="942" priority="148" operator="containsText" text="P">
      <formula>NOT(ISERROR(SEARCH("P",V338)))</formula>
    </cfRule>
  </conditionalFormatting>
  <conditionalFormatting sqref="V339 V346 V386 V628 V642 V657 V689 V692:V694 V698 V711 V729 V736 V759">
    <cfRule type="containsText" dxfId="941" priority="152" operator="containsText" text="SL">
      <formula>NOT(ISERROR(SEARCH("SL",V339)))</formula>
    </cfRule>
    <cfRule type="containsText" dxfId="940" priority="153" operator="containsText" text="EL">
      <formula>NOT(ISERROR(SEARCH("EL",V339)))</formula>
    </cfRule>
    <cfRule type="containsText" dxfId="939" priority="154" operator="containsText" text="PL">
      <formula>NOT(ISERROR(SEARCH("PL",V339)))</formula>
    </cfRule>
    <cfRule type="containsText" dxfId="938" priority="155" operator="containsText" text="P">
      <formula>NOT(ISERROR(SEARCH("P",V339)))</formula>
    </cfRule>
  </conditionalFormatting>
  <conditionalFormatting sqref="V340 V344 V347:V348 V350:V351 V356 V362 V367:V371 V377:V380 V385 V387 V389 V392:V393 V395 V397 V399 V401 V406:V407 V415 V424 V426 V429:V430 V443 V447 V643 V651 V666 V691 V728 V735 V739">
    <cfRule type="containsText" dxfId="937" priority="4" operator="containsText" text="SL">
      <formula>NOT(ISERROR(SEARCH("SL",V340)))</formula>
    </cfRule>
    <cfRule type="containsText" dxfId="936" priority="5" operator="containsText" text="EL">
      <formula>NOT(ISERROR(SEARCH("EL",V340)))</formula>
    </cfRule>
    <cfRule type="containsText" dxfId="935" priority="6" operator="containsText" text="PL">
      <formula>NOT(ISERROR(SEARCH("PL",V340)))</formula>
    </cfRule>
    <cfRule type="containsText" dxfId="934" priority="7" operator="containsText" text="P">
      <formula>NOT(ISERROR(SEARCH("P",V340)))</formula>
    </cfRule>
  </conditionalFormatting>
  <conditionalFormatting sqref="V352 V391 V400 V405 V414 V427 V439 V565 V631 V633 V644 V653 V656 V665 V667 V676 V699 V701 V766 V1235:V1236 V1240">
    <cfRule type="containsText" dxfId="933" priority="18" operator="containsText" text="SL">
      <formula>NOT(ISERROR(SEARCH("SL",V352)))</formula>
    </cfRule>
    <cfRule type="containsText" dxfId="932" priority="19" operator="containsText" text="EL">
      <formula>NOT(ISERROR(SEARCH("EL",V352)))</formula>
    </cfRule>
    <cfRule type="containsText" dxfId="931" priority="20" operator="containsText" text="PL">
      <formula>NOT(ISERROR(SEARCH("PL",V352)))</formula>
    </cfRule>
  </conditionalFormatting>
  <conditionalFormatting sqref="V352 V391 V400 V405 V414 V427 V439 V565 V631 V633 V644 V653 V656 V665 V676 V699 V701 V766 V1235:V1236 V1240">
    <cfRule type="containsText" dxfId="930" priority="21" operator="containsText" text="P">
      <formula>NOT(ISERROR(SEARCH("P",V352)))</formula>
    </cfRule>
  </conditionalFormatting>
  <conditionalFormatting sqref="V365 V671 V984 V1010 V1025:V1033 V1037 V1041 V1044 V1077:V1085 V1087 V1092 V1097:V1098 V1203:V1205 V1207 V1209 V1213 V1215 V1222:V1226 V1237:V1238 V1241:V1242 V1287:V1293 V1296:V1297 V1300 V1304:V1306 V1308:V1311 V1323:V1325 V1328:V1329 V1334:V1338 V1341 V1359:V1361 V1363">
    <cfRule type="containsText" dxfId="929" priority="286" operator="containsText" text="SL">
      <formula>NOT(ISERROR(SEARCH("SL",V365)))</formula>
    </cfRule>
    <cfRule type="containsText" dxfId="928" priority="287" operator="containsText" text="EL">
      <formula>NOT(ISERROR(SEARCH("EL",V365)))</formula>
    </cfRule>
    <cfRule type="containsText" dxfId="927" priority="288" operator="containsText" text="PL">
      <formula>NOT(ISERROR(SEARCH("PL",V365)))</formula>
    </cfRule>
    <cfRule type="containsText" dxfId="926" priority="289" operator="containsText" text="P">
      <formula>NOT(ISERROR(SEARCH("P",V365)))</formula>
    </cfRule>
  </conditionalFormatting>
  <conditionalFormatting sqref="V421 V574 V611 V677 V799:V800 V935 V1130:V1132 V1218:V1221 V1228 V1243 V1262:V1264 V1279:V1284 V1313:V1316">
    <cfRule type="containsText" dxfId="925" priority="11" operator="containsText" text="SL">
      <formula>NOT(ISERROR(SEARCH("SL",V421)))</formula>
    </cfRule>
    <cfRule type="containsText" dxfId="924" priority="12" operator="containsText" text="EL">
      <formula>NOT(ISERROR(SEARCH("EL",V421)))</formula>
    </cfRule>
    <cfRule type="containsText" dxfId="923" priority="13" operator="containsText" text="PL">
      <formula>NOT(ISERROR(SEARCH("PL",V421)))</formula>
    </cfRule>
    <cfRule type="containsText" dxfId="922" priority="14" operator="containsText" text="P">
      <formula>NOT(ISERROR(SEARCH("P",V421)))</formula>
    </cfRule>
  </conditionalFormatting>
  <conditionalFormatting sqref="V448:V564 V772:V798 V800:V801 V803:V934 V936:V945 V947:V955 V957:V998 V1000:V1131 V1133:V1150 V1152:V1168 V1170:V1202 V1204:V1220 V1222:V1223 V1225:V1227 V1229:V1230 V1232:V1235 V1237 V1242 V1245:V1255 V1257:V1262 V1264:V1266 V1268:V1279 V1281:V1313 V1316:V1407">
    <cfRule type="containsText" dxfId="921" priority="695" operator="containsText" text="AB">
      <formula>NOT(ISERROR(SEARCH("AB",V448)))</formula>
    </cfRule>
  </conditionalFormatting>
  <conditionalFormatting sqref="V448:V564 V772:V798 V803:V934 V936:V945 V947:V955 V957:V998 V1000:V1131 V1133:V1150 V1152:V1168 V1170:V1202 V1204:V1220 V1222:V1223 V1225:V1227 V1229:V1230 V1232:V1235 V1237 V1242 V1245:V1255 V1257:V1262 V1264:V1266 V1268:V1279 V1281:V1313 V1316:V1407">
    <cfRule type="containsText" dxfId="920" priority="694" operator="containsText" text="ABWI">
      <formula>NOT(ISERROR(SEARCH("ABWI",V448)))</formula>
    </cfRule>
  </conditionalFormatting>
  <conditionalFormatting sqref="V548">
    <cfRule type="containsText" dxfId="919" priority="349" operator="containsText" text="Miss SOS">
      <formula>NOT(ISERROR(SEARCH("Miss SOS",V548)))</formula>
    </cfRule>
    <cfRule type="containsText" dxfId="918" priority="350" operator="containsText" text="ABWI">
      <formula>NOT(ISERROR(SEARCH("ABWI",V548)))</formula>
    </cfRule>
    <cfRule type="containsText" dxfId="917" priority="351" operator="containsText" text="OFF">
      <formula>NOT(ISERROR(SEARCH("OFF",V548)))</formula>
    </cfRule>
    <cfRule type="containsText" dxfId="916" priority="352" operator="containsText" text="AB">
      <formula>NOT(ISERROR(SEARCH("AB",V548)))</formula>
    </cfRule>
    <cfRule type="containsText" dxfId="915" priority="353" operator="containsText" text="SL">
      <formula>NOT(ISERROR(SEARCH("SL",V548)))</formula>
    </cfRule>
    <cfRule type="containsText" dxfId="914" priority="354" operator="containsText" text="EL">
      <formula>NOT(ISERROR(SEARCH("EL",V548)))</formula>
    </cfRule>
    <cfRule type="containsText" dxfId="913" priority="355" operator="containsText" text="PL">
      <formula>NOT(ISERROR(SEARCH("PL",V548)))</formula>
    </cfRule>
    <cfRule type="containsText" dxfId="912" priority="356" operator="containsText" text="P">
      <formula>NOT(ISERROR(SEARCH("P",V548)))</formula>
    </cfRule>
    <cfRule type="containsText" dxfId="911" priority="357" operator="containsText" text="AB">
      <formula>NOT(ISERROR(SEARCH("AB",V548)))</formula>
    </cfRule>
    <cfRule type="containsText" dxfId="910" priority="358" operator="containsText" text="SL">
      <formula>NOT(ISERROR(SEARCH("SL",V548)))</formula>
    </cfRule>
    <cfRule type="containsText" dxfId="909" priority="359" operator="containsText" text="EL">
      <formula>NOT(ISERROR(SEARCH("EL",V548)))</formula>
    </cfRule>
    <cfRule type="containsText" dxfId="908" priority="360" operator="containsText" text="PL">
      <formula>NOT(ISERROR(SEARCH("PL",V548)))</formula>
    </cfRule>
  </conditionalFormatting>
  <conditionalFormatting sqref="V612 V946:V949 V952:V957 V1149:V1151 V1165:V1170 V1229:V1232 V1244:V1246 V1256:V1257 V1267">
    <cfRule type="containsText" dxfId="907" priority="70" operator="containsText" text="SL">
      <formula>NOT(ISERROR(SEARCH("SL",V612)))</formula>
    </cfRule>
    <cfRule type="containsText" dxfId="906" priority="71" operator="containsText" text="EL">
      <formula>NOT(ISERROR(SEARCH("EL",V612)))</formula>
    </cfRule>
    <cfRule type="containsText" dxfId="905" priority="72" operator="containsText" text="PL">
      <formula>NOT(ISERROR(SEARCH("PL",V612)))</formula>
    </cfRule>
    <cfRule type="containsText" dxfId="904" priority="73" operator="containsText" text="P">
      <formula>NOT(ISERROR(SEARCH("P",V612)))</formula>
    </cfRule>
  </conditionalFormatting>
  <conditionalFormatting sqref="V639 V770">
    <cfRule type="containsText" dxfId="903" priority="57" operator="containsText" text="SL">
      <formula>NOT(ISERROR(SEARCH("SL",V639)))</formula>
    </cfRule>
    <cfRule type="containsText" dxfId="902" priority="58" operator="containsText" text="EL">
      <formula>NOT(ISERROR(SEARCH("EL",V639)))</formula>
    </cfRule>
    <cfRule type="containsText" dxfId="901" priority="59" operator="containsText" text="PL">
      <formula>NOT(ISERROR(SEARCH("PL",V639)))</formula>
    </cfRule>
  </conditionalFormatting>
  <conditionalFormatting sqref="V667:V675 V767:V771 V800:V802 V999">
    <cfRule type="containsText" dxfId="900" priority="143" operator="containsText" text="ABWI">
      <formula>NOT(ISERROR(SEARCH("ABWI",V667)))</formula>
    </cfRule>
  </conditionalFormatting>
  <conditionalFormatting sqref="V667:V675 V767:V771 V802 V999">
    <cfRule type="containsText" dxfId="899" priority="144" operator="containsText" text="AB">
      <formula>NOT(ISERROR(SEARCH("AB",V667)))</formula>
    </cfRule>
  </conditionalFormatting>
  <conditionalFormatting sqref="V685">
    <cfRule type="containsText" dxfId="898" priority="159" operator="containsText" text="SL">
      <formula>NOT(ISERROR(SEARCH("SL",V685)))</formula>
    </cfRule>
    <cfRule type="containsText" dxfId="897" priority="160" operator="containsText" text="EL">
      <formula>NOT(ISERROR(SEARCH("EL",V685)))</formula>
    </cfRule>
    <cfRule type="containsText" dxfId="896" priority="161" operator="containsText" text="PL">
      <formula>NOT(ISERROR(SEARCH("PL",V685)))</formula>
    </cfRule>
    <cfRule type="containsText" dxfId="895" priority="162" operator="containsText" text="P">
      <formula>NOT(ISERROR(SEARCH("P",V685)))</formula>
    </cfRule>
  </conditionalFormatting>
  <conditionalFormatting sqref="V767:V771 V667:V675 V800:V802 V999">
    <cfRule type="containsText" dxfId="894" priority="142" operator="containsText" text="OFF">
      <formula>NOT(ISERROR(SEARCH("OFF",V667)))</formula>
    </cfRule>
  </conditionalFormatting>
  <conditionalFormatting sqref="V770">
    <cfRule type="containsText" dxfId="893" priority="54" operator="containsText" text="OFF">
      <formula>NOT(ISERROR(SEARCH("OFF",V770)))</formula>
    </cfRule>
    <cfRule type="containsText" dxfId="892" priority="55" operator="containsText" text="ABWI">
      <formula>NOT(ISERROR(SEARCH("ABWI",V770)))</formula>
    </cfRule>
    <cfRule type="containsText" dxfId="891" priority="56" operator="containsText" text="AB">
      <formula>NOT(ISERROR(SEARCH("AB",V770)))</formula>
    </cfRule>
  </conditionalFormatting>
  <conditionalFormatting sqref="V782:V797 V815:V825 V827 V829:V837 V839:V844 V846:V865 V876:V884 V886:V887 V891:V896 V905:V916 V918:V931 V938:V945 V947:V954 V958:V960 V962:V966 V968 V974:V984 V986:V995 V1002:V1010 V1013:V1014 V1016:V1020 V1022:V1023 V1026:V1033 V1037 V1041:V1042 V1045:V1058 V1061:V1065 V1068:V1072 V1074:V1077 V1079:V1085 V1087:V1091 V1098:V1116 V1119:V1120 V1122:V1131 V1136:V1143 V1145:V1147 V1149:V1150 V1153:V1157 V1159:V1163 V1165:V1168 V1170:V1174 V1177:V1181 V1184:V1185 V1187:V1199 V1204:V1205 V1207 V1209 V1214:V1215 V1217:V1220 V1225:V1226 V1230 V1232 V1234 V1242 V1248:V1255 V1257 V1259:V1260 V1264 V1268:V1277 V1287:V1288 V1321:V1322 V1342:V1350 V1352:V1361">
    <cfRule type="containsText" dxfId="890" priority="660" operator="containsText" text="P">
      <formula>NOT(ISERROR(SEARCH("P",V782)))</formula>
    </cfRule>
  </conditionalFormatting>
  <conditionalFormatting sqref="V782:V797 V815:V825 V827 V829:V837 V839:V844 V846:V865 V876:V884 V886:V887 V891:V896 V905:V916 V918:V931 V938:V945 V947:V954 V958:V960 V962:V966 V968 V974:V984 V986:V995 V1002:V1010 V1013:V1014 V1016:V1020 V1022:V1023 V1026:V1033 V1037 V1041:V1042 V1045:V1058 V1061:V1065 V1068:V1072 V1074:V1077 V1079:V1085 V1087:V1091 V1098:V1116 V1119:V1120 V1122:V1131 V1136:V1143 V1145:V1147 V1149:V1150 V1153:V1157 V1159:V1163 V1165:V1168 V1170:V1174 V1177:V1181 V1184:V1185 V1187:V1199 V1204:V1205 V1207 V1209 V1214:V1215 V1217:V1220 V1225:V1226 V1230 V1232 V1234 V1242 V1248:V1255 V1257 V1259:V1260 V1264 V1268:V1277 V1321:V1322 V1342:V1350 V1352:V1361 V1287:V1288">
    <cfRule type="containsText" dxfId="889" priority="659" operator="containsText" text="PL">
      <formula>NOT(ISERROR(SEARCH("PL",V782)))</formula>
    </cfRule>
  </conditionalFormatting>
  <conditionalFormatting sqref="V782:V797 V815:V825 V827 V829:V837 V839:V844 V846:V865 V876:V884 V886:V887 V891:V896 V905:V916 V918:V931 V938:V945 V947:V954 V958:V960 V962:V966 V968 V974:V984 V986:V995 V1002:V1010 V1013:V1014 V1016:V1020 V1022:V1023 V1026:V1033 V1037 V1041:V1042 V1045:V1058 V1061:V1065 V1068:V1072 V1074:V1077 V1079:V1085 V1087:V1091 V1098:V1116 V1119:V1120 V1122:V1131 V1136:V1143 V1145:V1147 V1149:V1150 V1153:V1157 V1159:V1168 V1170:V1175 V1177:V1181 V1184:V1185 V1187:V1199 V1204:V1205 V1207 V1209 V1214:V1215 V1217:V1220 V1225:V1226 V1230 V1232 V1234 V1242 V1248:V1255 V1257 V1259:V1260 V1264 V1268:V1277 V1321:V1322 V1342:V1350 V1352:V1361">
    <cfRule type="containsText" dxfId="888" priority="658" operator="containsText" text="EL">
      <formula>NOT(ISERROR(SEARCH("EL",V782)))</formula>
    </cfRule>
  </conditionalFormatting>
  <conditionalFormatting sqref="V782:V797 V815:V825 V827 V829:V837 V839:V844 V846:V865 V876:V884 V886:V887 V891:V896 V905:V916 V918:V931 V938:V945 V947:V954 V958:V960 V962:V966 V968 V974:V984 V986:V995 V1002:V1010 V1013:V1014 V1016:V1020 V1022:V1023 V1026:V1033 V1037 V1041:V1042 V1045:V1058 V1061:V1065 V1068:V1072 V1074:V1077 V1079:V1085 V1087:V1091 V1098:V1116 V1119:V1120 V1122:V1131 V1136:V1143 V1145:V1147 V1149:V1150 V1159:V1168 V1170:V1175 V1177:V1181 V1184:V1185 V1187:V1199 V1204:V1205 V1207 V1209 V1214:V1215 V1217:V1220 V1225:V1226 V1230 V1232 V1234 V1242 V1248:V1255 V1257 V1259:V1260 V1264 V1268:V1277 V1321:V1322 V1342:V1350 V1352:V1361 V1153:V1157">
    <cfRule type="containsText" dxfId="887" priority="657" operator="containsText" text="SL">
      <formula>NOT(ISERROR(SEARCH("SL",V782)))</formula>
    </cfRule>
  </conditionalFormatting>
  <conditionalFormatting sqref="V782:V797 V815:V825 V839:V844 V846:V865 V938:V945 V947:V954 V962:V966 V1002:V1010 V1068:V1072 V1122:V1131 V1136:V1143 V1159:V1163 V1170:V1174 V1177:V1181 V1184:V1185 V1187:V1199 V1268:V1277 V876:V884 V905:V916 V1016:V1020 V1209 V1248:V1255 V1352:V1361 V1098:V1116 V1165:V1168 V1342:V1350 V1045:V1058 V1087:V1091 V1204:V1205 V1217:V1220 V1230 V1234 V891:V896 V918:V931 V974:V984 V1022:V1023 V1119:V1120 V1145:V1147 V1149:V1150 V1257 V1259:V1260 V1321:V1322 V827 V829:V837 V886:V887 V958:V960 V968 V986:V995 V1013:V1014 V1026:V1033 V1037 V1041:V1042 V1061:V1065 V1074:V1077 V1079:V1085 V1207 V1214:V1215 V1225:V1226 V1264 V1232 V1242">
    <cfRule type="containsText" dxfId="886" priority="656" operator="containsText" text="AB">
      <formula>NOT(ISERROR(SEARCH("AB",V782)))</formula>
    </cfRule>
  </conditionalFormatting>
  <conditionalFormatting sqref="V783 V824 V841 V846 V939 V953 V963 V1010 V1072 V1130:V1131 V1133:V1135 V1137 V1154 V1163 V1170 V1177 V1181 V1185 V1189 V1192 V1268 V1304 V1313">
    <cfRule type="containsText" dxfId="885" priority="652" operator="containsText" text="SL">
      <formula>NOT(ISERROR(SEARCH("SL",V783)))</formula>
    </cfRule>
    <cfRule type="containsText" dxfId="884" priority="653" operator="containsText" text="EL">
      <formula>NOT(ISERROR(SEARCH("EL",V783)))</formula>
    </cfRule>
    <cfRule type="containsText" dxfId="883" priority="654" operator="containsText" text="PL">
      <formula>NOT(ISERROR(SEARCH("PL",V783)))</formula>
    </cfRule>
    <cfRule type="containsText" dxfId="882" priority="655" operator="containsText" text="P">
      <formula>NOT(ISERROR(SEARCH("P",V783)))</formula>
    </cfRule>
  </conditionalFormatting>
  <conditionalFormatting sqref="V788:V789 V797 V821:V822 V862:V863 V877:V878 V880 V916 V966 V1017 V1141 V1209 V1255 V1262 V1275 V1279 V1281:V1284 V1316 V1352 V1370:V1371 V1393">
    <cfRule type="containsText" dxfId="881" priority="650" operator="containsText" text="P">
      <formula>NOT(ISERROR(SEARCH("P",V788)))</formula>
    </cfRule>
  </conditionalFormatting>
  <conditionalFormatting sqref="V788:V789 V797 V821:V822 V862:V863 V877:V878 V880 V916 V966 V1017 V1141 V1209 V1255 V1262 V1275 V1316 V1352 V1370:V1371 V1393 V1279 V1281:V1284">
    <cfRule type="containsText" dxfId="880" priority="649" operator="containsText" text="PL">
      <formula>NOT(ISERROR(SEARCH("PL",V788)))</formula>
    </cfRule>
  </conditionalFormatting>
  <conditionalFormatting sqref="V788:V789 V797 V821:V822 V862:V863 V877:V878 V880 V916 V966 V1017 V1141 V1209 V1255 V1262 V1275 V1316 V1352 V1370:V1371 V1393">
    <cfRule type="containsText" dxfId="879" priority="647" operator="containsText" text="SL">
      <formula>NOT(ISERROR(SEARCH("SL",V788)))</formula>
    </cfRule>
    <cfRule type="containsText" dxfId="878" priority="648" operator="containsText" text="EL">
      <formula>NOT(ISERROR(SEARCH("EL",V788)))</formula>
    </cfRule>
  </conditionalFormatting>
  <conditionalFormatting sqref="V799 V935 V1132 V1221 V1228 V1243:V1244 V1263 V1280 V1314:V1315">
    <cfRule type="containsText" dxfId="877" priority="8" operator="containsText" text="OFF">
      <formula>NOT(ISERROR(SEARCH("OFF",V799)))</formula>
    </cfRule>
    <cfRule type="containsText" dxfId="876" priority="9" operator="containsText" text="ABWI">
      <formula>NOT(ISERROR(SEARCH("ABWI",V799)))</formula>
    </cfRule>
  </conditionalFormatting>
  <conditionalFormatting sqref="V799:V800 V935 V1130:V1132 V1218:V1221 V1228 V1243:V1246 V1262:V1264 V1279:V1284 V1313:V1316">
    <cfRule type="containsText" dxfId="875" priority="10" operator="containsText" text="AB">
      <formula>NOT(ISERROR(SEARCH("AB",V799)))</formula>
    </cfRule>
  </conditionalFormatting>
  <conditionalFormatting sqref="V809 V817:V844 V848:V866 V876:V884 V886:V888 V891:V894 V896:V901 V906:V910 V912:V916 V918:V923 V928:V934 V937:V945 V948:V954 V958:V972 V975:V977 V986:V995 V1006:V1010 V1013:V1023 V1025:V1033 V1037 V1041:V1042 V1044:V1049 V1054:V1059 V1061:V1085 V1119:V1123 V1125:V1131 V1133:V1134 V1177:V1181 V1184:V1185 V1187:V1199 V1204:V1205 V1207 V1209 V1213:V1214 V1222:V1223 V1225:V1226 V1249:V1255 V1259:V1260 V1264 V1268:V1272 V1275:V1277 V1279 V1281:V1284 V1287:V1288 V1342:V1349 V1097:V1113">
    <cfRule type="containsText" dxfId="874" priority="598" operator="containsText" text="P">
      <formula>NOT(ISERROR(SEARCH("P",V809)))</formula>
    </cfRule>
  </conditionalFormatting>
  <conditionalFormatting sqref="V809 V817:V844 V848:V866 V876:V884 V886:V888 V891:V894 V896:V901 V906:V910 V912:V916 V918:V923 V928:V934 V937:V945 V948:V954 V958:V972 V975:V977 V986:V995 V1006:V1010 V1013:V1023 V1025:V1033 V1037 V1041:V1042 V1044:V1049 V1054:V1059 V1061:V1085 V1119:V1123 V1125:V1131 V1133:V1134 V1177:V1181 V1184:V1185 V1187:V1199 V1204:V1205 V1207 V1209 V1213:V1214 V1222:V1223 V1225:V1226 V1249:V1255 V1259:V1260 V1264 V1268:V1272 V1275:V1277 V1279 V1281:V1284 V1287:V1288 V1342:V1349 V1170:V1175 V1153:V1157 V1159:V1168">
    <cfRule type="containsText" dxfId="873" priority="597" operator="containsText" text="PL">
      <formula>NOT(ISERROR(SEARCH("PL",V809)))</formula>
    </cfRule>
  </conditionalFormatting>
  <conditionalFormatting sqref="V809 V817:V844 V848:V866 V876:V884 V886:V888 V891:V894 V896:V901 V906:V910 V912:V916 V918:V923 V928:V934 V937:V945 V948:V954 V958:V972 V975:V977 V986:V995 V1006:V1010 V1013:V1023 V1025:V1033 V1037 V1041:V1042 V1044:V1049 V1054:V1059 V1061:V1085 V1119:V1123 V1125:V1131 V1133:V1134 V1177:V1181 V1184:V1185 V1187:V1199 V1204:V1205 V1207 V1209 V1213:V1214 V1222:V1223 V1225:V1226 V1249:V1255 V1259:V1260 V1264 V1268:V1272 V1275:V1277 V1279 V1281:V1284 V1287:V1288 V1342:V1349">
    <cfRule type="containsText" dxfId="872" priority="595" operator="containsText" text="SL">
      <formula>NOT(ISERROR(SEARCH("SL",V809)))</formula>
    </cfRule>
    <cfRule type="containsText" dxfId="871" priority="596" operator="containsText" text="EL">
      <formula>NOT(ISERROR(SEARCH("EL",V809)))</formula>
    </cfRule>
  </conditionalFormatting>
  <conditionalFormatting sqref="V809:V815 V845:V848 V898:V904 V1023 V1087:V1090 V1114:V1119 V1143:V1150 V1175 V1245:V1246 V1257:V1260 V1279 V1281:V1284 V1287:V1288 V1316 V1318:V1319 V1321:V1322 V1363:V1365 V1382:V1383 V1396:V1400">
    <cfRule type="containsText" dxfId="870" priority="605" operator="containsText" text="SL">
      <formula>NOT(ISERROR(SEARCH("SL",V809)))</formula>
    </cfRule>
    <cfRule type="containsText" dxfId="869" priority="606" operator="containsText" text="EL">
      <formula>NOT(ISERROR(SEARCH("EL",V809)))</formula>
    </cfRule>
  </conditionalFormatting>
  <conditionalFormatting sqref="V809:V815 V845:V848 V898:V904 V1023 V1087:V1090 V1114:V1119 V1143:V1150 V1175 V1245:V1246 V1257:V1260 V1316 V1318:V1319 V1321:V1322 V1363:V1365 V1382:V1383 V1396:V1400">
    <cfRule type="containsText" dxfId="868" priority="607" operator="containsText" text="PL">
      <formula>NOT(ISERROR(SEARCH("PL",V809)))</formula>
    </cfRule>
    <cfRule type="containsText" dxfId="867" priority="608" operator="containsText" text="P">
      <formula>NOT(ISERROR(SEARCH("P",V809)))</formula>
    </cfRule>
  </conditionalFormatting>
  <conditionalFormatting sqref="V809:V815 V845:V848 V898:V904 V1023 V1114:V1119 V1257:V1260 V1279 V1281:V1284 V1287:V1288 V1175 V1321:V1322 V1363:V1365 V1087:V1090 V1382:V1383 V1396:V1400 V1143:V1150 V1245:V1246 V1316 V1318:V1319">
    <cfRule type="containsText" dxfId="866" priority="604" operator="containsText" text="AB">
      <formula>NOT(ISERROR(SEARCH("AB",V809)))</formula>
    </cfRule>
  </conditionalFormatting>
  <conditionalFormatting sqref="V809:V815 V902:V903 V1015 V1021 V1117 V1144:V1145 V1274">
    <cfRule type="containsText" dxfId="865" priority="447" operator="containsText" text="P">
      <formula>NOT(ISERROR(SEARCH("P",V809)))</formula>
    </cfRule>
  </conditionalFormatting>
  <conditionalFormatting sqref="V811:V815">
    <cfRule type="containsText" dxfId="864" priority="579" operator="containsText" text="AB">
      <formula>NOT(ISERROR(SEARCH("AB",V811)))</formula>
    </cfRule>
    <cfRule type="containsText" dxfId="863" priority="580" operator="containsText" text="SL">
      <formula>NOT(ISERROR(SEARCH("SL",V811)))</formula>
    </cfRule>
    <cfRule type="containsText" dxfId="862" priority="581" operator="containsText" text="EL">
      <formula>NOT(ISERROR(SEARCH("EL",V811)))</formula>
    </cfRule>
    <cfRule type="containsText" dxfId="861" priority="582" operator="containsText" text="PL">
      <formula>NOT(ISERROR(SEARCH("PL",V811)))</formula>
    </cfRule>
    <cfRule type="containsText" dxfId="860" priority="583" operator="containsText" text="P">
      <formula>NOT(ISERROR(SEARCH("P",V811)))</formula>
    </cfRule>
  </conditionalFormatting>
  <conditionalFormatting sqref="V814:V815 V902:V903 V1015 V1021 V1117 V1144:V1145 V1274">
    <cfRule type="containsText" dxfId="859" priority="443" operator="containsText" text="AB">
      <formula>NOT(ISERROR(SEARCH("AB",V814)))</formula>
    </cfRule>
    <cfRule type="containsText" dxfId="858" priority="444" operator="containsText" text="SL">
      <formula>NOT(ISERROR(SEARCH("SL",V814)))</formula>
    </cfRule>
    <cfRule type="containsText" dxfId="857" priority="445" operator="containsText" text="EL">
      <formula>NOT(ISERROR(SEARCH("EL",V814)))</formula>
    </cfRule>
    <cfRule type="containsText" dxfId="856" priority="446" operator="containsText" text="PL">
      <formula>NOT(ISERROR(SEARCH("PL",V814)))</formula>
    </cfRule>
  </conditionalFormatting>
  <conditionalFormatting sqref="V817:V819 V821:V824 V829 V831:V841 V844 V846 V848:V850 V852:V863 V877:V884 V886:V888 V902:V913 V915:V916 V918:V923 V926:V927 V929 V932 V937:V939 V941 V944 V957:V963 V966:V973 V975:V979 V983:V984 V1013:V1021 V1049 V1054 V1056 V1059 V1064:V1070 V1072 V1087:V1092 V1097:V1100 V1103 V1108 V1112:V1123 V1133:V1137 V1140:V1142 V1147 V1154 V1156:V1157 V1159:V1163 V1170:V1177 V1180:V1181 V1189:V1202 V1245:V1255 V1259:V1260 V1268:V1277 V1343:V1350 V1352:V1356 V1365:V1367 V1370:V1375 V1382:V1387 V1389:V1407">
    <cfRule type="containsText" dxfId="855" priority="467" operator="containsText" text="SL">
      <formula>NOT(ISERROR(SEARCH("SL",V817)))</formula>
    </cfRule>
    <cfRule type="containsText" dxfId="854" priority="468" operator="containsText" text="EL">
      <formula>NOT(ISERROR(SEARCH("EL",V817)))</formula>
    </cfRule>
    <cfRule type="containsText" dxfId="853" priority="469" operator="containsText" text="PL">
      <formula>NOT(ISERROR(SEARCH("PL",V817)))</formula>
    </cfRule>
    <cfRule type="containsText" dxfId="852" priority="470" operator="containsText" text="P">
      <formula>NOT(ISERROR(SEARCH("P",V817)))</formula>
    </cfRule>
  </conditionalFormatting>
  <conditionalFormatting sqref="V817:V844 V896:V901 V986:V995 V1044:V1049 V1061:V1085 V1249:V1255 V1268:V1272 V1279 V1281:V1284 V1342:V1349 V948:V954 V1006:V1010 V1187:V1199 V958:V972 V848:V866 V912:V916 V937:V945 V1041:V1042 V1177:V1181 V1204:V1205 V876:V884 V928:V934 V1054:V1059 V1119:V1123 V1125:V1131 V1184:V1185 V1213:V1214 V1259:V1260 V1275:V1277 V886:V888 V906:V910 V918:V923 V975:V977 V1013:V1023 V1133:V1134 V809 V891:V894 V1025:V1033 V1037 V1207 V1209 V1222:V1223 V1225:V1226 V1287:V1288 V1264">
    <cfRule type="containsText" dxfId="851" priority="594" operator="containsText" text="AB">
      <formula>NOT(ISERROR(SEARCH("AB",V809)))</formula>
    </cfRule>
  </conditionalFormatting>
  <conditionalFormatting sqref="V819:V821 V824:V830 V851:V853 V863:V866 V913:V914 V939:V940 V942:V945 V949:V951 V979:V984 V1041:V1042 V1109:V1112 V1157 V1163:V1165 V1181 V1293:V1297">
    <cfRule type="containsText" dxfId="850" priority="507" operator="containsText" text="SL">
      <formula>NOT(ISERROR(SEARCH("SL",V819)))</formula>
    </cfRule>
    <cfRule type="containsText" dxfId="849" priority="508" operator="containsText" text="EL">
      <formula>NOT(ISERROR(SEARCH("EL",V819)))</formula>
    </cfRule>
    <cfRule type="containsText" dxfId="848" priority="509" operator="containsText" text="PL">
      <formula>NOT(ISERROR(SEARCH("PL",V819)))</formula>
    </cfRule>
    <cfRule type="containsText" dxfId="847" priority="510" operator="containsText" text="P">
      <formula>NOT(ISERROR(SEARCH("P",V819)))</formula>
    </cfRule>
  </conditionalFormatting>
  <conditionalFormatting sqref="V826 V841:V843 V845:V847 V876:V877 V925:V934 V963:V973 V1044:V1055 V1071:V1075 V1101:V1107 V1123:V1131 V1153:V1155 V1184:V1185 V1257 V1299:V1301 V1321 V1355 V1358:V1359">
    <cfRule type="containsText" dxfId="846" priority="487" operator="containsText" text="SL">
      <formula>NOT(ISERROR(SEARCH("SL",V826)))</formula>
    </cfRule>
    <cfRule type="containsText" dxfId="845" priority="488" operator="containsText" text="EL">
      <formula>NOT(ISERROR(SEARCH("EL",V826)))</formula>
    </cfRule>
    <cfRule type="containsText" dxfId="844" priority="489" operator="containsText" text="PL">
      <formula>NOT(ISERROR(SEARCH("PL",V826)))</formula>
    </cfRule>
    <cfRule type="containsText" dxfId="843" priority="490" operator="containsText" text="P">
      <formula>NOT(ISERROR(SEARCH("P",V826)))</formula>
    </cfRule>
  </conditionalFormatting>
  <conditionalFormatting sqref="V834 V837 V899 V986:V987 V1002:V1004 V1048:V1052 V1082 V1172 V1217:V1220 V1230 V1234 V1251 V1270 V1273 V1279 V1283 V1321 V1346 V1364:V1368 V1370:V1377">
    <cfRule type="containsText" dxfId="842" priority="590" operator="containsText" text="SL">
      <formula>NOT(ISERROR(SEARCH("SL",V834)))</formula>
    </cfRule>
    <cfRule type="containsText" dxfId="841" priority="591" operator="containsText" text="EL">
      <formula>NOT(ISERROR(SEARCH("EL",V834)))</formula>
    </cfRule>
    <cfRule type="containsText" dxfId="840" priority="592" operator="containsText" text="PL">
      <formula>NOT(ISERROR(SEARCH("PL",V834)))</formula>
    </cfRule>
    <cfRule type="containsText" dxfId="839" priority="593" operator="containsText" text="P">
      <formula>NOT(ISERROR(SEARCH("P",V834)))</formula>
    </cfRule>
  </conditionalFormatting>
  <conditionalFormatting sqref="V865 V1112 V1165 V1343:V1345">
    <cfRule type="containsText" dxfId="838" priority="642" operator="containsText" text="SL">
      <formula>NOT(ISERROR(SEARCH("SL",V865)))</formula>
    </cfRule>
    <cfRule type="containsText" dxfId="837" priority="643" operator="containsText" text="EL">
      <formula>NOT(ISERROR(SEARCH("EL",V865)))</formula>
    </cfRule>
    <cfRule type="containsText" dxfId="836" priority="644" operator="containsText" text="PL">
      <formula>NOT(ISERROR(SEARCH("PL",V865)))</formula>
    </cfRule>
    <cfRule type="containsText" dxfId="835" priority="645" operator="containsText" text="P">
      <formula>NOT(ISERROR(SEARCH("P",V865)))</formula>
    </cfRule>
  </conditionalFormatting>
  <conditionalFormatting sqref="V865 V1112 V1343:V1345 V1165">
    <cfRule type="containsText" dxfId="834" priority="641" operator="containsText" text="AB">
      <formula>NOT(ISERROR(SEARCH("AB",V865)))</formula>
    </cfRule>
  </conditionalFormatting>
  <conditionalFormatting sqref="V865:V866 V888 V891:V900 V986:V995 V1002:V1010">
    <cfRule type="containsText" dxfId="833" priority="300" operator="containsText" text="SL">
      <formula>NOT(ISERROR(SEARCH("SL",V865)))</formula>
    </cfRule>
    <cfRule type="containsText" dxfId="832" priority="301" operator="containsText" text="EL">
      <formula>NOT(ISERROR(SEARCH("EL",V865)))</formula>
    </cfRule>
    <cfRule type="containsText" dxfId="831" priority="302" operator="containsText" text="PL">
      <formula>NOT(ISERROR(SEARCH("PL",V865)))</formula>
    </cfRule>
    <cfRule type="containsText" dxfId="830" priority="303" operator="containsText" text="P">
      <formula>NOT(ISERROR(SEARCH("P",V865)))</formula>
    </cfRule>
  </conditionalFormatting>
  <conditionalFormatting sqref="V893:V895 V1290:V1291 V1300 V1313 V1357:V1358 V1386:V1387 V1389 V1403:V1406">
    <cfRule type="containsText" dxfId="829" priority="623" operator="containsText" text="SL">
      <formula>NOT(ISERROR(SEARCH("SL",V893)))</formula>
    </cfRule>
    <cfRule type="containsText" dxfId="828" priority="624" operator="containsText" text="EL">
      <formula>NOT(ISERROR(SEARCH("EL",V893)))</formula>
    </cfRule>
    <cfRule type="containsText" dxfId="827" priority="625" operator="containsText" text="PL">
      <formula>NOT(ISERROR(SEARCH("PL",V893)))</formula>
    </cfRule>
    <cfRule type="containsText" dxfId="826" priority="626" operator="containsText" text="P">
      <formula>NOT(ISERROR(SEARCH("P",V893)))</formula>
    </cfRule>
  </conditionalFormatting>
  <conditionalFormatting sqref="V893:V895 V1357:V1358 V1386:V1387 V1389 V1403:V1406 V1300 V1290:V1291 V1313">
    <cfRule type="containsText" dxfId="825" priority="622" operator="containsText" text="AB">
      <formula>NOT(ISERROR(SEARCH("AB",V893)))</formula>
    </cfRule>
  </conditionalFormatting>
  <conditionalFormatting sqref="V902:V913 V1013:V1021 V1112:V1123 V1268:V1277 V1064:V1070 V1189:V1202 V1389:V1407 V886:V888 V983:V984 V1087:V1092 V1097:V1100 V1156:V1157 V1159:V1163 V1133:V1137 V957:V963 V1170:V1177 V1245:V1255 V817:V819 V821:V824 V829 V831:V841 V844 V846 V848:V850 V852:V863 V877:V884 V915:V916 V918:V923 V926:V927 V929 V932 V937:V939 V941 V944 V966:V973 V975:V979 V1049 V1054 V1056 V1059 V1072 V1103 V1108 V1140:V1142 V1147 V1154 V1180:V1181 V1259:V1260 V1343:V1350 V1352:V1356 V1365:V1367 V1370:V1375 V1382:V1387">
    <cfRule type="containsText" dxfId="824" priority="466" operator="containsText" text="AB">
      <formula>NOT(ISERROR(SEARCH("AB",V817)))</formula>
    </cfRule>
  </conditionalFormatting>
  <conditionalFormatting sqref="V923:V925 V947:V949 V980:V984 V1134:V1135 V1137:V1139 V1296:V1297 V1304:V1306 V1308:V1311 V1331">
    <cfRule type="containsText" dxfId="823" priority="618" operator="containsText" text="SL">
      <formula>NOT(ISERROR(SEARCH("SL",V923)))</formula>
    </cfRule>
    <cfRule type="containsText" dxfId="822" priority="619" operator="containsText" text="EL">
      <formula>NOT(ISERROR(SEARCH("EL",V923)))</formula>
    </cfRule>
    <cfRule type="containsText" dxfId="821" priority="620" operator="containsText" text="PL">
      <formula>NOT(ISERROR(SEARCH("PL",V923)))</formula>
    </cfRule>
    <cfRule type="containsText" dxfId="820" priority="621" operator="containsText" text="P">
      <formula>NOT(ISERROR(SEARCH("P",V923)))</formula>
    </cfRule>
  </conditionalFormatting>
  <conditionalFormatting sqref="V923:V925 V947:V949 V1134:V1135 V980:V984 V1296:V1297 V1137:V1139 V1304:V1306 V1308:V1311 V1331">
    <cfRule type="containsText" dxfId="819" priority="617" operator="containsText" text="AB">
      <formula>NOT(ISERROR(SEARCH("AB",V923)))</formula>
    </cfRule>
  </conditionalFormatting>
  <conditionalFormatting sqref="V933:V934 V973:V974 V1077:V1078 V1246 V1284 V1363:V1364 V1382">
    <cfRule type="containsText" dxfId="818" priority="667" operator="containsText" text="SL">
      <formula>NOT(ISERROR(SEARCH("SL",V933)))</formula>
    </cfRule>
    <cfRule type="containsText" dxfId="817" priority="668" operator="containsText" text="EL">
      <formula>NOT(ISERROR(SEARCH("EL",V933)))</formula>
    </cfRule>
    <cfRule type="containsText" dxfId="816" priority="669" operator="containsText" text="PL">
      <formula>NOT(ISERROR(SEARCH("PL",V933)))</formula>
    </cfRule>
    <cfRule type="containsText" dxfId="815" priority="670" operator="containsText" text="P">
      <formula>NOT(ISERROR(SEARCH("P",V933)))</formula>
    </cfRule>
  </conditionalFormatting>
  <conditionalFormatting sqref="V946 V956 V1151 V1169 V1203 V1231 V1256 V1267 V1337">
    <cfRule type="containsText" dxfId="814" priority="67" operator="containsText" text="OFF">
      <formula>NOT(ISERROR(SEARCH("OFF",V946)))</formula>
    </cfRule>
    <cfRule type="containsText" dxfId="813" priority="68" operator="containsText" text="ABWI">
      <formula>NOT(ISERROR(SEARCH("ABWI",V946)))</formula>
    </cfRule>
  </conditionalFormatting>
  <conditionalFormatting sqref="V946:V949 V952:V957 V1149:V1151 V1165:V1170 V1229:V1232 V1256:V1257 V1267">
    <cfRule type="containsText" dxfId="812" priority="69" operator="containsText" text="AB">
      <formula>NOT(ISERROR(SEARCH("AB",V946)))</formula>
    </cfRule>
  </conditionalFormatting>
  <conditionalFormatting sqref="V953 V1010 V1090:V1092 V1097:V1113 V1192 V1342:V1344 V1349:V1350 V1352:V1361 V1371 V1382:V1387 V1389:V1407">
    <cfRule type="containsText" dxfId="811" priority="585" operator="containsText" text="SL">
      <formula>NOT(ISERROR(SEARCH("SL",V953)))</formula>
    </cfRule>
    <cfRule type="containsText" dxfId="810" priority="586" operator="containsText" text="EL">
      <formula>NOT(ISERROR(SEARCH("EL",V953)))</formula>
    </cfRule>
    <cfRule type="containsText" dxfId="809" priority="587" operator="containsText" text="PL">
      <formula>NOT(ISERROR(SEARCH("PL",V953)))</formula>
    </cfRule>
  </conditionalFormatting>
  <conditionalFormatting sqref="V953 V1010 V1090:V1092 V1192 V1342:V1344 V1349:V1350 V1352:V1361 V1371 V1382:V1387 V1389:V1407">
    <cfRule type="containsText" dxfId="808" priority="588" operator="containsText" text="P">
      <formula>NOT(ISERROR(SEARCH("P",V953)))</formula>
    </cfRule>
  </conditionalFormatting>
  <conditionalFormatting sqref="V961">
    <cfRule type="containsText" dxfId="807" priority="546" operator="containsText" text="AB">
      <formula>NOT(ISERROR(SEARCH("AB",V961)))</formula>
    </cfRule>
    <cfRule type="containsText" dxfId="806" priority="547" operator="containsText" text="SL">
      <formula>NOT(ISERROR(SEARCH("SL",V961)))</formula>
    </cfRule>
    <cfRule type="containsText" dxfId="805" priority="548" operator="containsText" text="EL">
      <formula>NOT(ISERROR(SEARCH("EL",V961)))</formula>
    </cfRule>
    <cfRule type="containsText" dxfId="804" priority="549" operator="containsText" text="PL">
      <formula>NOT(ISERROR(SEARCH("PL",V961)))</formula>
    </cfRule>
    <cfRule type="containsText" dxfId="803" priority="550" operator="containsText" text="P">
      <formula>NOT(ISERROR(SEARCH("P",V961)))</formula>
    </cfRule>
  </conditionalFormatting>
  <conditionalFormatting sqref="V973:V974 V1077:V1078 V1284 V1246 V1363:V1364 V1382 V933:V934">
    <cfRule type="containsText" dxfId="802" priority="666" operator="containsText" text="AB">
      <formula>NOT(ISERROR(SEARCH("AB",V933)))</formula>
    </cfRule>
  </conditionalFormatting>
  <conditionalFormatting sqref="V979:V984 V1293:V1297 V824:V830 V819:V821 V851:V853 V863:V866 V913:V914 V939:V940 V942:V945 V1109:V1112 V1157 V1163:V1165 V1181 V1041:V1042 V949:V951">
    <cfRule type="containsText" dxfId="801" priority="506" operator="containsText" text="AB">
      <formula>NOT(ISERROR(SEARCH("AB",V819)))</formula>
    </cfRule>
  </conditionalFormatting>
  <conditionalFormatting sqref="V981 V1176:V1179 V1201:V1202 V1204 V1296 V1375:V1376">
    <cfRule type="containsText" dxfId="800" priority="492" operator="containsText" text="SL">
      <formula>NOT(ISERROR(SEARCH("SL",V981)))</formula>
    </cfRule>
    <cfRule type="containsText" dxfId="799" priority="493" operator="containsText" text="EL">
      <formula>NOT(ISERROR(SEARCH("EL",V981)))</formula>
    </cfRule>
    <cfRule type="containsText" dxfId="798" priority="494" operator="containsText" text="PL">
      <formula>NOT(ISERROR(SEARCH("PL",V981)))</formula>
    </cfRule>
    <cfRule type="containsText" dxfId="797" priority="495" operator="containsText" text="P">
      <formula>NOT(ISERROR(SEARCH("P",V981)))</formula>
    </cfRule>
  </conditionalFormatting>
  <conditionalFormatting sqref="V1002:V1010 V865:V866 V888 V891:V900 V986:V995">
    <cfRule type="containsText" dxfId="796" priority="299" operator="containsText" text="AB">
      <formula>NOT(ISERROR(SEARCH("AB",V865)))</formula>
    </cfRule>
  </conditionalFormatting>
  <conditionalFormatting sqref="V1023 V1025:V1027 V1157 V1159">
    <cfRule type="containsText" dxfId="795" priority="252" operator="containsText" text="AB">
      <formula>NOT(ISERROR(SEARCH("AB",V1023)))</formula>
    </cfRule>
    <cfRule type="containsText" dxfId="794" priority="253" operator="containsText" text="SL">
      <formula>NOT(ISERROR(SEARCH("SL",V1023)))</formula>
    </cfRule>
    <cfRule type="containsText" dxfId="793" priority="254" operator="containsText" text="EL">
      <formula>NOT(ISERROR(SEARCH("EL",V1023)))</formula>
    </cfRule>
    <cfRule type="containsText" dxfId="792" priority="255" operator="containsText" text="PL">
      <formula>NOT(ISERROR(SEARCH("PL",V1023)))</formula>
    </cfRule>
    <cfRule type="containsText" dxfId="791" priority="256" operator="containsText" text="P">
      <formula>NOT(ISERROR(SEARCH("P",V1023)))</formula>
    </cfRule>
  </conditionalFormatting>
  <conditionalFormatting sqref="V1039">
    <cfRule type="containsText" dxfId="790" priority="104" operator="containsText" text="PL">
      <formula>NOT(ISERROR(SEARCH("PL",V1039)))</formula>
    </cfRule>
    <cfRule type="containsText" dxfId="789" priority="105" operator="containsText" text="AB">
      <formula>NOT(ISERROR(SEARCH("AB",V1039)))</formula>
    </cfRule>
    <cfRule type="containsText" dxfId="788" priority="106" operator="containsText" text="SL">
      <formula>NOT(ISERROR(SEARCH("SL",V1039)))</formula>
    </cfRule>
    <cfRule type="containsText" dxfId="787" priority="107" operator="containsText" text="EL">
      <formula>NOT(ISERROR(SEARCH("EL",V1039)))</formula>
    </cfRule>
    <cfRule type="containsText" dxfId="786" priority="108" operator="containsText" text="PL">
      <formula>NOT(ISERROR(SEARCH("PL",V1039)))</formula>
    </cfRule>
    <cfRule type="containsText" dxfId="785" priority="109" operator="containsText" text="P">
      <formula>NOT(ISERROR(SEARCH("P",V1039)))</formula>
    </cfRule>
    <cfRule type="containsText" dxfId="784" priority="110" operator="containsText" text="AB">
      <formula>NOT(ISERROR(SEARCH("AB",V1039)))</formula>
    </cfRule>
    <cfRule type="containsText" dxfId="783" priority="111" operator="containsText" text="SL">
      <formula>NOT(ISERROR(SEARCH("SL",V1039)))</formula>
    </cfRule>
    <cfRule type="containsText" dxfId="782" priority="112" operator="containsText" text="EL">
      <formula>NOT(ISERROR(SEARCH("EL",V1039)))</formula>
    </cfRule>
    <cfRule type="containsText" dxfId="781" priority="113" operator="containsText" text="PL">
      <formula>NOT(ISERROR(SEARCH("PL",V1039)))</formula>
    </cfRule>
    <cfRule type="containsText" dxfId="780" priority="114" operator="containsText" text="P">
      <formula>NOT(ISERROR(SEARCH("P",V1039)))</formula>
    </cfRule>
    <cfRule type="containsText" dxfId="779" priority="121" operator="containsText" text="AB">
      <formula>NOT(ISERROR(SEARCH("AB",V1039)))</formula>
    </cfRule>
    <cfRule type="containsText" dxfId="778" priority="122" operator="containsText" text="SL">
      <formula>NOT(ISERROR(SEARCH("SL",V1039)))</formula>
    </cfRule>
    <cfRule type="containsText" dxfId="777" priority="123" operator="containsText" text="EL">
      <formula>NOT(ISERROR(SEARCH("EL",V1039)))</formula>
    </cfRule>
    <cfRule type="containsText" dxfId="776" priority="124" operator="containsText" text="PL">
      <formula>NOT(ISERROR(SEARCH("PL",V1039)))</formula>
    </cfRule>
  </conditionalFormatting>
  <conditionalFormatting sqref="V1053:V1054 V1090:V1091 V1123:V1124 V1201:V1202 V1204 V1220 V1222:V1223 V1229:V1230 V1234 V1237 V1272:V1273 V1299:V1300 V1349:V1350 V1374:V1376">
    <cfRule type="containsText" dxfId="775" priority="628" operator="containsText" text="SL">
      <formula>NOT(ISERROR(SEARCH("SL",V1053)))</formula>
    </cfRule>
    <cfRule type="containsText" dxfId="774" priority="629" operator="containsText" text="EL">
      <formula>NOT(ISERROR(SEARCH("EL",V1053)))</formula>
    </cfRule>
    <cfRule type="containsText" dxfId="773" priority="630" operator="containsText" text="PL">
      <formula>NOT(ISERROR(SEARCH("PL",V1053)))</formula>
    </cfRule>
    <cfRule type="containsText" dxfId="772" priority="631" operator="containsText" text="P">
      <formula>NOT(ISERROR(SEARCH("P",V1053)))</formula>
    </cfRule>
  </conditionalFormatting>
  <conditionalFormatting sqref="V1057:V1067 V1137:V1150 V1214:V1215 V1232 V1234:V1235 V1242 V1260:V1262 V1268 V1277">
    <cfRule type="containsText" dxfId="771" priority="482" operator="containsText" text="SL">
      <formula>NOT(ISERROR(SEARCH("SL",V1057)))</formula>
    </cfRule>
    <cfRule type="containsText" dxfId="770" priority="483" operator="containsText" text="EL">
      <formula>NOT(ISERROR(SEARCH("EL",V1057)))</formula>
    </cfRule>
    <cfRule type="containsText" dxfId="769" priority="484" operator="containsText" text="PL">
      <formula>NOT(ISERROR(SEARCH("PL",V1057)))</formula>
    </cfRule>
    <cfRule type="containsText" dxfId="768" priority="485" operator="containsText" text="P">
      <formula>NOT(ISERROR(SEARCH("P",V1057)))</formula>
    </cfRule>
  </conditionalFormatting>
  <conditionalFormatting sqref="V1057:V1067 V1137:V1150 V1260:V1262 V1268 V1277 V1214:V1215 V1242 V1232 V1234:V1235">
    <cfRule type="containsText" dxfId="767" priority="481" operator="containsText" text="AB">
      <formula>NOT(ISERROR(SEARCH("AB",V1057)))</formula>
    </cfRule>
  </conditionalFormatting>
  <conditionalFormatting sqref="V1067 V1115 V1121 V1199:V1200">
    <cfRule type="containsText" dxfId="766" priority="406" operator="containsText" text="AB">
      <formula>NOT(ISERROR(SEARCH("AB",V1067)))</formula>
    </cfRule>
    <cfRule type="containsText" dxfId="765" priority="407" operator="containsText" text="SL">
      <formula>NOT(ISERROR(SEARCH("SL",V1067)))</formula>
    </cfRule>
    <cfRule type="containsText" dxfId="764" priority="408" operator="containsText" text="EL">
      <formula>NOT(ISERROR(SEARCH("EL",V1067)))</formula>
    </cfRule>
    <cfRule type="containsText" dxfId="763" priority="409" operator="containsText" text="PL">
      <formula>NOT(ISERROR(SEARCH("PL",V1067)))</formula>
    </cfRule>
    <cfRule type="containsText" dxfId="762" priority="410" operator="containsText" text="P">
      <formula>NOT(ISERROR(SEARCH("P",V1067)))</formula>
    </cfRule>
  </conditionalFormatting>
  <conditionalFormatting sqref="V1097:V1113 V1352:V1361 V1090:V1092 V1192 V1342:V1344 V1349:V1350 V1371 V1382:V1387 V1389:V1407 V1010 V953">
    <cfRule type="containsText" dxfId="761" priority="584" operator="containsText" text="AB">
      <formula>NOT(ISERROR(SEARCH("AB",V953)))</formula>
    </cfRule>
  </conditionalFormatting>
  <conditionalFormatting sqref="V1136">
    <cfRule type="containsText" dxfId="760" priority="133" operator="containsText" text="PL">
      <formula>NOT(ISERROR(SEARCH("PL",V1136)))</formula>
    </cfRule>
  </conditionalFormatting>
  <conditionalFormatting sqref="V1176:V1179 V1201:V1202 V1375:V1376 V1204 V1296 V981">
    <cfRule type="containsText" dxfId="759" priority="491" operator="containsText" text="AB">
      <formula>NOT(ISERROR(SEARCH("AB",V981)))</formula>
    </cfRule>
  </conditionalFormatting>
  <conditionalFormatting sqref="V1185 V1187:V1189 V1391">
    <cfRule type="containsText" dxfId="758" priority="317" operator="containsText" text="SL">
      <formula>NOT(ISERROR(SEARCH("SL",V1185)))</formula>
    </cfRule>
    <cfRule type="containsText" dxfId="757" priority="318" operator="containsText" text="EL">
      <formula>NOT(ISERROR(SEARCH("EL",V1185)))</formula>
    </cfRule>
    <cfRule type="containsText" dxfId="756" priority="319" operator="containsText" text="PL">
      <formula>NOT(ISERROR(SEARCH("PL",V1185)))</formula>
    </cfRule>
    <cfRule type="containsText" dxfId="755" priority="320" operator="containsText" text="P">
      <formula>NOT(ISERROR(SEARCH("P",V1185)))</formula>
    </cfRule>
  </conditionalFormatting>
  <conditionalFormatting sqref="V1222:V1226 V1025:V1033 V1296:V1297 V1323:V1325 V1328:V1329 V1334:V1338 V1341 V1203:V1205 V984 V1010 V1037 V1041 V1044 V1077:V1085 V1087 V1092 V1097:V1098 V1207 V1209 V1213 V1215 V1287:V1293 V1300 V1304:V1306 V1308:V1311 V1359:V1361 V1363">
    <cfRule type="containsText" dxfId="754" priority="285" operator="containsText" text="AB">
      <formula>NOT(ISERROR(SEARCH("AB",V984)))</formula>
    </cfRule>
  </conditionalFormatting>
  <conditionalFormatting sqref="V1224 V1401:V1048576">
    <cfRule type="containsText" dxfId="753" priority="269" operator="containsText" text="OFF">
      <formula>NOT(ISERROR(SEARCH("OFF",V1224)))</formula>
    </cfRule>
  </conditionalFormatting>
  <conditionalFormatting sqref="V1224">
    <cfRule type="containsText" dxfId="752" priority="264" operator="containsText" text="AB">
      <formula>NOT(ISERROR(SEARCH("AB",V1224)))</formula>
    </cfRule>
    <cfRule type="containsText" dxfId="751" priority="265" operator="containsText" text="SL">
      <formula>NOT(ISERROR(SEARCH("SL",V1224)))</formula>
    </cfRule>
    <cfRule type="containsText" dxfId="750" priority="266" operator="containsText" text="EL">
      <formula>NOT(ISERROR(SEARCH("EL",V1224)))</formula>
    </cfRule>
    <cfRule type="containsText" dxfId="749" priority="267" operator="containsText" text="PL">
      <formula>NOT(ISERROR(SEARCH("PL",V1224)))</formula>
    </cfRule>
    <cfRule type="containsText" dxfId="748" priority="268" operator="containsText" text="P">
      <formula>NOT(ISERROR(SEARCH("P",V1224)))</formula>
    </cfRule>
    <cfRule type="containsText" dxfId="747" priority="270" operator="containsText" text="AB">
      <formula>NOT(ISERROR(SEARCH("AB",V1224)))</formula>
    </cfRule>
    <cfRule type="containsText" dxfId="746" priority="271" operator="containsText" text="SL">
      <formula>NOT(ISERROR(SEARCH("SL",V1224)))</formula>
    </cfRule>
    <cfRule type="containsText" dxfId="745" priority="272" operator="containsText" text="EL">
      <formula>NOT(ISERROR(SEARCH("EL",V1224)))</formula>
    </cfRule>
    <cfRule type="containsText" dxfId="744" priority="273" operator="containsText" text="PL">
      <formula>NOT(ISERROR(SEARCH("PL",V1224)))</formula>
    </cfRule>
    <cfRule type="containsText" dxfId="743" priority="274" operator="containsText" text="P">
      <formula>NOT(ISERROR(SEARCH("P",V1224)))</formula>
    </cfRule>
    <cfRule type="containsText" dxfId="742" priority="275" operator="containsText" text="ABWI">
      <formula>NOT(ISERROR(SEARCH("ABWI",V1224)))</formula>
    </cfRule>
    <cfRule type="containsText" dxfId="741" priority="276" operator="containsText" text="Miss SOS">
      <formula>NOT(ISERROR(SEARCH("Miss SOS",V1224)))</formula>
    </cfRule>
    <cfRule type="containsText" dxfId="740" priority="277" operator="containsText" text="ABWI">
      <formula>NOT(ISERROR(SEARCH("ABWI",V1224)))</formula>
    </cfRule>
    <cfRule type="containsText" dxfId="739" priority="278" operator="containsText" text="OFF">
      <formula>NOT(ISERROR(SEARCH("OFF",V1224)))</formula>
    </cfRule>
    <cfRule type="containsText" dxfId="738" priority="279" operator="containsText" text="AB">
      <formula>NOT(ISERROR(SEARCH("AB",V1224)))</formula>
    </cfRule>
    <cfRule type="containsText" dxfId="737" priority="280" operator="containsText" text="SL">
      <formula>NOT(ISERROR(SEARCH("SL",V1224)))</formula>
    </cfRule>
    <cfRule type="containsText" dxfId="736" priority="281" operator="containsText" text="EL">
      <formula>NOT(ISERROR(SEARCH("EL",V1224)))</formula>
    </cfRule>
    <cfRule type="containsText" dxfId="735" priority="282" operator="containsText" text="PL">
      <formula>NOT(ISERROR(SEARCH("PL",V1224)))</formula>
    </cfRule>
    <cfRule type="containsText" dxfId="734" priority="283" operator="containsText" text="OFF">
      <formula>NOT(ISERROR(SEARCH("OFF",V1224)))</formula>
    </cfRule>
    <cfRule type="containsText" dxfId="733" priority="284" operator="containsText" text="ABWI">
      <formula>NOT(ISERROR(SEARCH("ABWI",V1224)))</formula>
    </cfRule>
  </conditionalFormatting>
  <conditionalFormatting sqref="V1235:V1242">
    <cfRule type="containsText" dxfId="732" priority="17" operator="containsText" text="AB">
      <formula>NOT(ISERROR(SEARCH("AB",V1235)))</formula>
    </cfRule>
  </conditionalFormatting>
  <conditionalFormatting sqref="V1236 V1238:V1241">
    <cfRule type="containsText" dxfId="731" priority="15" operator="containsText" text="OFF">
      <formula>NOT(ISERROR(SEARCH("OFF",V1236)))</formula>
    </cfRule>
    <cfRule type="containsText" dxfId="730" priority="16" operator="containsText" text="ABWI">
      <formula>NOT(ISERROR(SEARCH("ABWI",V1236)))</formula>
    </cfRule>
  </conditionalFormatting>
  <conditionalFormatting sqref="V1262 V1293 V1313 V1316">
    <cfRule type="containsText" dxfId="729" priority="684" operator="containsText" text="SL">
      <formula>NOT(ISERROR(SEARCH("SL",V1262)))</formula>
    </cfRule>
    <cfRule type="containsText" dxfId="728" priority="685" operator="containsText" text="EL">
      <formula>NOT(ISERROR(SEARCH("EL",V1262)))</formula>
    </cfRule>
    <cfRule type="containsText" dxfId="727" priority="686" operator="containsText" text="PL">
      <formula>NOT(ISERROR(SEARCH("PL",V1262)))</formula>
    </cfRule>
    <cfRule type="containsText" dxfId="726" priority="687" operator="containsText" text="P">
      <formula>NOT(ISERROR(SEARCH("P",V1262)))</formula>
    </cfRule>
  </conditionalFormatting>
  <conditionalFormatting sqref="V1281:V1313 V1316:V1407 V1257:V1262 V803:V934 V957:V998 V1000:V1131 V1245:V1255 V772:V798 V936:V945 V947:V955 V1133:V1150 V1152:V1168 V1170:V1202 V1204:V1220 V1225:V1227 V1229:V1230 V1232:V1235 V1242 V1264:V1266 V1268:V1279 V1222:V1223 V1237 V448:V564">
    <cfRule type="containsText" dxfId="725" priority="693" operator="containsText" text="OFF">
      <formula>NOT(ISERROR(SEARCH("OFF",V448)))</formula>
    </cfRule>
  </conditionalFormatting>
  <conditionalFormatting sqref="V1290:V1291 V1357">
    <cfRule type="containsText" dxfId="724" priority="689" operator="containsText" text="SL">
      <formula>NOT(ISERROR(SEARCH("SL",V1290)))</formula>
    </cfRule>
    <cfRule type="containsText" dxfId="723" priority="690" operator="containsText" text="EL">
      <formula>NOT(ISERROR(SEARCH("EL",V1290)))</formula>
    </cfRule>
    <cfRule type="containsText" dxfId="722" priority="691" operator="containsText" text="PL">
      <formula>NOT(ISERROR(SEARCH("PL",V1290)))</formula>
    </cfRule>
    <cfRule type="containsText" dxfId="721" priority="692" operator="containsText" text="P">
      <formula>NOT(ISERROR(SEARCH("P",V1290)))</formula>
    </cfRule>
  </conditionalFormatting>
  <conditionalFormatting sqref="V1296">
    <cfRule type="containsText" dxfId="720" priority="233" operator="containsText" text="AB">
      <formula>NOT(ISERROR(SEARCH("AB",V1296)))</formula>
    </cfRule>
    <cfRule type="containsText" dxfId="719" priority="234" operator="containsText" text="SL">
      <formula>NOT(ISERROR(SEARCH("SL",V1296)))</formula>
    </cfRule>
    <cfRule type="containsText" dxfId="718" priority="235" operator="containsText" text="EL">
      <formula>NOT(ISERROR(SEARCH("EL",V1296)))</formula>
    </cfRule>
    <cfRule type="containsText" dxfId="717" priority="236" operator="containsText" text="PL">
      <formula>NOT(ISERROR(SEARCH("PL",V1296)))</formula>
    </cfRule>
    <cfRule type="containsText" dxfId="716" priority="237" operator="containsText" text="P">
      <formula>NOT(ISERROR(SEARCH("P",V1296)))</formula>
    </cfRule>
    <cfRule type="containsText" dxfId="715" priority="238" operator="containsText" text="AB">
      <formula>NOT(ISERROR(SEARCH("AB",V1296)))</formula>
    </cfRule>
    <cfRule type="containsText" dxfId="714" priority="239" operator="containsText" text="SL">
      <formula>NOT(ISERROR(SEARCH("SL",V1296)))</formula>
    </cfRule>
    <cfRule type="containsText" dxfId="713" priority="240" operator="containsText" text="EL">
      <formula>NOT(ISERROR(SEARCH("EL",V1296)))</formula>
    </cfRule>
    <cfRule type="containsText" dxfId="712" priority="241" operator="containsText" text="PL">
      <formula>NOT(ISERROR(SEARCH("PL",V1296)))</formula>
    </cfRule>
    <cfRule type="containsText" dxfId="711" priority="242" operator="containsText" text="P">
      <formula>NOT(ISERROR(SEARCH("P",V1296)))</formula>
    </cfRule>
  </conditionalFormatting>
  <conditionalFormatting sqref="V1296:V1297 V1304:V1306 V1309 V1311 V1324:V1326 V1328 V1330:V1331 V1335:V1338">
    <cfRule type="containsText" dxfId="710" priority="679" operator="containsText" text="SL">
      <formula>NOT(ISERROR(SEARCH("SL",V1296)))</formula>
    </cfRule>
    <cfRule type="containsText" dxfId="709" priority="680" operator="containsText" text="EL">
      <formula>NOT(ISERROR(SEARCH("EL",V1296)))</formula>
    </cfRule>
    <cfRule type="containsText" dxfId="708" priority="681" operator="containsText" text="PL">
      <formula>NOT(ISERROR(SEARCH("PL",V1296)))</formula>
    </cfRule>
    <cfRule type="containsText" dxfId="707" priority="682" operator="containsText" text="P">
      <formula>NOT(ISERROR(SEARCH("P",V1296)))</formula>
    </cfRule>
  </conditionalFormatting>
  <conditionalFormatting sqref="V1299:V1300 V1090:V1091 V1053:V1054 V1123:V1124 V1204 V1222:V1223 V1272:V1273 V1349:V1350 V1220 V1229:V1230 V1234 V1374:V1376 V1201:V1202 V1237">
    <cfRule type="containsText" dxfId="706" priority="627" operator="containsText" text="AB">
      <formula>NOT(ISERROR(SEARCH("AB",V1053)))</formula>
    </cfRule>
  </conditionalFormatting>
  <conditionalFormatting sqref="V1304:V1306 V1296:V1297 V1309 V1311 V1330:V1331 V1324:V1326 V1328 V1335:V1338">
    <cfRule type="containsText" dxfId="705" priority="678" operator="containsText" text="AB">
      <formula>NOT(ISERROR(SEARCH("AB",V1296)))</formula>
    </cfRule>
  </conditionalFormatting>
  <conditionalFormatting sqref="V1313 V1133:V1135 V1137 V1304 V846 V824 V841 V939 V953 V963 V1010 V1072 V1130:V1131 V1177 V1181 V1185 V1189 V1192 V1268 V1154 V1163 V1170 V783">
    <cfRule type="containsText" dxfId="704" priority="651" operator="containsText" text="AB">
      <formula>NOT(ISERROR(SEARCH("AB",V783)))</formula>
    </cfRule>
  </conditionalFormatting>
  <conditionalFormatting sqref="V1313 V1262 V1316 V1293">
    <cfRule type="containsText" dxfId="703" priority="683" operator="containsText" text="AB">
      <formula>NOT(ISERROR(SEARCH("AB",V1262)))</formula>
    </cfRule>
  </conditionalFormatting>
  <conditionalFormatting sqref="V1316 V821:V822 V862:V863 V877:V878 V880 V916 V966 V1017 V1209 V1255 V1275 V1370:V1371 V1352 V1393 V1141 V1262 V788:V789 V797">
    <cfRule type="containsText" dxfId="702" priority="646" operator="containsText" text="AB">
      <formula>NOT(ISERROR(SEARCH("AB",V788)))</formula>
    </cfRule>
  </conditionalFormatting>
  <conditionalFormatting sqref="V1323:V1332 V1338:V1341">
    <cfRule type="containsText" dxfId="701" priority="228" operator="containsText" text="AB">
      <formula>NOT(ISERROR(SEARCH("AB",V1323)))</formula>
    </cfRule>
    <cfRule type="containsText" dxfId="700" priority="229" operator="containsText" text="SL">
      <formula>NOT(ISERROR(SEARCH("SL",V1323)))</formula>
    </cfRule>
    <cfRule type="containsText" dxfId="699" priority="230" operator="containsText" text="EL">
      <formula>NOT(ISERROR(SEARCH("EL",V1323)))</formula>
    </cfRule>
    <cfRule type="containsText" dxfId="698" priority="231" operator="containsText" text="PL">
      <formula>NOT(ISERROR(SEARCH("PL",V1323)))</formula>
    </cfRule>
    <cfRule type="containsText" dxfId="697" priority="232" operator="containsText" text="P">
      <formula>NOT(ISERROR(SEARCH("P",V1323)))</formula>
    </cfRule>
  </conditionalFormatting>
  <conditionalFormatting sqref="V1327 V1332 V1335:V1336 V1339">
    <cfRule type="containsText" dxfId="696" priority="223" operator="containsText" text="AB">
      <formula>NOT(ISERROR(SEARCH("AB",V1327)))</formula>
    </cfRule>
    <cfRule type="containsText" dxfId="695" priority="224" operator="containsText" text="SL">
      <formula>NOT(ISERROR(SEARCH("SL",V1327)))</formula>
    </cfRule>
    <cfRule type="containsText" dxfId="694" priority="225" operator="containsText" text="EL">
      <formula>NOT(ISERROR(SEARCH("EL",V1327)))</formula>
    </cfRule>
    <cfRule type="containsText" dxfId="693" priority="226" operator="containsText" text="PL">
      <formula>NOT(ISERROR(SEARCH("PL",V1327)))</formula>
    </cfRule>
    <cfRule type="containsText" dxfId="692" priority="227" operator="containsText" text="P">
      <formula>NOT(ISERROR(SEARCH("P",V1327)))</formula>
    </cfRule>
  </conditionalFormatting>
  <conditionalFormatting sqref="V1355 V1358:V1359 V841:V843 V845:V847 V876:V877 V925:V934 V963:V973 V1044:V1055 V1071:V1075 V1101:V1107 V1123:V1131 V1153:V1155 V1184:V1185 V1299:V1301 V1257 V826 V1321">
    <cfRule type="containsText" dxfId="691" priority="486" operator="containsText" text="AB">
      <formula>NOT(ISERROR(SEARCH("AB",V826)))</formula>
    </cfRule>
  </conditionalFormatting>
  <conditionalFormatting sqref="V1355 V1359">
    <cfRule type="containsText" dxfId="690" priority="471" operator="containsText" text="AB">
      <formula>NOT(ISERROR(SEARCH("AB",V1355)))</formula>
    </cfRule>
    <cfRule type="containsText" dxfId="689" priority="472" operator="containsText" text="SL">
      <formula>NOT(ISERROR(SEARCH("SL",V1355)))</formula>
    </cfRule>
    <cfRule type="containsText" dxfId="688" priority="473" operator="containsText" text="EL">
      <formula>NOT(ISERROR(SEARCH("EL",V1355)))</formula>
    </cfRule>
    <cfRule type="containsText" dxfId="687" priority="474" operator="containsText" text="PL">
      <formula>NOT(ISERROR(SEARCH("PL",V1355)))</formula>
    </cfRule>
    <cfRule type="containsText" dxfId="686" priority="475" operator="containsText" text="P">
      <formula>NOT(ISERROR(SEARCH("P",V1355)))</formula>
    </cfRule>
  </conditionalFormatting>
  <conditionalFormatting sqref="V1357 V1290:V1291">
    <cfRule type="containsText" dxfId="685" priority="688" operator="containsText" text="AB">
      <formula>NOT(ISERROR(SEARCH("AB",V1290)))</formula>
    </cfRule>
  </conditionalFormatting>
  <conditionalFormatting sqref="V1370:V1377 V1048:V1052 V1321 V1234 V834 V837 V1172 V1251 V1270 V1273 V1346 V1364:V1368 V899 V986:V987 V1002:V1004 V1082 V1230 V1217:V1220 V1279 V1283">
    <cfRule type="containsText" dxfId="684" priority="589" operator="containsText" text="AB">
      <formula>NOT(ISERROR(SEARCH("AB",V834)))</formula>
    </cfRule>
  </conditionalFormatting>
  <conditionalFormatting sqref="V1391 V1185 V1187:V1189">
    <cfRule type="containsText" dxfId="683" priority="316" operator="containsText" text="AB">
      <formula>NOT(ISERROR(SEARCH("AB",V1185)))</formula>
    </cfRule>
  </conditionalFormatting>
  <conditionalFormatting sqref="V1391">
    <cfRule type="containsText" dxfId="682" priority="312" operator="containsText" text="OFF">
      <formula>NOT(ISERROR(SEARCH("OFF",V1391)))</formula>
    </cfRule>
    <cfRule type="containsText" dxfId="681" priority="313" operator="containsText" text="ABWI">
      <formula>NOT(ISERROR(SEARCH("ABWI",V1391)))</formula>
    </cfRule>
    <cfRule type="containsText" dxfId="680" priority="314" operator="containsText" text="OFF">
      <formula>NOT(ISERROR(SEARCH("OFF",V1391)))</formula>
    </cfRule>
    <cfRule type="containsText" dxfId="679" priority="315" operator="containsText" text="ABWI">
      <formula>NOT(ISERROR(SEARCH("ABWI",V1391)))</formula>
    </cfRule>
    <cfRule type="containsText" dxfId="678" priority="321" operator="containsText" text="Miss SOS">
      <formula>NOT(ISERROR(SEARCH("Miss SOS",V1391)))</formula>
    </cfRule>
    <cfRule type="containsText" dxfId="677" priority="322" operator="containsText" text="ABWI">
      <formula>NOT(ISERROR(SEARCH("ABWI",V1391)))</formula>
    </cfRule>
  </conditionalFormatting>
  <conditionalFormatting sqref="V639:W639 W391 W405 W617 W656 W677 W697 W702 W722 W737 W805 W869 W1240">
    <cfRule type="containsText" dxfId="676" priority="60" operator="containsText" text="P">
      <formula>NOT(ISERROR(SEARCH("P",V391)))</formula>
    </cfRule>
  </conditionalFormatting>
  <conditionalFormatting sqref="W1:W895 W1040:W1135 W1161:W1315 W897:W1038">
    <cfRule type="containsText" dxfId="675" priority="1232" operator="containsText" text="Miss SOS">
      <formula>NOT(ISERROR(SEARCH("Miss SOS",W1)))</formula>
    </cfRule>
  </conditionalFormatting>
  <conditionalFormatting sqref="W13:W41 W43:W54 W56:W62 W82 W84 W94 W100 W109 W116 W131:W132 W134 W139:W140 W144 W146 W148 W150 W160 W165:W167 W170 W190 W204 W208 W226 W235 W243:W245 W247 W253 W256 W262 W264:W269 W273:W274 W295:W296 W300:W302 W305 W311 W316:W319 W323:W327 W345 W355:W356 W361:W362 W367:W368 W375 W393:W394 W398 W403 W407 W412:W417 W436 W441:W443 W454:W455 W474 W480 W482:W483 W501 W503:W504 W515 W529:W533 W540:W541 W548 W598 W600:W602 W609 W612 W616:W618 W620:W621 W626:W627 W642:W643 W646:W648 W653:W654 W663:W665 W679 W695:W699 W701:W702 W731 W733:W734 W749:W751 W756:W759 W761:W762 W764 W766:W767 W769:W775 W810 W813:W814 W825:W826 W828:W829 W833 W836 W853 W856 W865:W869 W884:W886 W897:W899 W901:W902 W910:W911 W913 W918 W940 W948 W950 W953 W960:W961 W965 W969 W972 W979 W983:W985 W996:W1000 W1015:W1017 W1042:W1044 W1062:W1068 W1070 W1072:W1073 W1077 W1084:W1087 W1091:W1092 W1110:W1112 W1126:W1128 W1134:W1137 W1143:W1144 W1147:W1148 W1150:W1152 W1160:W1162 W1167:W1169 W1173:W1177 W1181:W1183 W1211 W1214 W1236 W1240:W1243 W1250:W1251 W1265:W1266 W1298:W1299 W1324 W1343:W1344 W517:W519 W250:W251 W291:W293 W470:W471 W667:W668 W705:W709 W725:W727 W783:W786 W859:W861 W1028:W1029 W386:W388 W429:W430 W739 W816:W817 W1205 W1279:W1281 W1283 W1020:W1022 W1024:W1025 W659 W68:W76 W271 W282:W285 W331:W333 W349 W461 W1270 W78 W888:W890 W923:W924 W987:W989 W1002:W1003 W1095:W1097 W1185 V1364:V1368 V1370:V1376 V1378:V1381 V1384:V1387 V1389:V1399">
    <cfRule type="containsText" dxfId="674" priority="5062" operator="containsText" text="OFF">
      <formula>NOT(ISERROR(SEARCH("OFF",V13)))</formula>
    </cfRule>
  </conditionalFormatting>
  <conditionalFormatting sqref="W43:W47 W49:W54 W56:W60 W62 W64:W66 W68 W70:W76 W82 W84 W94 W100 W109 W116 W132 W134 W139:W140 W144 W146 W148 W150 W160 W165:W167 W170 W204 W208 W226 W235 W243:W245 W247 W256 W262 W264:W267 W269 W271 W273:W274 W282:W285 W295:W296 W301:W302 W305 W311 W317:W319 W326:W327 W331:W332 W345 W349 W356 W362 W367:W368 W375 W386:W388 W393:W394 W398 W403 W407 W415:W417 W430 W436 W441:W443 W455 W461 W470:W471 W474 W480 W482:W483 W501 W503:W504 W518:W519 W530:W533 W541 W548 W598 W601:W602 W609 W612 W616 W618 W621 W626:W627 W642:W643 W646:W648 W654 W659 W663:W665 W667:W668 W679 W695:W696 W698 W701 W706 W708:W709 W725:W727 W731 W733:W734 W739 W749 W751 W756:W759 W761:W762 W764 W766 W769 W771:W772 W774 W785 W810 W816:W817 W825 W828:W829 W833 W836 W853 W856 W859:W861 W865 W867:W868 W884 W886 W889 W898:W899 W901 W910:W911 W913 W918 W923:W924 W940 W948 W950 W953 W960 W969 W972 W979 W983:W984 W987:W989 W999 W1016:W1017 W1020 W1022 W1028:W1029 W1034:W1035 W1042 W1062:W1065 W1068 W1070 W1072 W1084:W1085 W1087 W1091 W1095:W1097 W1110:W1111 W1126:W1128 W1134:W1137 W1143 W1147 W1150 W1160:W1162 W1167:W1168 W1173:W1174 W1176:W1177 W1181:W1182 W1185 W1205 W1211 W1214 W1236 W1241:W1243 W1250:W1251 W1265 W1270 W1279:W1281 W1283 W1298:W1299 W1319 W1324 W1343">
    <cfRule type="containsText" dxfId="673" priority="5064" operator="containsText" text="SL">
      <formula>NOT(ISERROR(SEARCH("SL",W43)))</formula>
    </cfRule>
    <cfRule type="containsText" dxfId="672" priority="5065" operator="containsText" text="EL">
      <formula>NOT(ISERROR(SEARCH("EL",W43)))</formula>
    </cfRule>
    <cfRule type="containsText" dxfId="671" priority="5066" operator="containsText" text="PL">
      <formula>NOT(ISERROR(SEARCH("PL",W43)))</formula>
    </cfRule>
    <cfRule type="containsText" dxfId="670" priority="5067" operator="containsText" text="P">
      <formula>NOT(ISERROR(SEARCH("P",W43)))</formula>
    </cfRule>
  </conditionalFormatting>
  <conditionalFormatting sqref="W43:W47 W49:W54 W56:W60 W62 W68 W70:W76 W82 W84 W94 W100 W109 W116 W132 W134 W139:W140 W144 W146 W148 W150 W160 W165:W167 W170 W204 W208 W226 W235 W243:W245 W247 W256 W262 W264:W267 W269 W271 W273:W274 W282:W285 W295:W296 W301:W302 W305 W311 W317:W319 W326:W327 W331:W332 W345 W349 W356 W362 W367:W368 W375 W386:W388 W393:W394 W398 W403 W407 W415:W417 W430 W436 W441:W443 W455 W461 W470:W471 W474 W480 W482:W483 W501 W503:W504 W518:W519 W530:W533 W541 W548 W598 W601:W602 W609 W612 W616 W618 W621 W626:W627 W642:W643 W646:W648 W654 W659 W663:W665 W667:W668 W679 W695:W696 W698 W701 W706 W708:W709 W725:W727 W731 W733:W734 W739 W749 W751 W756:W759 W761:W762 W764 W766 W769 W771:W772 W774 W785 W810 W816:W817 W825 W828:W829 W833 W836 W853 W856 W859:W861 W865 W867:W868 W884 W886 W889 W898:W899 W901 W910:W911 W913 W918 W923:W924 W940 W948 W950 W953 W960 W969 W972 W979 W983:W984 W987:W989 W999 W1016:W1017 W1020 W1022 W1028:W1029 W1042 W1062:W1065 W1068 W1070 W1072 W1084:W1085 W1087 W1091 W1095:W1097 W1110:W1111 W1126:W1128 W1134:W1137 W1143 W1147 W1150 W1160:W1162 W1167:W1168 W1173:W1174 W1176:W1177 W1181:W1182 W1185 W1205 W1211 W1214 W1236 W1241:W1243 W1250:W1251 W1265 W1270 W1279:W1281 W1283 W1298:W1299 W1324 W1343 W1034:W1035 W1319 W64:W66">
    <cfRule type="containsText" dxfId="669" priority="5063" operator="containsText" text="AB">
      <formula>NOT(ISERROR(SEARCH("AB",W43)))</formula>
    </cfRule>
  </conditionalFormatting>
  <conditionalFormatting sqref="W48 W61 W90:W92 W105 W202 W323:W325 W337 W391 W405 W517 W586 W600 W617 W639 W656 W677 W697 W702 W720:W722 W736:W737 W775 W798:W799 W804:W805 W869 W936 W1043:W1044 W1086 W1220:W1221 W1227:W1228 W1240 W1263 W1285 W1314:W1315 W1317 W1333 W1362 W1369 W1388">
    <cfRule type="containsText" dxfId="668" priority="64" operator="containsText" text="SL">
      <formula>NOT(ISERROR(SEARCH("SL",W48)))</formula>
    </cfRule>
    <cfRule type="containsText" dxfId="667" priority="65" operator="containsText" text="EL">
      <formula>NOT(ISERROR(SEARCH("EL",W48)))</formula>
    </cfRule>
    <cfRule type="containsText" dxfId="666" priority="66" operator="containsText" text="PL">
      <formula>NOT(ISERROR(SEARCH("PL",W48)))</formula>
    </cfRule>
  </conditionalFormatting>
  <conditionalFormatting sqref="W64:W66 V1349:V1360">
    <cfRule type="containsText" dxfId="665" priority="11907" operator="containsText" text="OFF">
      <formula>NOT(ISERROR(SEARCH("OFF",V64)))</formula>
    </cfRule>
  </conditionalFormatting>
  <conditionalFormatting sqref="W64:W66 V1364:V1368 V1370:V1376 V1378:V1381 V1384:V1387 V1389:V1399 V1401:V1048576">
    <cfRule type="containsText" dxfId="664" priority="11683" operator="containsText" text="ABWI">
      <formula>NOT(ISERROR(SEARCH("ABWI",V64)))</formula>
    </cfRule>
  </conditionalFormatting>
  <conditionalFormatting sqref="W69 W78 W123 W131 W186 W206 W231 W253 W268 W280 W300 W325 W333 W355 W412:W414 W420:W421 W423 W427 W429 W445:W446 W448 W454 W521 W529 W536 W538 W540 W551 W553 W620 W638 W687:W688 W705 W712:W713 W767 W844:W845 W866 W888 W890 W902 W932 W934:W935 W965:W967 W1000 W1014:W1015 W1020:W1021 W1036 W1044 W1058:W1059 W1066:W1067 W1116:W1117 W1120:W1121 W1143:W1144 W1148 W1157:W1158 W1169 W1175 W1245 W1258 W1286 W1361 W1363 W1377 W1382:W1383 W1400 W91 W323 W720:W721 W736 W798">
    <cfRule type="containsText" dxfId="663" priority="615" operator="containsText" text="P">
      <formula>NOT(ISERROR(SEARCH("P",W69)))</formula>
    </cfRule>
  </conditionalFormatting>
  <conditionalFormatting sqref="W69 W78 W123 W131 W186 W206 W231 W253 W268 W280 W300 W325 W333 W355 W412:W414 W420:W421 W423 W427 W429 W445:W446 W448 W454 W521 W529 W536 W538 W540 W551 W553 W620 W638 W687:W688 W705 W712:W713 W767 W844:W845 W866 W888 W890 W902 W932 W934:W935 W965:W967 W1000 W1014:W1015 W1020:W1021 W1036 W1044 W1058:W1059 W1066:W1067 W1116:W1117 W1120:W1121 W1143:W1144 W1148 W1157:W1158 W1169 W1175 W1245 W1258 W1286 W1361 W1363 W1377 W1382:W1383 W1400">
    <cfRule type="containsText" dxfId="662" priority="612" operator="containsText" text="SL">
      <formula>NOT(ISERROR(SEARCH("SL",W69)))</formula>
    </cfRule>
    <cfRule type="containsText" dxfId="661" priority="613" operator="containsText" text="EL">
      <formula>NOT(ISERROR(SEARCH("EL",W69)))</formula>
    </cfRule>
    <cfRule type="containsText" dxfId="660" priority="614" operator="containsText" text="PL">
      <formula>NOT(ISERROR(SEARCH("PL",W69)))</formula>
    </cfRule>
  </conditionalFormatting>
  <conditionalFormatting sqref="W69 W78 W123 W186 W206 W231 W280 W333 W420:W421 W423 W427 W429 W445:W446 W448 W521 W536 W538 W551 W638 W687:W688 W705 W712:W713 W844:W845 W888 W890 W932 W934:W935 W965:W967 W1020:W1021 W1036 W1058:W1059 W1116:W1117 W1120:W1121 W1157:W1158 W1245 W1258 W1286 W1377 W1382:W1383 W1400 W355 W767 W902 W1143:W1144 W454 W866 W1044 W1000 W1014:W1015 W1169 W553 W1066:W1067 W325 W131 W253 W268 W300 W412:W414 W529 W540 W620 W1148 W1175">
    <cfRule type="containsText" dxfId="659" priority="611" operator="containsText" text="AB">
      <formula>NOT(ISERROR(SEARCH("AB",W69)))</formula>
    </cfRule>
  </conditionalFormatting>
  <conditionalFormatting sqref="W70:W71 W82 W94 W100 W109 W140 W150 W166:W167 W247 W256 W266:W267 W388 W443 W455 W471 W519 W530:W531 W533 W541 W601 W642 W663 W668 W708:W709 W727 W758 W828 W861 W910 W948 W983 W1016:W1017 W1029 W1034 W1062 W1084 W1126 W1134:W1135 W1137 W1174 W1205 W1211 W1214 W1236 W1250 W1281 W32:W38 W40 W250:W251 W292:W293 W783:W784 W786 W996:W998 W1049 W492 W684:W685 W1331 W459 W1201 U1:U3">
    <cfRule type="containsText" dxfId="658" priority="45791" operator="containsText" text="ABWI">
      <formula>NOT(ISERROR(SEARCH("ABWI",U1)))</formula>
    </cfRule>
  </conditionalFormatting>
  <conditionalFormatting sqref="W73 W209 W227 W291 W316:W317 W339 W490 W554 W574 W583 W750 W1243">
    <cfRule type="containsText" dxfId="657" priority="426" operator="containsText" text="SL">
      <formula>NOT(ISERROR(SEARCH("SL",W73)))</formula>
    </cfRule>
    <cfRule type="containsText" dxfId="656" priority="427" operator="containsText" text="EL">
      <formula>NOT(ISERROR(SEARCH("EL",W73)))</formula>
    </cfRule>
    <cfRule type="containsText" dxfId="655" priority="428" operator="containsText" text="PL">
      <formula>NOT(ISERROR(SEARCH("PL",W73)))</formula>
    </cfRule>
    <cfRule type="containsText" dxfId="654" priority="429" operator="containsText" text="P">
      <formula>NOT(ISERROR(SEARCH("P",W73)))</formula>
    </cfRule>
  </conditionalFormatting>
  <conditionalFormatting sqref="W73 W209 W227 W291 W338:W339 W490 W553:W554 W574 W583 W186 W206 W280 W705">
    <cfRule type="containsText" dxfId="653" priority="430" operator="containsText" text="ABWI">
      <formula>NOT(ISERROR(SEARCH("ABWI",W73)))</formula>
    </cfRule>
  </conditionalFormatting>
  <conditionalFormatting sqref="W87:W89 W91 W93:W95">
    <cfRule type="containsText" dxfId="652" priority="5055" operator="containsText" text="OFF">
      <formula>NOT(ISERROR(SEARCH("OFF",W87)))</formula>
    </cfRule>
    <cfRule type="containsText" dxfId="651" priority="5056" operator="containsText" text="AB">
      <formula>NOT(ISERROR(SEARCH("AB",W87)))</formula>
    </cfRule>
    <cfRule type="containsText" dxfId="650" priority="5057" operator="containsText" text="SL">
      <formula>NOT(ISERROR(SEARCH("SL",W87)))</formula>
    </cfRule>
    <cfRule type="containsText" dxfId="649" priority="5058" operator="containsText" text="EL">
      <formula>NOT(ISERROR(SEARCH("EL",W87)))</formula>
    </cfRule>
    <cfRule type="containsText" dxfId="648" priority="5059" operator="containsText" text="PL">
      <formula>NOT(ISERROR(SEARCH("PL",W87)))</formula>
    </cfRule>
    <cfRule type="containsText" dxfId="647" priority="5060" operator="containsText" text="P">
      <formula>NOT(ISERROR(SEARCH("P",W87)))</formula>
    </cfRule>
  </conditionalFormatting>
  <conditionalFormatting sqref="W87:W89 W93:W95 W91">
    <cfRule type="containsText" dxfId="646" priority="5054" operator="containsText" text="ABWI">
      <formula>NOT(ISERROR(SEARCH("ABWI",W87)))</formula>
    </cfRule>
  </conditionalFormatting>
  <conditionalFormatting sqref="W90:W92 W105 W202 W337 W391 W405 W586 W638:W639 W656 W720:W722 W736:W737 W798:W799 W804:W805 W934:W936 W1220:W1221 W1227:W1228 W1263 W1285:W1286 W1314:W1315 W1317 W1333 W1361:W1363 W1369 W1388 W677">
    <cfRule type="containsText" dxfId="645" priority="62" operator="containsText" text="OFF">
      <formula>NOT(ISERROR(SEARCH("OFF",W90)))</formula>
    </cfRule>
  </conditionalFormatting>
  <conditionalFormatting sqref="W90:W92 W105 W202 W337 W391 W405 W586 W639 W656 W677 W720:W722 W736:W737 W798:W799 W804:W805 W936 W1220:W1221 W1227:W1228 W1263 W1285 W1314:W1315 W1317 W1333 W1361:W1363 W1369 W1388 W517 W617 W697 W702 W869 W1240 W48 W61 W323:W325 W600 W775 W1043:W1044 W1086">
    <cfRule type="containsText" dxfId="644" priority="63" operator="containsText" text="AB">
      <formula>NOT(ISERROR(SEARCH("AB",W48)))</formula>
    </cfRule>
  </conditionalFormatting>
  <conditionalFormatting sqref="W94 W646:W649 W100 W109 W247 W375:W376 W529:W530 W540:W541 W677:W680 W170 W1062:W1067 W1084:W1087 W295:W296 W355:W356 W361:W362 W367:W368 W436 W441:W442 W454:W455 W474 W480 W482:W483 W501 W503:W504 W759 W1015:W1017 W1137 W1175:W1177 W1181:W1183 W1211 W1214 W1298:W1299 W82 W84 W116 W131:W132 W134 W139:W140 W144 W146 W148 W150 W160 W165:W167 W273:W274 W412:W417 W600:W602 W609 W612 W616:W618 W620:W621 W626:W627 W642:W643 W663:W665 W749:W751 W910:W911 W913 W948 W950 W953 W969 W972 W979 W983:W985 W1126:W1128 W1236 W1250:W1251 W828:W829 W833 W853 W256 W262 W264:W269 W772:W775 W1110:W1112 W1077:W1078 W598 W865:W869 W13:W31 W34 W36:W37 W39 W43:W54 W56:W62 W190 W204 W208 W226 W235 W243:W245 W253 W300:W302 W305 W311 W316:W319 W323:W327 W345 W393:W394 W398 W403 W407 W515 W548 W653:W654 W695:W699 W701:W702 W731 W733:W734 W761:W762 W764 W766:W767 W810 W813:W814 W825:W826 W836 W856 W884:W886 W897:W899 W901:W902 W918 W940 W960:W961 W965 W999:W1000 W1042:W1044 W1070 W1072:W1073 W1091:W1092 W1161:W1162 W1168:W1169 W1240:W1243 W1265:W1266 W1143:W1144 W1147:W1148 W1150:W1152 W1324 W1343:W1344">
    <cfRule type="containsText" dxfId="643" priority="5061" operator="containsText" text="ABWI">
      <formula>NOT(ISERROR(SEARCH("ABWI",W13)))</formula>
    </cfRule>
  </conditionalFormatting>
  <conditionalFormatting sqref="W97:W104 W106:W113 W192 W214 W217 W221:W223 W241 W247 W338 W352 W376:W377 W384 W478 W489:W491 W496 W519 W530 W541 W552 W554 W578:W579 W581 W605 W623 W670:W671 W685:W686 W789:W792 W796 W806:W808 W977 W1141 W1219 W1223 W1262 W1329:W1331">
    <cfRule type="containsText" dxfId="642" priority="4161" operator="containsText" text="AB">
      <formula>NOT(ISERROR(SEARCH("AB",W97)))</formula>
    </cfRule>
    <cfRule type="containsText" dxfId="641" priority="4162" operator="containsText" text="SL">
      <formula>NOT(ISERROR(SEARCH("SL",W97)))</formula>
    </cfRule>
    <cfRule type="containsText" dxfId="640" priority="4163" operator="containsText" text="EL">
      <formula>NOT(ISERROR(SEARCH("EL",W97)))</formula>
    </cfRule>
    <cfRule type="containsText" dxfId="639" priority="4164" operator="containsText" text="PL">
      <formula>NOT(ISERROR(SEARCH("PL",W97)))</formula>
    </cfRule>
  </conditionalFormatting>
  <conditionalFormatting sqref="W97:W104 W106:W113 W192 W214 W217 W221:W223 W241 W247 W338 W352 W376:W377 W384 W478 W489:W491 W496 W519 W530 W541 W552 W554 W578:W579 W581 W605 W623 W670:W671 W685:W686 W789:W792 W796 W806:W808 W977 W1141 W1219 W1223 W1262:W1263 W1329:W1331">
    <cfRule type="containsText" dxfId="638" priority="4165" operator="containsText" text="P">
      <formula>NOT(ISERROR(SEARCH("P",W97)))</formula>
    </cfRule>
  </conditionalFormatting>
  <conditionalFormatting sqref="W97:W104 W106:W113 W192 W214 W217 W241 W247 W338 W352 W376:W377 W384 W478 W489:W491 W496 W519 W530 W541 W552 W554 W578:W579 W581 W605 W623 W670:W671 W685:W686 W789:W792 W796 W806:W808 W977 W1141 W1223 W221:W223 W1219 W1329:W1331 W1262">
    <cfRule type="containsText" dxfId="637" priority="4160" operator="containsText" text="OFF">
      <formula>NOT(ISERROR(SEARCH("OFF",W97)))</formula>
    </cfRule>
  </conditionalFormatting>
  <conditionalFormatting sqref="W114 W199 W361 W653 W699 W707 W905 W928:W929 W974 W985 W1050:W1051 W1077 W1164:W1165 W804">
    <cfRule type="containsText" dxfId="636" priority="677" operator="containsText" text="P">
      <formula>NOT(ISERROR(SEARCH("P",W114)))</formula>
    </cfRule>
  </conditionalFormatting>
  <conditionalFormatting sqref="W114 W199 W361 W653 W699 W707 W905 W928:W929 W974 W985 W1050:W1051 W1077 W1164:W1165">
    <cfRule type="containsText" dxfId="635" priority="674" operator="containsText" text="SL">
      <formula>NOT(ISERROR(SEARCH("SL",W114)))</formula>
    </cfRule>
    <cfRule type="containsText" dxfId="634" priority="675" operator="containsText" text="EL">
      <formula>NOT(ISERROR(SEARCH("EL",W114)))</formula>
    </cfRule>
    <cfRule type="containsText" dxfId="633" priority="676" operator="containsText" text="PL">
      <formula>NOT(ISERROR(SEARCH("PL",W114)))</formula>
    </cfRule>
  </conditionalFormatting>
  <conditionalFormatting sqref="W114 W199 W707 W905 W928:W929 W974 W1050:W1051 W1164:W1165 W361 W985 W653 W699 W1077">
    <cfRule type="containsText" dxfId="632" priority="673" operator="containsText" text="AB">
      <formula>NOT(ISERROR(SEARCH("AB",W114)))</formula>
    </cfRule>
  </conditionalFormatting>
  <conditionalFormatting sqref="W114:W115 W199 W905:W906 W929 W974 W1051 W1165 W707">
    <cfRule type="containsText" dxfId="631" priority="672" operator="containsText" text="ABWI">
      <formula>NOT(ISERROR(SEARCH("ABWI",W114)))</formula>
    </cfRule>
  </conditionalFormatting>
  <conditionalFormatting sqref="W115 W281 W306 W431 W488 W497 W511 W526 W549 W563 W580 W791 W821 W1076 W1163 W1179 W1184 W1188 W1255 W1313">
    <cfRule type="containsText" dxfId="630" priority="934" operator="containsText" text="AB">
      <formula>NOT(ISERROR(SEARCH("AB",W115)))</formula>
    </cfRule>
    <cfRule type="containsText" dxfId="629" priority="935" operator="containsText" text="SL">
      <formula>NOT(ISERROR(SEARCH("SL",W115)))</formula>
    </cfRule>
    <cfRule type="containsText" dxfId="628" priority="936" operator="containsText" text="EL">
      <formula>NOT(ISERROR(SEARCH("EL",W115)))</formula>
    </cfRule>
    <cfRule type="containsText" dxfId="627" priority="937" operator="containsText" text="PL">
      <formula>NOT(ISERROR(SEARCH("PL",W115)))</formula>
    </cfRule>
    <cfRule type="containsText" dxfId="626" priority="938" operator="containsText" text="P">
      <formula>NOT(ISERROR(SEARCH("P",W115)))</formula>
    </cfRule>
  </conditionalFormatting>
  <conditionalFormatting sqref="W123 W186:W187 W206 W231 W280:W281 W420:W421 W423 W427 W446 W448 W521 W536 W538 W551 W688 W713 W845 W967 W1059 W1121 W1158 W1245 W1258 W1377 W1382:W1383 W1400 W1025 W705 W932 W888:W891 W1021 W1095:W1097 W1117 W1035:W1036 W638 W935 W1286 W69:W70 W78 W333 W429">
    <cfRule type="containsText" dxfId="625" priority="610" operator="containsText" text="ABWI">
      <formula>NOT(ISERROR(SEARCH("ABWI",W69)))</formula>
    </cfRule>
  </conditionalFormatting>
  <conditionalFormatting sqref="W166 W376">
    <cfRule type="containsText" dxfId="624" priority="2884" operator="containsText" text="AB">
      <formula>NOT(ISERROR(SEARCH("AB",W166)))</formula>
    </cfRule>
    <cfRule type="containsText" dxfId="623" priority="2885" operator="containsText" text="SL">
      <formula>NOT(ISERROR(SEARCH("SL",W166)))</formula>
    </cfRule>
    <cfRule type="containsText" dxfId="622" priority="2886" operator="containsText" text="EL">
      <formula>NOT(ISERROR(SEARCH("EL",W166)))</formula>
    </cfRule>
    <cfRule type="containsText" dxfId="621" priority="2887" operator="containsText" text="PL">
      <formula>NOT(ISERROR(SEARCH("PL",W166)))</formula>
    </cfRule>
    <cfRule type="containsText" dxfId="620" priority="2888" operator="containsText" text="P">
      <formula>NOT(ISERROR(SEARCH("P",W166)))</formula>
    </cfRule>
  </conditionalFormatting>
  <conditionalFormatting sqref="W166:W167 W187:W189 W461:W463 W554:W574 W630:W637 W729:W732 W818:W824 W1032 W1127 W1163 W1218:W1219 W1287:W1290 W986:W996 W1137:W1159 W207:W215 W1222:W1226 W132 W191:W198 W200:W201 W203:W205 W269:W270 W415 W689:W696 W734:W735 W738:W739 W1166:W1167 W1170:W1173">
    <cfRule type="containsText" dxfId="619" priority="963" operator="containsText" text="Miss SOS">
      <formula>NOT(ISERROR(SEARCH("Miss SOS",W132)))</formula>
    </cfRule>
  </conditionalFormatting>
  <conditionalFormatting sqref="W169:W170 W871 W882 W904 W908 W1037:W1038 W1063 W1087">
    <cfRule type="containsText" dxfId="618" priority="3712" operator="containsText" text="AB">
      <formula>NOT(ISERROR(SEARCH("AB",W169)))</formula>
    </cfRule>
    <cfRule type="containsText" dxfId="617" priority="3713" operator="containsText" text="SL">
      <formula>NOT(ISERROR(SEARCH("SL",W169)))</formula>
    </cfRule>
    <cfRule type="containsText" dxfId="616" priority="3714" operator="containsText" text="EL">
      <formula>NOT(ISERROR(SEARCH("EL",W169)))</formula>
    </cfRule>
    <cfRule type="containsText" dxfId="615" priority="3715" operator="containsText" text="PL">
      <formula>NOT(ISERROR(SEARCH("PL",W169)))</formula>
    </cfRule>
    <cfRule type="containsText" dxfId="614" priority="3716" operator="containsText" text="P">
      <formula>NOT(ISERROR(SEARCH("P",W169)))</formula>
    </cfRule>
  </conditionalFormatting>
  <conditionalFormatting sqref="W169:W170 W871 W882 W904 W1087 W1034:W1038 W1063 W908">
    <cfRule type="containsText" dxfId="613" priority="3711" operator="containsText" text="OFF">
      <formula>NOT(ISERROR(SEARCH("OFF",W169)))</formula>
    </cfRule>
  </conditionalFormatting>
  <conditionalFormatting sqref="W169:W170 W882 W871 W904">
    <cfRule type="containsText" dxfId="612" priority="3710" operator="containsText" text="ABWI">
      <formula>NOT(ISERROR(SEARCH("ABWI",W169)))</formula>
    </cfRule>
  </conditionalFormatting>
  <conditionalFormatting sqref="W173 W175 W229 W276:W277 W444 W458:W459 W466:W467 W745:W746 W893:W894 W926:W927 W946 W992 W1101:W1102 W1115:W1116 W1198 W1201:W1202">
    <cfRule type="containsText" dxfId="611" priority="3941" operator="containsText" text="OFF">
      <formula>NOT(ISERROR(SEARCH("OFF",W173)))</formula>
    </cfRule>
    <cfRule type="containsText" dxfId="610" priority="3942" operator="containsText" text="AB">
      <formula>NOT(ISERROR(SEARCH("AB",W173)))</formula>
    </cfRule>
    <cfRule type="containsText" dxfId="609" priority="3943" operator="containsText" text="SL">
      <formula>NOT(ISERROR(SEARCH("SL",W173)))</formula>
    </cfRule>
    <cfRule type="containsText" dxfId="608" priority="3944" operator="containsText" text="EL">
      <formula>NOT(ISERROR(SEARCH("EL",W173)))</formula>
    </cfRule>
    <cfRule type="containsText" dxfId="607" priority="3945" operator="containsText" text="PL">
      <formula>NOT(ISERROR(SEARCH("PL",W173)))</formula>
    </cfRule>
    <cfRule type="containsText" dxfId="606" priority="3946" operator="containsText" text="P">
      <formula>NOT(ISERROR(SEARCH("P",W173)))</formula>
    </cfRule>
  </conditionalFormatting>
  <conditionalFormatting sqref="W186 W206 W209 W227 W280 W339 W490 W553:W554 W574 W583">
    <cfRule type="containsText" dxfId="605" priority="424" operator="containsText" text="OFF">
      <formula>NOT(ISERROR(SEARCH("OFF",W186)))</formula>
    </cfRule>
  </conditionalFormatting>
  <conditionalFormatting sqref="W187 W275 W281 W314 W463 W488 W497 W574 W636 W717 W791:W792 W821 W1032 W1047:W1049 W1076 W1101 W1163 W1218 W1290 W166 W731 W1017 W1127">
    <cfRule type="containsText" dxfId="604" priority="962" operator="containsText" text="ABWI">
      <formula>NOT(ISERROR(SEARCH("ABWI",W166)))</formula>
    </cfRule>
  </conditionalFormatting>
  <conditionalFormatting sqref="W187 W275 W281 W314 W463 W488 W497 W574 W636 W717 W791:W792 W821 W1032 W1047:W1049 W1076 W1101 W1163 W1218 W1290">
    <cfRule type="containsText" dxfId="603" priority="957" operator="containsText" text="AB">
      <formula>NOT(ISERROR(SEARCH("AB",W187)))</formula>
    </cfRule>
    <cfRule type="containsText" dxfId="602" priority="958" operator="containsText" text="SL">
      <formula>NOT(ISERROR(SEARCH("SL",W187)))</formula>
    </cfRule>
    <cfRule type="containsText" dxfId="601" priority="959" operator="containsText" text="EL">
      <formula>NOT(ISERROR(SEARCH("EL",W187)))</formula>
    </cfRule>
    <cfRule type="containsText" dxfId="600" priority="960" operator="containsText" text="PL">
      <formula>NOT(ISERROR(SEARCH("PL",W187)))</formula>
    </cfRule>
    <cfRule type="containsText" dxfId="599" priority="961" operator="containsText" text="P">
      <formula>NOT(ISERROR(SEARCH("P",W187)))</formula>
    </cfRule>
  </conditionalFormatting>
  <conditionalFormatting sqref="W200 W649">
    <cfRule type="containsText" dxfId="598" priority="4379" operator="containsText" text="OFF">
      <formula>NOT(ISERROR(SEARCH("OFF",W200)))</formula>
    </cfRule>
    <cfRule type="containsText" dxfId="597" priority="4380" operator="containsText" text="AB">
      <formula>NOT(ISERROR(SEARCH("AB",W200)))</formula>
    </cfRule>
    <cfRule type="containsText" dxfId="596" priority="4381" operator="containsText" text="SL">
      <formula>NOT(ISERROR(SEARCH("SL",W200)))</formula>
    </cfRule>
    <cfRule type="containsText" dxfId="595" priority="4382" operator="containsText" text="EL">
      <formula>NOT(ISERROR(SEARCH("EL",W200)))</formula>
    </cfRule>
    <cfRule type="containsText" dxfId="594" priority="4383" operator="containsText" text="PL">
      <formula>NOT(ISERROR(SEARCH("PL",W200)))</formula>
    </cfRule>
    <cfRule type="containsText" dxfId="593" priority="4384" operator="containsText" text="P">
      <formula>NOT(ISERROR(SEARCH("P",W200)))</formula>
    </cfRule>
  </conditionalFormatting>
  <conditionalFormatting sqref="W200">
    <cfRule type="containsText" dxfId="592" priority="4378" operator="containsText" text="ABWI">
      <formula>NOT(ISERROR(SEARCH("ABWI",W200)))</formula>
    </cfRule>
  </conditionalFormatting>
  <conditionalFormatting sqref="W209 W227 W339 W490 W554 W574 W583 W316:W317 W73 W291 W750 W1243">
    <cfRule type="containsText" dxfId="591" priority="425" operator="containsText" text="AB">
      <formula>NOT(ISERROR(SEARCH("AB",W73)))</formula>
    </cfRule>
  </conditionalFormatting>
  <conditionalFormatting sqref="W217 W247 W377 W384 W478 W489:W491 W496 W518:W519 W530 W541 W578:W579 W581 W789:W792 W1141 W108:W111 W113 W605 W623 W685:W686 W977 W97:W104 W106 W670:W671 W192 W214 W241 W338 W352 W552 W554 W796 W806:W808 W1223">
    <cfRule type="containsText" dxfId="590" priority="4159" operator="containsText" text="ABWI">
      <formula>NOT(ISERROR(SEARCH("ABWI",W97)))</formula>
    </cfRule>
  </conditionalFormatting>
  <conditionalFormatting sqref="W220 W247 W290 W388 W431 W443 W459 W471 W481 W492 W500 W519 W530:W531 W533 W541 W578 W649 W668 W708 W727 W758 W861 W1017 W1029 W1033 W1174 W1281">
    <cfRule type="containsText" dxfId="589" priority="3177" operator="containsText" text="AB">
      <formula>NOT(ISERROR(SEARCH("AB",W220)))</formula>
    </cfRule>
    <cfRule type="containsText" dxfId="588" priority="3178" operator="containsText" text="SL">
      <formula>NOT(ISERROR(SEARCH("SL",W220)))</formula>
    </cfRule>
    <cfRule type="containsText" dxfId="587" priority="3179" operator="containsText" text="EL">
      <formula>NOT(ISERROR(SEARCH("EL",W220)))</formula>
    </cfRule>
    <cfRule type="containsText" dxfId="586" priority="3180" operator="containsText" text="PL">
      <formula>NOT(ISERROR(SEARCH("PL",W220)))</formula>
    </cfRule>
    <cfRule type="containsText" dxfId="585" priority="3181" operator="containsText" text="P">
      <formula>NOT(ISERROR(SEARCH("P",W220)))</formula>
    </cfRule>
  </conditionalFormatting>
  <conditionalFormatting sqref="W220 W247">
    <cfRule type="containsText" dxfId="584" priority="3153" operator="containsText" text="AB">
      <formula>NOT(ISERROR(SEARCH("AB",W220)))</formula>
    </cfRule>
    <cfRule type="containsText" dxfId="583" priority="3154" operator="containsText" text="SL">
      <formula>NOT(ISERROR(SEARCH("SL",W220)))</formula>
    </cfRule>
    <cfRule type="containsText" dxfId="582" priority="3155" operator="containsText" text="EL">
      <formula>NOT(ISERROR(SEARCH("EL",W220)))</formula>
    </cfRule>
    <cfRule type="containsText" dxfId="581" priority="3156" operator="containsText" text="PL">
      <formula>NOT(ISERROR(SEARCH("PL",W220)))</formula>
    </cfRule>
    <cfRule type="containsText" dxfId="580" priority="3157" operator="containsText" text="P">
      <formula>NOT(ISERROR(SEARCH("P",W220)))</formula>
    </cfRule>
    <cfRule type="containsText" dxfId="579" priority="3158" operator="containsText" text="ABWI">
      <formula>NOT(ISERROR(SEARCH("ABWI",W220)))</formula>
    </cfRule>
  </conditionalFormatting>
  <conditionalFormatting sqref="W220:W223 W247 W290 W387:W388 W430:W431 W443 W459 W470:W471 W480:W481 W492 W500 W519 W530:W533 W541 W578 W649 W667:W668 W708 W725:W727 W755:W758 W859:W861 W1016:W1017 W1028:W1029 W1033:W1034 W1174 W1279:W1281 W1205 W1283 W1087 W784:W786 W376 W1134:W1135 W816:W817 W739:W740 W1048:W1049 W296 W706 W1068">
    <cfRule type="containsText" dxfId="578" priority="3182" operator="containsText" text="ABWI">
      <formula>NOT(ISERROR(SEARCH("ABWI",W220)))</formula>
    </cfRule>
  </conditionalFormatting>
  <conditionalFormatting sqref="W247 W220">
    <cfRule type="containsText" dxfId="577" priority="3152" operator="containsText" text="OFF">
      <formula>NOT(ISERROR(SEARCH("OFF",W220)))</formula>
    </cfRule>
  </conditionalFormatting>
  <conditionalFormatting sqref="W247 W376">
    <cfRule type="containsText" dxfId="576" priority="2882" operator="containsText" text="ABWI">
      <formula>NOT(ISERROR(SEARCH("ABWI",W247)))</formula>
    </cfRule>
  </conditionalFormatting>
  <conditionalFormatting sqref="W247 W827:W828 W1034 W830:W835">
    <cfRule type="containsText" dxfId="575" priority="3087" operator="containsText" text="Miss SOS">
      <formula>NOT(ISERROR(SEARCH("Miss SOS",W247)))</formula>
    </cfRule>
  </conditionalFormatting>
  <conditionalFormatting sqref="W250:W251 W275 W281 W286 W488 W497 W661 W684 W717 W778 W894 W906 W994 W1006 W1054 W1101:W1102 W1124 W1130 W1132 W1256 W1261 W1287 W1337">
    <cfRule type="containsText" dxfId="574" priority="1219" operator="containsText" text="SL">
      <formula>NOT(ISERROR(SEARCH("SL",W250)))</formula>
    </cfRule>
    <cfRule type="containsText" dxfId="573" priority="1220" operator="containsText" text="EL">
      <formula>NOT(ISERROR(SEARCH("EL",W250)))</formula>
    </cfRule>
    <cfRule type="containsText" dxfId="572" priority="1221" operator="containsText" text="PL">
      <formula>NOT(ISERROR(SEARCH("PL",W250)))</formula>
    </cfRule>
    <cfRule type="containsText" dxfId="571" priority="1222" operator="containsText" text="P">
      <formula>NOT(ISERROR(SEARCH("P",W250)))</formula>
    </cfRule>
  </conditionalFormatting>
  <conditionalFormatting sqref="W251 W275 W281 W286 W488 W497 W661:W662 W684:W685 W717 W777:W778 W894 W906 W994 W1006 W1054 W1101:W1102 W1124:W1125 W1130 W1132 W1256 W1261:W1262 W1287 W1337 W708:W709 W76 W817">
    <cfRule type="containsText" dxfId="570" priority="1223" operator="containsText" text="ABWI">
      <formula>NOT(ISERROR(SEARCH("ABWI",W76)))</formula>
    </cfRule>
  </conditionalFormatting>
  <conditionalFormatting sqref="W266:W267 W774 W254:W264 W612 W93:W104 W106 W470 W482 W530 W532 W618:W619 W648 W757">
    <cfRule type="containsText" dxfId="569" priority="2522" operator="containsText" text="Miss SOS">
      <formula>NOT(ISERROR(SEARCH("Miss SOS",W93)))</formula>
    </cfRule>
  </conditionalFormatting>
  <conditionalFormatting sqref="W275 W281 W286 W488 W497 W661 W684 W717 W778 W894 W906 W994 W1006 W1054 W1101:W1102 W1124 W1130 W1132 W1256 W1261 W1287 W1337 W250:W251">
    <cfRule type="containsText" dxfId="568" priority="1218" operator="containsText" text="AB">
      <formula>NOT(ISERROR(SEARCH("AB",W250)))</formula>
    </cfRule>
  </conditionalFormatting>
  <conditionalFormatting sqref="W275 W281 W314 W463 W488 W497 W636 W717 W791:W792 W821 W1032 W1047:W1049 W1076 W1101 W1163 W1218 W1290 W187 W574">
    <cfRule type="containsText" dxfId="567" priority="956" operator="containsText" text="OFF">
      <formula>NOT(ISERROR(SEARCH("OFF",W187)))</formula>
    </cfRule>
  </conditionalFormatting>
  <conditionalFormatting sqref="W281 W286 W314 W342:W343 W488:W489 W496:W497 W671 W720 W792 W894 W1102 W1161">
    <cfRule type="containsText" dxfId="566" priority="1231" operator="containsText" text="ABWI">
      <formula>NOT(ISERROR(SEARCH("ABWI",W281)))</formula>
    </cfRule>
  </conditionalFormatting>
  <conditionalFormatting sqref="W281 W286 W314 W343 W488 W496:W497 W671 W720 W792 W894 W1102 W1161">
    <cfRule type="containsText" dxfId="565" priority="1226" operator="containsText" text="AB">
      <formula>NOT(ISERROR(SEARCH("AB",W281)))</formula>
    </cfRule>
    <cfRule type="containsText" dxfId="564" priority="1227" operator="containsText" text="SL">
      <formula>NOT(ISERROR(SEARCH("SL",W281)))</formula>
    </cfRule>
    <cfRule type="containsText" dxfId="563" priority="1228" operator="containsText" text="EL">
      <formula>NOT(ISERROR(SEARCH("EL",W281)))</formula>
    </cfRule>
    <cfRule type="containsText" dxfId="562" priority="1229" operator="containsText" text="PL">
      <formula>NOT(ISERROR(SEARCH("PL",W281)))</formula>
    </cfRule>
    <cfRule type="containsText" dxfId="561" priority="1230" operator="containsText" text="P">
      <formula>NOT(ISERROR(SEARCH("P",W281)))</formula>
    </cfRule>
  </conditionalFormatting>
  <conditionalFormatting sqref="W281 W286 W488 W496:W497 W894 W1102 W314 W792 W720 W1161 W343 W671">
    <cfRule type="containsText" dxfId="560" priority="1225" operator="containsText" text="OFF">
      <formula>NOT(ISERROR(SEARCH("OFF",W281)))</formula>
    </cfRule>
  </conditionalFormatting>
  <conditionalFormatting sqref="W281 W488 W497 W791 W821 W1076 W1163 W1048 W275 W314 W463 W636 W717 W1032 W1101 W1218 W1290">
    <cfRule type="containsText" dxfId="559" priority="955" operator="containsText" text="ABWI">
      <formula>NOT(ISERROR(SEARCH("ABWI",W275)))</formula>
    </cfRule>
  </conditionalFormatting>
  <conditionalFormatting sqref="W292 W923:W924 W972 W132 W695 W987:W989 W317 W43 W51 W59 W62 W243 W264 W301 W626 W654 W659 W701 W762 W807 W836 W856 W898">
    <cfRule type="containsText" dxfId="558" priority="1224" operator="containsText" text="ABWI">
      <formula>NOT(ISERROR(SEARCH("ABWI",W43)))</formula>
    </cfRule>
  </conditionalFormatting>
  <conditionalFormatting sqref="W297 W316 W454 W1157:W1158 W1278 W1303 W325">
    <cfRule type="containsText" dxfId="557" priority="249" operator="containsText" text="P">
      <formula>NOT(ISERROR(SEARCH("P",W297)))</formula>
    </cfRule>
  </conditionalFormatting>
  <conditionalFormatting sqref="W297 W316 W454 W1157:W1158 W1278 W1303">
    <cfRule type="containsText" dxfId="556" priority="246" operator="containsText" text="SL">
      <formula>NOT(ISERROR(SEARCH("SL",W297)))</formula>
    </cfRule>
    <cfRule type="containsText" dxfId="555" priority="247" operator="containsText" text="EL">
      <formula>NOT(ISERROR(SEARCH("EL",W297)))</formula>
    </cfRule>
    <cfRule type="containsText" dxfId="554" priority="248" operator="containsText" text="PL">
      <formula>NOT(ISERROR(SEARCH("PL",W297)))</formula>
    </cfRule>
  </conditionalFormatting>
  <conditionalFormatting sqref="W297 W1024 W1157:W1158 W1278 W1303">
    <cfRule type="containsText" dxfId="553" priority="243" operator="containsText" text="ABWI">
      <formula>NOT(ISERROR(SEARCH("ABWI",W297)))</formula>
    </cfRule>
  </conditionalFormatting>
  <conditionalFormatting sqref="W297 W1157:W1158 W1278 W1303 W316 W454">
    <cfRule type="containsText" dxfId="552" priority="245" operator="containsText" text="AB">
      <formula>NOT(ISERROR(SEARCH("AB",W297)))</formula>
    </cfRule>
  </conditionalFormatting>
  <conditionalFormatting sqref="W297 W1157:W1158 W1278 W1303">
    <cfRule type="containsText" dxfId="551" priority="244" operator="containsText" text="OFF">
      <formula>NOT(ISERROR(SEARCH("OFF",W297)))</formula>
    </cfRule>
  </conditionalFormatting>
  <conditionalFormatting sqref="W306 W431 W488 W497 W526 W549 W563 W580 W791 W821 W1076 W1179 W1188 W1255 W1313 W1163 W115 W281 W1184 W511">
    <cfRule type="containsText" dxfId="550" priority="933" operator="containsText" text="OFF">
      <formula>NOT(ISERROR(SEARCH("OFF",W115)))</formula>
    </cfRule>
  </conditionalFormatting>
  <conditionalFormatting sqref="W338 W778 W802 W891 W906 W926 W1048:W1049 W1124 W1142 W1149">
    <cfRule type="containsText" dxfId="549" priority="929" operator="containsText" text="EL">
      <formula>NOT(ISERROR(SEARCH("EL",W338)))</formula>
    </cfRule>
    <cfRule type="containsText" dxfId="548" priority="930" operator="containsText" text="PL">
      <formula>NOT(ISERROR(SEARCH("PL",W338)))</formula>
    </cfRule>
    <cfRule type="containsText" dxfId="547" priority="931" operator="containsText" text="P">
      <formula>NOT(ISERROR(SEARCH("P",W338)))</formula>
    </cfRule>
  </conditionalFormatting>
  <conditionalFormatting sqref="W338 W778 W802 W891 W906 W926 W1048:W1049 W1142 W1149">
    <cfRule type="containsText" dxfId="546" priority="927" operator="containsText" text="AB">
      <formula>NOT(ISERROR(SEARCH("AB",W338)))</formula>
    </cfRule>
    <cfRule type="containsText" dxfId="545" priority="928" operator="containsText" text="SL">
      <formula>NOT(ISERROR(SEARCH("SL",W338)))</formula>
    </cfRule>
  </conditionalFormatting>
  <conditionalFormatting sqref="W342">
    <cfRule type="containsText" dxfId="544" priority="3498" operator="containsText" text="OFF">
      <formula>NOT(ISERROR(SEARCH("OFF",W342)))</formula>
    </cfRule>
    <cfRule type="containsText" dxfId="543" priority="3499" operator="containsText" text="AB">
      <formula>NOT(ISERROR(SEARCH("AB",W342)))</formula>
    </cfRule>
    <cfRule type="containsText" dxfId="542" priority="3500" operator="containsText" text="SL">
      <formula>NOT(ISERROR(SEARCH("SL",W342)))</formula>
    </cfRule>
    <cfRule type="containsText" dxfId="541" priority="3501" operator="containsText" text="EL">
      <formula>NOT(ISERROR(SEARCH("EL",W342)))</formula>
    </cfRule>
    <cfRule type="containsText" dxfId="540" priority="3502" operator="containsText" text="PL">
      <formula>NOT(ISERROR(SEARCH("PL",W342)))</formula>
    </cfRule>
    <cfRule type="containsText" dxfId="539" priority="3503" operator="containsText" text="P">
      <formula>NOT(ISERROR(SEARCH("P",W342)))</formula>
    </cfRule>
  </conditionalFormatting>
  <conditionalFormatting sqref="W350 W462 W628 W641">
    <cfRule type="containsText" dxfId="538" priority="1948" operator="containsText" text="OFF">
      <formula>NOT(ISERROR(SEARCH("OFF",W350)))</formula>
    </cfRule>
    <cfRule type="containsText" dxfId="537" priority="1949" operator="containsText" text="AB">
      <formula>NOT(ISERROR(SEARCH("AB",W350)))</formula>
    </cfRule>
    <cfRule type="containsText" dxfId="536" priority="1950" operator="containsText" text="SL">
      <formula>NOT(ISERROR(SEARCH("SL",W350)))</formula>
    </cfRule>
    <cfRule type="containsText" dxfId="535" priority="1951" operator="containsText" text="EL">
      <formula>NOT(ISERROR(SEARCH("EL",W350)))</formula>
    </cfRule>
    <cfRule type="containsText" dxfId="534" priority="1952" operator="containsText" text="PL">
      <formula>NOT(ISERROR(SEARCH("PL",W350)))</formula>
    </cfRule>
    <cfRule type="containsText" dxfId="533" priority="1953" operator="containsText" text="P">
      <formula>NOT(ISERROR(SEARCH("P",W350)))</formula>
    </cfRule>
  </conditionalFormatting>
  <conditionalFormatting sqref="W355 W510:W511 W565 W612 W767 W814 W902 W1015 W1040 W1144 W1151 W1169 W1216 W1235 W1238 W1266 W1274 W1278">
    <cfRule type="containsText" dxfId="532" priority="442" operator="containsText" text="ABWI">
      <formula>NOT(ISERROR(SEARCH("ABWI",W355)))</formula>
    </cfRule>
  </conditionalFormatting>
  <conditionalFormatting sqref="W355 W767 W985 W1012 W1040 W1206 W1208 W1211:W1212 W1216 W1224 W1266 W1307 W1241">
    <cfRule type="containsText" dxfId="531" priority="263" operator="containsText" text="ABWI">
      <formula>NOT(ISERROR(SEARCH("ABWI",W355)))</formula>
    </cfRule>
  </conditionalFormatting>
  <conditionalFormatting sqref="W355">
    <cfRule type="containsText" dxfId="530" priority="567" operator="containsText" text="OFF">
      <formula>NOT(ISERROR(SEARCH("OFF",W355)))</formula>
    </cfRule>
    <cfRule type="containsText" dxfId="529" priority="568" operator="containsText" text="ABWI">
      <formula>NOT(ISERROR(SEARCH("ABWI",W355)))</formula>
    </cfRule>
  </conditionalFormatting>
  <conditionalFormatting sqref="W361 W1165">
    <cfRule type="containsText" dxfId="528" priority="637" operator="containsText" text="SL">
      <formula>NOT(ISERROR(SEARCH("SL",W361)))</formula>
    </cfRule>
    <cfRule type="containsText" dxfId="527" priority="638" operator="containsText" text="EL">
      <formula>NOT(ISERROR(SEARCH("EL",W361)))</formula>
    </cfRule>
    <cfRule type="containsText" dxfId="526" priority="639" operator="containsText" text="PL">
      <formula>NOT(ISERROR(SEARCH("PL",W361)))</formula>
    </cfRule>
    <cfRule type="containsText" dxfId="525" priority="640" operator="containsText" text="P">
      <formula>NOT(ISERROR(SEARCH("P",W361)))</formula>
    </cfRule>
  </conditionalFormatting>
  <conditionalFormatting sqref="W367">
    <cfRule type="containsText" dxfId="524" priority="2858" operator="containsText" text="ABWI">
      <formula>NOT(ISERROR(SEARCH("ABWI",W367)))</formula>
    </cfRule>
  </conditionalFormatting>
  <conditionalFormatting sqref="W369:W371">
    <cfRule type="containsText" dxfId="523" priority="3183" operator="containsText" text="ABWI">
      <formula>NOT(ISERROR(SEARCH("ABWI",W369)))</formula>
    </cfRule>
    <cfRule type="containsText" dxfId="522" priority="3184" operator="containsText" text="OFF">
      <formula>NOT(ISERROR(SEARCH("OFF",W369)))</formula>
    </cfRule>
    <cfRule type="containsText" dxfId="521" priority="3185" operator="containsText" text="AB">
      <formula>NOT(ISERROR(SEARCH("AB",W369)))</formula>
    </cfRule>
    <cfRule type="containsText" dxfId="520" priority="3186" operator="containsText" text="SL">
      <formula>NOT(ISERROR(SEARCH("SL",W369)))</formula>
    </cfRule>
    <cfRule type="containsText" dxfId="519" priority="3187" operator="containsText" text="EL">
      <formula>NOT(ISERROR(SEARCH("EL",W369)))</formula>
    </cfRule>
    <cfRule type="containsText" dxfId="518" priority="3188" operator="containsText" text="PL">
      <formula>NOT(ISERROR(SEARCH("PL",W369)))</formula>
    </cfRule>
    <cfRule type="containsText" dxfId="517" priority="3189" operator="containsText" text="P">
      <formula>NOT(ISERROR(SEARCH("P",W369)))</formula>
    </cfRule>
  </conditionalFormatting>
  <conditionalFormatting sqref="W370:W375">
    <cfRule type="containsText" dxfId="516" priority="946" operator="containsText" text="Miss SOS">
      <formula>NOT(ISERROR(SEARCH("Miss SOS",W370)))</formula>
    </cfRule>
  </conditionalFormatting>
  <conditionalFormatting sqref="W376 W166">
    <cfRule type="containsText" dxfId="515" priority="2883" operator="containsText" text="OFF">
      <formula>NOT(ISERROR(SEARCH("OFF",W166)))</formula>
    </cfRule>
  </conditionalFormatting>
  <conditionalFormatting sqref="W388 W431 W459 W492 W500 W578 W649 W727 W758 W1017 W1281 W220 W247 W443 W1033 W471 W519 W530:W531 W533 W861 W1029 W290 W481 W541 W1174 W668 W708">
    <cfRule type="containsText" dxfId="514" priority="3176" operator="containsText" text="OFF">
      <formula>NOT(ISERROR(SEARCH("OFF",W220)))</formula>
    </cfRule>
  </conditionalFormatting>
  <conditionalFormatting sqref="W391 W405 W639 W656 W722 W737 W805 W1317 W1319:W1321 W1333 W1362 W1369 W1388 W90 W92 W105 W202 W337 W517 W586 W770 W799 W936 W1221 W1227:W1228 W1263 W1285 W1315">
    <cfRule type="containsText" dxfId="513" priority="61" operator="containsText" text="ABWI">
      <formula>NOT(ISERROR(SEARCH("ABWI",W90)))</formula>
    </cfRule>
  </conditionalFormatting>
  <conditionalFormatting sqref="W400 W590 W813 W864 W1024 W1308:W1309 W804 W928 W1048:W1050 W1163:W1164 W91 W445 W720:W721 W736 W844 W934 W965:W966 W1014 W1020 W1116 W1120 W1363 W41 W284:W285 W386 W667">
    <cfRule type="containsText" dxfId="512" priority="781" operator="containsText" text="ABWI">
      <formula>NOT(ISERROR(SEARCH("ABWI",W41)))</formula>
    </cfRule>
  </conditionalFormatting>
  <conditionalFormatting sqref="W400 W590 W813 W864 W1024 W1308:W1309">
    <cfRule type="containsText" dxfId="511" priority="777" operator="containsText" text="SL">
      <formula>NOT(ISERROR(SEARCH("SL",W400)))</formula>
    </cfRule>
    <cfRule type="containsText" dxfId="510" priority="778" operator="containsText" text="EL">
      <formula>NOT(ISERROR(SEARCH("EL",W400)))</formula>
    </cfRule>
    <cfRule type="containsText" dxfId="509" priority="779" operator="containsText" text="PL">
      <formula>NOT(ISERROR(SEARCH("PL",W400)))</formula>
    </cfRule>
    <cfRule type="containsText" dxfId="508" priority="780" operator="containsText" text="P">
      <formula>NOT(ISERROR(SEARCH("P",W400)))</formula>
    </cfRule>
  </conditionalFormatting>
  <conditionalFormatting sqref="W400 W590 W864 W813 W1024 W1308:W1309">
    <cfRule type="containsText" dxfId="507" priority="776" operator="containsText" text="AB">
      <formula>NOT(ISERROR(SEARCH("AB",W400)))</formula>
    </cfRule>
  </conditionalFormatting>
  <conditionalFormatting sqref="W400 W590 W864">
    <cfRule type="containsText" dxfId="506" priority="775" operator="containsText" text="OFF">
      <formula>NOT(ISERROR(SEARCH("OFF",W400)))</formula>
    </cfRule>
  </conditionalFormatting>
  <conditionalFormatting sqref="W419 W422">
    <cfRule type="containsText" dxfId="505" priority="3190" operator="containsText" text="ABWI">
      <formula>NOT(ISERROR(SEARCH("ABWI",W419)))</formula>
    </cfRule>
    <cfRule type="containsText" dxfId="504" priority="3191" operator="containsText" text="OFF">
      <formula>NOT(ISERROR(SEARCH("OFF",W419)))</formula>
    </cfRule>
    <cfRule type="containsText" dxfId="503" priority="3192" operator="containsText" text="AB">
      <formula>NOT(ISERROR(SEARCH("AB",W419)))</formula>
    </cfRule>
    <cfRule type="containsText" dxfId="502" priority="3193" operator="containsText" text="SL">
      <formula>NOT(ISERROR(SEARCH("SL",W419)))</formula>
    </cfRule>
    <cfRule type="containsText" dxfId="501" priority="3194" operator="containsText" text="EL">
      <formula>NOT(ISERROR(SEARCH("EL",W419)))</formula>
    </cfRule>
    <cfRule type="containsText" dxfId="500" priority="3195" operator="containsText" text="PL">
      <formula>NOT(ISERROR(SEARCH("PL",W419)))</formula>
    </cfRule>
    <cfRule type="containsText" dxfId="499" priority="3196" operator="containsText" text="P">
      <formula>NOT(ISERROR(SEARCH("P",W419)))</formula>
    </cfRule>
  </conditionalFormatting>
  <conditionalFormatting sqref="W428">
    <cfRule type="containsText" dxfId="498" priority="1983" operator="containsText" text="ABWI">
      <formula>NOT(ISERROR(SEARCH("ABWI",W428)))</formula>
    </cfRule>
    <cfRule type="containsText" dxfId="497" priority="1984" operator="containsText" text="OFF">
      <formula>NOT(ISERROR(SEARCH("OFF",W428)))</formula>
    </cfRule>
    <cfRule type="containsText" dxfId="496" priority="1985" operator="containsText" text="AB">
      <formula>NOT(ISERROR(SEARCH("AB",W428)))</formula>
    </cfRule>
    <cfRule type="containsText" dxfId="495" priority="1986" operator="containsText" text="SL">
      <formula>NOT(ISERROR(SEARCH("SL",W428)))</formula>
    </cfRule>
    <cfRule type="containsText" dxfId="494" priority="1987" operator="containsText" text="EL">
      <formula>NOT(ISERROR(SEARCH("EL",W428)))</formula>
    </cfRule>
    <cfRule type="containsText" dxfId="493" priority="1988" operator="containsText" text="PL">
      <formula>NOT(ISERROR(SEARCH("PL",W428)))</formula>
    </cfRule>
    <cfRule type="containsText" dxfId="492" priority="1989" operator="containsText" text="P">
      <formula>NOT(ISERROR(SEARCH("P",W428)))</formula>
    </cfRule>
    <cfRule type="containsText" dxfId="491" priority="1990" operator="containsText" text="ABWI">
      <formula>NOT(ISERROR(SEARCH("ABWI",W428)))</formula>
    </cfRule>
  </conditionalFormatting>
  <conditionalFormatting sqref="W442 W456 W484 W621 W643">
    <cfRule type="containsText" dxfId="490" priority="3131" operator="containsText" text="AB">
      <formula>NOT(ISERROR(SEARCH("AB",W442)))</formula>
    </cfRule>
    <cfRule type="containsText" dxfId="489" priority="3132" operator="containsText" text="SL">
      <formula>NOT(ISERROR(SEARCH("SL",W442)))</formula>
    </cfRule>
    <cfRule type="containsText" dxfId="488" priority="3133" operator="containsText" text="EL">
      <formula>NOT(ISERROR(SEARCH("EL",W442)))</formula>
    </cfRule>
    <cfRule type="containsText" dxfId="487" priority="3134" operator="containsText" text="PL">
      <formula>NOT(ISERROR(SEARCH("PL",W442)))</formula>
    </cfRule>
    <cfRule type="containsText" dxfId="486" priority="3135" operator="containsText" text="P">
      <formula>NOT(ISERROR(SEARCH("P",W442)))</formula>
    </cfRule>
  </conditionalFormatting>
  <conditionalFormatting sqref="W442:W443 W455:W456 W484 W621 W642:W643 W678 W680 W685 W82 W150 W1214 W1236">
    <cfRule type="containsText" dxfId="485" priority="3136" operator="containsText" text="ABWI">
      <formula>NOT(ISERROR(SEARCH("ABWI",W82)))</formula>
    </cfRule>
  </conditionalFormatting>
  <conditionalFormatting sqref="W444 W458 W893:W894 W173 W175 W745:W746 W946 W1201:W1202 W466:W467 W229 W276:W277 W926:W927 W992 W1101:W1102 W1115:W1116 W1198">
    <cfRule type="containsText" dxfId="484" priority="3940" operator="containsText" text="ABWI">
      <formula>NOT(ISERROR(SEARCH("ABWI",W173)))</formula>
    </cfRule>
  </conditionalFormatting>
  <conditionalFormatting sqref="W447 W449 W479 W489 W522:W523 W587:W589 W591:W592 W756 W957 W1049 W1052:W1054 W1192:W1193 W1202:W1204 W1321">
    <cfRule type="containsText" dxfId="483" priority="2013" operator="containsText" text="AB">
      <formula>NOT(ISERROR(SEARCH("AB",W447)))</formula>
    </cfRule>
    <cfRule type="containsText" dxfId="482" priority="2014" operator="containsText" text="SL">
      <formula>NOT(ISERROR(SEARCH("SL",W447)))</formula>
    </cfRule>
    <cfRule type="containsText" dxfId="481" priority="2015" operator="containsText" text="EL">
      <formula>NOT(ISERROR(SEARCH("EL",W447)))</formula>
    </cfRule>
    <cfRule type="containsText" dxfId="480" priority="2016" operator="containsText" text="PL">
      <formula>NOT(ISERROR(SEARCH("PL",W447)))</formula>
    </cfRule>
    <cfRule type="containsText" dxfId="479" priority="2017" operator="containsText" text="P">
      <formula>NOT(ISERROR(SEARCH("P",W447)))</formula>
    </cfRule>
  </conditionalFormatting>
  <conditionalFormatting sqref="W454">
    <cfRule type="containsText" dxfId="478" priority="544" operator="containsText" text="OFF">
      <formula>NOT(ISERROR(SEARCH("OFF",W454)))</formula>
    </cfRule>
    <cfRule type="containsText" dxfId="477" priority="545" operator="containsText" text="ABWI">
      <formula>NOT(ISERROR(SEARCH("ABWI",W454)))</formula>
    </cfRule>
  </conditionalFormatting>
  <conditionalFormatting sqref="W479 W522:W523 W587:W589 W591:W592 W756 W957 W1049 W1052:W1054 W1192:W1193 W1202:W1204 W447 W449 W489 W1319:W1321">
    <cfRule type="containsText" dxfId="476" priority="2012" operator="containsText" text="OFF">
      <formula>NOT(ISERROR(SEARCH("OFF",W447)))</formula>
    </cfRule>
  </conditionalFormatting>
  <conditionalFormatting sqref="W479:W480">
    <cfRule type="containsText" dxfId="475" priority="2010" operator="containsText" text="Miss SOS">
      <formula>NOT(ISERROR(SEARCH("Miss SOS",W479)))</formula>
    </cfRule>
  </conditionalFormatting>
  <conditionalFormatting sqref="W479:W481 W587:W589 W591:W592 W522:W523 W541 W756 W816 W957 W1049 W1052:W1054 W1192:W1193 W1202:W1203">
    <cfRule type="containsText" dxfId="474" priority="2011" operator="containsText" text="ABWI">
      <formula>NOT(ISERROR(SEARCH("ABWI",W479)))</formula>
    </cfRule>
  </conditionalFormatting>
  <conditionalFormatting sqref="W492:W493 W564 W629:W630 W657 W753 W755">
    <cfRule type="containsText" dxfId="473" priority="4809" operator="containsText" text="AB">
      <formula>NOT(ISERROR(SEARCH("AB",W492)))</formula>
    </cfRule>
    <cfRule type="containsText" dxfId="472" priority="4810" operator="containsText" text="SL">
      <formula>NOT(ISERROR(SEARCH("SL",W492)))</formula>
    </cfRule>
    <cfRule type="containsText" dxfId="471" priority="4811" operator="containsText" text="EL">
      <formula>NOT(ISERROR(SEARCH("EL",W492)))</formula>
    </cfRule>
    <cfRule type="containsText" dxfId="470" priority="4812" operator="containsText" text="PL">
      <formula>NOT(ISERROR(SEARCH("PL",W492)))</formula>
    </cfRule>
    <cfRule type="containsText" dxfId="469" priority="4813" operator="containsText" text="P">
      <formula>NOT(ISERROR(SEARCH("P",W492)))</formula>
    </cfRule>
  </conditionalFormatting>
  <conditionalFormatting sqref="W492:W493 W564 W629:W630 W753 W755 W657">
    <cfRule type="containsText" dxfId="468" priority="4808" operator="containsText" text="OFF">
      <formula>NOT(ISERROR(SEARCH("OFF",W492)))</formula>
    </cfRule>
  </conditionalFormatting>
  <conditionalFormatting sqref="W493 W629:W630 W753 W564">
    <cfRule type="containsText" dxfId="467" priority="4807" operator="containsText" text="ABWI">
      <formula>NOT(ISERROR(SEARCH("ABWI",W493)))</formula>
    </cfRule>
  </conditionalFormatting>
  <conditionalFormatting sqref="W498:W514 W418:W419 W362:W369 W216:W220 W246:W250 W287:W290 W293:W299 W376:W385 W431:W440 W442:W444 W455:W460 W471:W478 W480:W481 W490:W496 W519:W520 W530:W531 W533:W535 W541:W547 W575:W585 W649:W652 W668:W669 W708 W727:W728 W740:W742 W758:W760 W783:W784 W786:W790 W861:W863 W1017:W1019 W1029:W1031 W1033 W1049 W1087:W1090 W1133:W1135 W1174 W1177:W1181 W483:W487 W1209:W1217 W1023 W1137:W1142 W356:W360 W1084 W525:W528 W891:W893 W516 W537 W539 W765 W768 W809">
    <cfRule type="containsText" dxfId="466" priority="3709" operator="containsText" text="Miss SOS">
      <formula>NOT(ISERROR(SEARCH("Miss SOS",W216)))</formula>
    </cfRule>
  </conditionalFormatting>
  <conditionalFormatting sqref="W510 W565 W612 W814 W1025 W1040 W1096:W1097 W1151 W1216 W1235 W1238 W1266 W1274 W1278 W355 W767 W888 W902 W1014:W1015 W1021 W1144 W1169">
    <cfRule type="containsText" dxfId="465" priority="441" operator="containsText" text="OFF">
      <formula>NOT(ISERROR(SEARCH("OFF",W355)))</formula>
    </cfRule>
  </conditionalFormatting>
  <conditionalFormatting sqref="W510 W565 W612 W814 W1025 W1040 W1096:W1097 W1151 W1216 W1235 W1238 W1266 W1274 W1278">
    <cfRule type="containsText" dxfId="464" priority="437" operator="containsText" text="SL">
      <formula>NOT(ISERROR(SEARCH("SL",W510)))</formula>
    </cfRule>
    <cfRule type="containsText" dxfId="463" priority="438" operator="containsText" text="EL">
      <formula>NOT(ISERROR(SEARCH("EL",W510)))</formula>
    </cfRule>
    <cfRule type="containsText" dxfId="462" priority="439" operator="containsText" text="PL">
      <formula>NOT(ISERROR(SEARCH("PL",W510)))</formula>
    </cfRule>
    <cfRule type="containsText" dxfId="461" priority="440" operator="containsText" text="P">
      <formula>NOT(ISERROR(SEARCH("P",W510)))</formula>
    </cfRule>
  </conditionalFormatting>
  <conditionalFormatting sqref="W511">
    <cfRule type="containsText" dxfId="460" priority="3197" operator="containsText" text="ABWI">
      <formula>NOT(ISERROR(SEARCH("ABWI",W511)))</formula>
    </cfRule>
    <cfRule type="containsText" dxfId="459" priority="3198" operator="containsText" text="OFF">
      <formula>NOT(ISERROR(SEARCH("OFF",W511)))</formula>
    </cfRule>
    <cfRule type="containsText" dxfId="458" priority="3199" operator="containsText" text="AB">
      <formula>NOT(ISERROR(SEARCH("AB",W511)))</formula>
    </cfRule>
    <cfRule type="containsText" dxfId="457" priority="3200" operator="containsText" text="SL">
      <formula>NOT(ISERROR(SEARCH("SL",W511)))</formula>
    </cfRule>
    <cfRule type="containsText" dxfId="456" priority="3201" operator="containsText" text="EL">
      <formula>NOT(ISERROR(SEARCH("EL",W511)))</formula>
    </cfRule>
    <cfRule type="containsText" dxfId="455" priority="3202" operator="containsText" text="PL">
      <formula>NOT(ISERROR(SEARCH("PL",W511)))</formula>
    </cfRule>
    <cfRule type="containsText" dxfId="454" priority="3203" operator="containsText" text="P">
      <formula>NOT(ISERROR(SEARCH("P",W511)))</formula>
    </cfRule>
  </conditionalFormatting>
  <conditionalFormatting sqref="W601:W616 W81:W89 W132:W164 W621:W626 W640:W647 W678:W683 W685:W686 W1229:W1239 W751:W756 W910:W913 W1126:W1129 W1200:W1203 W1205:W1207 W1283:W1284 W166:W185 W941:W959 W743:W748 W878:W883 W415:W417 W975:W983 W1291:W1301 W628:W629 W662:W664 W776:W777 W933 W968:W973 W1281 W1279 W115:W122 W108:W111 W113 W124:W130 W272:W273 W410:W411">
    <cfRule type="containsText" dxfId="453" priority="3174" operator="containsText" text="Miss SOS">
      <formula>NOT(ISERROR(SEARCH("Miss SOS",W81)))</formula>
    </cfRule>
  </conditionalFormatting>
  <conditionalFormatting sqref="W607 W828">
    <cfRule type="containsText" dxfId="452" priority="2225" operator="containsText" text="Miss SOS">
      <formula>NOT(ISERROR(SEARCH("Miss SOS",W607)))</formula>
    </cfRule>
  </conditionalFormatting>
  <conditionalFormatting sqref="W609">
    <cfRule type="containsText" dxfId="451" priority="3151" operator="containsText" text="ABWI">
      <formula>NOT(ISERROR(SEARCH("ABWI",W609)))</formula>
    </cfRule>
  </conditionalFormatting>
  <conditionalFormatting sqref="W628 W641 W350 W356 W462">
    <cfRule type="containsText" dxfId="450" priority="1947" operator="containsText" text="ABWI">
      <formula>NOT(ISERROR(SEARCH("ABWI",W350)))</formula>
    </cfRule>
  </conditionalFormatting>
  <conditionalFormatting sqref="W628 W641 W662 W673 W777 W802 W876 W880 W954 W969 W1125">
    <cfRule type="containsText" dxfId="449" priority="1650" operator="containsText" text="AB">
      <formula>NOT(ISERROR(SEARCH("AB",W628)))</formula>
    </cfRule>
    <cfRule type="containsText" dxfId="448" priority="1651" operator="containsText" text="SL">
      <formula>NOT(ISERROR(SEARCH("SL",W628)))</formula>
    </cfRule>
    <cfRule type="containsText" dxfId="447" priority="1652" operator="containsText" text="EL">
      <formula>NOT(ISERROR(SEARCH("EL",W628)))</formula>
    </cfRule>
    <cfRule type="containsText" dxfId="446" priority="1653" operator="containsText" text="PL">
      <formula>NOT(ISERROR(SEARCH("PL",W628)))</formula>
    </cfRule>
    <cfRule type="containsText" dxfId="445" priority="1654" operator="containsText" text="P">
      <formula>NOT(ISERROR(SEARCH("P",W628)))</formula>
    </cfRule>
  </conditionalFormatting>
  <conditionalFormatting sqref="W628 W641 W673 W802 W876 W880 W954 W969 W662 W777 W1125">
    <cfRule type="containsText" dxfId="444" priority="1649" operator="containsText" text="OFF">
      <formula>NOT(ISERROR(SEARCH("OFF",W628)))</formula>
    </cfRule>
  </conditionalFormatting>
  <conditionalFormatting sqref="W628 W641 W673 W802 W876 W880 W954 W969">
    <cfRule type="containsText" dxfId="443" priority="1648" operator="containsText" text="ABWI">
      <formula>NOT(ISERROR(SEARCH("ABWI",W628)))</formula>
    </cfRule>
  </conditionalFormatting>
  <conditionalFormatting sqref="W637 W1107:W1108">
    <cfRule type="containsText" dxfId="442" priority="4167" operator="containsText" text="OFF">
      <formula>NOT(ISERROR(SEARCH("OFF",W637)))</formula>
    </cfRule>
    <cfRule type="containsText" dxfId="441" priority="4168" operator="containsText" text="AB">
      <formula>NOT(ISERROR(SEARCH("AB",W637)))</formula>
    </cfRule>
    <cfRule type="containsText" dxfId="440" priority="4169" operator="containsText" text="SL">
      <formula>NOT(ISERROR(SEARCH("SL",W637)))</formula>
    </cfRule>
    <cfRule type="containsText" dxfId="439" priority="4170" operator="containsText" text="EL">
      <formula>NOT(ISERROR(SEARCH("EL",W637)))</formula>
    </cfRule>
    <cfRule type="containsText" dxfId="438" priority="4171" operator="containsText" text="PL">
      <formula>NOT(ISERROR(SEARCH("PL",W637)))</formula>
    </cfRule>
    <cfRule type="containsText" dxfId="437" priority="4172" operator="containsText" text="P">
      <formula>NOT(ISERROR(SEARCH("P",W637)))</formula>
    </cfRule>
  </conditionalFormatting>
  <conditionalFormatting sqref="W643 W442 W456 W484 W621">
    <cfRule type="containsText" dxfId="436" priority="3130" operator="containsText" text="OFF">
      <formula>NOT(ISERROR(SEARCH("OFF",W442)))</formula>
    </cfRule>
  </conditionalFormatting>
  <conditionalFormatting sqref="W643">
    <cfRule type="containsText" dxfId="435" priority="2857" operator="containsText" text="ABWI">
      <formula>NOT(ISERROR(SEARCH("ABWI",W643)))</formula>
    </cfRule>
  </conditionalFormatting>
  <conditionalFormatting sqref="W657:W659">
    <cfRule type="containsText" dxfId="434" priority="2881" operator="containsText" text="ABWI">
      <formula>NOT(ISERROR(SEARCH("ABWI",W657)))</formula>
    </cfRule>
  </conditionalFormatting>
  <conditionalFormatting sqref="W658 W678 W680 W685 W716:W718 W740 W743:W744 W880:W881">
    <cfRule type="containsText" dxfId="433" priority="2559" operator="containsText" text="OFF">
      <formula>NOT(ISERROR(SEARCH("OFF",W658)))</formula>
    </cfRule>
    <cfRule type="containsText" dxfId="432" priority="2560" operator="containsText" text="AB">
      <formula>NOT(ISERROR(SEARCH("AB",W658)))</formula>
    </cfRule>
    <cfRule type="containsText" dxfId="431" priority="2561" operator="containsText" text="SL">
      <formula>NOT(ISERROR(SEARCH("SL",W658)))</formula>
    </cfRule>
    <cfRule type="containsText" dxfId="430" priority="2562" operator="containsText" text="EL">
      <formula>NOT(ISERROR(SEARCH("EL",W658)))</formula>
    </cfRule>
    <cfRule type="containsText" dxfId="429" priority="2563" operator="containsText" text="PL">
      <formula>NOT(ISERROR(SEARCH("PL",W658)))</formula>
    </cfRule>
    <cfRule type="containsText" dxfId="428" priority="2564" operator="containsText" text="P">
      <formula>NOT(ISERROR(SEARCH("P",W658)))</formula>
    </cfRule>
  </conditionalFormatting>
  <conditionalFormatting sqref="W661 W684 W778 W906 W1124 W1256 W1261 W994 W1287 W275 W281 W488 W497 W717 W1101:W1102 W1337 W286 W894 W1006 W1054 W1130 W1132">
    <cfRule type="containsText" dxfId="427" priority="1217" operator="containsText" text="OFF">
      <formula>NOT(ISERROR(SEARCH("OFF",W275)))</formula>
    </cfRule>
  </conditionalFormatting>
  <conditionalFormatting sqref="W662 W743 W777 W803 W877">
    <cfRule type="containsText" dxfId="426" priority="1941" operator="containsText" text="AB">
      <formula>NOT(ISERROR(SEARCH("AB",W662)))</formula>
    </cfRule>
    <cfRule type="containsText" dxfId="425" priority="1942" operator="containsText" text="SL">
      <formula>NOT(ISERROR(SEARCH("SL",W662)))</formula>
    </cfRule>
    <cfRule type="containsText" dxfId="424" priority="1943" operator="containsText" text="EL">
      <formula>NOT(ISERROR(SEARCH("EL",W662)))</formula>
    </cfRule>
    <cfRule type="containsText" dxfId="423" priority="1944" operator="containsText" text="PL">
      <formula>NOT(ISERROR(SEARCH("PL",W662)))</formula>
    </cfRule>
    <cfRule type="containsText" dxfId="422" priority="1945" operator="containsText" text="P">
      <formula>NOT(ISERROR(SEARCH("P",W662)))</formula>
    </cfRule>
  </conditionalFormatting>
  <conditionalFormatting sqref="W662 W777 W803 W877 W743">
    <cfRule type="containsText" dxfId="421" priority="1940" operator="containsText" text="OFF">
      <formula>NOT(ISERROR(SEARCH("OFF",W662)))</formula>
    </cfRule>
  </conditionalFormatting>
  <conditionalFormatting sqref="W671:W676 W800:W803 W870:W877 W1125:W1127 W587:W589 W591:W599 W867">
    <cfRule type="containsText" dxfId="420" priority="1655" operator="containsText" text="Miss SOS">
      <formula>NOT(ISERROR(SEARCH("Miss SOS",W587)))</formula>
    </cfRule>
  </conditionalFormatting>
  <conditionalFormatting sqref="W678 W470:W471 W530:W533 W680 W685 W743:W745 W166:W167 W518:W519 W658 W716:W718 W740">
    <cfRule type="containsText" dxfId="419" priority="2558" operator="containsText" text="ABWI">
      <formula>NOT(ISERROR(SEARCH("ABWI",W166)))</formula>
    </cfRule>
  </conditionalFormatting>
  <conditionalFormatting sqref="W678 W680:W683 W933">
    <cfRule type="containsText" dxfId="418" priority="3717" operator="containsText" text="ABWI">
      <formula>NOT(ISERROR(SEARCH("ABWI",W678)))</formula>
    </cfRule>
    <cfRule type="containsText" dxfId="417" priority="3718" operator="containsText" text="OFF">
      <formula>NOT(ISERROR(SEARCH("OFF",W678)))</formula>
    </cfRule>
    <cfRule type="containsText" dxfId="416" priority="3719" operator="containsText" text="AB">
      <formula>NOT(ISERROR(SEARCH("AB",W678)))</formula>
    </cfRule>
    <cfRule type="containsText" dxfId="415" priority="3720" operator="containsText" text="SL">
      <formula>NOT(ISERROR(SEARCH("SL",W678)))</formula>
    </cfRule>
    <cfRule type="containsText" dxfId="414" priority="3721" operator="containsText" text="EL">
      <formula>NOT(ISERROR(SEARCH("EL",W678)))</formula>
    </cfRule>
    <cfRule type="containsText" dxfId="413" priority="3722" operator="containsText" text="PL">
      <formula>NOT(ISERROR(SEARCH("PL",W678)))</formula>
    </cfRule>
    <cfRule type="containsText" dxfId="412" priority="3723" operator="containsText" text="P">
      <formula>NOT(ISERROR(SEARCH("P",W678)))</formula>
    </cfRule>
  </conditionalFormatting>
  <conditionalFormatting sqref="W678">
    <cfRule type="containsText" dxfId="411" priority="2534" operator="containsText" text="ABWI">
      <formula>NOT(ISERROR(SEARCH("ABWI",W678)))</formula>
    </cfRule>
    <cfRule type="containsText" dxfId="410" priority="2535" operator="containsText" text="OFF">
      <formula>NOT(ISERROR(SEARCH("OFF",W678)))</formula>
    </cfRule>
    <cfRule type="containsText" dxfId="409" priority="2536" operator="containsText" text="AB">
      <formula>NOT(ISERROR(SEARCH("AB",W678)))</formula>
    </cfRule>
    <cfRule type="containsText" dxfId="408" priority="2537" operator="containsText" text="SL">
      <formula>NOT(ISERROR(SEARCH("SL",W678)))</formula>
    </cfRule>
    <cfRule type="containsText" dxfId="407" priority="2538" operator="containsText" text="EL">
      <formula>NOT(ISERROR(SEARCH("EL",W678)))</formula>
    </cfRule>
    <cfRule type="containsText" dxfId="406" priority="2539" operator="containsText" text="PL">
      <formula>NOT(ISERROR(SEARCH("PL",W678)))</formula>
    </cfRule>
    <cfRule type="containsText" dxfId="405" priority="2540" operator="containsText" text="P">
      <formula>NOT(ISERROR(SEARCH("P",W678)))</formula>
    </cfRule>
  </conditionalFormatting>
  <conditionalFormatting sqref="W680 W685">
    <cfRule type="containsText" dxfId="404" priority="2513" operator="containsText" text="OFF">
      <formula>NOT(ISERROR(SEARCH("OFF",W680)))</formula>
    </cfRule>
    <cfRule type="containsText" dxfId="403" priority="2514" operator="containsText" text="AB">
      <formula>NOT(ISERROR(SEARCH("AB",W680)))</formula>
    </cfRule>
    <cfRule type="containsText" dxfId="402" priority="2515" operator="containsText" text="SL">
      <formula>NOT(ISERROR(SEARCH("SL",W680)))</formula>
    </cfRule>
    <cfRule type="containsText" dxfId="401" priority="2516" operator="containsText" text="EL">
      <formula>NOT(ISERROR(SEARCH("EL",W680)))</formula>
    </cfRule>
    <cfRule type="containsText" dxfId="400" priority="2517" operator="containsText" text="PL">
      <formula>NOT(ISERROR(SEARCH("PL",W680)))</formula>
    </cfRule>
    <cfRule type="containsText" dxfId="399" priority="2518" operator="containsText" text="P">
      <formula>NOT(ISERROR(SEARCH("P",W680)))</formula>
    </cfRule>
  </conditionalFormatting>
  <conditionalFormatting sqref="W685 W680">
    <cfRule type="containsText" dxfId="398" priority="2512" operator="containsText" text="ABWI">
      <formula>NOT(ISERROR(SEARCH("ABWI",W680)))</formula>
    </cfRule>
  </conditionalFormatting>
  <conditionalFormatting sqref="W685 W801 W840 W880:W881">
    <cfRule type="containsText" dxfId="397" priority="2228" operator="containsText" text="AB">
      <formula>NOT(ISERROR(SEARCH("AB",W685)))</formula>
    </cfRule>
    <cfRule type="containsText" dxfId="396" priority="2229" operator="containsText" text="SL">
      <formula>NOT(ISERROR(SEARCH("SL",W685)))</formula>
    </cfRule>
    <cfRule type="containsText" dxfId="395" priority="2230" operator="containsText" text="EL">
      <formula>NOT(ISERROR(SEARCH("EL",W685)))</formula>
    </cfRule>
    <cfRule type="containsText" dxfId="394" priority="2231" operator="containsText" text="PL">
      <formula>NOT(ISERROR(SEARCH("PL",W685)))</formula>
    </cfRule>
    <cfRule type="containsText" dxfId="393" priority="2232" operator="containsText" text="P">
      <formula>NOT(ISERROR(SEARCH("P",W685)))</formula>
    </cfRule>
  </conditionalFormatting>
  <conditionalFormatting sqref="W718:W719 W464:W470 W518 W532 W1034 W1137 W1135 W857:W860 W1026:W1028 W841:W843 W489 W815:W816 W1126 W1173 W247 W474 W700 W811:W812 W846:W855">
    <cfRule type="containsText" dxfId="392" priority="2565" operator="containsText" text="Miss SOS">
      <formula>NOT(ISERROR(SEARCH("Miss SOS",W247)))</formula>
    </cfRule>
  </conditionalFormatting>
  <conditionalFormatting sqref="W719:W720">
    <cfRule type="containsText" dxfId="391" priority="5033" operator="containsText" text="ABWI">
      <formula>NOT(ISERROR(SEARCH("ABWI",W719)))</formula>
    </cfRule>
    <cfRule type="containsText" dxfId="390" priority="5034" operator="containsText" text="OFF">
      <formula>NOT(ISERROR(SEARCH("OFF",W719)))</formula>
    </cfRule>
    <cfRule type="containsText" dxfId="389" priority="5035" operator="containsText" text="AB">
      <formula>NOT(ISERROR(SEARCH("AB",W719)))</formula>
    </cfRule>
    <cfRule type="containsText" dxfId="388" priority="5036" operator="containsText" text="SL">
      <formula>NOT(ISERROR(SEARCH("SL",W719)))</formula>
    </cfRule>
    <cfRule type="containsText" dxfId="387" priority="5037" operator="containsText" text="EL">
      <formula>NOT(ISERROR(SEARCH("EL",W719)))</formula>
    </cfRule>
    <cfRule type="containsText" dxfId="386" priority="5038" operator="containsText" text="PL">
      <formula>NOT(ISERROR(SEARCH("PL",W719)))</formula>
    </cfRule>
    <cfRule type="containsText" dxfId="385" priority="5039" operator="containsText" text="P">
      <formula>NOT(ISERROR(SEARCH("P",W719)))</formula>
    </cfRule>
  </conditionalFormatting>
  <conditionalFormatting sqref="W729 W743 W799:W800 W839 W979 W982 W1328">
    <cfRule type="containsText" dxfId="384" priority="1663" operator="containsText" text="P">
      <formula>NOT(ISERROR(SEARCH("P",W729)))</formula>
    </cfRule>
  </conditionalFormatting>
  <conditionalFormatting sqref="W729 W743 W800 W839 W979 W982 W1328">
    <cfRule type="containsText" dxfId="383" priority="1658" operator="containsText" text="OFF">
      <formula>NOT(ISERROR(SEARCH("OFF",W729)))</formula>
    </cfRule>
    <cfRule type="containsText" dxfId="382" priority="1659" operator="containsText" text="AB">
      <formula>NOT(ISERROR(SEARCH("AB",W729)))</formula>
    </cfRule>
    <cfRule type="containsText" dxfId="381" priority="1660" operator="containsText" text="SL">
      <formula>NOT(ISERROR(SEARCH("SL",W729)))</formula>
    </cfRule>
    <cfRule type="containsText" dxfId="380" priority="1661" operator="containsText" text="EL">
      <formula>NOT(ISERROR(SEARCH("EL",W729)))</formula>
    </cfRule>
    <cfRule type="containsText" dxfId="379" priority="1662" operator="containsText" text="PL">
      <formula>NOT(ISERROR(SEARCH("PL",W729)))</formula>
    </cfRule>
  </conditionalFormatting>
  <conditionalFormatting sqref="W729 W743 W800:W801 W839:W840 W979 W982 W1328:W1330 W447 W449 W601:W602 W668 W1110">
    <cfRule type="containsText" dxfId="378" priority="1664" operator="containsText" text="ABWI">
      <formula>NOT(ISERROR(SEARCH("ABWI",W447)))</formula>
    </cfRule>
  </conditionalFormatting>
  <conditionalFormatting sqref="W750 W705">
    <cfRule type="containsText" dxfId="377" priority="538" operator="containsText" text="OFF">
      <formula>NOT(ISERROR(SEARCH("OFF",W705)))</formula>
    </cfRule>
  </conditionalFormatting>
  <conditionalFormatting sqref="W750">
    <cfRule type="containsText" dxfId="376" priority="532" operator="containsText" text="ABWI">
      <formula>NOT(ISERROR(SEARCH("ABWI",W750)))</formula>
    </cfRule>
    <cfRule type="containsText" dxfId="375" priority="533" operator="containsText" text="AB">
      <formula>NOT(ISERROR(SEARCH("AB",W750)))</formula>
    </cfRule>
    <cfRule type="containsText" dxfId="374" priority="534" operator="containsText" text="SL">
      <formula>NOT(ISERROR(SEARCH("SL",W750)))</formula>
    </cfRule>
    <cfRule type="containsText" dxfId="373" priority="535" operator="containsText" text="EL">
      <formula>NOT(ISERROR(SEARCH("EL",W750)))</formula>
    </cfRule>
    <cfRule type="containsText" dxfId="372" priority="536" operator="containsText" text="PL">
      <formula>NOT(ISERROR(SEARCH("PL",W750)))</formula>
    </cfRule>
    <cfRule type="containsText" dxfId="371" priority="537" operator="containsText" text="P">
      <formula>NOT(ISERROR(SEARCH("P",W750)))</formula>
    </cfRule>
  </conditionalFormatting>
  <conditionalFormatting sqref="W751 W783:W784 W786">
    <cfRule type="containsText" dxfId="370" priority="3123" operator="containsText" text="OFF">
      <formula>NOT(ISERROR(SEARCH("OFF",W751)))</formula>
    </cfRule>
    <cfRule type="containsText" dxfId="369" priority="3124" operator="containsText" text="AB">
      <formula>NOT(ISERROR(SEARCH("AB",W751)))</formula>
    </cfRule>
    <cfRule type="containsText" dxfId="368" priority="3125" operator="containsText" text="SL">
      <formula>NOT(ISERROR(SEARCH("SL",W751)))</formula>
    </cfRule>
    <cfRule type="containsText" dxfId="367" priority="3126" operator="containsText" text="EL">
      <formula>NOT(ISERROR(SEARCH("EL",W751)))</formula>
    </cfRule>
    <cfRule type="containsText" dxfId="366" priority="3127" operator="containsText" text="PL">
      <formula>NOT(ISERROR(SEARCH("PL",W751)))</formula>
    </cfRule>
    <cfRule type="containsText" dxfId="365" priority="3128" operator="containsText" text="P">
      <formula>NOT(ISERROR(SEARCH("P",W751)))</formula>
    </cfRule>
  </conditionalFormatting>
  <conditionalFormatting sqref="W751">
    <cfRule type="containsText" dxfId="364" priority="3129" operator="containsText" text="ABWI">
      <formula>NOT(ISERROR(SEARCH("ABWI",W751)))</formula>
    </cfRule>
  </conditionalFormatting>
  <conditionalFormatting sqref="W767 W814 W826">
    <cfRule type="containsText" dxfId="363" priority="566" operator="containsText" text="ABWI">
      <formula>NOT(ISERROR(SEARCH("ABWI",W767)))</formula>
    </cfRule>
  </conditionalFormatting>
  <conditionalFormatting sqref="W774 W979 W982">
    <cfRule type="containsText" dxfId="362" priority="1981" operator="containsText" text="ABWI">
      <formula>NOT(ISERROR(SEARCH("ABWI",W774)))</formula>
    </cfRule>
  </conditionalFormatting>
  <conditionalFormatting sqref="W774">
    <cfRule type="containsText" dxfId="361" priority="1980" operator="containsText" text="Miss SOS">
      <formula>NOT(ISERROR(SEARCH("Miss SOS",W774)))</formula>
    </cfRule>
  </conditionalFormatting>
  <conditionalFormatting sqref="W778 W802 W926 W1142 W1149 W1048:W1049 W906 W891 W338">
    <cfRule type="containsText" dxfId="360" priority="926" operator="containsText" text="OFF">
      <formula>NOT(ISERROR(SEARCH("OFF",W338)))</formula>
    </cfRule>
  </conditionalFormatting>
  <conditionalFormatting sqref="W778 W802 W926">
    <cfRule type="containsText" dxfId="359" priority="925" operator="containsText" text="ABWI">
      <formula>NOT(ISERROR(SEARCH("ABWI",W778)))</formula>
    </cfRule>
  </conditionalFormatting>
  <conditionalFormatting sqref="W778:W784 W906 W919:W927 W1122:W1124 W1271:W1280 W251:W252 W292 W661 W684 W709 W786 W972 W1016 W1256:W1257 W1259:W1262 W1264 W1268:W1269">
    <cfRule type="containsText" dxfId="358" priority="1216" operator="containsText" text="Miss SOS">
      <formula>NOT(ISERROR(SEARCH("Miss SOS",W251)))</formula>
    </cfRule>
  </conditionalFormatting>
  <conditionalFormatting sqref="W785 W918:W919 W1311 W687 W712 W1142:W1143 W1157 W1361 W810 W1149">
    <cfRule type="containsText" dxfId="357" priority="805" operator="containsText" text="ABWI">
      <formula>NOT(ISERROR(SEARCH("ABWI",W687)))</formula>
    </cfRule>
  </conditionalFormatting>
  <conditionalFormatting sqref="W785 W918:W919 W1311">
    <cfRule type="containsText" dxfId="356" priority="803" operator="containsText" text="PL">
      <formula>NOT(ISERROR(SEARCH("PL",W785)))</formula>
    </cfRule>
    <cfRule type="containsText" dxfId="355" priority="804" operator="containsText" text="P">
      <formula>NOT(ISERROR(SEARCH("P",W785)))</formula>
    </cfRule>
  </conditionalFormatting>
  <conditionalFormatting sqref="W785 W1311">
    <cfRule type="containsText" dxfId="354" priority="801" operator="containsText" text="SL">
      <formula>NOT(ISERROR(SEARCH("SL",W785)))</formula>
    </cfRule>
    <cfRule type="containsText" dxfId="353" priority="802" operator="containsText" text="EL">
      <formula>NOT(ISERROR(SEARCH("EL",W785)))</formula>
    </cfRule>
  </conditionalFormatting>
  <conditionalFormatting sqref="W800 W729 W743 W839 W979 W982 W1328">
    <cfRule type="containsText" dxfId="352" priority="1657" operator="containsText" text="ABWI">
      <formula>NOT(ISERROR(SEARCH("ABWI",W729)))</formula>
    </cfRule>
  </conditionalFormatting>
  <conditionalFormatting sqref="W801 W840:W841 W880:W881 W449 W349:W350 W461:W462 W803 W877 W68 W71:W72 W74:W76 W107 W112 W267 W271 W282:W283 W290 W331:W332 W416:W417 W769 W771 W915 W1270">
    <cfRule type="containsText" dxfId="351" priority="2233" operator="containsText" text="ABWI">
      <formula>NOT(ISERROR(SEARCH("ABWI",W68)))</formula>
    </cfRule>
  </conditionalFormatting>
  <conditionalFormatting sqref="W803 W877 W662:W663 W777">
    <cfRule type="containsText" dxfId="350" priority="1939" operator="containsText" text="ABWI">
      <formula>NOT(ISERROR(SEARCH("ABWI",W662)))</formula>
    </cfRule>
  </conditionalFormatting>
  <conditionalFormatting sqref="W813:W814 W826 W767">
    <cfRule type="containsText" dxfId="349" priority="565" operator="containsText" text="OFF">
      <formula>NOT(ISERROR(SEARCH("OFF",W767)))</formula>
    </cfRule>
  </conditionalFormatting>
  <conditionalFormatting sqref="W814 W826">
    <cfRule type="containsText" dxfId="348" priority="560" operator="containsText" text="AB">
      <formula>NOT(ISERROR(SEARCH("AB",W814)))</formula>
    </cfRule>
    <cfRule type="containsText" dxfId="347" priority="561" operator="containsText" text="SL">
      <formula>NOT(ISERROR(SEARCH("SL",W814)))</formula>
    </cfRule>
    <cfRule type="containsText" dxfId="346" priority="562" operator="containsText" text="EL">
      <formula>NOT(ISERROR(SEARCH("EL",W814)))</formula>
    </cfRule>
    <cfRule type="containsText" dxfId="345" priority="563" operator="containsText" text="PL">
      <formula>NOT(ISERROR(SEARCH("PL",W814)))</formula>
    </cfRule>
    <cfRule type="containsText" dxfId="344" priority="564" operator="containsText" text="P">
      <formula>NOT(ISERROR(SEARCH("P",W814)))</formula>
    </cfRule>
  </conditionalFormatting>
  <conditionalFormatting sqref="W828 W751 W911">
    <cfRule type="containsText" dxfId="343" priority="2847" operator="containsText" text="ABWI">
      <formula>NOT(ISERROR(SEARCH("ABWI",W751)))</formula>
    </cfRule>
  </conditionalFormatting>
  <conditionalFormatting sqref="W828">
    <cfRule type="containsText" dxfId="342" priority="2500" operator="containsText" text="ABWI">
      <formula>NOT(ISERROR(SEARCH("ABWI",W828)))</formula>
    </cfRule>
    <cfRule type="containsText" dxfId="341" priority="2501" operator="containsText" text="Miss SOS">
      <formula>NOT(ISERROR(SEARCH("Miss SOS",W828)))</formula>
    </cfRule>
  </conditionalFormatting>
  <conditionalFormatting sqref="W831 W841:W843">
    <cfRule type="containsText" dxfId="340" priority="4800" operator="containsText" text="ABWI">
      <formula>NOT(ISERROR(SEARCH("ABWI",W831)))</formula>
    </cfRule>
    <cfRule type="containsText" dxfId="339" priority="4801" operator="containsText" text="OFF">
      <formula>NOT(ISERROR(SEARCH("OFF",W831)))</formula>
    </cfRule>
    <cfRule type="containsText" dxfId="338" priority="4802" operator="containsText" text="AB">
      <formula>NOT(ISERROR(SEARCH("AB",W831)))</formula>
    </cfRule>
    <cfRule type="containsText" dxfId="337" priority="4803" operator="containsText" text="SL">
      <formula>NOT(ISERROR(SEARCH("SL",W831)))</formula>
    </cfRule>
    <cfRule type="containsText" dxfId="336" priority="4804" operator="containsText" text="EL">
      <formula>NOT(ISERROR(SEARCH("EL",W831)))</formula>
    </cfRule>
    <cfRule type="containsText" dxfId="335" priority="4805" operator="containsText" text="PL">
      <formula>NOT(ISERROR(SEARCH("PL",W831)))</formula>
    </cfRule>
    <cfRule type="containsText" dxfId="334" priority="4806" operator="containsText" text="P">
      <formula>NOT(ISERROR(SEARCH("P",W831)))</formula>
    </cfRule>
  </conditionalFormatting>
  <conditionalFormatting sqref="W860:W861 W908:W909 W914 W1204 W1028:W1029 W1219">
    <cfRule type="containsText" dxfId="333" priority="2254" operator="containsText" text="ABWI">
      <formula>NOT(ISERROR(SEARCH("ABWI",W860)))</formula>
    </cfRule>
  </conditionalFormatting>
  <conditionalFormatting sqref="W866 W961 W1092 W1183:W1185 W886">
    <cfRule type="containsText" dxfId="332" priority="531" operator="containsText" text="ABWI">
      <formula>NOT(ISERROR(SEARCH("ABWI",W866)))</formula>
    </cfRule>
  </conditionalFormatting>
  <conditionalFormatting sqref="W880 W933 W954 W969">
    <cfRule type="containsText" dxfId="331" priority="1932" operator="containsText" text="OFF">
      <formula>NOT(ISERROR(SEARCH("OFF",W880)))</formula>
    </cfRule>
    <cfRule type="containsText" dxfId="330" priority="1933" operator="containsText" text="AB">
      <formula>NOT(ISERROR(SEARCH("AB",W880)))</formula>
    </cfRule>
    <cfRule type="containsText" dxfId="329" priority="1934" operator="containsText" text="SL">
      <formula>NOT(ISERROR(SEARCH("SL",W880)))</formula>
    </cfRule>
    <cfRule type="containsText" dxfId="328" priority="1935" operator="containsText" text="EL">
      <formula>NOT(ISERROR(SEARCH("EL",W880)))</formula>
    </cfRule>
    <cfRule type="containsText" dxfId="327" priority="1936" operator="containsText" text="PL">
      <formula>NOT(ISERROR(SEARCH("PL",W880)))</formula>
    </cfRule>
    <cfRule type="containsText" dxfId="326" priority="1937" operator="containsText" text="P">
      <formula>NOT(ISERROR(SEARCH("P",W880)))</formula>
    </cfRule>
  </conditionalFormatting>
  <conditionalFormatting sqref="W880 W954 W969 W933">
    <cfRule type="containsText" dxfId="325" priority="1931" operator="containsText" text="ABWI">
      <formula>NOT(ISERROR(SEARCH("ABWI",W880)))</formula>
    </cfRule>
  </conditionalFormatting>
  <conditionalFormatting sqref="W880:W881 W801 W840 W685">
    <cfRule type="containsText" dxfId="324" priority="2227" operator="containsText" text="OFF">
      <formula>NOT(ISERROR(SEARCH("OFF",W685)))</formula>
    </cfRule>
  </conditionalFormatting>
  <conditionalFormatting sqref="W880:W881">
    <cfRule type="containsText" dxfId="323" priority="2226" operator="containsText" text="ABWI">
      <formula>NOT(ISERROR(SEARCH("ABWI",W880)))</formula>
    </cfRule>
    <cfRule type="containsText" dxfId="322" priority="2493" operator="containsText" text="OFF">
      <formula>NOT(ISERROR(SEARCH("OFF",W880)))</formula>
    </cfRule>
    <cfRule type="containsText" dxfId="321" priority="2494" operator="containsText" text="AB">
      <formula>NOT(ISERROR(SEARCH("AB",W880)))</formula>
    </cfRule>
    <cfRule type="containsText" dxfId="320" priority="2495" operator="containsText" text="SL">
      <formula>NOT(ISERROR(SEARCH("SL",W880)))</formula>
    </cfRule>
    <cfRule type="containsText" dxfId="319" priority="2496" operator="containsText" text="EL">
      <formula>NOT(ISERROR(SEARCH("EL",W880)))</formula>
    </cfRule>
    <cfRule type="containsText" dxfId="318" priority="2497" operator="containsText" text="PL">
      <formula>NOT(ISERROR(SEARCH("PL",W880)))</formula>
    </cfRule>
    <cfRule type="containsText" dxfId="317" priority="2498" operator="containsText" text="P">
      <formula>NOT(ISERROR(SEARCH("P",W880)))</formula>
    </cfRule>
    <cfRule type="containsText" dxfId="316" priority="2499" operator="containsText" text="ABWI">
      <formula>NOT(ISERROR(SEARCH("ABWI",W880)))</formula>
    </cfRule>
  </conditionalFormatting>
  <conditionalFormatting sqref="W896">
    <cfRule type="containsText" dxfId="315" priority="82" operator="containsText" text="Miss SOS">
      <formula>NOT(ISERROR(SEARCH("Miss SOS",W896)))</formula>
    </cfRule>
    <cfRule type="containsText" dxfId="314" priority="83" operator="containsText" text="ABWI">
      <formula>NOT(ISERROR(SEARCH("ABWI",W896)))</formula>
    </cfRule>
    <cfRule type="containsText" dxfId="313" priority="85" operator="containsText" text="AB">
      <formula>NOT(ISERROR(SEARCH("AB",W896)))</formula>
    </cfRule>
    <cfRule type="containsText" dxfId="312" priority="86" operator="containsText" text="SL">
      <formula>NOT(ISERROR(SEARCH("SL",W896)))</formula>
    </cfRule>
    <cfRule type="containsText" dxfId="311" priority="87" operator="containsText" text="EL">
      <formula>NOT(ISERROR(SEARCH("EL",W896)))</formula>
    </cfRule>
    <cfRule type="containsText" dxfId="310" priority="88" operator="containsText" text="PL">
      <formula>NOT(ISERROR(SEARCH("PL",W896)))</formula>
    </cfRule>
    <cfRule type="containsText" dxfId="309" priority="89" operator="containsText" text="P">
      <formula>NOT(ISERROR(SEARCH("P",W896)))</formula>
    </cfRule>
    <cfRule type="containsText" dxfId="308" priority="90" operator="containsText" text="OFF">
      <formula>NOT(ISERROR(SEARCH("OFF",W896)))</formula>
    </cfRule>
  </conditionalFormatting>
  <conditionalFormatting sqref="W896:W897">
    <cfRule type="containsText" dxfId="307" priority="91" operator="containsText" text="AB">
      <formula>NOT(ISERROR(SEARCH("AB",W896)))</formula>
    </cfRule>
    <cfRule type="containsText" dxfId="306" priority="92" operator="containsText" text="SL">
      <formula>NOT(ISERROR(SEARCH("SL",W896)))</formula>
    </cfRule>
    <cfRule type="containsText" dxfId="305" priority="93" operator="containsText" text="EL">
      <formula>NOT(ISERROR(SEARCH("EL",W896)))</formula>
    </cfRule>
    <cfRule type="containsText" dxfId="304" priority="94" operator="containsText" text="PL">
      <formula>NOT(ISERROR(SEARCH("PL",W896)))</formula>
    </cfRule>
    <cfRule type="containsText" dxfId="303" priority="95" operator="containsText" text="P">
      <formula>NOT(ISERROR(SEARCH("P",W896)))</formula>
    </cfRule>
  </conditionalFormatting>
  <conditionalFormatting sqref="W902">
    <cfRule type="containsText" dxfId="302" priority="558" operator="containsText" text="OFF">
      <formula>NOT(ISERROR(SEARCH("OFF",W902)))</formula>
    </cfRule>
    <cfRule type="containsText" dxfId="301" priority="559" operator="containsText" text="ABWI">
      <formula>NOT(ISERROR(SEARCH("ABWI",W902)))</formula>
    </cfRule>
  </conditionalFormatting>
  <conditionalFormatting sqref="W907:W909 W914 W1204 W860 W887">
    <cfRule type="containsText" dxfId="300" priority="2253" operator="containsText" text="Miss SOS">
      <formula>NOT(ISERROR(SEARCH("Miss SOS",W860)))</formula>
    </cfRule>
  </conditionalFormatting>
  <conditionalFormatting sqref="W909 W914:W915">
    <cfRule type="containsText" dxfId="299" priority="2248" operator="containsText" text="AB">
      <formula>NOT(ISERROR(SEARCH("AB",W909)))</formula>
    </cfRule>
    <cfRule type="containsText" dxfId="298" priority="2249" operator="containsText" text="SL">
      <formula>NOT(ISERROR(SEARCH("SL",W909)))</formula>
    </cfRule>
    <cfRule type="containsText" dxfId="297" priority="2250" operator="containsText" text="EL">
      <formula>NOT(ISERROR(SEARCH("EL",W909)))</formula>
    </cfRule>
    <cfRule type="containsText" dxfId="296" priority="2251" operator="containsText" text="PL">
      <formula>NOT(ISERROR(SEARCH("PL",W909)))</formula>
    </cfRule>
    <cfRule type="containsText" dxfId="295" priority="2252" operator="containsText" text="P">
      <formula>NOT(ISERROR(SEARCH("P",W909)))</formula>
    </cfRule>
  </conditionalFormatting>
  <conditionalFormatting sqref="W910:W911 W1022:W1024 W1062:W1063 W1020">
    <cfRule type="containsText" dxfId="294" priority="3122" operator="containsText" text="ABWI">
      <formula>NOT(ISERROR(SEARCH("ABWI",W910)))</formula>
    </cfRule>
  </conditionalFormatting>
  <conditionalFormatting sqref="W911 W998 W1023 W1063">
    <cfRule type="containsText" dxfId="293" priority="3116" operator="containsText" text="OFF">
      <formula>NOT(ISERROR(SEARCH("OFF",W911)))</formula>
    </cfRule>
    <cfRule type="containsText" dxfId="292" priority="3117" operator="containsText" text="AB">
      <formula>NOT(ISERROR(SEARCH("AB",W911)))</formula>
    </cfRule>
    <cfRule type="containsText" dxfId="291" priority="3118" operator="containsText" text="SL">
      <formula>NOT(ISERROR(SEARCH("SL",W911)))</formula>
    </cfRule>
    <cfRule type="containsText" dxfId="290" priority="3119" operator="containsText" text="EL">
      <formula>NOT(ISERROR(SEARCH("EL",W911)))</formula>
    </cfRule>
    <cfRule type="containsText" dxfId="289" priority="3120" operator="containsText" text="PL">
      <formula>NOT(ISERROR(SEARCH("PL",W911)))</formula>
    </cfRule>
    <cfRule type="containsText" dxfId="288" priority="3121" operator="containsText" text="P">
      <formula>NOT(ISERROR(SEARCH("P",W911)))</formula>
    </cfRule>
  </conditionalFormatting>
  <conditionalFormatting sqref="W914:W915 W909">
    <cfRule type="containsText" dxfId="287" priority="2247" operator="containsText" text="OFF">
      <formula>NOT(ISERROR(SEARCH("OFF",W909)))</formula>
    </cfRule>
  </conditionalFormatting>
  <conditionalFormatting sqref="W918:W920">
    <cfRule type="containsText" dxfId="286" priority="76" operator="containsText" text="OFF">
      <formula>NOT(ISERROR(SEARCH("OFF",W918)))</formula>
    </cfRule>
    <cfRule type="containsText" dxfId="285" priority="77" operator="containsText" text="AB">
      <formula>NOT(ISERROR(SEARCH("AB",W918)))</formula>
    </cfRule>
    <cfRule type="containsText" dxfId="284" priority="78" operator="containsText" text="SL">
      <formula>NOT(ISERROR(SEARCH("SL",W918)))</formula>
    </cfRule>
    <cfRule type="containsText" dxfId="283" priority="79" operator="containsText" text="EL">
      <formula>NOT(ISERROR(SEARCH("EL",W918)))</formula>
    </cfRule>
  </conditionalFormatting>
  <conditionalFormatting sqref="W920 W1167">
    <cfRule type="containsText" dxfId="282" priority="74" operator="containsText" text="Miss SOS">
      <formula>NOT(ISERROR(SEARCH("Miss SOS",W920)))</formula>
    </cfRule>
    <cfRule type="containsText" dxfId="281" priority="75" operator="containsText" text="ABWI">
      <formula>NOT(ISERROR(SEARCH("ABWI",W920)))</formula>
    </cfRule>
  </conditionalFormatting>
  <conditionalFormatting sqref="W920">
    <cfRule type="containsText" dxfId="280" priority="80" operator="containsText" text="PL">
      <formula>NOT(ISERROR(SEARCH("PL",W920)))</formula>
    </cfRule>
    <cfRule type="containsText" dxfId="279" priority="81" operator="containsText" text="P">
      <formula>NOT(ISERROR(SEARCH("P",W920)))</formula>
    </cfRule>
  </conditionalFormatting>
  <conditionalFormatting sqref="W932 W1044">
    <cfRule type="containsText" dxfId="278" priority="517" operator="containsText" text="P">
      <formula>NOT(ISERROR(SEARCH("P",W932)))</formula>
    </cfRule>
    <cfRule type="containsText" dxfId="277" priority="518" operator="containsText" text="ABWI">
      <formula>NOT(ISERROR(SEARCH("ABWI",W932)))</formula>
    </cfRule>
    <cfRule type="containsText" dxfId="276" priority="519" operator="containsText" text="OFF">
      <formula>NOT(ISERROR(SEARCH("OFF",W932)))</formula>
    </cfRule>
  </conditionalFormatting>
  <conditionalFormatting sqref="W932">
    <cfRule type="containsText" dxfId="275" priority="513" operator="containsText" text="AB">
      <formula>NOT(ISERROR(SEARCH("AB",W932)))</formula>
    </cfRule>
    <cfRule type="containsText" dxfId="274" priority="514" operator="containsText" text="SL">
      <formula>NOT(ISERROR(SEARCH("SL",W932)))</formula>
    </cfRule>
    <cfRule type="containsText" dxfId="273" priority="515" operator="containsText" text="EL">
      <formula>NOT(ISERROR(SEARCH("EL",W932)))</formula>
    </cfRule>
    <cfRule type="containsText" dxfId="272" priority="516" operator="containsText" text="PL">
      <formula>NOT(ISERROR(SEARCH("PL",W932)))</formula>
    </cfRule>
  </conditionalFormatting>
  <conditionalFormatting sqref="W949">
    <cfRule type="containsText" dxfId="271" priority="2868" operator="containsText" text="OFF">
      <formula>NOT(ISERROR(SEARCH("OFF",W949)))</formula>
    </cfRule>
    <cfRule type="containsText" dxfId="270" priority="2869" operator="containsText" text="AB">
      <formula>NOT(ISERROR(SEARCH("AB",W949)))</formula>
    </cfRule>
    <cfRule type="containsText" dxfId="269" priority="2870" operator="containsText" text="SL">
      <formula>NOT(ISERROR(SEARCH("SL",W949)))</formula>
    </cfRule>
    <cfRule type="containsText" dxfId="268" priority="2871" operator="containsText" text="EL">
      <formula>NOT(ISERROR(SEARCH("EL",W949)))</formula>
    </cfRule>
    <cfRule type="containsText" dxfId="267" priority="2872" operator="containsText" text="PL">
      <formula>NOT(ISERROR(SEARCH("PL",W949)))</formula>
    </cfRule>
    <cfRule type="containsText" dxfId="266" priority="2873" operator="containsText" text="P">
      <formula>NOT(ISERROR(SEARCH("P",W949)))</formula>
    </cfRule>
  </conditionalFormatting>
  <conditionalFormatting sqref="W957 W1067 W1115 W1121 W1199">
    <cfRule type="containsText" dxfId="265" priority="402" operator="containsText" text="SL">
      <formula>NOT(ISERROR(SEARCH("SL",W957)))</formula>
    </cfRule>
    <cfRule type="containsText" dxfId="264" priority="403" operator="containsText" text="EL">
      <formula>NOT(ISERROR(SEARCH("EL",W957)))</formula>
    </cfRule>
    <cfRule type="containsText" dxfId="263" priority="404" operator="containsText" text="PL">
      <formula>NOT(ISERROR(SEARCH("PL",W957)))</formula>
    </cfRule>
    <cfRule type="containsText" dxfId="262" priority="405" operator="containsText" text="P">
      <formula>NOT(ISERROR(SEARCH("P",W957)))</formula>
    </cfRule>
  </conditionalFormatting>
  <conditionalFormatting sqref="W957 W1067 W1121 W1199">
    <cfRule type="containsText" dxfId="261" priority="307" operator="containsText" text="SL">
      <formula>NOT(ISERROR(SEARCH("SL",W957)))</formula>
    </cfRule>
    <cfRule type="containsText" dxfId="260" priority="308" operator="containsText" text="EL">
      <formula>NOT(ISERROR(SEARCH("EL",W957)))</formula>
    </cfRule>
    <cfRule type="containsText" dxfId="259" priority="309" operator="containsText" text="PL">
      <formula>NOT(ISERROR(SEARCH("PL",W957)))</formula>
    </cfRule>
    <cfRule type="containsText" dxfId="258" priority="310" operator="containsText" text="P">
      <formula>NOT(ISERROR(SEARCH("P",W957)))</formula>
    </cfRule>
  </conditionalFormatting>
  <conditionalFormatting sqref="W957 W1115 W1121 W1199 W1067">
    <cfRule type="containsText" dxfId="257" priority="401" operator="containsText" text="AB">
      <formula>NOT(ISERROR(SEARCH("AB",W957)))</formula>
    </cfRule>
  </conditionalFormatting>
  <conditionalFormatting sqref="W957 W1115:W1117 W1121 W1199">
    <cfRule type="containsText" dxfId="256" priority="400" operator="containsText" text="OFF">
      <formula>NOT(ISERROR(SEARCH("OFF",W957)))</formula>
    </cfRule>
  </conditionalFormatting>
  <conditionalFormatting sqref="W957 W1121 W1199 W1067">
    <cfRule type="containsText" dxfId="255" priority="306" operator="containsText" text="AB">
      <formula>NOT(ISERROR(SEARCH("AB",W957)))</formula>
    </cfRule>
  </conditionalFormatting>
  <conditionalFormatting sqref="W957 W1121 W1199 W1115">
    <cfRule type="containsText" dxfId="254" priority="399" operator="containsText" text="ABWI">
      <formula>NOT(ISERROR(SEARCH("ABWI",W957)))</formula>
    </cfRule>
  </conditionalFormatting>
  <conditionalFormatting sqref="W957 W1121 W1199">
    <cfRule type="containsText" dxfId="253" priority="305" operator="containsText" text="OFF">
      <formula>NOT(ISERROR(SEARCH("OFF",W957)))</formula>
    </cfRule>
  </conditionalFormatting>
  <conditionalFormatting sqref="W961 W1092 W1183 W866">
    <cfRule type="containsText" dxfId="252" priority="530" operator="containsText" text="OFF">
      <formula>NOT(ISERROR(SEARCH("OFF",W866)))</formula>
    </cfRule>
  </conditionalFormatting>
  <conditionalFormatting sqref="W961 W1092 W1183">
    <cfRule type="containsText" dxfId="251" priority="525" operator="containsText" text="AB">
      <formula>NOT(ISERROR(SEARCH("AB",W961)))</formula>
    </cfRule>
    <cfRule type="containsText" dxfId="250" priority="526" operator="containsText" text="SL">
      <formula>NOT(ISERROR(SEARCH("SL",W961)))</formula>
    </cfRule>
    <cfRule type="containsText" dxfId="249" priority="527" operator="containsText" text="EL">
      <formula>NOT(ISERROR(SEARCH("EL",W961)))</formula>
    </cfRule>
    <cfRule type="containsText" dxfId="248" priority="528" operator="containsText" text="PL">
      <formula>NOT(ISERROR(SEARCH("PL",W961)))</formula>
    </cfRule>
    <cfRule type="containsText" dxfId="247" priority="529" operator="containsText" text="P">
      <formula>NOT(ISERROR(SEARCH("P",W961)))</formula>
    </cfRule>
  </conditionalFormatting>
  <conditionalFormatting sqref="W979 W982">
    <cfRule type="containsText" dxfId="246" priority="1974" operator="containsText" text="OFF">
      <formula>NOT(ISERROR(SEARCH("OFF",W979)))</formula>
    </cfRule>
    <cfRule type="containsText" dxfId="245" priority="1975" operator="containsText" text="AB">
      <formula>NOT(ISERROR(SEARCH("AB",W979)))</formula>
    </cfRule>
    <cfRule type="containsText" dxfId="244" priority="1976" operator="containsText" text="SL">
      <formula>NOT(ISERROR(SEARCH("SL",W979)))</formula>
    </cfRule>
    <cfRule type="containsText" dxfId="243" priority="1977" operator="containsText" text="EL">
      <formula>NOT(ISERROR(SEARCH("EL",W979)))</formula>
    </cfRule>
    <cfRule type="containsText" dxfId="242" priority="1978" operator="containsText" text="PL">
      <formula>NOT(ISERROR(SEARCH("PL",W979)))</formula>
    </cfRule>
    <cfRule type="containsText" dxfId="241" priority="1979" operator="containsText" text="P">
      <formula>NOT(ISERROR(SEARCH("P",W979)))</formula>
    </cfRule>
  </conditionalFormatting>
  <conditionalFormatting sqref="W982 W1340">
    <cfRule type="containsText" dxfId="240" priority="2219" operator="containsText" text="AB">
      <formula>NOT(ISERROR(SEARCH("AB",W982)))</formula>
    </cfRule>
    <cfRule type="containsText" dxfId="239" priority="2220" operator="containsText" text="SL">
      <formula>NOT(ISERROR(SEARCH("SL",W982)))</formula>
    </cfRule>
    <cfRule type="containsText" dxfId="238" priority="2221" operator="containsText" text="EL">
      <formula>NOT(ISERROR(SEARCH("EL",W982)))</formula>
    </cfRule>
    <cfRule type="containsText" dxfId="237" priority="2222" operator="containsText" text="PL">
      <formula>NOT(ISERROR(SEARCH("PL",W982)))</formula>
    </cfRule>
    <cfRule type="containsText" dxfId="236" priority="2223" operator="containsText" text="P">
      <formula>NOT(ISERROR(SEARCH("P",W982)))</formula>
    </cfRule>
  </conditionalFormatting>
  <conditionalFormatting sqref="W982:W983 W1340 W1038 W1298">
    <cfRule type="containsText" dxfId="235" priority="2224" operator="containsText" text="ABWI">
      <formula>NOT(ISERROR(SEARCH("ABWI",W982)))</formula>
    </cfRule>
  </conditionalFormatting>
  <conditionalFormatting sqref="W984 W1157">
    <cfRule type="containsText" dxfId="234" priority="456" operator="containsText" text="ABWI">
      <formula>NOT(ISERROR(SEARCH("ABWI",W984)))</formula>
    </cfRule>
    <cfRule type="containsText" dxfId="233" priority="457" operator="containsText" text="Miss SOS">
      <formula>NOT(ISERROR(SEARCH("Miss SOS",W984)))</formula>
    </cfRule>
    <cfRule type="containsText" dxfId="232" priority="458" operator="containsText" text="ABWI">
      <formula>NOT(ISERROR(SEARCH("ABWI",W984)))</formula>
    </cfRule>
    <cfRule type="containsText" dxfId="231" priority="459" operator="containsText" text="Miss SOS">
      <formula>NOT(ISERROR(SEARCH("Miss SOS",W984)))</formula>
    </cfRule>
    <cfRule type="containsText" dxfId="230" priority="460" operator="containsText" text="ABWI">
      <formula>NOT(ISERROR(SEARCH("ABWI",W984)))</formula>
    </cfRule>
  </conditionalFormatting>
  <conditionalFormatting sqref="W985 W1012 W1096 W1206 W1208 W1211:W1212 W1216 W1224 W1266 W1307">
    <cfRule type="containsText" dxfId="229" priority="257" operator="containsText" text="AB">
      <formula>NOT(ISERROR(SEARCH("AB",W985)))</formula>
    </cfRule>
    <cfRule type="containsText" dxfId="228" priority="258" operator="containsText" text="SL">
      <formula>NOT(ISERROR(SEARCH("SL",W985)))</formula>
    </cfRule>
    <cfRule type="containsText" dxfId="227" priority="259" operator="containsText" text="EL">
      <formula>NOT(ISERROR(SEARCH("EL",W985)))</formula>
    </cfRule>
    <cfRule type="containsText" dxfId="226" priority="260" operator="containsText" text="PL">
      <formula>NOT(ISERROR(SEARCH("PL",W985)))</formula>
    </cfRule>
    <cfRule type="containsText" dxfId="225" priority="261" operator="containsText" text="P">
      <formula>NOT(ISERROR(SEARCH("P",W985)))</formula>
    </cfRule>
  </conditionalFormatting>
  <conditionalFormatting sqref="W985 W1012 W1096 W1206 W1208 W1211:W1212 W1216 W1224 W1266 W1307:W1309 W1040 W355 W767 W1036">
    <cfRule type="containsText" dxfId="224" priority="262" operator="containsText" text="OFF">
      <formula>NOT(ISERROR(SEARCH("OFF",W355)))</formula>
    </cfRule>
  </conditionalFormatting>
  <conditionalFormatting sqref="W1000 W1003">
    <cfRule type="containsText" dxfId="223" priority="418" operator="containsText" text="ABWI">
      <formula>NOT(ISERROR(SEARCH("ABWI",W1000)))</formula>
    </cfRule>
  </conditionalFormatting>
  <conditionalFormatting sqref="W1000">
    <cfRule type="containsText" dxfId="222" priority="511" operator="containsText" text="OFF">
      <formula>NOT(ISERROR(SEARCH("OFF",W1000)))</formula>
    </cfRule>
    <cfRule type="containsText" dxfId="221" priority="512" operator="containsText" text="ABWI">
      <formula>NOT(ISERROR(SEARCH("ABWI",W1000)))</formula>
    </cfRule>
  </conditionalFormatting>
  <conditionalFormatting sqref="W1002:W1003 W1199 W1220 W1313:W1314 W798 W1058">
    <cfRule type="containsText" dxfId="220" priority="788" operator="containsText" text="ABWI">
      <formula>NOT(ISERROR(SEARCH("ABWI",W798)))</formula>
    </cfRule>
  </conditionalFormatting>
  <conditionalFormatting sqref="W1002:W1003 W1199 W1220 W1314">
    <cfRule type="containsText" dxfId="219" priority="787" operator="containsText" text="P">
      <formula>NOT(ISERROR(SEARCH("P",W1002)))</formula>
    </cfRule>
  </conditionalFormatting>
  <conditionalFormatting sqref="W1002:W1003 W1199">
    <cfRule type="containsText" dxfId="218" priority="784" operator="containsText" text="SL">
      <formula>NOT(ISERROR(SEARCH("SL",W1002)))</formula>
    </cfRule>
    <cfRule type="containsText" dxfId="217" priority="785" operator="containsText" text="EL">
      <formula>NOT(ISERROR(SEARCH("EL",W1002)))</formula>
    </cfRule>
    <cfRule type="containsText" dxfId="216" priority="786" operator="containsText" text="PL">
      <formula>NOT(ISERROR(SEARCH("PL",W1002)))</formula>
    </cfRule>
  </conditionalFormatting>
  <conditionalFormatting sqref="W1003 W1000">
    <cfRule type="containsText" dxfId="215" priority="417" operator="containsText" text="OFF">
      <formula>NOT(ISERROR(SEARCH("OFF",W1000)))</formula>
    </cfRule>
  </conditionalFormatting>
  <conditionalFormatting sqref="W1003">
    <cfRule type="containsText" dxfId="214" priority="412" operator="containsText" text="AB">
      <formula>NOT(ISERROR(SEARCH("AB",W1003)))</formula>
    </cfRule>
    <cfRule type="containsText" dxfId="213" priority="413" operator="containsText" text="SL">
      <formula>NOT(ISERROR(SEARCH("SL",W1003)))</formula>
    </cfRule>
    <cfRule type="containsText" dxfId="212" priority="414" operator="containsText" text="EL">
      <formula>NOT(ISERROR(SEARCH("EL",W1003)))</formula>
    </cfRule>
    <cfRule type="containsText" dxfId="211" priority="415" operator="containsText" text="PL">
      <formula>NOT(ISERROR(SEARCH("PL",W1003)))</formula>
    </cfRule>
    <cfRule type="containsText" dxfId="210" priority="416" operator="containsText" text="P">
      <formula>NOT(ISERROR(SEARCH("P",W1003)))</formula>
    </cfRule>
  </conditionalFormatting>
  <conditionalFormatting sqref="W1024:W1025 W1266 W1143:W1144">
    <cfRule type="containsText" dxfId="209" priority="557" operator="containsText" text="OFF">
      <formula>NOT(ISERROR(SEARCH("OFF",W1024)))</formula>
    </cfRule>
  </conditionalFormatting>
  <conditionalFormatting sqref="W1025 W1266">
    <cfRule type="containsText" dxfId="208" priority="553" operator="containsText" text="SL">
      <formula>NOT(ISERROR(SEARCH("SL",W1025)))</formula>
    </cfRule>
    <cfRule type="containsText" dxfId="207" priority="554" operator="containsText" text="EL">
      <formula>NOT(ISERROR(SEARCH("EL",W1025)))</formula>
    </cfRule>
    <cfRule type="containsText" dxfId="206" priority="555" operator="containsText" text="PL">
      <formula>NOT(ISERROR(SEARCH("PL",W1025)))</formula>
    </cfRule>
    <cfRule type="containsText" dxfId="205" priority="556" operator="containsText" text="P">
      <formula>NOT(ISERROR(SEARCH("P",W1025)))</formula>
    </cfRule>
  </conditionalFormatting>
  <conditionalFormatting sqref="W1034 W1135 W1137 W1340">
    <cfRule type="containsText" dxfId="204" priority="2217" operator="containsText" text="ABWI">
      <formula>NOT(ISERROR(SEARCH("ABWI",W1034)))</formula>
    </cfRule>
  </conditionalFormatting>
  <conditionalFormatting sqref="W1034 W1137:W1138 W948:W949">
    <cfRule type="containsText" dxfId="203" priority="2533" operator="containsText" text="ABWI">
      <formula>NOT(ISERROR(SEARCH("ABWI",W948)))</formula>
    </cfRule>
  </conditionalFormatting>
  <conditionalFormatting sqref="W1037:W1038">
    <cfRule type="containsText" dxfId="202" priority="2532" operator="containsText" text="ABWI">
      <formula>NOT(ISERROR(SEARCH("ABWI",W1037)))</formula>
    </cfRule>
  </conditionalFormatting>
  <conditionalFormatting sqref="W1038 W1034 W1137">
    <cfRule type="containsText" dxfId="201" priority="2531" operator="containsText" text="Miss SOS">
      <formula>NOT(ISERROR(SEARCH("Miss SOS",W1034)))</formula>
    </cfRule>
  </conditionalFormatting>
  <conditionalFormatting sqref="W1039">
    <cfRule type="containsText" dxfId="200" priority="96" operator="containsText" text="Miss SOS">
      <formula>NOT(ISERROR(SEARCH("Miss SOS",W1039)))</formula>
    </cfRule>
    <cfRule type="containsText" dxfId="199" priority="97" operator="containsText" text="ABWI">
      <formula>NOT(ISERROR(SEARCH("ABWI",W1039)))</formula>
    </cfRule>
    <cfRule type="containsText" dxfId="198" priority="99" operator="containsText" text="AB">
      <formula>NOT(ISERROR(SEARCH("AB",W1039)))</formula>
    </cfRule>
    <cfRule type="containsText" dxfId="197" priority="100" operator="containsText" text="SL">
      <formula>NOT(ISERROR(SEARCH("SL",W1039)))</formula>
    </cfRule>
    <cfRule type="containsText" dxfId="196" priority="101" operator="containsText" text="EL">
      <formula>NOT(ISERROR(SEARCH("EL",W1039)))</formula>
    </cfRule>
    <cfRule type="containsText" dxfId="195" priority="102" operator="containsText" text="PL">
      <formula>NOT(ISERROR(SEARCH("PL",W1039)))</formula>
    </cfRule>
    <cfRule type="containsText" dxfId="194" priority="103" operator="containsText" text="P">
      <formula>NOT(ISERROR(SEARCH("P",W1039)))</formula>
    </cfRule>
    <cfRule type="containsText" dxfId="193" priority="115" operator="containsText" text="OFF">
      <formula>NOT(ISERROR(SEARCH("OFF",W1039)))</formula>
    </cfRule>
  </conditionalFormatting>
  <conditionalFormatting sqref="W1039:W1040">
    <cfRule type="containsText" dxfId="192" priority="116" operator="containsText" text="AB">
      <formula>NOT(ISERROR(SEARCH("AB",W1039)))</formula>
    </cfRule>
    <cfRule type="containsText" dxfId="191" priority="117" operator="containsText" text="SL">
      <formula>NOT(ISERROR(SEARCH("SL",W1039)))</formula>
    </cfRule>
    <cfRule type="containsText" dxfId="190" priority="118" operator="containsText" text="EL">
      <formula>NOT(ISERROR(SEARCH("EL",W1039)))</formula>
    </cfRule>
    <cfRule type="containsText" dxfId="189" priority="119" operator="containsText" text="PL">
      <formula>NOT(ISERROR(SEARCH("PL",W1039)))</formula>
    </cfRule>
    <cfRule type="containsText" dxfId="188" priority="120" operator="containsText" text="P">
      <formula>NOT(ISERROR(SEARCH("P",W1039)))</formula>
    </cfRule>
  </conditionalFormatting>
  <conditionalFormatting sqref="W1040 W1216 W1266 W1096:W1097 W1278 W510 W565 W612 W814 W1025 W1151 W1235 W1238 W1274">
    <cfRule type="containsText" dxfId="187" priority="436" operator="containsText" text="AB">
      <formula>NOT(ISERROR(SEARCH("AB",W510)))</formula>
    </cfRule>
  </conditionalFormatting>
  <conditionalFormatting sqref="W1046">
    <cfRule type="containsText" dxfId="186" priority="38" operator="containsText" text="ABWI">
      <formula>NOT(ISERROR(SEARCH("ABWI",W1046)))</formula>
    </cfRule>
    <cfRule type="containsText" dxfId="185" priority="40" operator="containsText" text="OFF">
      <formula>NOT(ISERROR(SEARCH("OFF",W1046)))</formula>
    </cfRule>
    <cfRule type="containsText" dxfId="184" priority="41" operator="containsText" text="AB">
      <formula>NOT(ISERROR(SEARCH("AB",W1046)))</formula>
    </cfRule>
    <cfRule type="containsText" dxfId="183" priority="42" operator="containsText" text="SL">
      <formula>NOT(ISERROR(SEARCH("SL",W1046)))</formula>
    </cfRule>
    <cfRule type="containsText" dxfId="182" priority="43" operator="containsText" text="EL">
      <formula>NOT(ISERROR(SEARCH("EL",W1046)))</formula>
    </cfRule>
    <cfRule type="containsText" dxfId="181" priority="44" operator="containsText" text="PL">
      <formula>NOT(ISERROR(SEARCH("PL",W1046)))</formula>
    </cfRule>
    <cfRule type="containsText" dxfId="180" priority="45" operator="containsText" text="P">
      <formula>NOT(ISERROR(SEARCH("P",W1046)))</formula>
    </cfRule>
    <cfRule type="containsText" dxfId="179" priority="5047" operator="containsText" text="ABWI">
      <formula>NOT(ISERROR(SEARCH("ABWI",W1046)))</formula>
    </cfRule>
  </conditionalFormatting>
  <conditionalFormatting sqref="W1046:W1049">
    <cfRule type="containsText" dxfId="178" priority="5048" operator="containsText" text="OFF">
      <formula>NOT(ISERROR(SEARCH("OFF",W1046)))</formula>
    </cfRule>
    <cfRule type="containsText" dxfId="177" priority="5049" operator="containsText" text="AB">
      <formula>NOT(ISERROR(SEARCH("AB",W1046)))</formula>
    </cfRule>
    <cfRule type="containsText" dxfId="176" priority="5050" operator="containsText" text="SL">
      <formula>NOT(ISERROR(SEARCH("SL",W1046)))</formula>
    </cfRule>
    <cfRule type="containsText" dxfId="175" priority="5051" operator="containsText" text="EL">
      <formula>NOT(ISERROR(SEARCH("EL",W1046)))</formula>
    </cfRule>
    <cfRule type="containsText" dxfId="174" priority="5052" operator="containsText" text="PL">
      <formula>NOT(ISERROR(SEARCH("PL",W1046)))</formula>
    </cfRule>
    <cfRule type="containsText" dxfId="173" priority="5053" operator="containsText" text="P">
      <formula>NOT(ISERROR(SEARCH("P",W1046)))</formula>
    </cfRule>
  </conditionalFormatting>
  <conditionalFormatting sqref="W1075:W1076 W1078 W1080:W1081 W1171:W1172">
    <cfRule type="containsText" dxfId="172" priority="1691" operator="containsText" text="OFF">
      <formula>NOT(ISERROR(SEARCH("OFF",W1075)))</formula>
    </cfRule>
    <cfRule type="containsText" dxfId="171" priority="1692" operator="containsText" text="AB">
      <formula>NOT(ISERROR(SEARCH("AB",W1075)))</formula>
    </cfRule>
    <cfRule type="containsText" dxfId="170" priority="1693" operator="containsText" text="SL">
      <formula>NOT(ISERROR(SEARCH("SL",W1075)))</formula>
    </cfRule>
    <cfRule type="containsText" dxfId="169" priority="1694" operator="containsText" text="EL">
      <formula>NOT(ISERROR(SEARCH("EL",W1075)))</formula>
    </cfRule>
    <cfRule type="containsText" dxfId="168" priority="1695" operator="containsText" text="PL">
      <formula>NOT(ISERROR(SEARCH("PL",W1075)))</formula>
    </cfRule>
    <cfRule type="containsText" dxfId="167" priority="1696" operator="containsText" text="P">
      <formula>NOT(ISERROR(SEARCH("P",W1075)))</formula>
    </cfRule>
  </conditionalFormatting>
  <conditionalFormatting sqref="W1075:W1076 W1078 W1080:W1081 W1171:W1174">
    <cfRule type="containsText" dxfId="166" priority="1690" operator="containsText" text="ABWI">
      <formula>NOT(ISERROR(SEARCH("ABWI",W1075)))</formula>
    </cfRule>
  </conditionalFormatting>
  <conditionalFormatting sqref="W1083">
    <cfRule type="containsText" dxfId="165" priority="1924" operator="containsText" text="OFF">
      <formula>NOT(ISERROR(SEARCH("OFF",W1083)))</formula>
    </cfRule>
    <cfRule type="containsText" dxfId="164" priority="1925" operator="containsText" text="AB">
      <formula>NOT(ISERROR(SEARCH("AB",W1083)))</formula>
    </cfRule>
    <cfRule type="containsText" dxfId="163" priority="1926" operator="containsText" text="SL">
      <formula>NOT(ISERROR(SEARCH("SL",W1083)))</formula>
    </cfRule>
    <cfRule type="containsText" dxfId="162" priority="1927" operator="containsText" text="EL">
      <formula>NOT(ISERROR(SEARCH("EL",W1083)))</formula>
    </cfRule>
    <cfRule type="containsText" dxfId="161" priority="1928" operator="containsText" text="PL">
      <formula>NOT(ISERROR(SEARCH("PL",W1083)))</formula>
    </cfRule>
    <cfRule type="containsText" dxfId="160" priority="1929" operator="containsText" text="P">
      <formula>NOT(ISERROR(SEARCH("P",W1083)))</formula>
    </cfRule>
  </conditionalFormatting>
  <conditionalFormatting sqref="W1087 W1177:W1178">
    <cfRule type="containsText" dxfId="159" priority="3160" operator="containsText" text="OFF">
      <formula>NOT(ISERROR(SEARCH("OFF",W1087)))</formula>
    </cfRule>
    <cfRule type="containsText" dxfId="158" priority="3161" operator="containsText" text="AB">
      <formula>NOT(ISERROR(SEARCH("AB",W1087)))</formula>
    </cfRule>
    <cfRule type="containsText" dxfId="157" priority="3162" operator="containsText" text="SL">
      <formula>NOT(ISERROR(SEARCH("SL",W1087)))</formula>
    </cfRule>
    <cfRule type="containsText" dxfId="156" priority="3163" operator="containsText" text="EL">
      <formula>NOT(ISERROR(SEARCH("EL",W1087)))</formula>
    </cfRule>
    <cfRule type="containsText" dxfId="155" priority="3164" operator="containsText" text="PL">
      <formula>NOT(ISERROR(SEARCH("PL",W1087)))</formula>
    </cfRule>
    <cfRule type="containsText" dxfId="154" priority="3165" operator="containsText" text="P">
      <formula>NOT(ISERROR(SEARCH("P",W1087)))</formula>
    </cfRule>
  </conditionalFormatting>
  <conditionalFormatting sqref="W1087">
    <cfRule type="containsText" dxfId="153" priority="1972" operator="containsText" text="ABWI">
      <formula>NOT(ISERROR(SEARCH("ABWI",W1087)))</formula>
    </cfRule>
  </conditionalFormatting>
  <conditionalFormatting sqref="W1089">
    <cfRule type="containsText" dxfId="152" priority="30" operator="containsText" text="ABWI">
      <formula>NOT(ISERROR(SEARCH("ABWI",W1089)))</formula>
    </cfRule>
    <cfRule type="containsText" dxfId="151" priority="32" operator="containsText" text="OFF">
      <formula>NOT(ISERROR(SEARCH("OFF",W1089)))</formula>
    </cfRule>
    <cfRule type="containsText" dxfId="150" priority="33" operator="containsText" text="AB">
      <formula>NOT(ISERROR(SEARCH("AB",W1089)))</formula>
    </cfRule>
    <cfRule type="containsText" dxfId="149" priority="34" operator="containsText" text="SL">
      <formula>NOT(ISERROR(SEARCH("SL",W1089)))</formula>
    </cfRule>
    <cfRule type="containsText" dxfId="148" priority="35" operator="containsText" text="EL">
      <formula>NOT(ISERROR(SEARCH("EL",W1089)))</formula>
    </cfRule>
    <cfRule type="containsText" dxfId="147" priority="36" operator="containsText" text="PL">
      <formula>NOT(ISERROR(SEARCH("PL",W1089)))</formula>
    </cfRule>
    <cfRule type="containsText" dxfId="146" priority="37" operator="containsText" text="P">
      <formula>NOT(ISERROR(SEARCH("P",W1089)))</formula>
    </cfRule>
  </conditionalFormatting>
  <conditionalFormatting sqref="W1103:W1110">
    <cfRule type="containsText" dxfId="145" priority="2490" operator="containsText" text="Miss SOS">
      <formula>NOT(ISERROR(SEARCH("Miss SOS",W1103)))</formula>
    </cfRule>
  </conditionalFormatting>
  <conditionalFormatting sqref="W1107:W1108 W637">
    <cfRule type="containsText" dxfId="144" priority="4166" operator="containsText" text="ABWI">
      <formula>NOT(ISERROR(SEARCH("ABWI",W637)))</formula>
    </cfRule>
  </conditionalFormatting>
  <conditionalFormatting sqref="W1115:W1116 W1124:W1125">
    <cfRule type="containsText" dxfId="143" priority="22" operator="containsText" text="ABWI">
      <formula>NOT(ISERROR(SEARCH("ABWI",W1115)))</formula>
    </cfRule>
    <cfRule type="containsText" dxfId="142" priority="24" operator="containsText" text="OFF">
      <formula>NOT(ISERROR(SEARCH("OFF",W1115)))</formula>
    </cfRule>
    <cfRule type="containsText" dxfId="141" priority="25" operator="containsText" text="AB">
      <formula>NOT(ISERROR(SEARCH("AB",W1115)))</formula>
    </cfRule>
    <cfRule type="containsText" dxfId="140" priority="26" operator="containsText" text="SL">
      <formula>NOT(ISERROR(SEARCH("SL",W1115)))</formula>
    </cfRule>
  </conditionalFormatting>
  <conditionalFormatting sqref="W1115:W1116 W1125">
    <cfRule type="containsText" dxfId="139" priority="27" operator="containsText" text="EL">
      <formula>NOT(ISERROR(SEARCH("EL",W1115)))</formula>
    </cfRule>
    <cfRule type="containsText" dxfId="138" priority="28" operator="containsText" text="PL">
      <formula>NOT(ISERROR(SEARCH("PL",W1115)))</formula>
    </cfRule>
    <cfRule type="containsText" dxfId="137" priority="29" operator="containsText" text="P">
      <formula>NOT(ISERROR(SEARCH("P",W1115)))</formula>
    </cfRule>
  </conditionalFormatting>
  <conditionalFormatting sqref="W1121 W1199 W957">
    <cfRule type="containsText" dxfId="136" priority="304" operator="containsText" text="ABWI">
      <formula>NOT(ISERROR(SEARCH("ABWI",W957)))</formula>
    </cfRule>
  </conditionalFormatting>
  <conditionalFormatting sqref="W1121 W1199">
    <cfRule type="containsText" dxfId="135" priority="296" operator="containsText" text="OFF">
      <formula>NOT(ISERROR(SEARCH("OFF",W1121)))</formula>
    </cfRule>
  </conditionalFormatting>
  <conditionalFormatting sqref="W1126:W1127 W1083:W1084">
    <cfRule type="containsText" dxfId="134" priority="1923" operator="containsText" text="ABWI">
      <formula>NOT(ISERROR(SEARCH("ABWI",W1083)))</formula>
    </cfRule>
  </conditionalFormatting>
  <conditionalFormatting sqref="W1126:W1127 W1201:W1202 W1205:W1206 W1250:W1251">
    <cfRule type="containsText" dxfId="133" priority="3109" operator="containsText" text="ABWI">
      <formula>NOT(ISERROR(SEARCH("ABWI",W1126)))</formula>
    </cfRule>
  </conditionalFormatting>
  <conditionalFormatting sqref="W1127 W1202 W1205:W1206 W1251">
    <cfRule type="containsText" dxfId="132" priority="3110" operator="containsText" text="OFF">
      <formula>NOT(ISERROR(SEARCH("OFF",W1127)))</formula>
    </cfRule>
    <cfRule type="containsText" dxfId="131" priority="3111" operator="containsText" text="AB">
      <formula>NOT(ISERROR(SEARCH("AB",W1127)))</formula>
    </cfRule>
    <cfRule type="containsText" dxfId="130" priority="3112" operator="containsText" text="SL">
      <formula>NOT(ISERROR(SEARCH("SL",W1127)))</formula>
    </cfRule>
    <cfRule type="containsText" dxfId="129" priority="3113" operator="containsText" text="EL">
      <formula>NOT(ISERROR(SEARCH("EL",W1127)))</formula>
    </cfRule>
    <cfRule type="containsText" dxfId="128" priority="3114" operator="containsText" text="PL">
      <formula>NOT(ISERROR(SEARCH("PL",W1127)))</formula>
    </cfRule>
    <cfRule type="containsText" dxfId="127" priority="3115" operator="containsText" text="P">
      <formula>NOT(ISERROR(SEARCH("P",W1127)))</formula>
    </cfRule>
  </conditionalFormatting>
  <conditionalFormatting sqref="W1127 W1202 W1206 W1251 W1283">
    <cfRule type="containsText" dxfId="126" priority="3103" operator="containsText" text="OFF">
      <formula>NOT(ISERROR(SEARCH("OFF",W1127)))</formula>
    </cfRule>
    <cfRule type="containsText" dxfId="125" priority="3104" operator="containsText" text="AB">
      <formula>NOT(ISERROR(SEARCH("AB",W1127)))</formula>
    </cfRule>
    <cfRule type="containsText" dxfId="124" priority="3105" operator="containsText" text="SL">
      <formula>NOT(ISERROR(SEARCH("SL",W1127)))</formula>
    </cfRule>
    <cfRule type="containsText" dxfId="123" priority="3106" operator="containsText" text="EL">
      <formula>NOT(ISERROR(SEARCH("EL",W1127)))</formula>
    </cfRule>
    <cfRule type="containsText" dxfId="122" priority="3107" operator="containsText" text="PL">
      <formula>NOT(ISERROR(SEARCH("PL",W1127)))</formula>
    </cfRule>
    <cfRule type="containsText" dxfId="121" priority="3108" operator="containsText" text="P">
      <formula>NOT(ISERROR(SEARCH("P",W1127)))</formula>
    </cfRule>
  </conditionalFormatting>
  <conditionalFormatting sqref="W1127 W1206 W1251 W1202 W1283 W1211">
    <cfRule type="containsText" dxfId="120" priority="3101" operator="containsText" text="ABWI">
      <formula>NOT(ISERROR(SEARCH("ABWI",W1127)))</formula>
    </cfRule>
  </conditionalFormatting>
  <conditionalFormatting sqref="W1127 W1206 W1251">
    <cfRule type="containsText" dxfId="119" priority="3096" operator="containsText" text="AB">
      <formula>NOT(ISERROR(SEARCH("AB",W1127)))</formula>
    </cfRule>
    <cfRule type="containsText" dxfId="118" priority="3097" operator="containsText" text="SL">
      <formula>NOT(ISERROR(SEARCH("SL",W1127)))</formula>
    </cfRule>
    <cfRule type="containsText" dxfId="117" priority="3098" operator="containsText" text="EL">
      <formula>NOT(ISERROR(SEARCH("EL",W1127)))</formula>
    </cfRule>
    <cfRule type="containsText" dxfId="116" priority="3099" operator="containsText" text="PL">
      <formula>NOT(ISERROR(SEARCH("PL",W1127)))</formula>
    </cfRule>
    <cfRule type="containsText" dxfId="115" priority="3100" operator="containsText" text="P">
      <formula>NOT(ISERROR(SEARCH("P",W1127)))</formula>
    </cfRule>
  </conditionalFormatting>
  <conditionalFormatting sqref="W1130:W1134">
    <cfRule type="containsText" dxfId="114" priority="2861" operator="containsText" text="OFF">
      <formula>NOT(ISERROR(SEARCH("OFF",W1130)))</formula>
    </cfRule>
    <cfRule type="containsText" dxfId="113" priority="2862" operator="containsText" text="AB">
      <formula>NOT(ISERROR(SEARCH("AB",W1130)))</formula>
    </cfRule>
    <cfRule type="containsText" dxfId="112" priority="2863" operator="containsText" text="SL">
      <formula>NOT(ISERROR(SEARCH("SL",W1130)))</formula>
    </cfRule>
    <cfRule type="containsText" dxfId="111" priority="2864" operator="containsText" text="EL">
      <formula>NOT(ISERROR(SEARCH("EL",W1130)))</formula>
    </cfRule>
    <cfRule type="containsText" dxfId="110" priority="2865" operator="containsText" text="PL">
      <formula>NOT(ISERROR(SEARCH("PL",W1130)))</formula>
    </cfRule>
    <cfRule type="containsText" dxfId="109" priority="2866" operator="containsText" text="P">
      <formula>NOT(ISERROR(SEARCH("P",W1130)))</formula>
    </cfRule>
  </conditionalFormatting>
  <conditionalFormatting sqref="W1130:W1135">
    <cfRule type="containsText" dxfId="108" priority="2860" operator="containsText" text="ABWI">
      <formula>NOT(ISERROR(SEARCH("ABWI",W1130)))</formula>
    </cfRule>
  </conditionalFormatting>
  <conditionalFormatting sqref="W1135">
    <cfRule type="containsText" dxfId="107" priority="2472" operator="containsText" text="Miss SOS">
      <formula>NOT(ISERROR(SEARCH("Miss SOS",W1135)))</formula>
    </cfRule>
    <cfRule type="containsText" dxfId="106" priority="2473" operator="containsText" text="ABWI">
      <formula>NOT(ISERROR(SEARCH("ABWI",W1135)))</formula>
    </cfRule>
  </conditionalFormatting>
  <conditionalFormatting sqref="W1136">
    <cfRule type="containsText" dxfId="105" priority="125" operator="containsText" text="Miss SOS">
      <formula>NOT(ISERROR(SEARCH("Miss SOS",W1136)))</formula>
    </cfRule>
    <cfRule type="containsText" dxfId="104" priority="128" operator="containsText" text="AB">
      <formula>NOT(ISERROR(SEARCH("AB",W1136)))</formula>
    </cfRule>
    <cfRule type="containsText" dxfId="103" priority="129" operator="containsText" text="SL">
      <formula>NOT(ISERROR(SEARCH("SL",W1136)))</formula>
    </cfRule>
    <cfRule type="containsText" dxfId="102" priority="130" operator="containsText" text="EL">
      <formula>NOT(ISERROR(SEARCH("EL",W1136)))</formula>
    </cfRule>
    <cfRule type="containsText" dxfId="101" priority="131" operator="containsText" text="PL">
      <formula>NOT(ISERROR(SEARCH("PL",W1136)))</formula>
    </cfRule>
    <cfRule type="containsText" dxfId="100" priority="132" operator="containsText" text="P">
      <formula>NOT(ISERROR(SEARCH("P",W1136)))</formula>
    </cfRule>
  </conditionalFormatting>
  <conditionalFormatting sqref="W1136:W1137">
    <cfRule type="containsText" dxfId="99" priority="126" operator="containsText" text="ABWI">
      <formula>NOT(ISERROR(SEARCH("ABWI",W1136)))</formula>
    </cfRule>
  </conditionalFormatting>
  <conditionalFormatting sqref="W1137:W1138 W1033:W1034 W1251">
    <cfRule type="containsText" dxfId="98" priority="2838" operator="containsText" text="ABWI">
      <formula>NOT(ISERROR(SEARCH("ABWI",W1033)))</formula>
    </cfRule>
  </conditionalFormatting>
  <conditionalFormatting sqref="W1138">
    <cfRule type="containsText" dxfId="97" priority="2832" operator="containsText" text="OFF">
      <formula>NOT(ISERROR(SEARCH("OFF",W1138)))</formula>
    </cfRule>
    <cfRule type="containsText" dxfId="96" priority="2833" operator="containsText" text="AB">
      <formula>NOT(ISERROR(SEARCH("AB",W1138)))</formula>
    </cfRule>
    <cfRule type="containsText" dxfId="95" priority="2834" operator="containsText" text="SL">
      <formula>NOT(ISERROR(SEARCH("SL",W1138)))</formula>
    </cfRule>
    <cfRule type="containsText" dxfId="94" priority="2835" operator="containsText" text="EL">
      <formula>NOT(ISERROR(SEARCH("EL",W1138)))</formula>
    </cfRule>
    <cfRule type="containsText" dxfId="93" priority="2836" operator="containsText" text="PL">
      <formula>NOT(ISERROR(SEARCH("PL",W1138)))</formula>
    </cfRule>
    <cfRule type="containsText" dxfId="92" priority="2837" operator="containsText" text="P">
      <formula>NOT(ISERROR(SEARCH("P",W1138)))</formula>
    </cfRule>
  </conditionalFormatting>
  <conditionalFormatting sqref="W1157 W984">
    <cfRule type="containsText" dxfId="91" priority="455" operator="containsText" text="Miss SOS">
      <formula>NOT(ISERROR(SEARCH("Miss SOS",W984)))</formula>
    </cfRule>
  </conditionalFormatting>
  <conditionalFormatting sqref="W1157:W1158 W186 W206 W280 W1120:W1121 W1400 W1377 W1382:W1383 W123 W231 W420:W421 W423 W427 W445:W446 W448 W521 W536 W538 W551 W687:W688 W712:W713 W844:W845 W965:W967 W1058:W1059 W1245 W1258">
    <cfRule type="containsText" dxfId="90" priority="609" operator="containsText" text="OFF">
      <formula>NOT(ISERROR(SEARCH("OFF",W123)))</formula>
    </cfRule>
  </conditionalFormatting>
  <conditionalFormatting sqref="W1160">
    <cfRule type="containsText" dxfId="89" priority="134" operator="containsText" text="Miss SOS">
      <formula>NOT(ISERROR(SEARCH("Miss SOS",W1160)))</formula>
    </cfRule>
    <cfRule type="containsText" dxfId="88" priority="137" operator="containsText" text="AB">
      <formula>NOT(ISERROR(SEARCH("AB",W1160)))</formula>
    </cfRule>
    <cfRule type="containsText" dxfId="87" priority="138" operator="containsText" text="SL">
      <formula>NOT(ISERROR(SEARCH("SL",W1160)))</formula>
    </cfRule>
    <cfRule type="containsText" dxfId="86" priority="139" operator="containsText" text="EL">
      <formula>NOT(ISERROR(SEARCH("EL",W1160)))</formula>
    </cfRule>
    <cfRule type="containsText" dxfId="85" priority="140" operator="containsText" text="PL">
      <formula>NOT(ISERROR(SEARCH("PL",W1160)))</formula>
    </cfRule>
    <cfRule type="containsText" dxfId="84" priority="141" operator="containsText" text="P">
      <formula>NOT(ISERROR(SEARCH("P",W1160)))</formula>
    </cfRule>
  </conditionalFormatting>
  <conditionalFormatting sqref="W1160:W1161">
    <cfRule type="containsText" dxfId="83" priority="135" operator="containsText" text="ABWI">
      <formula>NOT(ISERROR(SEARCH("ABWI",W1160)))</formula>
    </cfRule>
  </conditionalFormatting>
  <conditionalFormatting sqref="W1164:W1165 W114 W199 W905 W928:W929 W974 W1050:W1051">
    <cfRule type="containsText" dxfId="82" priority="671" operator="containsText" text="OFF">
      <formula>NOT(ISERROR(SEARCH("OFF",W114)))</formula>
    </cfRule>
  </conditionalFormatting>
  <conditionalFormatting sqref="W1165 W361">
    <cfRule type="containsText" dxfId="81" priority="636" operator="containsText" text="AB">
      <formula>NOT(ISERROR(SEARCH("AB",W361)))</formula>
    </cfRule>
  </conditionalFormatting>
  <conditionalFormatting sqref="W1165">
    <cfRule type="containsText" dxfId="80" priority="634" operator="containsText" text="ABWI">
      <formula>NOT(ISERROR(SEARCH("ABWI",W1165)))</formula>
    </cfRule>
    <cfRule type="containsText" dxfId="79" priority="635" operator="containsText" text="OFF">
      <formula>NOT(ISERROR(SEARCH("OFF",W1165)))</formula>
    </cfRule>
  </conditionalFormatting>
  <conditionalFormatting sqref="W1176">
    <cfRule type="containsText" dxfId="78" priority="632" operator="containsText" text="Miss SOS">
      <formula>NOT(ISERROR(SEARCH("Miss SOS",W1176)))</formula>
    </cfRule>
  </conditionalFormatting>
  <conditionalFormatting sqref="W1176:W1179 W306 W431 W488 W497 W526 W549 W563 W580 W791 W821 W987:W988 W1076 W1188 W1255">
    <cfRule type="containsText" dxfId="77" priority="932" operator="containsText" text="ABWI">
      <formula>NOT(ISERROR(SEARCH("ABWI",W306)))</formula>
    </cfRule>
  </conditionalFormatting>
  <conditionalFormatting sqref="W1187:W1198">
    <cfRule type="containsText" dxfId="76" priority="949" operator="containsText" text="Miss SOS">
      <formula>NOT(ISERROR(SEARCH("Miss SOS",W1187)))</formula>
    </cfRule>
  </conditionalFormatting>
  <conditionalFormatting sqref="W1199 W1002:W1003">
    <cfRule type="containsText" dxfId="75" priority="783" operator="containsText" text="AB">
      <formula>NOT(ISERROR(SEARCH("AB",W1002)))</formula>
    </cfRule>
  </conditionalFormatting>
  <conditionalFormatting sqref="W1199 W1121">
    <cfRule type="containsText" dxfId="74" priority="295" operator="containsText" text="ABWI">
      <formula>NOT(ISERROR(SEARCH("ABWI",W1121)))</formula>
    </cfRule>
  </conditionalFormatting>
  <conditionalFormatting sqref="W1199">
    <cfRule type="containsText" dxfId="73" priority="290" operator="containsText" text="AB">
      <formula>NOT(ISERROR(SEARCH("AB",W1199)))</formula>
    </cfRule>
    <cfRule type="containsText" dxfId="72" priority="291" operator="containsText" text="SL">
      <formula>NOT(ISERROR(SEARCH("SL",W1199)))</formula>
    </cfRule>
    <cfRule type="containsText" dxfId="71" priority="292" operator="containsText" text="EL">
      <formula>NOT(ISERROR(SEARCH("EL",W1199)))</formula>
    </cfRule>
    <cfRule type="containsText" dxfId="70" priority="293" operator="containsText" text="PL">
      <formula>NOT(ISERROR(SEARCH("PL",W1199)))</formula>
    </cfRule>
    <cfRule type="containsText" dxfId="69" priority="294" operator="containsText" text="P">
      <formula>NOT(ISERROR(SEARCH("P",W1199)))</formula>
    </cfRule>
    <cfRule type="containsText" dxfId="68" priority="782" operator="containsText" text="OFF">
      <formula>NOT(ISERROR(SEARCH("OFF",W1199)))</formula>
    </cfRule>
  </conditionalFormatting>
  <conditionalFormatting sqref="W1251 W1127 W1206">
    <cfRule type="containsText" dxfId="67" priority="3095" operator="containsText" text="OFF">
      <formula>NOT(ISERROR(SEARCH("OFF",W1127)))</formula>
    </cfRule>
  </conditionalFormatting>
  <conditionalFormatting sqref="W1266 W1025">
    <cfRule type="containsText" dxfId="66" priority="552" operator="containsText" text="AB">
      <formula>NOT(ISERROR(SEARCH("AB",W1025)))</formula>
    </cfRule>
  </conditionalFormatting>
  <conditionalFormatting sqref="W1278 W1281:W1283">
    <cfRule type="containsText" dxfId="65" priority="1683" operator="containsText" text="OFF">
      <formula>NOT(ISERROR(SEARCH("OFF",W1278)))</formula>
    </cfRule>
    <cfRule type="containsText" dxfId="64" priority="1684" operator="containsText" text="AB">
      <formula>NOT(ISERROR(SEARCH("AB",W1278)))</formula>
    </cfRule>
    <cfRule type="containsText" dxfId="63" priority="1685" operator="containsText" text="SL">
      <formula>NOT(ISERROR(SEARCH("SL",W1278)))</formula>
    </cfRule>
    <cfRule type="containsText" dxfId="62" priority="1686" operator="containsText" text="EL">
      <formula>NOT(ISERROR(SEARCH("EL",W1278)))</formula>
    </cfRule>
    <cfRule type="containsText" dxfId="61" priority="1687" operator="containsText" text="PL">
      <formula>NOT(ISERROR(SEARCH("PL",W1278)))</formula>
    </cfRule>
    <cfRule type="containsText" dxfId="60" priority="1688" operator="containsText" text="P">
      <formula>NOT(ISERROR(SEARCH("P",W1278)))</formula>
    </cfRule>
  </conditionalFormatting>
  <conditionalFormatting sqref="W1278:W1279 W1281:W1283">
    <cfRule type="containsText" dxfId="59" priority="1682" operator="containsText" text="ABWI">
      <formula>NOT(ISERROR(SEARCH("ABWI",W1278)))</formula>
    </cfRule>
  </conditionalFormatting>
  <conditionalFormatting sqref="W1281 W388 W431 W459 W492 W500 W578 W649 W727 W758 W1017">
    <cfRule type="containsText" dxfId="58" priority="3175" operator="containsText" text="ABWI">
      <formula>NOT(ISERROR(SEARCH("ABWI",W388)))</formula>
    </cfRule>
  </conditionalFormatting>
  <conditionalFormatting sqref="W1299">
    <cfRule type="containsText" dxfId="57" priority="3702" operator="containsText" text="ABWI">
      <formula>NOT(ISERROR(SEARCH("ABWI",W1299)))</formula>
    </cfRule>
    <cfRule type="containsText" dxfId="56" priority="3703" operator="containsText" text="OFF">
      <formula>NOT(ISERROR(SEARCH("OFF",W1299)))</formula>
    </cfRule>
    <cfRule type="containsText" dxfId="55" priority="3704" operator="containsText" text="AB">
      <formula>NOT(ISERROR(SEARCH("AB",W1299)))</formula>
    </cfRule>
    <cfRule type="containsText" dxfId="54" priority="3705" operator="containsText" text="SL">
      <formula>NOT(ISERROR(SEARCH("SL",W1299)))</formula>
    </cfRule>
    <cfRule type="containsText" dxfId="53" priority="3706" operator="containsText" text="EL">
      <formula>NOT(ISERROR(SEARCH("EL",W1299)))</formula>
    </cfRule>
    <cfRule type="containsText" dxfId="52" priority="3707" operator="containsText" text="PL">
      <formula>NOT(ISERROR(SEARCH("PL",W1299)))</formula>
    </cfRule>
    <cfRule type="containsText" dxfId="51" priority="3708" operator="containsText" text="P">
      <formula>NOT(ISERROR(SEARCH("P",W1299)))</formula>
    </cfRule>
  </conditionalFormatting>
  <conditionalFormatting sqref="W1300">
    <cfRule type="containsText" dxfId="50" priority="1234" operator="containsText" text="ABWI">
      <formula>NOT(ISERROR(SEARCH("ABWI",W1300)))</formula>
    </cfRule>
    <cfRule type="containsText" dxfId="49" priority="1235" operator="containsText" text="OFF">
      <formula>NOT(ISERROR(SEARCH("OFF",W1300)))</formula>
    </cfRule>
    <cfRule type="containsText" dxfId="48" priority="1236" operator="containsText" text="AB">
      <formula>NOT(ISERROR(SEARCH("AB",W1300)))</formula>
    </cfRule>
    <cfRule type="containsText" dxfId="47" priority="1237" operator="containsText" text="SL">
      <formula>NOT(ISERROR(SEARCH("SL",W1300)))</formula>
    </cfRule>
    <cfRule type="containsText" dxfId="46" priority="1238" operator="containsText" text="EL">
      <formula>NOT(ISERROR(SEARCH("EL",W1300)))</formula>
    </cfRule>
    <cfRule type="containsText" dxfId="45" priority="1239" operator="containsText" text="PL">
      <formula>NOT(ISERROR(SEARCH("PL",W1300)))</formula>
    </cfRule>
    <cfRule type="containsText" dxfId="44" priority="1240" operator="containsText" text="P">
      <formula>NOT(ISERROR(SEARCH("P",W1300)))</formula>
    </cfRule>
  </conditionalFormatting>
  <conditionalFormatting sqref="W1301">
    <cfRule type="containsText" dxfId="43" priority="4793" operator="containsText" text="ABWI">
      <formula>NOT(ISERROR(SEARCH("ABWI",W1301)))</formula>
    </cfRule>
    <cfRule type="containsText" dxfId="42" priority="4794" operator="containsText" text="OFF">
      <formula>NOT(ISERROR(SEARCH("OFF",W1301)))</formula>
    </cfRule>
    <cfRule type="containsText" dxfId="41" priority="4795" operator="containsText" text="AB">
      <formula>NOT(ISERROR(SEARCH("AB",W1301)))</formula>
    </cfRule>
    <cfRule type="containsText" dxfId="40" priority="4796" operator="containsText" text="SL">
      <formula>NOT(ISERROR(SEARCH("SL",W1301)))</formula>
    </cfRule>
    <cfRule type="containsText" dxfId="39" priority="4797" operator="containsText" text="EL">
      <formula>NOT(ISERROR(SEARCH("EL",W1301)))</formula>
    </cfRule>
    <cfRule type="containsText" dxfId="38" priority="4798" operator="containsText" text="PL">
      <formula>NOT(ISERROR(SEARCH("PL",W1301)))</formula>
    </cfRule>
    <cfRule type="containsText" dxfId="37" priority="4799" operator="containsText" text="P">
      <formula>NOT(ISERROR(SEARCH("P",W1301)))</formula>
    </cfRule>
  </conditionalFormatting>
  <conditionalFormatting sqref="W1311 W785">
    <cfRule type="containsText" dxfId="36" priority="800" operator="containsText" text="AB">
      <formula>NOT(ISERROR(SEARCH("AB",W785)))</formula>
    </cfRule>
  </conditionalFormatting>
  <conditionalFormatting sqref="W1311">
    <cfRule type="containsText" dxfId="35" priority="799" operator="containsText" text="OFF">
      <formula>NOT(ISERROR(SEARCH("OFF",W1311)))</formula>
    </cfRule>
  </conditionalFormatting>
  <conditionalFormatting sqref="W1316:W1388">
    <cfRule type="containsText" dxfId="34" priority="53" operator="containsText" text="Miss SOS">
      <formula>NOT(ISERROR(SEARCH("Miss SOS",W1316)))</formula>
    </cfRule>
  </conditionalFormatting>
  <conditionalFormatting sqref="W1340 W982">
    <cfRule type="containsText" dxfId="33" priority="2218" operator="containsText" text="OFF">
      <formula>NOT(ISERROR(SEARCH("OFF",W982)))</formula>
    </cfRule>
  </conditionalFormatting>
  <conditionalFormatting sqref="W1389:W1048576">
    <cfRule type="containsText" dxfId="32" priority="331" operator="containsText" text="Miss SOS">
      <formula>NOT(ISERROR(SEARCH("Miss SOS",W1389)))</formula>
    </cfRule>
  </conditionalFormatting>
  <pageMargins left="1.0899999999999999" right="0.7" top="0.75" bottom="0.75" header="0.3" footer="0.3"/>
  <pageSetup scale="92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AbdelNasser, Ahmed</dc:creator>
  <cp:lastModifiedBy>Muhammad [C]</cp:lastModifiedBy>
  <cp:lastPrinted>2026-08-05T07:55:18Z</cp:lastPrinted>
  <dcterms:created xsi:type="dcterms:W3CDTF">2015-06-05T18:17:20Z</dcterms:created>
  <dcterms:modified xsi:type="dcterms:W3CDTF">2026-08-29T20:27:15Z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2025-09-17T03:21:17Z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72df7c0c-836c-4118-b62b-7b3ca4afeffa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